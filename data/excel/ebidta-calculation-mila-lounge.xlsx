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iasLavenant\Downloads\"/>
    </mc:Choice>
  </mc:AlternateContent>
  <xr:revisionPtr revIDLastSave="0" documentId="8_{0E39B955-071A-4DC3-A5E1-F65E01621503}" xr6:coauthVersionLast="47" xr6:coauthVersionMax="47" xr10:uidLastSave="{00000000-0000-0000-0000-000000000000}"/>
  <bookViews>
    <workbookView xWindow="-28920" yWindow="855" windowWidth="29040" windowHeight="15720" xr2:uid="{3C90C578-B115-41AD-8F85-41FE68FE49FA}"/>
  </bookViews>
  <sheets>
    <sheet name="EBIDTA 2" sheetId="1" r:id="rId1"/>
    <sheet name="OPEX DATA 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03" i="1" l="1"/>
  <c r="D101" i="1"/>
  <c r="T327" i="2"/>
  <c r="U327" i="2" s="1"/>
  <c r="E326" i="2"/>
  <c r="F326" i="2" s="1"/>
  <c r="Q325" i="2"/>
  <c r="R325" i="2" s="1"/>
  <c r="O325" i="2"/>
  <c r="N325" i="2"/>
  <c r="K325" i="2"/>
  <c r="L325" i="2" s="1"/>
  <c r="H325" i="2"/>
  <c r="I325" i="2" s="1"/>
  <c r="E325" i="2"/>
  <c r="F325" i="2" s="1"/>
  <c r="B325" i="2"/>
  <c r="C325" i="2" s="1"/>
  <c r="R324" i="2"/>
  <c r="Q324" i="2"/>
  <c r="N324" i="2"/>
  <c r="O324" i="2" s="1"/>
  <c r="K324" i="2"/>
  <c r="L324" i="2" s="1"/>
  <c r="H324" i="2"/>
  <c r="I324" i="2" s="1"/>
  <c r="E324" i="2"/>
  <c r="F324" i="2" s="1"/>
  <c r="B324" i="2"/>
  <c r="C324" i="2" s="1"/>
  <c r="U323" i="2"/>
  <c r="T323" i="2"/>
  <c r="R323" i="2"/>
  <c r="O323" i="2"/>
  <c r="L323" i="2"/>
  <c r="I323" i="2"/>
  <c r="F323" i="2"/>
  <c r="C323" i="2"/>
  <c r="T322" i="2"/>
  <c r="U322" i="2" s="1"/>
  <c r="R322" i="2"/>
  <c r="O322" i="2"/>
  <c r="L322" i="2"/>
  <c r="I322" i="2"/>
  <c r="F322" i="2"/>
  <c r="C322" i="2"/>
  <c r="T321" i="2"/>
  <c r="U321" i="2" s="1"/>
  <c r="R321" i="2"/>
  <c r="O321" i="2"/>
  <c r="L321" i="2"/>
  <c r="I321" i="2"/>
  <c r="F321" i="2"/>
  <c r="C321" i="2"/>
  <c r="U320" i="2"/>
  <c r="T320" i="2"/>
  <c r="R320" i="2"/>
  <c r="O320" i="2"/>
  <c r="L320" i="2"/>
  <c r="I320" i="2"/>
  <c r="F320" i="2"/>
  <c r="C320" i="2"/>
  <c r="T319" i="2"/>
  <c r="U319" i="2" s="1"/>
  <c r="R319" i="2"/>
  <c r="O319" i="2"/>
  <c r="L319" i="2"/>
  <c r="I319" i="2"/>
  <c r="F319" i="2"/>
  <c r="C319" i="2"/>
  <c r="T318" i="2"/>
  <c r="U318" i="2" s="1"/>
  <c r="R318" i="2"/>
  <c r="O318" i="2"/>
  <c r="L318" i="2"/>
  <c r="I318" i="2"/>
  <c r="F318" i="2"/>
  <c r="C318" i="2"/>
  <c r="U317" i="2"/>
  <c r="T317" i="2"/>
  <c r="R317" i="2"/>
  <c r="O317" i="2"/>
  <c r="L317" i="2"/>
  <c r="I317" i="2"/>
  <c r="F317" i="2"/>
  <c r="C317" i="2"/>
  <c r="T316" i="2"/>
  <c r="U316" i="2" s="1"/>
  <c r="R316" i="2"/>
  <c r="O316" i="2"/>
  <c r="L316" i="2"/>
  <c r="I316" i="2"/>
  <c r="F316" i="2"/>
  <c r="C316" i="2"/>
  <c r="T315" i="2"/>
  <c r="U315" i="2" s="1"/>
  <c r="Q314" i="2"/>
  <c r="R314" i="2" s="1"/>
  <c r="N314" i="2"/>
  <c r="O314" i="2" s="1"/>
  <c r="L314" i="2"/>
  <c r="K314" i="2"/>
  <c r="H314" i="2"/>
  <c r="I314" i="2" s="1"/>
  <c r="E314" i="2"/>
  <c r="F314" i="2" s="1"/>
  <c r="B314" i="2"/>
  <c r="C314" i="2" s="1"/>
  <c r="T313" i="2"/>
  <c r="U313" i="2" s="1"/>
  <c r="R313" i="2"/>
  <c r="O313" i="2"/>
  <c r="L313" i="2"/>
  <c r="I313" i="2"/>
  <c r="F313" i="2"/>
  <c r="C313" i="2"/>
  <c r="T312" i="2"/>
  <c r="U312" i="2" s="1"/>
  <c r="R312" i="2"/>
  <c r="O312" i="2"/>
  <c r="L312" i="2"/>
  <c r="I312" i="2"/>
  <c r="F312" i="2"/>
  <c r="C312" i="2"/>
  <c r="U311" i="2"/>
  <c r="T311" i="2"/>
  <c r="R311" i="2"/>
  <c r="O311" i="2"/>
  <c r="L311" i="2"/>
  <c r="I311" i="2"/>
  <c r="F311" i="2"/>
  <c r="C311" i="2"/>
  <c r="T310" i="2"/>
  <c r="U310" i="2" s="1"/>
  <c r="D197" i="1" s="1"/>
  <c r="E197" i="1" s="1"/>
  <c r="R310" i="2"/>
  <c r="O310" i="2"/>
  <c r="L310" i="2"/>
  <c r="I310" i="2"/>
  <c r="F310" i="2"/>
  <c r="C310" i="2"/>
  <c r="T309" i="2"/>
  <c r="U309" i="2" s="1"/>
  <c r="R309" i="2"/>
  <c r="O309" i="2"/>
  <c r="L309" i="2"/>
  <c r="I309" i="2"/>
  <c r="F309" i="2"/>
  <c r="C309" i="2"/>
  <c r="U308" i="2"/>
  <c r="T308" i="2"/>
  <c r="R308" i="2"/>
  <c r="O308" i="2"/>
  <c r="L308" i="2"/>
  <c r="I308" i="2"/>
  <c r="F308" i="2"/>
  <c r="C308" i="2"/>
  <c r="T307" i="2"/>
  <c r="U307" i="2" s="1"/>
  <c r="R307" i="2"/>
  <c r="O307" i="2"/>
  <c r="L307" i="2"/>
  <c r="I307" i="2"/>
  <c r="F307" i="2"/>
  <c r="C307" i="2"/>
  <c r="T306" i="2"/>
  <c r="U306" i="2" s="1"/>
  <c r="R306" i="2"/>
  <c r="O306" i="2"/>
  <c r="L306" i="2"/>
  <c r="I306" i="2"/>
  <c r="F306" i="2"/>
  <c r="C306" i="2"/>
  <c r="U305" i="2"/>
  <c r="T305" i="2"/>
  <c r="R305" i="2"/>
  <c r="O305" i="2"/>
  <c r="L305" i="2"/>
  <c r="I305" i="2"/>
  <c r="F305" i="2"/>
  <c r="C305" i="2"/>
  <c r="T304" i="2"/>
  <c r="U304" i="2" s="1"/>
  <c r="D191" i="1" s="1"/>
  <c r="E191" i="1" s="1"/>
  <c r="R304" i="2"/>
  <c r="O304" i="2"/>
  <c r="L304" i="2"/>
  <c r="I304" i="2"/>
  <c r="F304" i="2"/>
  <c r="C304" i="2"/>
  <c r="T303" i="2"/>
  <c r="U303" i="2" s="1"/>
  <c r="R303" i="2"/>
  <c r="O303" i="2"/>
  <c r="L303" i="2"/>
  <c r="I303" i="2"/>
  <c r="F303" i="2"/>
  <c r="C303" i="2"/>
  <c r="U302" i="2"/>
  <c r="T302" i="2"/>
  <c r="R302" i="2"/>
  <c r="O302" i="2"/>
  <c r="L302" i="2"/>
  <c r="I302" i="2"/>
  <c r="F302" i="2"/>
  <c r="C302" i="2"/>
  <c r="T301" i="2"/>
  <c r="U301" i="2" s="1"/>
  <c r="R301" i="2"/>
  <c r="O301" i="2"/>
  <c r="L301" i="2"/>
  <c r="I301" i="2"/>
  <c r="F301" i="2"/>
  <c r="C301" i="2"/>
  <c r="T300" i="2"/>
  <c r="U300" i="2" s="1"/>
  <c r="R300" i="2"/>
  <c r="O300" i="2"/>
  <c r="L300" i="2"/>
  <c r="I300" i="2"/>
  <c r="F300" i="2"/>
  <c r="C300" i="2"/>
  <c r="U299" i="2"/>
  <c r="T299" i="2"/>
  <c r="R299" i="2"/>
  <c r="O299" i="2"/>
  <c r="L299" i="2"/>
  <c r="I299" i="2"/>
  <c r="F299" i="2"/>
  <c r="C299" i="2"/>
  <c r="T298" i="2"/>
  <c r="U298" i="2" s="1"/>
  <c r="R298" i="2"/>
  <c r="O298" i="2"/>
  <c r="L298" i="2"/>
  <c r="I298" i="2"/>
  <c r="F298" i="2"/>
  <c r="C298" i="2"/>
  <c r="T297" i="2"/>
  <c r="U297" i="2" s="1"/>
  <c r="D184" i="1" s="1"/>
  <c r="E184" i="1" s="1"/>
  <c r="R297" i="2"/>
  <c r="O297" i="2"/>
  <c r="L297" i="2"/>
  <c r="I297" i="2"/>
  <c r="F297" i="2"/>
  <c r="C297" i="2"/>
  <c r="U296" i="2"/>
  <c r="T296" i="2"/>
  <c r="R296" i="2"/>
  <c r="O296" i="2"/>
  <c r="L296" i="2"/>
  <c r="I296" i="2"/>
  <c r="F296" i="2"/>
  <c r="C296" i="2"/>
  <c r="T295" i="2"/>
  <c r="U295" i="2" s="1"/>
  <c r="R295" i="2"/>
  <c r="O295" i="2"/>
  <c r="L295" i="2"/>
  <c r="I295" i="2"/>
  <c r="F295" i="2"/>
  <c r="C295" i="2"/>
  <c r="T294" i="2"/>
  <c r="U294" i="2" s="1"/>
  <c r="R294" i="2"/>
  <c r="O294" i="2"/>
  <c r="L294" i="2"/>
  <c r="I294" i="2"/>
  <c r="F294" i="2"/>
  <c r="C294" i="2"/>
  <c r="U293" i="2"/>
  <c r="T293" i="2"/>
  <c r="R293" i="2"/>
  <c r="O293" i="2"/>
  <c r="L293" i="2"/>
  <c r="I293" i="2"/>
  <c r="F293" i="2"/>
  <c r="C293" i="2"/>
  <c r="T292" i="2"/>
  <c r="U292" i="2" s="1"/>
  <c r="D179" i="1" s="1"/>
  <c r="R292" i="2"/>
  <c r="O292" i="2"/>
  <c r="L292" i="2"/>
  <c r="I292" i="2"/>
  <c r="F292" i="2"/>
  <c r="C292" i="2"/>
  <c r="T291" i="2"/>
  <c r="U291" i="2" s="1"/>
  <c r="R291" i="2"/>
  <c r="O291" i="2"/>
  <c r="L291" i="2"/>
  <c r="I291" i="2"/>
  <c r="F291" i="2"/>
  <c r="C291" i="2"/>
  <c r="U290" i="2"/>
  <c r="T290" i="2"/>
  <c r="R290" i="2"/>
  <c r="O290" i="2"/>
  <c r="L290" i="2"/>
  <c r="I290" i="2"/>
  <c r="F290" i="2"/>
  <c r="C290" i="2"/>
  <c r="T289" i="2"/>
  <c r="U289" i="2" s="1"/>
  <c r="R289" i="2"/>
  <c r="O289" i="2"/>
  <c r="L289" i="2"/>
  <c r="I289" i="2"/>
  <c r="F289" i="2"/>
  <c r="C289" i="2"/>
  <c r="T288" i="2"/>
  <c r="U288" i="2" s="1"/>
  <c r="R288" i="2"/>
  <c r="O288" i="2"/>
  <c r="L288" i="2"/>
  <c r="I288" i="2"/>
  <c r="F288" i="2"/>
  <c r="C288" i="2"/>
  <c r="U287" i="2"/>
  <c r="T287" i="2"/>
  <c r="R287" i="2"/>
  <c r="O287" i="2"/>
  <c r="L287" i="2"/>
  <c r="I287" i="2"/>
  <c r="F287" i="2"/>
  <c r="C287" i="2"/>
  <c r="T286" i="2"/>
  <c r="U286" i="2" s="1"/>
  <c r="T285" i="2"/>
  <c r="U285" i="2" s="1"/>
  <c r="Q284" i="2"/>
  <c r="R284" i="2" s="1"/>
  <c r="N284" i="2"/>
  <c r="O284" i="2" s="1"/>
  <c r="K284" i="2"/>
  <c r="L284" i="2" s="1"/>
  <c r="H284" i="2"/>
  <c r="I284" i="2" s="1"/>
  <c r="E284" i="2"/>
  <c r="F284" i="2" s="1"/>
  <c r="C284" i="2"/>
  <c r="B284" i="2"/>
  <c r="Q283" i="2"/>
  <c r="R283" i="2" s="1"/>
  <c r="N283" i="2"/>
  <c r="O283" i="2" s="1"/>
  <c r="K283" i="2"/>
  <c r="L283" i="2" s="1"/>
  <c r="H283" i="2"/>
  <c r="I283" i="2" s="1"/>
  <c r="F283" i="2"/>
  <c r="E283" i="2"/>
  <c r="B283" i="2"/>
  <c r="C283" i="2" s="1"/>
  <c r="T282" i="2"/>
  <c r="U282" i="2" s="1"/>
  <c r="R282" i="2"/>
  <c r="O282" i="2"/>
  <c r="L282" i="2"/>
  <c r="I282" i="2"/>
  <c r="F282" i="2"/>
  <c r="C282" i="2"/>
  <c r="U281" i="2"/>
  <c r="D170" i="1" s="1"/>
  <c r="E170" i="1" s="1"/>
  <c r="T281" i="2"/>
  <c r="R281" i="2"/>
  <c r="O281" i="2"/>
  <c r="L281" i="2"/>
  <c r="I281" i="2"/>
  <c r="F281" i="2"/>
  <c r="C281" i="2"/>
  <c r="T280" i="2"/>
  <c r="U280" i="2" s="1"/>
  <c r="R280" i="2"/>
  <c r="O280" i="2"/>
  <c r="L280" i="2"/>
  <c r="I280" i="2"/>
  <c r="F280" i="2"/>
  <c r="C280" i="2"/>
  <c r="T279" i="2"/>
  <c r="U279" i="2" s="1"/>
  <c r="R279" i="2"/>
  <c r="O279" i="2"/>
  <c r="L279" i="2"/>
  <c r="I279" i="2"/>
  <c r="F279" i="2"/>
  <c r="C279" i="2"/>
  <c r="U278" i="2"/>
  <c r="T278" i="2"/>
  <c r="R278" i="2"/>
  <c r="O278" i="2"/>
  <c r="L278" i="2"/>
  <c r="I278" i="2"/>
  <c r="F278" i="2"/>
  <c r="C278" i="2"/>
  <c r="T277" i="2"/>
  <c r="U277" i="2" s="1"/>
  <c r="R277" i="2"/>
  <c r="O277" i="2"/>
  <c r="L277" i="2"/>
  <c r="I277" i="2"/>
  <c r="F277" i="2"/>
  <c r="C277" i="2"/>
  <c r="T276" i="2"/>
  <c r="U276" i="2" s="1"/>
  <c r="R276" i="2"/>
  <c r="O276" i="2"/>
  <c r="L276" i="2"/>
  <c r="I276" i="2"/>
  <c r="F276" i="2"/>
  <c r="C276" i="2"/>
  <c r="U275" i="2"/>
  <c r="T275" i="2"/>
  <c r="R275" i="2"/>
  <c r="O275" i="2"/>
  <c r="L275" i="2"/>
  <c r="I275" i="2"/>
  <c r="F275" i="2"/>
  <c r="C275" i="2"/>
  <c r="T274" i="2"/>
  <c r="U274" i="2" s="1"/>
  <c r="R274" i="2"/>
  <c r="O274" i="2"/>
  <c r="L274" i="2"/>
  <c r="I274" i="2"/>
  <c r="F274" i="2"/>
  <c r="C274" i="2"/>
  <c r="T273" i="2"/>
  <c r="U273" i="2" s="1"/>
  <c r="D162" i="1" s="1"/>
  <c r="E162" i="1" s="1"/>
  <c r="R273" i="2"/>
  <c r="O273" i="2"/>
  <c r="L273" i="2"/>
  <c r="I273" i="2"/>
  <c r="F273" i="2"/>
  <c r="C273" i="2"/>
  <c r="U272" i="2"/>
  <c r="T272" i="2"/>
  <c r="R272" i="2"/>
  <c r="O272" i="2"/>
  <c r="L272" i="2"/>
  <c r="I272" i="2"/>
  <c r="F272" i="2"/>
  <c r="C272" i="2"/>
  <c r="T271" i="2"/>
  <c r="U271" i="2" s="1"/>
  <c r="R271" i="2"/>
  <c r="O271" i="2"/>
  <c r="L271" i="2"/>
  <c r="I271" i="2"/>
  <c r="F271" i="2"/>
  <c r="C271" i="2"/>
  <c r="T270" i="2"/>
  <c r="U270" i="2" s="1"/>
  <c r="R270" i="2"/>
  <c r="O270" i="2"/>
  <c r="L270" i="2"/>
  <c r="I270" i="2"/>
  <c r="F270" i="2"/>
  <c r="C270" i="2"/>
  <c r="U269" i="2"/>
  <c r="T269" i="2"/>
  <c r="R269" i="2"/>
  <c r="O269" i="2"/>
  <c r="L269" i="2"/>
  <c r="I269" i="2"/>
  <c r="F269" i="2"/>
  <c r="C269" i="2"/>
  <c r="T268" i="2"/>
  <c r="U268" i="2" s="1"/>
  <c r="D157" i="1" s="1"/>
  <c r="E157" i="1" s="1"/>
  <c r="R268" i="2"/>
  <c r="O268" i="2"/>
  <c r="L268" i="2"/>
  <c r="I268" i="2"/>
  <c r="F268" i="2"/>
  <c r="C268" i="2"/>
  <c r="T267" i="2"/>
  <c r="U267" i="2" s="1"/>
  <c r="R267" i="2"/>
  <c r="O267" i="2"/>
  <c r="L267" i="2"/>
  <c r="I267" i="2"/>
  <c r="F267" i="2"/>
  <c r="C267" i="2"/>
  <c r="U266" i="2"/>
  <c r="T266" i="2"/>
  <c r="R266" i="2"/>
  <c r="O266" i="2"/>
  <c r="L266" i="2"/>
  <c r="I266" i="2"/>
  <c r="F266" i="2"/>
  <c r="C266" i="2"/>
  <c r="T265" i="2"/>
  <c r="U265" i="2" s="1"/>
  <c r="R265" i="2"/>
  <c r="O265" i="2"/>
  <c r="L265" i="2"/>
  <c r="I265" i="2"/>
  <c r="F265" i="2"/>
  <c r="C265" i="2"/>
  <c r="T264" i="2"/>
  <c r="U264" i="2" s="1"/>
  <c r="Q263" i="2"/>
  <c r="R263" i="2" s="1"/>
  <c r="N263" i="2"/>
  <c r="O263" i="2" s="1"/>
  <c r="L263" i="2"/>
  <c r="K263" i="2"/>
  <c r="H263" i="2"/>
  <c r="I263" i="2" s="1"/>
  <c r="E263" i="2"/>
  <c r="F263" i="2" s="1"/>
  <c r="B263" i="2"/>
  <c r="C263" i="2" s="1"/>
  <c r="T262" i="2"/>
  <c r="U262" i="2" s="1"/>
  <c r="R262" i="2"/>
  <c r="O262" i="2"/>
  <c r="L262" i="2"/>
  <c r="I262" i="2"/>
  <c r="F262" i="2"/>
  <c r="C262" i="2"/>
  <c r="T261" i="2"/>
  <c r="U261" i="2" s="1"/>
  <c r="R261" i="2"/>
  <c r="O261" i="2"/>
  <c r="L261" i="2"/>
  <c r="I261" i="2"/>
  <c r="F261" i="2"/>
  <c r="C261" i="2"/>
  <c r="U260" i="2"/>
  <c r="T260" i="2"/>
  <c r="R260" i="2"/>
  <c r="O260" i="2"/>
  <c r="L260" i="2"/>
  <c r="I260" i="2"/>
  <c r="F260" i="2"/>
  <c r="C260" i="2"/>
  <c r="T259" i="2"/>
  <c r="U259" i="2" s="1"/>
  <c r="R259" i="2"/>
  <c r="O259" i="2"/>
  <c r="L259" i="2"/>
  <c r="I259" i="2"/>
  <c r="F259" i="2"/>
  <c r="C259" i="2"/>
  <c r="T258" i="2"/>
  <c r="U258" i="2" s="1"/>
  <c r="R258" i="2"/>
  <c r="O258" i="2"/>
  <c r="L258" i="2"/>
  <c r="I258" i="2"/>
  <c r="F258" i="2"/>
  <c r="C258" i="2"/>
  <c r="U257" i="2"/>
  <c r="T257" i="2"/>
  <c r="R257" i="2"/>
  <c r="O257" i="2"/>
  <c r="L257" i="2"/>
  <c r="I257" i="2"/>
  <c r="F257" i="2"/>
  <c r="C257" i="2"/>
  <c r="T256" i="2"/>
  <c r="U256" i="2" s="1"/>
  <c r="D145" i="1" s="1"/>
  <c r="E145" i="1" s="1"/>
  <c r="R256" i="2"/>
  <c r="O256" i="2"/>
  <c r="L256" i="2"/>
  <c r="I256" i="2"/>
  <c r="F256" i="2"/>
  <c r="C256" i="2"/>
  <c r="T255" i="2"/>
  <c r="U255" i="2" s="1"/>
  <c r="R255" i="2"/>
  <c r="O255" i="2"/>
  <c r="L255" i="2"/>
  <c r="I255" i="2"/>
  <c r="F255" i="2"/>
  <c r="C255" i="2"/>
  <c r="U254" i="2"/>
  <c r="T254" i="2"/>
  <c r="R254" i="2"/>
  <c r="O254" i="2"/>
  <c r="L254" i="2"/>
  <c r="I254" i="2"/>
  <c r="F254" i="2"/>
  <c r="C254" i="2"/>
  <c r="T253" i="2"/>
  <c r="U253" i="2" s="1"/>
  <c r="T252" i="2"/>
  <c r="U252" i="2" s="1"/>
  <c r="R252" i="2"/>
  <c r="Q252" i="2"/>
  <c r="O252" i="2"/>
  <c r="N252" i="2"/>
  <c r="K252" i="2"/>
  <c r="L252" i="2" s="1"/>
  <c r="H252" i="2"/>
  <c r="I252" i="2" s="1"/>
  <c r="E252" i="2"/>
  <c r="F252" i="2" s="1"/>
  <c r="B252" i="2"/>
  <c r="C252" i="2" s="1"/>
  <c r="U251" i="2"/>
  <c r="T251" i="2"/>
  <c r="R251" i="2"/>
  <c r="O251" i="2"/>
  <c r="L251" i="2"/>
  <c r="I251" i="2"/>
  <c r="F251" i="2"/>
  <c r="C251" i="2"/>
  <c r="T250" i="2"/>
  <c r="U250" i="2" s="1"/>
  <c r="R250" i="2"/>
  <c r="O250" i="2"/>
  <c r="L250" i="2"/>
  <c r="I250" i="2"/>
  <c r="F250" i="2"/>
  <c r="C250" i="2"/>
  <c r="T249" i="2"/>
  <c r="U249" i="2" s="1"/>
  <c r="R249" i="2"/>
  <c r="O249" i="2"/>
  <c r="L249" i="2"/>
  <c r="I249" i="2"/>
  <c r="F249" i="2"/>
  <c r="C249" i="2"/>
  <c r="U248" i="2"/>
  <c r="T248" i="2"/>
  <c r="R248" i="2"/>
  <c r="O248" i="2"/>
  <c r="L248" i="2"/>
  <c r="I248" i="2"/>
  <c r="F248" i="2"/>
  <c r="C248" i="2"/>
  <c r="T247" i="2"/>
  <c r="U247" i="2" s="1"/>
  <c r="R247" i="2"/>
  <c r="O247" i="2"/>
  <c r="L247" i="2"/>
  <c r="I247" i="2"/>
  <c r="F247" i="2"/>
  <c r="C247" i="2"/>
  <c r="T246" i="2"/>
  <c r="U246" i="2" s="1"/>
  <c r="R246" i="2"/>
  <c r="O246" i="2"/>
  <c r="L246" i="2"/>
  <c r="I246" i="2"/>
  <c r="F246" i="2"/>
  <c r="C246" i="2"/>
  <c r="U245" i="2"/>
  <c r="T245" i="2"/>
  <c r="R245" i="2"/>
  <c r="O245" i="2"/>
  <c r="L245" i="2"/>
  <c r="I245" i="2"/>
  <c r="F245" i="2"/>
  <c r="C245" i="2"/>
  <c r="T244" i="2"/>
  <c r="U244" i="2" s="1"/>
  <c r="D133" i="1" s="1"/>
  <c r="R244" i="2"/>
  <c r="O244" i="2"/>
  <c r="L244" i="2"/>
  <c r="I244" i="2"/>
  <c r="F244" i="2"/>
  <c r="C244" i="2"/>
  <c r="T243" i="2"/>
  <c r="U243" i="2" s="1"/>
  <c r="R243" i="2"/>
  <c r="O243" i="2"/>
  <c r="L243" i="2"/>
  <c r="I243" i="2"/>
  <c r="F243" i="2"/>
  <c r="C243" i="2"/>
  <c r="U242" i="2"/>
  <c r="T242" i="2"/>
  <c r="Q241" i="2"/>
  <c r="R241" i="2" s="1"/>
  <c r="N241" i="2"/>
  <c r="O241" i="2" s="1"/>
  <c r="K241" i="2"/>
  <c r="L241" i="2" s="1"/>
  <c r="H241" i="2"/>
  <c r="I241" i="2" s="1"/>
  <c r="F241" i="2"/>
  <c r="E241" i="2"/>
  <c r="B241" i="2"/>
  <c r="C241" i="2" s="1"/>
  <c r="T240" i="2"/>
  <c r="U240" i="2" s="1"/>
  <c r="R240" i="2"/>
  <c r="O240" i="2"/>
  <c r="L240" i="2"/>
  <c r="I240" i="2"/>
  <c r="F240" i="2"/>
  <c r="C240" i="2"/>
  <c r="U239" i="2"/>
  <c r="T239" i="2"/>
  <c r="R239" i="2"/>
  <c r="O239" i="2"/>
  <c r="L239" i="2"/>
  <c r="I239" i="2"/>
  <c r="F239" i="2"/>
  <c r="C239" i="2"/>
  <c r="T238" i="2"/>
  <c r="U238" i="2" s="1"/>
  <c r="R238" i="2"/>
  <c r="O238" i="2"/>
  <c r="L238" i="2"/>
  <c r="I238" i="2"/>
  <c r="F238" i="2"/>
  <c r="C238" i="2"/>
  <c r="T237" i="2"/>
  <c r="U237" i="2" s="1"/>
  <c r="R237" i="2"/>
  <c r="O237" i="2"/>
  <c r="L237" i="2"/>
  <c r="I237" i="2"/>
  <c r="F237" i="2"/>
  <c r="C237" i="2"/>
  <c r="U236" i="2"/>
  <c r="T236" i="2"/>
  <c r="R236" i="2"/>
  <c r="O236" i="2"/>
  <c r="L236" i="2"/>
  <c r="I236" i="2"/>
  <c r="F236" i="2"/>
  <c r="C236" i="2"/>
  <c r="T235" i="2"/>
  <c r="U235" i="2" s="1"/>
  <c r="R235" i="2"/>
  <c r="O235" i="2"/>
  <c r="L235" i="2"/>
  <c r="I235" i="2"/>
  <c r="F235" i="2"/>
  <c r="C235" i="2"/>
  <c r="T234" i="2"/>
  <c r="U234" i="2" s="1"/>
  <c r="R234" i="2"/>
  <c r="O234" i="2"/>
  <c r="L234" i="2"/>
  <c r="I234" i="2"/>
  <c r="F234" i="2"/>
  <c r="C234" i="2"/>
  <c r="U233" i="2"/>
  <c r="T233" i="2"/>
  <c r="R233" i="2"/>
  <c r="O233" i="2"/>
  <c r="L233" i="2"/>
  <c r="I233" i="2"/>
  <c r="F233" i="2"/>
  <c r="C233" i="2"/>
  <c r="T232" i="2"/>
  <c r="U232" i="2" s="1"/>
  <c r="D121" i="1" s="1"/>
  <c r="E121" i="1" s="1"/>
  <c r="R232" i="2"/>
  <c r="O232" i="2"/>
  <c r="L232" i="2"/>
  <c r="I232" i="2"/>
  <c r="F232" i="2"/>
  <c r="C232" i="2"/>
  <c r="T231" i="2"/>
  <c r="U231" i="2" s="1"/>
  <c r="R231" i="2"/>
  <c r="O231" i="2"/>
  <c r="L231" i="2"/>
  <c r="I231" i="2"/>
  <c r="F231" i="2"/>
  <c r="C231" i="2"/>
  <c r="U230" i="2"/>
  <c r="T230" i="2"/>
  <c r="R230" i="2"/>
  <c r="O230" i="2"/>
  <c r="L230" i="2"/>
  <c r="I230" i="2"/>
  <c r="F230" i="2"/>
  <c r="C230" i="2"/>
  <c r="T229" i="2"/>
  <c r="U229" i="2" s="1"/>
  <c r="R229" i="2"/>
  <c r="O229" i="2"/>
  <c r="L229" i="2"/>
  <c r="I229" i="2"/>
  <c r="F229" i="2"/>
  <c r="C229" i="2"/>
  <c r="T228" i="2"/>
  <c r="U228" i="2" s="1"/>
  <c r="R228" i="2"/>
  <c r="O228" i="2"/>
  <c r="L228" i="2"/>
  <c r="I228" i="2"/>
  <c r="F228" i="2"/>
  <c r="C228" i="2"/>
  <c r="U227" i="2"/>
  <c r="D116" i="1" s="1"/>
  <c r="E116" i="1" s="1"/>
  <c r="T227" i="2"/>
  <c r="R227" i="2"/>
  <c r="O227" i="2"/>
  <c r="L227" i="2"/>
  <c r="I227" i="2"/>
  <c r="F227" i="2"/>
  <c r="C227" i="2"/>
  <c r="T226" i="2"/>
  <c r="U226" i="2" s="1"/>
  <c r="D115" i="1" s="1"/>
  <c r="E115" i="1" s="1"/>
  <c r="R226" i="2"/>
  <c r="O226" i="2"/>
  <c r="L226" i="2"/>
  <c r="I226" i="2"/>
  <c r="F226" i="2"/>
  <c r="C226" i="2"/>
  <c r="T225" i="2"/>
  <c r="U225" i="2" s="1"/>
  <c r="R225" i="2"/>
  <c r="O225" i="2"/>
  <c r="L225" i="2"/>
  <c r="I225" i="2"/>
  <c r="F225" i="2"/>
  <c r="C225" i="2"/>
  <c r="U224" i="2"/>
  <c r="D113" i="1" s="1"/>
  <c r="E113" i="1" s="1"/>
  <c r="T224" i="2"/>
  <c r="R224" i="2"/>
  <c r="O224" i="2"/>
  <c r="L224" i="2"/>
  <c r="I224" i="2"/>
  <c r="F224" i="2"/>
  <c r="C224" i="2"/>
  <c r="T223" i="2"/>
  <c r="U223" i="2" s="1"/>
  <c r="R223" i="2"/>
  <c r="O223" i="2"/>
  <c r="L223" i="2"/>
  <c r="I223" i="2"/>
  <c r="F223" i="2"/>
  <c r="C223" i="2"/>
  <c r="T222" i="2"/>
  <c r="U222" i="2" s="1"/>
  <c r="R222" i="2"/>
  <c r="O222" i="2"/>
  <c r="L222" i="2"/>
  <c r="I222" i="2"/>
  <c r="F222" i="2"/>
  <c r="C222" i="2"/>
  <c r="U221" i="2"/>
  <c r="T221" i="2"/>
  <c r="R221" i="2"/>
  <c r="O221" i="2"/>
  <c r="L221" i="2"/>
  <c r="I221" i="2"/>
  <c r="F221" i="2"/>
  <c r="C221" i="2"/>
  <c r="T220" i="2"/>
  <c r="U220" i="2" s="1"/>
  <c r="R220" i="2"/>
  <c r="O220" i="2"/>
  <c r="L220" i="2"/>
  <c r="I220" i="2"/>
  <c r="F220" i="2"/>
  <c r="C220" i="2"/>
  <c r="T219" i="2"/>
  <c r="U219" i="2" s="1"/>
  <c r="D108" i="1" s="1"/>
  <c r="E108" i="1" s="1"/>
  <c r="R219" i="2"/>
  <c r="O219" i="2"/>
  <c r="L219" i="2"/>
  <c r="I219" i="2"/>
  <c r="F219" i="2"/>
  <c r="C219" i="2"/>
  <c r="U218" i="2"/>
  <c r="T218" i="2"/>
  <c r="R218" i="2"/>
  <c r="O218" i="2"/>
  <c r="L218" i="2"/>
  <c r="I218" i="2"/>
  <c r="F218" i="2"/>
  <c r="C218" i="2"/>
  <c r="T217" i="2"/>
  <c r="U217" i="2" s="1"/>
  <c r="R217" i="2"/>
  <c r="O217" i="2"/>
  <c r="L217" i="2"/>
  <c r="I217" i="2"/>
  <c r="F217" i="2"/>
  <c r="C217" i="2"/>
  <c r="T216" i="2"/>
  <c r="U216" i="2" s="1"/>
  <c r="R216" i="2"/>
  <c r="O216" i="2"/>
  <c r="L216" i="2"/>
  <c r="I216" i="2"/>
  <c r="F216" i="2"/>
  <c r="C216" i="2"/>
  <c r="U215" i="2"/>
  <c r="T215" i="2"/>
  <c r="R215" i="2"/>
  <c r="O215" i="2"/>
  <c r="L215" i="2"/>
  <c r="I215" i="2"/>
  <c r="F215" i="2"/>
  <c r="C215" i="2"/>
  <c r="T214" i="2"/>
  <c r="U214" i="2" s="1"/>
  <c r="R214" i="2"/>
  <c r="O214" i="2"/>
  <c r="L214" i="2"/>
  <c r="I214" i="2"/>
  <c r="F214" i="2"/>
  <c r="C214" i="2"/>
  <c r="T213" i="2"/>
  <c r="U213" i="2" s="1"/>
  <c r="T212" i="2"/>
  <c r="U212" i="2" s="1"/>
  <c r="Q211" i="2"/>
  <c r="R211" i="2" s="1"/>
  <c r="O211" i="2"/>
  <c r="N211" i="2"/>
  <c r="L211" i="2"/>
  <c r="K211" i="2"/>
  <c r="H211" i="2"/>
  <c r="I211" i="2" s="1"/>
  <c r="E211" i="2"/>
  <c r="F211" i="2" s="1"/>
  <c r="B211" i="2"/>
  <c r="C211" i="2" s="1"/>
  <c r="T210" i="2"/>
  <c r="U210" i="2" s="1"/>
  <c r="R210" i="2"/>
  <c r="O210" i="2"/>
  <c r="L210" i="2"/>
  <c r="I210" i="2"/>
  <c r="F210" i="2"/>
  <c r="C210" i="2"/>
  <c r="T209" i="2"/>
  <c r="U209" i="2" s="1"/>
  <c r="Q209" i="2"/>
  <c r="R209" i="2" s="1"/>
  <c r="N209" i="2"/>
  <c r="O209" i="2" s="1"/>
  <c r="L209" i="2"/>
  <c r="K209" i="2"/>
  <c r="H209" i="2"/>
  <c r="I209" i="2" s="1"/>
  <c r="E209" i="2"/>
  <c r="F209" i="2" s="1"/>
  <c r="B209" i="2"/>
  <c r="C209" i="2" s="1"/>
  <c r="T208" i="2"/>
  <c r="U208" i="2" s="1"/>
  <c r="R208" i="2"/>
  <c r="O208" i="2"/>
  <c r="L208" i="2"/>
  <c r="I208" i="2"/>
  <c r="F208" i="2"/>
  <c r="C208" i="2"/>
  <c r="T207" i="2"/>
  <c r="U207" i="2" s="1"/>
  <c r="R207" i="2"/>
  <c r="O207" i="2"/>
  <c r="L207" i="2"/>
  <c r="I207" i="2"/>
  <c r="F207" i="2"/>
  <c r="C207" i="2"/>
  <c r="U206" i="2"/>
  <c r="D98" i="1" s="1"/>
  <c r="E98" i="1" s="1"/>
  <c r="T206" i="2"/>
  <c r="R206" i="2"/>
  <c r="O206" i="2"/>
  <c r="L206" i="2"/>
  <c r="I206" i="2"/>
  <c r="F206" i="2"/>
  <c r="C206" i="2"/>
  <c r="T205" i="2"/>
  <c r="U205" i="2" s="1"/>
  <c r="R205" i="2"/>
  <c r="O205" i="2"/>
  <c r="L205" i="2"/>
  <c r="I205" i="2"/>
  <c r="F205" i="2"/>
  <c r="C205" i="2"/>
  <c r="T204" i="2"/>
  <c r="U204" i="2" s="1"/>
  <c r="R204" i="2"/>
  <c r="O204" i="2"/>
  <c r="L204" i="2"/>
  <c r="I204" i="2"/>
  <c r="F204" i="2"/>
  <c r="C204" i="2"/>
  <c r="U203" i="2"/>
  <c r="T203" i="2"/>
  <c r="R203" i="2"/>
  <c r="O203" i="2"/>
  <c r="L203" i="2"/>
  <c r="I203" i="2"/>
  <c r="F203" i="2"/>
  <c r="C203" i="2"/>
  <c r="T202" i="2"/>
  <c r="U202" i="2" s="1"/>
  <c r="R202" i="2"/>
  <c r="O202" i="2"/>
  <c r="L202" i="2"/>
  <c r="I202" i="2"/>
  <c r="F202" i="2"/>
  <c r="C202" i="2"/>
  <c r="T201" i="2"/>
  <c r="U201" i="2" s="1"/>
  <c r="D93" i="1" s="1"/>
  <c r="E93" i="1" s="1"/>
  <c r="R201" i="2"/>
  <c r="O201" i="2"/>
  <c r="L201" i="2"/>
  <c r="I201" i="2"/>
  <c r="F201" i="2"/>
  <c r="C201" i="2"/>
  <c r="U200" i="2"/>
  <c r="T200" i="2"/>
  <c r="R200" i="2"/>
  <c r="O200" i="2"/>
  <c r="L200" i="2"/>
  <c r="I200" i="2"/>
  <c r="F200" i="2"/>
  <c r="C200" i="2"/>
  <c r="T199" i="2"/>
  <c r="U199" i="2" s="1"/>
  <c r="R199" i="2"/>
  <c r="O199" i="2"/>
  <c r="L199" i="2"/>
  <c r="I199" i="2"/>
  <c r="F199" i="2"/>
  <c r="C199" i="2"/>
  <c r="T198" i="2"/>
  <c r="U198" i="2" s="1"/>
  <c r="R198" i="2"/>
  <c r="O198" i="2"/>
  <c r="L198" i="2"/>
  <c r="I198" i="2"/>
  <c r="F198" i="2"/>
  <c r="C198" i="2"/>
  <c r="U197" i="2"/>
  <c r="T197" i="2"/>
  <c r="R197" i="2"/>
  <c r="O197" i="2"/>
  <c r="L197" i="2"/>
  <c r="I197" i="2"/>
  <c r="F197" i="2"/>
  <c r="C197" i="2"/>
  <c r="T196" i="2"/>
  <c r="U196" i="2" s="1"/>
  <c r="R196" i="2"/>
  <c r="O196" i="2"/>
  <c r="L196" i="2"/>
  <c r="I196" i="2"/>
  <c r="F196" i="2"/>
  <c r="C196" i="2"/>
  <c r="T195" i="2"/>
  <c r="U195" i="2" s="1"/>
  <c r="R195" i="2"/>
  <c r="O195" i="2"/>
  <c r="L195" i="2"/>
  <c r="I195" i="2"/>
  <c r="F195" i="2"/>
  <c r="C195" i="2"/>
  <c r="U194" i="2"/>
  <c r="T194" i="2"/>
  <c r="R194" i="2"/>
  <c r="O194" i="2"/>
  <c r="L194" i="2"/>
  <c r="I194" i="2"/>
  <c r="F194" i="2"/>
  <c r="C194" i="2"/>
  <c r="T193" i="2"/>
  <c r="U193" i="2" s="1"/>
  <c r="D85" i="1" s="1"/>
  <c r="E85" i="1" s="1"/>
  <c r="R193" i="2"/>
  <c r="O193" i="2"/>
  <c r="L193" i="2"/>
  <c r="I193" i="2"/>
  <c r="F193" i="2"/>
  <c r="C193" i="2"/>
  <c r="T192" i="2"/>
  <c r="U192" i="2" s="1"/>
  <c r="R192" i="2"/>
  <c r="O192" i="2"/>
  <c r="L192" i="2"/>
  <c r="I192" i="2"/>
  <c r="F192" i="2"/>
  <c r="C192" i="2"/>
  <c r="U191" i="2"/>
  <c r="T191" i="2"/>
  <c r="R191" i="2"/>
  <c r="O191" i="2"/>
  <c r="L191" i="2"/>
  <c r="I191" i="2"/>
  <c r="F191" i="2"/>
  <c r="C191" i="2"/>
  <c r="T190" i="2"/>
  <c r="U190" i="2" s="1"/>
  <c r="R190" i="2"/>
  <c r="O190" i="2"/>
  <c r="L190" i="2"/>
  <c r="I190" i="2"/>
  <c r="F190" i="2"/>
  <c r="C190" i="2"/>
  <c r="T189" i="2"/>
  <c r="U189" i="2" s="1"/>
  <c r="R189" i="2"/>
  <c r="O189" i="2"/>
  <c r="L189" i="2"/>
  <c r="I189" i="2"/>
  <c r="F189" i="2"/>
  <c r="C189" i="2"/>
  <c r="U188" i="2"/>
  <c r="D80" i="1" s="1"/>
  <c r="E80" i="1" s="1"/>
  <c r="T188" i="2"/>
  <c r="R188" i="2"/>
  <c r="O188" i="2"/>
  <c r="L188" i="2"/>
  <c r="I188" i="2"/>
  <c r="F188" i="2"/>
  <c r="C188" i="2"/>
  <c r="T187" i="2"/>
  <c r="U187" i="2" s="1"/>
  <c r="R187" i="2"/>
  <c r="O187" i="2"/>
  <c r="L187" i="2"/>
  <c r="I187" i="2"/>
  <c r="F187" i="2"/>
  <c r="C187" i="2"/>
  <c r="T186" i="2"/>
  <c r="U186" i="2" s="1"/>
  <c r="R186" i="2"/>
  <c r="O186" i="2"/>
  <c r="L186" i="2"/>
  <c r="I186" i="2"/>
  <c r="F186" i="2"/>
  <c r="C186" i="2"/>
  <c r="U185" i="2"/>
  <c r="T185" i="2"/>
  <c r="R185" i="2"/>
  <c r="O185" i="2"/>
  <c r="L185" i="2"/>
  <c r="I185" i="2"/>
  <c r="F185" i="2"/>
  <c r="C185" i="2"/>
  <c r="T184" i="2"/>
  <c r="U184" i="2" s="1"/>
  <c r="R184" i="2"/>
  <c r="O184" i="2"/>
  <c r="L184" i="2"/>
  <c r="I184" i="2"/>
  <c r="F184" i="2"/>
  <c r="C184" i="2"/>
  <c r="T183" i="2"/>
  <c r="U183" i="2" s="1"/>
  <c r="D75" i="1" s="1"/>
  <c r="E75" i="1" s="1"/>
  <c r="R183" i="2"/>
  <c r="O183" i="2"/>
  <c r="L183" i="2"/>
  <c r="I183" i="2"/>
  <c r="F183" i="2"/>
  <c r="C183" i="2"/>
  <c r="U182" i="2"/>
  <c r="T182" i="2"/>
  <c r="R182" i="2"/>
  <c r="O182" i="2"/>
  <c r="L182" i="2"/>
  <c r="I182" i="2"/>
  <c r="F182" i="2"/>
  <c r="C182" i="2"/>
  <c r="T181" i="2"/>
  <c r="U181" i="2" s="1"/>
  <c r="R181" i="2"/>
  <c r="O181" i="2"/>
  <c r="L181" i="2"/>
  <c r="I181" i="2"/>
  <c r="F181" i="2"/>
  <c r="C181" i="2"/>
  <c r="T180" i="2"/>
  <c r="U180" i="2" s="1"/>
  <c r="D72" i="1" s="1"/>
  <c r="E72" i="1" s="1"/>
  <c r="R180" i="2"/>
  <c r="O180" i="2"/>
  <c r="L180" i="2"/>
  <c r="I180" i="2"/>
  <c r="F180" i="2"/>
  <c r="C180" i="2"/>
  <c r="U179" i="2"/>
  <c r="T179" i="2"/>
  <c r="R179" i="2"/>
  <c r="O179" i="2"/>
  <c r="L179" i="2"/>
  <c r="I179" i="2"/>
  <c r="F179" i="2"/>
  <c r="C179" i="2"/>
  <c r="T178" i="2"/>
  <c r="U178" i="2" s="1"/>
  <c r="R178" i="2"/>
  <c r="O178" i="2"/>
  <c r="L178" i="2"/>
  <c r="I178" i="2"/>
  <c r="F178" i="2"/>
  <c r="C178" i="2"/>
  <c r="T177" i="2"/>
  <c r="U177" i="2" s="1"/>
  <c r="R177" i="2"/>
  <c r="O177" i="2"/>
  <c r="L177" i="2"/>
  <c r="I177" i="2"/>
  <c r="F177" i="2"/>
  <c r="C177" i="2"/>
  <c r="U176" i="2"/>
  <c r="T176" i="2"/>
  <c r="R176" i="2"/>
  <c r="O176" i="2"/>
  <c r="L176" i="2"/>
  <c r="I176" i="2"/>
  <c r="F176" i="2"/>
  <c r="C176" i="2"/>
  <c r="T175" i="2"/>
  <c r="U175" i="2" s="1"/>
  <c r="D67" i="1" s="1"/>
  <c r="E67" i="1" s="1"/>
  <c r="R175" i="2"/>
  <c r="O175" i="2"/>
  <c r="L175" i="2"/>
  <c r="I175" i="2"/>
  <c r="F175" i="2"/>
  <c r="C175" i="2"/>
  <c r="T174" i="2"/>
  <c r="U174" i="2" s="1"/>
  <c r="R174" i="2"/>
  <c r="O174" i="2"/>
  <c r="L174" i="2"/>
  <c r="I174" i="2"/>
  <c r="F174" i="2"/>
  <c r="C174" i="2"/>
  <c r="U173" i="2"/>
  <c r="T173" i="2"/>
  <c r="R173" i="2"/>
  <c r="O173" i="2"/>
  <c r="L173" i="2"/>
  <c r="I173" i="2"/>
  <c r="F173" i="2"/>
  <c r="C173" i="2"/>
  <c r="T172" i="2"/>
  <c r="U172" i="2" s="1"/>
  <c r="R172" i="2"/>
  <c r="O172" i="2"/>
  <c r="L172" i="2"/>
  <c r="I172" i="2"/>
  <c r="F172" i="2"/>
  <c r="C172" i="2"/>
  <c r="T171" i="2"/>
  <c r="U171" i="2" s="1"/>
  <c r="R171" i="2"/>
  <c r="O171" i="2"/>
  <c r="L171" i="2"/>
  <c r="I171" i="2"/>
  <c r="F171" i="2"/>
  <c r="C171" i="2"/>
  <c r="U170" i="2"/>
  <c r="D62" i="1" s="1"/>
  <c r="E62" i="1" s="1"/>
  <c r="T170" i="2"/>
  <c r="R170" i="2"/>
  <c r="O170" i="2"/>
  <c r="L170" i="2"/>
  <c r="I170" i="2"/>
  <c r="F170" i="2"/>
  <c r="C170" i="2"/>
  <c r="T169" i="2"/>
  <c r="U169" i="2" s="1"/>
  <c r="R169" i="2"/>
  <c r="O169" i="2"/>
  <c r="L169" i="2"/>
  <c r="I169" i="2"/>
  <c r="F169" i="2"/>
  <c r="C169" i="2"/>
  <c r="T168" i="2"/>
  <c r="U168" i="2" s="1"/>
  <c r="R168" i="2"/>
  <c r="O168" i="2"/>
  <c r="L168" i="2"/>
  <c r="I168" i="2"/>
  <c r="F168" i="2"/>
  <c r="C168" i="2"/>
  <c r="U167" i="2"/>
  <c r="T167" i="2"/>
  <c r="R167" i="2"/>
  <c r="O167" i="2"/>
  <c r="L167" i="2"/>
  <c r="I167" i="2"/>
  <c r="F167" i="2"/>
  <c r="C167" i="2"/>
  <c r="T166" i="2"/>
  <c r="U166" i="2" s="1"/>
  <c r="R166" i="2"/>
  <c r="O166" i="2"/>
  <c r="L166" i="2"/>
  <c r="I166" i="2"/>
  <c r="F166" i="2"/>
  <c r="C166" i="2"/>
  <c r="T165" i="2"/>
  <c r="U165" i="2" s="1"/>
  <c r="D57" i="1" s="1"/>
  <c r="E57" i="1" s="1"/>
  <c r="R165" i="2"/>
  <c r="O165" i="2"/>
  <c r="L165" i="2"/>
  <c r="I165" i="2"/>
  <c r="F165" i="2"/>
  <c r="C165" i="2"/>
  <c r="U164" i="2"/>
  <c r="T164" i="2"/>
  <c r="R164" i="2"/>
  <c r="O164" i="2"/>
  <c r="L164" i="2"/>
  <c r="I164" i="2"/>
  <c r="F164" i="2"/>
  <c r="C164" i="2"/>
  <c r="T163" i="2"/>
  <c r="U163" i="2" s="1"/>
  <c r="R163" i="2"/>
  <c r="O163" i="2"/>
  <c r="L163" i="2"/>
  <c r="I163" i="2"/>
  <c r="F163" i="2"/>
  <c r="C163" i="2"/>
  <c r="T162" i="2"/>
  <c r="U162" i="2" s="1"/>
  <c r="R162" i="2"/>
  <c r="O162" i="2"/>
  <c r="L162" i="2"/>
  <c r="I162" i="2"/>
  <c r="F162" i="2"/>
  <c r="C162" i="2"/>
  <c r="U161" i="2"/>
  <c r="T161" i="2"/>
  <c r="R161" i="2"/>
  <c r="O161" i="2"/>
  <c r="L161" i="2"/>
  <c r="I161" i="2"/>
  <c r="F161" i="2"/>
  <c r="C161" i="2"/>
  <c r="T160" i="2"/>
  <c r="U160" i="2" s="1"/>
  <c r="R160" i="2"/>
  <c r="O160" i="2"/>
  <c r="L160" i="2"/>
  <c r="I160" i="2"/>
  <c r="F160" i="2"/>
  <c r="C160" i="2"/>
  <c r="T159" i="2"/>
  <c r="U159" i="2" s="1"/>
  <c r="T158" i="2"/>
  <c r="U158" i="2" s="1"/>
  <c r="Q157" i="2"/>
  <c r="R157" i="2" s="1"/>
  <c r="O157" i="2"/>
  <c r="N157" i="2"/>
  <c r="K157" i="2"/>
  <c r="L157" i="2" s="1"/>
  <c r="H157" i="2"/>
  <c r="I157" i="2" s="1"/>
  <c r="E157" i="2"/>
  <c r="F157" i="2" s="1"/>
  <c r="B157" i="2"/>
  <c r="C157" i="2" s="1"/>
  <c r="T156" i="2"/>
  <c r="U156" i="2" s="1"/>
  <c r="R156" i="2"/>
  <c r="O156" i="2"/>
  <c r="L156" i="2"/>
  <c r="I156" i="2"/>
  <c r="F156" i="2"/>
  <c r="C156" i="2"/>
  <c r="T155" i="2"/>
  <c r="U155" i="2" s="1"/>
  <c r="R155" i="2"/>
  <c r="O155" i="2"/>
  <c r="L155" i="2"/>
  <c r="I155" i="2"/>
  <c r="F155" i="2"/>
  <c r="C155" i="2"/>
  <c r="U154" i="2"/>
  <c r="T154" i="2"/>
  <c r="R154" i="2"/>
  <c r="O154" i="2"/>
  <c r="L154" i="2"/>
  <c r="I154" i="2"/>
  <c r="F154" i="2"/>
  <c r="C154" i="2"/>
  <c r="T153" i="2"/>
  <c r="U153" i="2" s="1"/>
  <c r="R153" i="2"/>
  <c r="O153" i="2"/>
  <c r="L153" i="2"/>
  <c r="I153" i="2"/>
  <c r="F153" i="2"/>
  <c r="C153" i="2"/>
  <c r="T152" i="2"/>
  <c r="U152" i="2" s="1"/>
  <c r="R152" i="2"/>
  <c r="O152" i="2"/>
  <c r="L152" i="2"/>
  <c r="I152" i="2"/>
  <c r="F152" i="2"/>
  <c r="C152" i="2"/>
  <c r="Q151" i="2"/>
  <c r="R151" i="2" s="1"/>
  <c r="N151" i="2"/>
  <c r="O151" i="2" s="1"/>
  <c r="K151" i="2"/>
  <c r="L151" i="2" s="1"/>
  <c r="H151" i="2"/>
  <c r="I151" i="2" s="1"/>
  <c r="F151" i="2"/>
  <c r="E151" i="2"/>
  <c r="B151" i="2"/>
  <c r="C151" i="2" s="1"/>
  <c r="T150" i="2"/>
  <c r="U150" i="2" s="1"/>
  <c r="R150" i="2"/>
  <c r="O150" i="2"/>
  <c r="L150" i="2"/>
  <c r="I150" i="2"/>
  <c r="F150" i="2"/>
  <c r="C150" i="2"/>
  <c r="U149" i="2"/>
  <c r="T149" i="2"/>
  <c r="R149" i="2"/>
  <c r="O149" i="2"/>
  <c r="L149" i="2"/>
  <c r="I149" i="2"/>
  <c r="F149" i="2"/>
  <c r="C149" i="2"/>
  <c r="T148" i="2"/>
  <c r="U148" i="2" s="1"/>
  <c r="R148" i="2"/>
  <c r="O148" i="2"/>
  <c r="L148" i="2"/>
  <c r="I148" i="2"/>
  <c r="F148" i="2"/>
  <c r="C148" i="2"/>
  <c r="T147" i="2"/>
  <c r="U147" i="2" s="1"/>
  <c r="R147" i="2"/>
  <c r="O147" i="2"/>
  <c r="L147" i="2"/>
  <c r="I147" i="2"/>
  <c r="F147" i="2"/>
  <c r="C147" i="2"/>
  <c r="U146" i="2"/>
  <c r="T146" i="2"/>
  <c r="R146" i="2"/>
  <c r="O146" i="2"/>
  <c r="L146" i="2"/>
  <c r="I146" i="2"/>
  <c r="F146" i="2"/>
  <c r="C146" i="2"/>
  <c r="T145" i="2"/>
  <c r="U145" i="2" s="1"/>
  <c r="R145" i="2"/>
  <c r="O145" i="2"/>
  <c r="L145" i="2"/>
  <c r="I145" i="2"/>
  <c r="F145" i="2"/>
  <c r="C145" i="2"/>
  <c r="T144" i="2"/>
  <c r="U144" i="2" s="1"/>
  <c r="Q143" i="2"/>
  <c r="R143" i="2" s="1"/>
  <c r="N143" i="2"/>
  <c r="O143" i="2" s="1"/>
  <c r="L143" i="2"/>
  <c r="K143" i="2"/>
  <c r="H143" i="2"/>
  <c r="I143" i="2" s="1"/>
  <c r="E143" i="2"/>
  <c r="F143" i="2" s="1"/>
  <c r="B143" i="2"/>
  <c r="C143" i="2" s="1"/>
  <c r="T142" i="2"/>
  <c r="U142" i="2" s="1"/>
  <c r="R142" i="2"/>
  <c r="O142" i="2"/>
  <c r="L142" i="2"/>
  <c r="I142" i="2"/>
  <c r="F142" i="2"/>
  <c r="C142" i="2"/>
  <c r="T141" i="2"/>
  <c r="U141" i="2" s="1"/>
  <c r="R141" i="2"/>
  <c r="O141" i="2"/>
  <c r="L141" i="2"/>
  <c r="I141" i="2"/>
  <c r="F141" i="2"/>
  <c r="C141" i="2"/>
  <c r="U140" i="2"/>
  <c r="T140" i="2"/>
  <c r="R140" i="2"/>
  <c r="O140" i="2"/>
  <c r="L140" i="2"/>
  <c r="I140" i="2"/>
  <c r="F140" i="2"/>
  <c r="C140" i="2"/>
  <c r="T139" i="2"/>
  <c r="U139" i="2" s="1"/>
  <c r="R139" i="2"/>
  <c r="O139" i="2"/>
  <c r="L139" i="2"/>
  <c r="I139" i="2"/>
  <c r="F139" i="2"/>
  <c r="C139" i="2"/>
  <c r="T138" i="2"/>
  <c r="U138" i="2" s="1"/>
  <c r="R138" i="2"/>
  <c r="O138" i="2"/>
  <c r="L138" i="2"/>
  <c r="I138" i="2"/>
  <c r="F138" i="2"/>
  <c r="C138" i="2"/>
  <c r="T137" i="2"/>
  <c r="U137" i="2" s="1"/>
  <c r="R137" i="2"/>
  <c r="O137" i="2"/>
  <c r="L137" i="2"/>
  <c r="I137" i="2"/>
  <c r="F137" i="2"/>
  <c r="C137" i="2"/>
  <c r="T136" i="2"/>
  <c r="U136" i="2" s="1"/>
  <c r="R136" i="2"/>
  <c r="O136" i="2"/>
  <c r="L136" i="2"/>
  <c r="I136" i="2"/>
  <c r="F136" i="2"/>
  <c r="C136" i="2"/>
  <c r="T135" i="2"/>
  <c r="U135" i="2" s="1"/>
  <c r="R135" i="2"/>
  <c r="O135" i="2"/>
  <c r="L135" i="2"/>
  <c r="I135" i="2"/>
  <c r="F135" i="2"/>
  <c r="C135" i="2"/>
  <c r="U134" i="2"/>
  <c r="T134" i="2"/>
  <c r="R134" i="2"/>
  <c r="O134" i="2"/>
  <c r="L134" i="2"/>
  <c r="I134" i="2"/>
  <c r="F134" i="2"/>
  <c r="C134" i="2"/>
  <c r="T133" i="2"/>
  <c r="U133" i="2" s="1"/>
  <c r="R133" i="2"/>
  <c r="O133" i="2"/>
  <c r="L133" i="2"/>
  <c r="I133" i="2"/>
  <c r="F133" i="2"/>
  <c r="C133" i="2"/>
  <c r="T132" i="2"/>
  <c r="U132" i="2" s="1"/>
  <c r="R132" i="2"/>
  <c r="O132" i="2"/>
  <c r="L132" i="2"/>
  <c r="I132" i="2"/>
  <c r="F132" i="2"/>
  <c r="C132" i="2"/>
  <c r="T131" i="2"/>
  <c r="U131" i="2" s="1"/>
  <c r="R131" i="2"/>
  <c r="O131" i="2"/>
  <c r="L131" i="2"/>
  <c r="I131" i="2"/>
  <c r="F131" i="2"/>
  <c r="C131" i="2"/>
  <c r="T130" i="2"/>
  <c r="U130" i="2" s="1"/>
  <c r="R130" i="2"/>
  <c r="O130" i="2"/>
  <c r="L130" i="2"/>
  <c r="I130" i="2"/>
  <c r="F130" i="2"/>
  <c r="C130" i="2"/>
  <c r="T129" i="2"/>
  <c r="U129" i="2" s="1"/>
  <c r="R129" i="2"/>
  <c r="O129" i="2"/>
  <c r="L129" i="2"/>
  <c r="I129" i="2"/>
  <c r="F129" i="2"/>
  <c r="C129" i="2"/>
  <c r="U128" i="2"/>
  <c r="T128" i="2"/>
  <c r="R128" i="2"/>
  <c r="O128" i="2"/>
  <c r="L128" i="2"/>
  <c r="I128" i="2"/>
  <c r="F128" i="2"/>
  <c r="C128" i="2"/>
  <c r="T127" i="2"/>
  <c r="U127" i="2" s="1"/>
  <c r="R127" i="2"/>
  <c r="O127" i="2"/>
  <c r="L127" i="2"/>
  <c r="I127" i="2"/>
  <c r="F127" i="2"/>
  <c r="C127" i="2"/>
  <c r="T126" i="2"/>
  <c r="U126" i="2" s="1"/>
  <c r="R126" i="2"/>
  <c r="O126" i="2"/>
  <c r="L126" i="2"/>
  <c r="I126" i="2"/>
  <c r="F126" i="2"/>
  <c r="C126" i="2"/>
  <c r="T125" i="2"/>
  <c r="U125" i="2" s="1"/>
  <c r="R125" i="2"/>
  <c r="O125" i="2"/>
  <c r="L125" i="2"/>
  <c r="I125" i="2"/>
  <c r="F125" i="2"/>
  <c r="C125" i="2"/>
  <c r="T124" i="2"/>
  <c r="U124" i="2" s="1"/>
  <c r="R124" i="2"/>
  <c r="O124" i="2"/>
  <c r="L124" i="2"/>
  <c r="I124" i="2"/>
  <c r="F124" i="2"/>
  <c r="C124" i="2"/>
  <c r="T123" i="2"/>
  <c r="U123" i="2" s="1"/>
  <c r="R123" i="2"/>
  <c r="O123" i="2"/>
  <c r="L123" i="2"/>
  <c r="I123" i="2"/>
  <c r="F123" i="2"/>
  <c r="C123" i="2"/>
  <c r="U122" i="2"/>
  <c r="T122" i="2"/>
  <c r="R122" i="2"/>
  <c r="O122" i="2"/>
  <c r="L122" i="2"/>
  <c r="I122" i="2"/>
  <c r="F122" i="2"/>
  <c r="C122" i="2"/>
  <c r="T121" i="2"/>
  <c r="U121" i="2" s="1"/>
  <c r="Q120" i="2"/>
  <c r="R120" i="2" s="1"/>
  <c r="O120" i="2"/>
  <c r="N120" i="2"/>
  <c r="K120" i="2"/>
  <c r="L120" i="2" s="1"/>
  <c r="H120" i="2"/>
  <c r="I120" i="2" s="1"/>
  <c r="E120" i="2"/>
  <c r="F120" i="2" s="1"/>
  <c r="B120" i="2"/>
  <c r="C120" i="2" s="1"/>
  <c r="R119" i="2"/>
  <c r="Q119" i="2"/>
  <c r="N119" i="2"/>
  <c r="O119" i="2" s="1"/>
  <c r="K119" i="2"/>
  <c r="L119" i="2" s="1"/>
  <c r="H119" i="2"/>
  <c r="I119" i="2" s="1"/>
  <c r="E119" i="2"/>
  <c r="F119" i="2" s="1"/>
  <c r="B119" i="2"/>
  <c r="C119" i="2" s="1"/>
  <c r="U118" i="2"/>
  <c r="T118" i="2"/>
  <c r="R118" i="2"/>
  <c r="O118" i="2"/>
  <c r="L118" i="2"/>
  <c r="I118" i="2"/>
  <c r="F118" i="2"/>
  <c r="C118" i="2"/>
  <c r="T117" i="2"/>
  <c r="U117" i="2" s="1"/>
  <c r="R117" i="2"/>
  <c r="O117" i="2"/>
  <c r="L117" i="2"/>
  <c r="I117" i="2"/>
  <c r="F117" i="2"/>
  <c r="C117" i="2"/>
  <c r="T116" i="2"/>
  <c r="U116" i="2" s="1"/>
  <c r="R116" i="2"/>
  <c r="O116" i="2"/>
  <c r="L116" i="2"/>
  <c r="I116" i="2"/>
  <c r="F116" i="2"/>
  <c r="C116" i="2"/>
  <c r="T115" i="2"/>
  <c r="U115" i="2" s="1"/>
  <c r="R115" i="2"/>
  <c r="O115" i="2"/>
  <c r="L115" i="2"/>
  <c r="I115" i="2"/>
  <c r="F115" i="2"/>
  <c r="C115" i="2"/>
  <c r="T114" i="2"/>
  <c r="U114" i="2" s="1"/>
  <c r="R114" i="2"/>
  <c r="O114" i="2"/>
  <c r="L114" i="2"/>
  <c r="I114" i="2"/>
  <c r="F114" i="2"/>
  <c r="C114" i="2"/>
  <c r="T113" i="2"/>
  <c r="U113" i="2" s="1"/>
  <c r="R113" i="2"/>
  <c r="O113" i="2"/>
  <c r="L113" i="2"/>
  <c r="I113" i="2"/>
  <c r="F113" i="2"/>
  <c r="C113" i="2"/>
  <c r="U112" i="2"/>
  <c r="T112" i="2"/>
  <c r="R112" i="2"/>
  <c r="O112" i="2"/>
  <c r="L112" i="2"/>
  <c r="I112" i="2"/>
  <c r="F112" i="2"/>
  <c r="C112" i="2"/>
  <c r="T111" i="2"/>
  <c r="U111" i="2" s="1"/>
  <c r="R111" i="2"/>
  <c r="O111" i="2"/>
  <c r="L111" i="2"/>
  <c r="I111" i="2"/>
  <c r="F111" i="2"/>
  <c r="C111" i="2"/>
  <c r="T110" i="2"/>
  <c r="U110" i="2" s="1"/>
  <c r="R110" i="2"/>
  <c r="O110" i="2"/>
  <c r="L110" i="2"/>
  <c r="I110" i="2"/>
  <c r="F110" i="2"/>
  <c r="C110" i="2"/>
  <c r="T109" i="2"/>
  <c r="U109" i="2" s="1"/>
  <c r="R109" i="2"/>
  <c r="O109" i="2"/>
  <c r="L109" i="2"/>
  <c r="I109" i="2"/>
  <c r="F109" i="2"/>
  <c r="C109" i="2"/>
  <c r="T108" i="2"/>
  <c r="U108" i="2" s="1"/>
  <c r="R108" i="2"/>
  <c r="O108" i="2"/>
  <c r="L108" i="2"/>
  <c r="I108" i="2"/>
  <c r="F108" i="2"/>
  <c r="C108" i="2"/>
  <c r="T107" i="2"/>
  <c r="U107" i="2" s="1"/>
  <c r="R107" i="2"/>
  <c r="O107" i="2"/>
  <c r="L107" i="2"/>
  <c r="I107" i="2"/>
  <c r="F107" i="2"/>
  <c r="C107" i="2"/>
  <c r="U106" i="2"/>
  <c r="T106" i="2"/>
  <c r="R106" i="2"/>
  <c r="O106" i="2"/>
  <c r="L106" i="2"/>
  <c r="I106" i="2"/>
  <c r="F106" i="2"/>
  <c r="C106" i="2"/>
  <c r="T105" i="2"/>
  <c r="U105" i="2" s="1"/>
  <c r="R105" i="2"/>
  <c r="O105" i="2"/>
  <c r="L105" i="2"/>
  <c r="I105" i="2"/>
  <c r="F105" i="2"/>
  <c r="C105" i="2"/>
  <c r="T104" i="2"/>
  <c r="U104" i="2" s="1"/>
  <c r="R104" i="2"/>
  <c r="O104" i="2"/>
  <c r="L104" i="2"/>
  <c r="I104" i="2"/>
  <c r="F104" i="2"/>
  <c r="C104" i="2"/>
  <c r="T103" i="2"/>
  <c r="U103" i="2" s="1"/>
  <c r="R103" i="2"/>
  <c r="O103" i="2"/>
  <c r="L103" i="2"/>
  <c r="I103" i="2"/>
  <c r="F103" i="2"/>
  <c r="C103" i="2"/>
  <c r="T102" i="2"/>
  <c r="U102" i="2" s="1"/>
  <c r="R102" i="2"/>
  <c r="O102" i="2"/>
  <c r="L102" i="2"/>
  <c r="I102" i="2"/>
  <c r="F102" i="2"/>
  <c r="C102" i="2"/>
  <c r="T101" i="2"/>
  <c r="U101" i="2" s="1"/>
  <c r="R101" i="2"/>
  <c r="O101" i="2"/>
  <c r="L101" i="2"/>
  <c r="I101" i="2"/>
  <c r="F101" i="2"/>
  <c r="C101" i="2"/>
  <c r="U100" i="2"/>
  <c r="T100" i="2"/>
  <c r="R100" i="2"/>
  <c r="O100" i="2"/>
  <c r="L100" i="2"/>
  <c r="I100" i="2"/>
  <c r="F100" i="2"/>
  <c r="C100" i="2"/>
  <c r="T99" i="2"/>
  <c r="U99" i="2" s="1"/>
  <c r="R99" i="2"/>
  <c r="O99" i="2"/>
  <c r="L99" i="2"/>
  <c r="I99" i="2"/>
  <c r="F99" i="2"/>
  <c r="C99" i="2"/>
  <c r="T98" i="2"/>
  <c r="U98" i="2" s="1"/>
  <c r="R98" i="2"/>
  <c r="O98" i="2"/>
  <c r="L98" i="2"/>
  <c r="I98" i="2"/>
  <c r="F98" i="2"/>
  <c r="C98" i="2"/>
  <c r="T97" i="2"/>
  <c r="U97" i="2" s="1"/>
  <c r="D47" i="1" s="1"/>
  <c r="E47" i="1" s="1"/>
  <c r="R97" i="2"/>
  <c r="O97" i="2"/>
  <c r="L97" i="2"/>
  <c r="I97" i="2"/>
  <c r="F97" i="2"/>
  <c r="C97" i="2"/>
  <c r="T96" i="2"/>
  <c r="U96" i="2" s="1"/>
  <c r="R96" i="2"/>
  <c r="O96" i="2"/>
  <c r="L96" i="2"/>
  <c r="I96" i="2"/>
  <c r="F96" i="2"/>
  <c r="C96" i="2"/>
  <c r="T95" i="2"/>
  <c r="U95" i="2" s="1"/>
  <c r="R95" i="2"/>
  <c r="O95" i="2"/>
  <c r="L95" i="2"/>
  <c r="I95" i="2"/>
  <c r="F95" i="2"/>
  <c r="C95" i="2"/>
  <c r="U94" i="2"/>
  <c r="T94" i="2"/>
  <c r="R94" i="2"/>
  <c r="O94" i="2"/>
  <c r="L94" i="2"/>
  <c r="I94" i="2"/>
  <c r="F94" i="2"/>
  <c r="C94" i="2"/>
  <c r="T93" i="2"/>
  <c r="U93" i="2" s="1"/>
  <c r="R93" i="2"/>
  <c r="O93" i="2"/>
  <c r="L93" i="2"/>
  <c r="I93" i="2"/>
  <c r="F93" i="2"/>
  <c r="C93" i="2"/>
  <c r="T92" i="2"/>
  <c r="U92" i="2" s="1"/>
  <c r="R92" i="2"/>
  <c r="O92" i="2"/>
  <c r="L92" i="2"/>
  <c r="I92" i="2"/>
  <c r="F92" i="2"/>
  <c r="C92" i="2"/>
  <c r="T91" i="2"/>
  <c r="U91" i="2" s="1"/>
  <c r="R91" i="2"/>
  <c r="O91" i="2"/>
  <c r="L91" i="2"/>
  <c r="I91" i="2"/>
  <c r="F91" i="2"/>
  <c r="C91" i="2"/>
  <c r="T90" i="2"/>
  <c r="U90" i="2" s="1"/>
  <c r="R90" i="2"/>
  <c r="O90" i="2"/>
  <c r="L90" i="2"/>
  <c r="I90" i="2"/>
  <c r="F90" i="2"/>
  <c r="C90" i="2"/>
  <c r="T89" i="2"/>
  <c r="U89" i="2" s="1"/>
  <c r="R89" i="2"/>
  <c r="O89" i="2"/>
  <c r="L89" i="2"/>
  <c r="I89" i="2"/>
  <c r="F89" i="2"/>
  <c r="C89" i="2"/>
  <c r="U88" i="2"/>
  <c r="T88" i="2"/>
  <c r="R88" i="2"/>
  <c r="O88" i="2"/>
  <c r="L88" i="2"/>
  <c r="I88" i="2"/>
  <c r="F88" i="2"/>
  <c r="C88" i="2"/>
  <c r="T87" i="2"/>
  <c r="U87" i="2" s="1"/>
  <c r="R87" i="2"/>
  <c r="O87" i="2"/>
  <c r="L87" i="2"/>
  <c r="I87" i="2"/>
  <c r="F87" i="2"/>
  <c r="C87" i="2"/>
  <c r="T86" i="2"/>
  <c r="U86" i="2" s="1"/>
  <c r="R86" i="2"/>
  <c r="O86" i="2"/>
  <c r="L86" i="2"/>
  <c r="I86" i="2"/>
  <c r="F86" i="2"/>
  <c r="C86" i="2"/>
  <c r="T85" i="2"/>
  <c r="U85" i="2" s="1"/>
  <c r="D48" i="1" s="1"/>
  <c r="E48" i="1" s="1"/>
  <c r="R85" i="2"/>
  <c r="O85" i="2"/>
  <c r="L85" i="2"/>
  <c r="I85" i="2"/>
  <c r="F85" i="2"/>
  <c r="C85" i="2"/>
  <c r="T84" i="2"/>
  <c r="U84" i="2" s="1"/>
  <c r="R84" i="2"/>
  <c r="O84" i="2"/>
  <c r="L84" i="2"/>
  <c r="I84" i="2"/>
  <c r="F84" i="2"/>
  <c r="C84" i="2"/>
  <c r="T83" i="2"/>
  <c r="U83" i="2" s="1"/>
  <c r="T82" i="2"/>
  <c r="U82" i="2" s="1"/>
  <c r="R82" i="2"/>
  <c r="O82" i="2"/>
  <c r="L82" i="2"/>
  <c r="I82" i="2"/>
  <c r="F82" i="2"/>
  <c r="C82" i="2"/>
  <c r="T81" i="2"/>
  <c r="U81" i="2" s="1"/>
  <c r="R80" i="2"/>
  <c r="Q80" i="2"/>
  <c r="N80" i="2"/>
  <c r="O80" i="2" s="1"/>
  <c r="K80" i="2"/>
  <c r="T80" i="2" s="1"/>
  <c r="U80" i="2" s="1"/>
  <c r="H80" i="2"/>
  <c r="I80" i="2" s="1"/>
  <c r="E80" i="2"/>
  <c r="F80" i="2" s="1"/>
  <c r="B80" i="2"/>
  <c r="C80" i="2" s="1"/>
  <c r="T79" i="2"/>
  <c r="U79" i="2" s="1"/>
  <c r="R79" i="2"/>
  <c r="O79" i="2"/>
  <c r="L79" i="2"/>
  <c r="I79" i="2"/>
  <c r="F79" i="2"/>
  <c r="C79" i="2"/>
  <c r="T78" i="2"/>
  <c r="U78" i="2" s="1"/>
  <c r="R78" i="2"/>
  <c r="O78" i="2"/>
  <c r="L78" i="2"/>
  <c r="I78" i="2"/>
  <c r="F78" i="2"/>
  <c r="C78" i="2"/>
  <c r="U77" i="2"/>
  <c r="T77" i="2"/>
  <c r="Q76" i="2"/>
  <c r="R76" i="2" s="1"/>
  <c r="N76" i="2"/>
  <c r="O76" i="2" s="1"/>
  <c r="K76" i="2"/>
  <c r="L76" i="2" s="1"/>
  <c r="H76" i="2"/>
  <c r="I76" i="2" s="1"/>
  <c r="E76" i="2"/>
  <c r="F76" i="2" s="1"/>
  <c r="B76" i="2"/>
  <c r="C76" i="2" s="1"/>
  <c r="T75" i="2"/>
  <c r="U75" i="2" s="1"/>
  <c r="R75" i="2"/>
  <c r="O75" i="2"/>
  <c r="L75" i="2"/>
  <c r="I75" i="2"/>
  <c r="F75" i="2"/>
  <c r="C75" i="2"/>
  <c r="U74" i="2"/>
  <c r="T74" i="2"/>
  <c r="R74" i="2"/>
  <c r="O74" i="2"/>
  <c r="L74" i="2"/>
  <c r="I74" i="2"/>
  <c r="F74" i="2"/>
  <c r="C74" i="2"/>
  <c r="U73" i="2"/>
  <c r="T73" i="2"/>
  <c r="R73" i="2"/>
  <c r="O73" i="2"/>
  <c r="L73" i="2"/>
  <c r="I73" i="2"/>
  <c r="F73" i="2"/>
  <c r="C73" i="2"/>
  <c r="T72" i="2"/>
  <c r="U72" i="2" s="1"/>
  <c r="R72" i="2"/>
  <c r="O72" i="2"/>
  <c r="L72" i="2"/>
  <c r="I72" i="2"/>
  <c r="F72" i="2"/>
  <c r="C72" i="2"/>
  <c r="U71" i="2"/>
  <c r="T71" i="2"/>
  <c r="R71" i="2"/>
  <c r="O71" i="2"/>
  <c r="L71" i="2"/>
  <c r="I71" i="2"/>
  <c r="F71" i="2"/>
  <c r="C71" i="2"/>
  <c r="T70" i="2"/>
  <c r="U70" i="2" s="1"/>
  <c r="R70" i="2"/>
  <c r="O70" i="2"/>
  <c r="L70" i="2"/>
  <c r="I70" i="2"/>
  <c r="F70" i="2"/>
  <c r="C70" i="2"/>
  <c r="T69" i="2"/>
  <c r="U69" i="2" s="1"/>
  <c r="R69" i="2"/>
  <c r="O69" i="2"/>
  <c r="L69" i="2"/>
  <c r="I69" i="2"/>
  <c r="F69" i="2"/>
  <c r="C69" i="2"/>
  <c r="U68" i="2"/>
  <c r="T68" i="2"/>
  <c r="R68" i="2"/>
  <c r="O68" i="2"/>
  <c r="L68" i="2"/>
  <c r="I68" i="2"/>
  <c r="F68" i="2"/>
  <c r="C68" i="2"/>
  <c r="T67" i="2"/>
  <c r="U67" i="2" s="1"/>
  <c r="T66" i="2"/>
  <c r="U66" i="2" s="1"/>
  <c r="R66" i="2"/>
  <c r="O66" i="2"/>
  <c r="L66" i="2"/>
  <c r="I66" i="2"/>
  <c r="F66" i="2"/>
  <c r="C66" i="2"/>
  <c r="Q65" i="2"/>
  <c r="R65" i="2" s="1"/>
  <c r="O65" i="2"/>
  <c r="N65" i="2"/>
  <c r="K65" i="2"/>
  <c r="L65" i="2" s="1"/>
  <c r="I65" i="2"/>
  <c r="H65" i="2"/>
  <c r="E65" i="2"/>
  <c r="F65" i="2" s="1"/>
  <c r="C65" i="2"/>
  <c r="B65" i="2"/>
  <c r="T65" i="2" s="1"/>
  <c r="U65" i="2" s="1"/>
  <c r="T64" i="2"/>
  <c r="U64" i="2" s="1"/>
  <c r="R64" i="2"/>
  <c r="O64" i="2"/>
  <c r="L64" i="2"/>
  <c r="I64" i="2"/>
  <c r="F64" i="2"/>
  <c r="C64" i="2"/>
  <c r="T63" i="2"/>
  <c r="U63" i="2" s="1"/>
  <c r="R63" i="2"/>
  <c r="O63" i="2"/>
  <c r="L63" i="2"/>
  <c r="I63" i="2"/>
  <c r="F63" i="2"/>
  <c r="C63" i="2"/>
  <c r="T62" i="2"/>
  <c r="U62" i="2" s="1"/>
  <c r="R62" i="2"/>
  <c r="O62" i="2"/>
  <c r="L62" i="2"/>
  <c r="I62" i="2"/>
  <c r="F62" i="2"/>
  <c r="C62" i="2"/>
  <c r="T61" i="2"/>
  <c r="U61" i="2" s="1"/>
  <c r="R61" i="2"/>
  <c r="O61" i="2"/>
  <c r="L61" i="2"/>
  <c r="I61" i="2"/>
  <c r="F61" i="2"/>
  <c r="C61" i="2"/>
  <c r="T60" i="2"/>
  <c r="U60" i="2" s="1"/>
  <c r="R60" i="2"/>
  <c r="O60" i="2"/>
  <c r="L60" i="2"/>
  <c r="I60" i="2"/>
  <c r="F60" i="2"/>
  <c r="C60" i="2"/>
  <c r="T59" i="2"/>
  <c r="U59" i="2" s="1"/>
  <c r="R59" i="2"/>
  <c r="O59" i="2"/>
  <c r="L59" i="2"/>
  <c r="I59" i="2"/>
  <c r="F59" i="2"/>
  <c r="C59" i="2"/>
  <c r="T58" i="2"/>
  <c r="U58" i="2" s="1"/>
  <c r="R58" i="2"/>
  <c r="O58" i="2"/>
  <c r="L58" i="2"/>
  <c r="I58" i="2"/>
  <c r="F58" i="2"/>
  <c r="C58" i="2"/>
  <c r="T57" i="2"/>
  <c r="U57" i="2" s="1"/>
  <c r="R57" i="2"/>
  <c r="O57" i="2"/>
  <c r="L57" i="2"/>
  <c r="I57" i="2"/>
  <c r="F57" i="2"/>
  <c r="C57" i="2"/>
  <c r="T56" i="2"/>
  <c r="U56" i="2" s="1"/>
  <c r="R56" i="2"/>
  <c r="O56" i="2"/>
  <c r="L56" i="2"/>
  <c r="I56" i="2"/>
  <c r="F56" i="2"/>
  <c r="C56" i="2"/>
  <c r="T55" i="2"/>
  <c r="U55" i="2" s="1"/>
  <c r="R55" i="2"/>
  <c r="O55" i="2"/>
  <c r="L55" i="2"/>
  <c r="I55" i="2"/>
  <c r="F55" i="2"/>
  <c r="C55" i="2"/>
  <c r="T54" i="2"/>
  <c r="U54" i="2" s="1"/>
  <c r="U53" i="2"/>
  <c r="T53" i="2"/>
  <c r="R52" i="2"/>
  <c r="Q52" i="2"/>
  <c r="N52" i="2"/>
  <c r="N326" i="2" s="1"/>
  <c r="O326" i="2" s="1"/>
  <c r="L52" i="2"/>
  <c r="K52" i="2"/>
  <c r="H52" i="2"/>
  <c r="I52" i="2" s="1"/>
  <c r="F52" i="2"/>
  <c r="E52" i="2"/>
  <c r="B52" i="2"/>
  <c r="T52" i="2" s="1"/>
  <c r="U52" i="2" s="1"/>
  <c r="Q51" i="2"/>
  <c r="R51" i="2" s="1"/>
  <c r="O51" i="2"/>
  <c r="N51" i="2"/>
  <c r="K51" i="2"/>
  <c r="L51" i="2" s="1"/>
  <c r="I51" i="2"/>
  <c r="H51" i="2"/>
  <c r="E51" i="2"/>
  <c r="F51" i="2" s="1"/>
  <c r="C51" i="2"/>
  <c r="B51" i="2"/>
  <c r="T51" i="2" s="1"/>
  <c r="U51" i="2" s="1"/>
  <c r="T50" i="2"/>
  <c r="U50" i="2" s="1"/>
  <c r="R50" i="2"/>
  <c r="O50" i="2"/>
  <c r="L50" i="2"/>
  <c r="I50" i="2"/>
  <c r="F50" i="2"/>
  <c r="C50" i="2"/>
  <c r="T49" i="2"/>
  <c r="U49" i="2" s="1"/>
  <c r="R49" i="2"/>
  <c r="O49" i="2"/>
  <c r="L49" i="2"/>
  <c r="I49" i="2"/>
  <c r="F49" i="2"/>
  <c r="C49" i="2"/>
  <c r="T48" i="2"/>
  <c r="U48" i="2" s="1"/>
  <c r="R48" i="2"/>
  <c r="O48" i="2"/>
  <c r="L48" i="2"/>
  <c r="I48" i="2"/>
  <c r="F48" i="2"/>
  <c r="C48" i="2"/>
  <c r="U47" i="2"/>
  <c r="T47" i="2"/>
  <c r="R47" i="2"/>
  <c r="O47" i="2"/>
  <c r="L47" i="2"/>
  <c r="I47" i="2"/>
  <c r="F47" i="2"/>
  <c r="C47" i="2"/>
  <c r="T46" i="2"/>
  <c r="U46" i="2" s="1"/>
  <c r="R46" i="2"/>
  <c r="O46" i="2"/>
  <c r="L46" i="2"/>
  <c r="I46" i="2"/>
  <c r="F46" i="2"/>
  <c r="D46" i="2"/>
  <c r="D50" i="2" s="1"/>
  <c r="C46" i="2"/>
  <c r="U45" i="2"/>
  <c r="T45" i="2"/>
  <c r="R45" i="2"/>
  <c r="O45" i="2"/>
  <c r="L45" i="2"/>
  <c r="I45" i="2"/>
  <c r="F45" i="2"/>
  <c r="C45" i="2"/>
  <c r="U44" i="2"/>
  <c r="T44" i="2"/>
  <c r="R44" i="2"/>
  <c r="O44" i="2"/>
  <c r="L44" i="2"/>
  <c r="I44" i="2"/>
  <c r="F44" i="2"/>
  <c r="C44" i="2"/>
  <c r="U43" i="2"/>
  <c r="T43" i="2"/>
  <c r="R43" i="2"/>
  <c r="O43" i="2"/>
  <c r="L43" i="2"/>
  <c r="I43" i="2"/>
  <c r="F43" i="2"/>
  <c r="C43" i="2"/>
  <c r="U42" i="2"/>
  <c r="T42" i="2"/>
  <c r="R42" i="2"/>
  <c r="O42" i="2"/>
  <c r="L42" i="2"/>
  <c r="I42" i="2"/>
  <c r="F42" i="2"/>
  <c r="C42" i="2"/>
  <c r="U41" i="2"/>
  <c r="T41" i="2"/>
  <c r="R41" i="2"/>
  <c r="O41" i="2"/>
  <c r="L41" i="2"/>
  <c r="I41" i="2"/>
  <c r="F41" i="2"/>
  <c r="C41" i="2"/>
  <c r="U40" i="2"/>
  <c r="T40" i="2"/>
  <c r="R40" i="2"/>
  <c r="O40" i="2"/>
  <c r="L40" i="2"/>
  <c r="I40" i="2"/>
  <c r="F40" i="2"/>
  <c r="C40" i="2"/>
  <c r="U39" i="2"/>
  <c r="T39" i="2"/>
  <c r="R39" i="2"/>
  <c r="O39" i="2"/>
  <c r="L39" i="2"/>
  <c r="I39" i="2"/>
  <c r="F39" i="2"/>
  <c r="C39" i="2"/>
  <c r="U38" i="2"/>
  <c r="T38" i="2"/>
  <c r="R37" i="2"/>
  <c r="Q37" i="2"/>
  <c r="N37" i="2"/>
  <c r="O37" i="2" s="1"/>
  <c r="L37" i="2"/>
  <c r="K37" i="2"/>
  <c r="H37" i="2"/>
  <c r="I37" i="2" s="1"/>
  <c r="F37" i="2"/>
  <c r="E37" i="2"/>
  <c r="B37" i="2"/>
  <c r="C37" i="2" s="1"/>
  <c r="U36" i="2"/>
  <c r="T36" i="2"/>
  <c r="R36" i="2"/>
  <c r="O36" i="2"/>
  <c r="L36" i="2"/>
  <c r="I36" i="2"/>
  <c r="F36" i="2"/>
  <c r="C36" i="2"/>
  <c r="U35" i="2"/>
  <c r="T35" i="2"/>
  <c r="R35" i="2"/>
  <c r="O35" i="2"/>
  <c r="L35" i="2"/>
  <c r="I35" i="2"/>
  <c r="F35" i="2"/>
  <c r="C35" i="2"/>
  <c r="U34" i="2"/>
  <c r="T34" i="2"/>
  <c r="R34" i="2"/>
  <c r="O34" i="2"/>
  <c r="L34" i="2"/>
  <c r="I34" i="2"/>
  <c r="F34" i="2"/>
  <c r="C34" i="2"/>
  <c r="U33" i="2"/>
  <c r="T33" i="2"/>
  <c r="R33" i="2"/>
  <c r="O33" i="2"/>
  <c r="L33" i="2"/>
  <c r="I33" i="2"/>
  <c r="F33" i="2"/>
  <c r="C33" i="2"/>
  <c r="U32" i="2"/>
  <c r="T32" i="2"/>
  <c r="R32" i="2"/>
  <c r="O32" i="2"/>
  <c r="L32" i="2"/>
  <c r="I32" i="2"/>
  <c r="F32" i="2"/>
  <c r="C32" i="2"/>
  <c r="U31" i="2"/>
  <c r="T31" i="2"/>
  <c r="R30" i="2"/>
  <c r="Q30" i="2"/>
  <c r="N30" i="2"/>
  <c r="O30" i="2" s="1"/>
  <c r="L30" i="2"/>
  <c r="K30" i="2"/>
  <c r="H30" i="2"/>
  <c r="I30" i="2" s="1"/>
  <c r="F30" i="2"/>
  <c r="E30" i="2"/>
  <c r="B30" i="2"/>
  <c r="C30" i="2" s="1"/>
  <c r="U29" i="2"/>
  <c r="T29" i="2"/>
  <c r="R29" i="2"/>
  <c r="O29" i="2"/>
  <c r="L29" i="2"/>
  <c r="I29" i="2"/>
  <c r="F29" i="2"/>
  <c r="C29" i="2"/>
  <c r="U28" i="2"/>
  <c r="T28" i="2"/>
  <c r="R28" i="2"/>
  <c r="O28" i="2"/>
  <c r="L28" i="2"/>
  <c r="I28" i="2"/>
  <c r="F28" i="2"/>
  <c r="C28" i="2"/>
  <c r="U27" i="2"/>
  <c r="T27" i="2"/>
  <c r="R27" i="2"/>
  <c r="O27" i="2"/>
  <c r="L27" i="2"/>
  <c r="I27" i="2"/>
  <c r="F27" i="2"/>
  <c r="C27" i="2"/>
  <c r="U26" i="2"/>
  <c r="T26" i="2"/>
  <c r="R26" i="2"/>
  <c r="O26" i="2"/>
  <c r="L26" i="2"/>
  <c r="I26" i="2"/>
  <c r="F26" i="2"/>
  <c r="C26" i="2"/>
  <c r="U25" i="2"/>
  <c r="T25" i="2"/>
  <c r="R25" i="2"/>
  <c r="O25" i="2"/>
  <c r="L25" i="2"/>
  <c r="I25" i="2"/>
  <c r="F25" i="2"/>
  <c r="C25" i="2"/>
  <c r="U24" i="2"/>
  <c r="T24" i="2"/>
  <c r="R24" i="2"/>
  <c r="O24" i="2"/>
  <c r="L24" i="2"/>
  <c r="I24" i="2"/>
  <c r="F24" i="2"/>
  <c r="C24" i="2"/>
  <c r="U23" i="2"/>
  <c r="T23" i="2"/>
  <c r="R23" i="2"/>
  <c r="O23" i="2"/>
  <c r="L23" i="2"/>
  <c r="I23" i="2"/>
  <c r="F23" i="2"/>
  <c r="C23" i="2"/>
  <c r="U22" i="2"/>
  <c r="T22" i="2"/>
  <c r="R22" i="2"/>
  <c r="O22" i="2"/>
  <c r="L22" i="2"/>
  <c r="I22" i="2"/>
  <c r="F22" i="2"/>
  <c r="C22" i="2"/>
  <c r="U21" i="2"/>
  <c r="T21" i="2"/>
  <c r="R21" i="2"/>
  <c r="O21" i="2"/>
  <c r="L21" i="2"/>
  <c r="I21" i="2"/>
  <c r="F21" i="2"/>
  <c r="C21" i="2"/>
  <c r="U20" i="2"/>
  <c r="T20" i="2"/>
  <c r="R19" i="2"/>
  <c r="Q19" i="2"/>
  <c r="N19" i="2"/>
  <c r="O19" i="2" s="1"/>
  <c r="L19" i="2"/>
  <c r="K19" i="2"/>
  <c r="H19" i="2"/>
  <c r="I19" i="2" s="1"/>
  <c r="F19" i="2"/>
  <c r="E19" i="2"/>
  <c r="B19" i="2"/>
  <c r="C19" i="2" s="1"/>
  <c r="U18" i="2"/>
  <c r="T18" i="2"/>
  <c r="R18" i="2"/>
  <c r="O18" i="2"/>
  <c r="L18" i="2"/>
  <c r="I18" i="2"/>
  <c r="F18" i="2"/>
  <c r="C18" i="2"/>
  <c r="U17" i="2"/>
  <c r="T17" i="2"/>
  <c r="R17" i="2"/>
  <c r="O17" i="2"/>
  <c r="L17" i="2"/>
  <c r="I17" i="2"/>
  <c r="F17" i="2"/>
  <c r="C17" i="2"/>
  <c r="U16" i="2"/>
  <c r="T16" i="2"/>
  <c r="R16" i="2"/>
  <c r="O16" i="2"/>
  <c r="L16" i="2"/>
  <c r="I16" i="2"/>
  <c r="F16" i="2"/>
  <c r="C16" i="2"/>
  <c r="U15" i="2"/>
  <c r="T15" i="2"/>
  <c r="R15" i="2"/>
  <c r="O15" i="2"/>
  <c r="L15" i="2"/>
  <c r="I15" i="2"/>
  <c r="F15" i="2"/>
  <c r="C15" i="2"/>
  <c r="U14" i="2"/>
  <c r="T14" i="2"/>
  <c r="R14" i="2"/>
  <c r="O14" i="2"/>
  <c r="L14" i="2"/>
  <c r="I14" i="2"/>
  <c r="F14" i="2"/>
  <c r="C14" i="2"/>
  <c r="U13" i="2"/>
  <c r="T13" i="2"/>
  <c r="R13" i="2"/>
  <c r="O13" i="2"/>
  <c r="L13" i="2"/>
  <c r="I13" i="2"/>
  <c r="F13" i="2"/>
  <c r="C13" i="2"/>
  <c r="U12" i="2"/>
  <c r="T12" i="2"/>
  <c r="T11" i="2"/>
  <c r="U11" i="2" s="1"/>
  <c r="R11" i="2"/>
  <c r="O11" i="2"/>
  <c r="L11" i="2"/>
  <c r="I11" i="2"/>
  <c r="F11" i="2"/>
  <c r="C11" i="2"/>
  <c r="W10" i="2"/>
  <c r="Q10" i="2"/>
  <c r="R10" i="2" s="1"/>
  <c r="N10" i="2"/>
  <c r="O10" i="2" s="1"/>
  <c r="L10" i="2"/>
  <c r="K10" i="2"/>
  <c r="I10" i="2"/>
  <c r="H10" i="2"/>
  <c r="E10" i="2"/>
  <c r="F10" i="2" s="1"/>
  <c r="C10" i="2"/>
  <c r="B10" i="2"/>
  <c r="T10" i="2" s="1"/>
  <c r="U10" i="2" s="1"/>
  <c r="W9" i="2"/>
  <c r="T9" i="2"/>
  <c r="U9" i="2" s="1"/>
  <c r="R9" i="2"/>
  <c r="O9" i="2"/>
  <c r="L9" i="2"/>
  <c r="I9" i="2"/>
  <c r="F9" i="2"/>
  <c r="C9" i="2"/>
  <c r="T8" i="2"/>
  <c r="U8" i="2" s="1"/>
  <c r="R8" i="2"/>
  <c r="O8" i="2"/>
  <c r="L8" i="2"/>
  <c r="I8" i="2"/>
  <c r="F8" i="2"/>
  <c r="C8" i="2"/>
  <c r="U290" i="1"/>
  <c r="D250" i="1"/>
  <c r="B250" i="1"/>
  <c r="D249" i="1"/>
  <c r="B249" i="1"/>
  <c r="D248" i="1"/>
  <c r="B248" i="1"/>
  <c r="D247" i="1"/>
  <c r="B247" i="1"/>
  <c r="D246" i="1"/>
  <c r="B246" i="1"/>
  <c r="D245" i="1"/>
  <c r="B245" i="1"/>
  <c r="D244" i="1"/>
  <c r="B244" i="1"/>
  <c r="D243" i="1"/>
  <c r="B243" i="1"/>
  <c r="D242" i="1"/>
  <c r="B242" i="1"/>
  <c r="D241" i="1"/>
  <c r="B241" i="1"/>
  <c r="D240" i="1"/>
  <c r="B240" i="1"/>
  <c r="D239" i="1"/>
  <c r="B239" i="1"/>
  <c r="D238" i="1"/>
  <c r="B238" i="1"/>
  <c r="D237" i="1"/>
  <c r="B237" i="1"/>
  <c r="D236" i="1"/>
  <c r="B236" i="1"/>
  <c r="D235" i="1"/>
  <c r="B235" i="1"/>
  <c r="D234" i="1"/>
  <c r="B234" i="1"/>
  <c r="D233" i="1"/>
  <c r="B233" i="1"/>
  <c r="D232" i="1"/>
  <c r="B232" i="1"/>
  <c r="D231" i="1"/>
  <c r="B231" i="1"/>
  <c r="D230" i="1"/>
  <c r="B230" i="1"/>
  <c r="D229" i="1"/>
  <c r="B229" i="1"/>
  <c r="D228" i="1"/>
  <c r="B228" i="1"/>
  <c r="D227" i="1"/>
  <c r="B227" i="1"/>
  <c r="D226" i="1"/>
  <c r="B226" i="1"/>
  <c r="D225" i="1"/>
  <c r="B225" i="1"/>
  <c r="D224" i="1"/>
  <c r="B224" i="1"/>
  <c r="D223" i="1"/>
  <c r="B223" i="1"/>
  <c r="D222" i="1"/>
  <c r="B222" i="1"/>
  <c r="D221" i="1"/>
  <c r="B221" i="1"/>
  <c r="D220" i="1"/>
  <c r="B220" i="1"/>
  <c r="D219" i="1"/>
  <c r="B219" i="1"/>
  <c r="D218" i="1"/>
  <c r="B218" i="1"/>
  <c r="D217" i="1"/>
  <c r="B217" i="1"/>
  <c r="D216" i="1"/>
  <c r="B216" i="1"/>
  <c r="D215" i="1"/>
  <c r="B215" i="1"/>
  <c r="D214" i="1"/>
  <c r="B214" i="1"/>
  <c r="D213" i="1"/>
  <c r="B213" i="1"/>
  <c r="D212" i="1"/>
  <c r="B212" i="1"/>
  <c r="D211" i="1"/>
  <c r="B211" i="1"/>
  <c r="D210" i="1"/>
  <c r="B210" i="1"/>
  <c r="D209" i="1"/>
  <c r="B209" i="1"/>
  <c r="D208" i="1"/>
  <c r="B208" i="1"/>
  <c r="B201" i="1"/>
  <c r="D200" i="1"/>
  <c r="B200" i="1"/>
  <c r="D199" i="1"/>
  <c r="B199" i="1"/>
  <c r="D198" i="1"/>
  <c r="E198" i="1" s="1"/>
  <c r="B198" i="1"/>
  <c r="B197" i="1"/>
  <c r="D196" i="1"/>
  <c r="B196" i="1"/>
  <c r="D195" i="1"/>
  <c r="B195" i="1"/>
  <c r="D194" i="1"/>
  <c r="E194" i="1" s="1"/>
  <c r="B194" i="1"/>
  <c r="D193" i="1"/>
  <c r="E193" i="1" s="1"/>
  <c r="B193" i="1"/>
  <c r="D192" i="1"/>
  <c r="B192" i="1"/>
  <c r="B191" i="1"/>
  <c r="D190" i="1"/>
  <c r="E190" i="1" s="1"/>
  <c r="B190" i="1"/>
  <c r="D189" i="1"/>
  <c r="E189" i="1" s="1"/>
  <c r="B189" i="1"/>
  <c r="D188" i="1"/>
  <c r="B188" i="1"/>
  <c r="D187" i="1"/>
  <c r="B187" i="1"/>
  <c r="D186" i="1"/>
  <c r="E186" i="1" s="1"/>
  <c r="B186" i="1"/>
  <c r="D185" i="1"/>
  <c r="E185" i="1" s="1"/>
  <c r="B185" i="1"/>
  <c r="B184" i="1"/>
  <c r="D183" i="1"/>
  <c r="B183" i="1"/>
  <c r="D182" i="1"/>
  <c r="E182" i="1" s="1"/>
  <c r="B182" i="1"/>
  <c r="D181" i="1"/>
  <c r="E181" i="1" s="1"/>
  <c r="B181" i="1"/>
  <c r="D180" i="1"/>
  <c r="B180" i="1"/>
  <c r="B179" i="1"/>
  <c r="D178" i="1"/>
  <c r="E178" i="1" s="1"/>
  <c r="B178" i="1"/>
  <c r="D177" i="1"/>
  <c r="E177" i="1" s="1"/>
  <c r="B177" i="1"/>
  <c r="D176" i="1"/>
  <c r="B176" i="1"/>
  <c r="D175" i="1"/>
  <c r="B175" i="1"/>
  <c r="B174" i="1"/>
  <c r="B172" i="1"/>
  <c r="D171" i="1"/>
  <c r="E171" i="1" s="1"/>
  <c r="B171" i="1"/>
  <c r="B170" i="1"/>
  <c r="D169" i="1"/>
  <c r="E169" i="1" s="1"/>
  <c r="B169" i="1"/>
  <c r="E168" i="1"/>
  <c r="D168" i="1"/>
  <c r="B168" i="1"/>
  <c r="D167" i="1"/>
  <c r="E167" i="1" s="1"/>
  <c r="B167" i="1"/>
  <c r="D166" i="1"/>
  <c r="E166" i="1" s="1"/>
  <c r="B166" i="1"/>
  <c r="D165" i="1"/>
  <c r="E165" i="1" s="1"/>
  <c r="B165" i="1"/>
  <c r="E164" i="1"/>
  <c r="D164" i="1"/>
  <c r="B164" i="1"/>
  <c r="D163" i="1"/>
  <c r="E163" i="1" s="1"/>
  <c r="B163" i="1"/>
  <c r="B162" i="1"/>
  <c r="D161" i="1"/>
  <c r="E161" i="1" s="1"/>
  <c r="B161" i="1"/>
  <c r="E160" i="1"/>
  <c r="D160" i="1"/>
  <c r="B160" i="1"/>
  <c r="D159" i="1"/>
  <c r="E159" i="1" s="1"/>
  <c r="B159" i="1"/>
  <c r="D158" i="1"/>
  <c r="E158" i="1" s="1"/>
  <c r="B158" i="1"/>
  <c r="B157" i="1"/>
  <c r="E156" i="1"/>
  <c r="D156" i="1"/>
  <c r="B156" i="1"/>
  <c r="D155" i="1"/>
  <c r="D172" i="1" s="1"/>
  <c r="E172" i="1" s="1"/>
  <c r="B155" i="1"/>
  <c r="B154" i="1"/>
  <c r="B152" i="1"/>
  <c r="D151" i="1"/>
  <c r="E151" i="1" s="1"/>
  <c r="B151" i="1"/>
  <c r="D150" i="1"/>
  <c r="E150" i="1" s="1"/>
  <c r="B150" i="1"/>
  <c r="E149" i="1"/>
  <c r="D149" i="1"/>
  <c r="B149" i="1"/>
  <c r="D148" i="1"/>
  <c r="B148" i="1"/>
  <c r="D147" i="1"/>
  <c r="E147" i="1" s="1"/>
  <c r="B147" i="1"/>
  <c r="D146" i="1"/>
  <c r="E146" i="1" s="1"/>
  <c r="B146" i="1"/>
  <c r="B145" i="1"/>
  <c r="D144" i="1"/>
  <c r="B144" i="1"/>
  <c r="B143" i="1"/>
  <c r="B141" i="1"/>
  <c r="D140" i="1"/>
  <c r="E140" i="1" s="1"/>
  <c r="B140" i="1"/>
  <c r="D139" i="1"/>
  <c r="B139" i="1"/>
  <c r="D138" i="1"/>
  <c r="B138" i="1"/>
  <c r="D137" i="1"/>
  <c r="E137" i="1" s="1"/>
  <c r="B137" i="1"/>
  <c r="D136" i="1"/>
  <c r="E136" i="1" s="1"/>
  <c r="B136" i="1"/>
  <c r="D135" i="1"/>
  <c r="B135" i="1"/>
  <c r="D134" i="1"/>
  <c r="B134" i="1"/>
  <c r="B133" i="1"/>
  <c r="B132" i="1"/>
  <c r="B130" i="1"/>
  <c r="D129" i="1"/>
  <c r="E129" i="1" s="1"/>
  <c r="B129" i="1"/>
  <c r="D128" i="1"/>
  <c r="E128" i="1" s="1"/>
  <c r="B128" i="1"/>
  <c r="E127" i="1"/>
  <c r="D127" i="1"/>
  <c r="B127" i="1"/>
  <c r="D126" i="1"/>
  <c r="E126" i="1" s="1"/>
  <c r="B126" i="1"/>
  <c r="D125" i="1"/>
  <c r="E125" i="1" s="1"/>
  <c r="B125" i="1"/>
  <c r="D124" i="1"/>
  <c r="E124" i="1" s="1"/>
  <c r="B124" i="1"/>
  <c r="E123" i="1"/>
  <c r="D123" i="1"/>
  <c r="B123" i="1"/>
  <c r="D122" i="1"/>
  <c r="E122" i="1" s="1"/>
  <c r="B122" i="1"/>
  <c r="B121" i="1"/>
  <c r="D120" i="1"/>
  <c r="E120" i="1" s="1"/>
  <c r="B120" i="1"/>
  <c r="E119" i="1"/>
  <c r="D119" i="1"/>
  <c r="B119" i="1"/>
  <c r="D118" i="1"/>
  <c r="E118" i="1" s="1"/>
  <c r="B118" i="1"/>
  <c r="D117" i="1"/>
  <c r="E117" i="1" s="1"/>
  <c r="B117" i="1"/>
  <c r="B116" i="1"/>
  <c r="B115" i="1"/>
  <c r="D114" i="1"/>
  <c r="E114" i="1" s="1"/>
  <c r="B114" i="1"/>
  <c r="B113" i="1"/>
  <c r="D112" i="1"/>
  <c r="E112" i="1" s="1"/>
  <c r="B112" i="1"/>
  <c r="E111" i="1"/>
  <c r="D111" i="1"/>
  <c r="B111" i="1"/>
  <c r="D110" i="1"/>
  <c r="E110" i="1" s="1"/>
  <c r="B110" i="1"/>
  <c r="D109" i="1"/>
  <c r="E109" i="1" s="1"/>
  <c r="B109" i="1"/>
  <c r="B108" i="1"/>
  <c r="E107" i="1"/>
  <c r="D107" i="1"/>
  <c r="B107" i="1"/>
  <c r="D106" i="1"/>
  <c r="E106" i="1" s="1"/>
  <c r="B106" i="1"/>
  <c r="D105" i="1"/>
  <c r="E105" i="1" s="1"/>
  <c r="B105" i="1"/>
  <c r="D104" i="1"/>
  <c r="E104" i="1" s="1"/>
  <c r="B104" i="1"/>
  <c r="B103" i="1"/>
  <c r="B101" i="1"/>
  <c r="E100" i="1"/>
  <c r="D100" i="1"/>
  <c r="B100" i="1"/>
  <c r="D99" i="1"/>
  <c r="E99" i="1" s="1"/>
  <c r="B99" i="1"/>
  <c r="B98" i="1"/>
  <c r="D97" i="1"/>
  <c r="E97" i="1" s="1"/>
  <c r="B97" i="1"/>
  <c r="E96" i="1"/>
  <c r="D96" i="1"/>
  <c r="B96" i="1"/>
  <c r="D95" i="1"/>
  <c r="E95" i="1" s="1"/>
  <c r="B95" i="1"/>
  <c r="D94" i="1"/>
  <c r="E94" i="1" s="1"/>
  <c r="B94" i="1"/>
  <c r="B93" i="1"/>
  <c r="E92" i="1"/>
  <c r="D92" i="1"/>
  <c r="B92" i="1"/>
  <c r="D91" i="1"/>
  <c r="B91" i="1"/>
  <c r="D90" i="1"/>
  <c r="E90" i="1" s="1"/>
  <c r="B90" i="1"/>
  <c r="D89" i="1"/>
  <c r="E89" i="1" s="1"/>
  <c r="B89" i="1"/>
  <c r="E88" i="1"/>
  <c r="D88" i="1"/>
  <c r="B88" i="1"/>
  <c r="D87" i="1"/>
  <c r="B87" i="1"/>
  <c r="D86" i="1"/>
  <c r="E86" i="1" s="1"/>
  <c r="B86" i="1"/>
  <c r="B85" i="1"/>
  <c r="E84" i="1"/>
  <c r="D84" i="1"/>
  <c r="B84" i="1"/>
  <c r="D83" i="1"/>
  <c r="B83" i="1"/>
  <c r="D82" i="1"/>
  <c r="E82" i="1" s="1"/>
  <c r="B82" i="1"/>
  <c r="D81" i="1"/>
  <c r="E81" i="1" s="1"/>
  <c r="B81" i="1"/>
  <c r="B80" i="1"/>
  <c r="D79" i="1"/>
  <c r="B79" i="1"/>
  <c r="D78" i="1"/>
  <c r="E78" i="1" s="1"/>
  <c r="B78" i="1"/>
  <c r="D77" i="1"/>
  <c r="E77" i="1" s="1"/>
  <c r="B77" i="1"/>
  <c r="E76" i="1"/>
  <c r="D76" i="1"/>
  <c r="B76" i="1"/>
  <c r="B75" i="1"/>
  <c r="D74" i="1"/>
  <c r="E74" i="1" s="1"/>
  <c r="B74" i="1"/>
  <c r="D73" i="1"/>
  <c r="E73" i="1" s="1"/>
  <c r="B73" i="1"/>
  <c r="B72" i="1"/>
  <c r="D71" i="1"/>
  <c r="B71" i="1"/>
  <c r="D70" i="1"/>
  <c r="E70" i="1" s="1"/>
  <c r="B70" i="1"/>
  <c r="D69" i="1"/>
  <c r="E69" i="1" s="1"/>
  <c r="B69" i="1"/>
  <c r="E68" i="1"/>
  <c r="D68" i="1"/>
  <c r="B68" i="1"/>
  <c r="B67" i="1"/>
  <c r="D66" i="1"/>
  <c r="E66" i="1" s="1"/>
  <c r="B66" i="1"/>
  <c r="D65" i="1"/>
  <c r="E65" i="1" s="1"/>
  <c r="B65" i="1"/>
  <c r="E64" i="1"/>
  <c r="D64" i="1"/>
  <c r="B64" i="1"/>
  <c r="D63" i="1"/>
  <c r="B63" i="1"/>
  <c r="B62" i="1"/>
  <c r="D61" i="1"/>
  <c r="E61" i="1" s="1"/>
  <c r="B61" i="1"/>
  <c r="E60" i="1"/>
  <c r="D60" i="1"/>
  <c r="B60" i="1"/>
  <c r="D59" i="1"/>
  <c r="B59" i="1"/>
  <c r="D58" i="1"/>
  <c r="E58" i="1" s="1"/>
  <c r="B58" i="1"/>
  <c r="B57" i="1"/>
  <c r="E56" i="1"/>
  <c r="D56" i="1"/>
  <c r="B56" i="1"/>
  <c r="D55" i="1"/>
  <c r="B55" i="1"/>
  <c r="D54" i="1"/>
  <c r="E54" i="1" s="1"/>
  <c r="B54" i="1"/>
  <c r="D53" i="1"/>
  <c r="E101" i="1" s="1"/>
  <c r="B53" i="1"/>
  <c r="B52" i="1"/>
  <c r="D46" i="1"/>
  <c r="E46" i="1" s="1"/>
  <c r="D36" i="1"/>
  <c r="D34" i="1" s="1"/>
  <c r="D39" i="1" s="1"/>
  <c r="D35" i="1"/>
  <c r="D40" i="1" s="1"/>
  <c r="E34" i="1"/>
  <c r="D33" i="1"/>
  <c r="D38" i="1" s="1"/>
  <c r="G29" i="1"/>
  <c r="C29" i="1"/>
  <c r="G28" i="1"/>
  <c r="C28" i="1"/>
  <c r="G27" i="1"/>
  <c r="C27" i="1"/>
  <c r="G26" i="1"/>
  <c r="C26" i="1"/>
  <c r="G25" i="1"/>
  <c r="C25" i="1"/>
  <c r="G24" i="1"/>
  <c r="C24" i="1"/>
  <c r="G23" i="1"/>
  <c r="C23" i="1"/>
  <c r="C22" i="1"/>
  <c r="C16" i="1"/>
  <c r="C15" i="1"/>
  <c r="C12" i="1"/>
  <c r="C11" i="1"/>
  <c r="W9" i="1"/>
  <c r="W10" i="1" s="1"/>
  <c r="C9" i="1"/>
  <c r="T8" i="1"/>
  <c r="C8" i="1"/>
  <c r="C5" i="1"/>
  <c r="C4" i="1"/>
  <c r="D2" i="1"/>
  <c r="D26" i="1" s="1"/>
  <c r="D201" i="1" l="1"/>
  <c r="E201" i="1" s="1"/>
  <c r="E179" i="1"/>
  <c r="D152" i="1"/>
  <c r="E152" i="1" s="1"/>
  <c r="D41" i="1"/>
  <c r="D141" i="1"/>
  <c r="E141" i="1" s="1"/>
  <c r="E133" i="1"/>
  <c r="E134" i="1"/>
  <c r="E138" i="1"/>
  <c r="E175" i="1"/>
  <c r="E183" i="1"/>
  <c r="E187" i="1"/>
  <c r="E195" i="1"/>
  <c r="E199" i="1"/>
  <c r="T241" i="2"/>
  <c r="U241" i="2" s="1"/>
  <c r="E16" i="1"/>
  <c r="D16" i="1" s="1"/>
  <c r="D24" i="1"/>
  <c r="D9" i="1"/>
  <c r="D29" i="1"/>
  <c r="E55" i="1"/>
  <c r="E59" i="1"/>
  <c r="E63" i="1"/>
  <c r="E71" i="1"/>
  <c r="E79" i="1"/>
  <c r="E83" i="1"/>
  <c r="E87" i="1"/>
  <c r="E91" i="1"/>
  <c r="E144" i="1"/>
  <c r="E148" i="1"/>
  <c r="T30" i="2"/>
  <c r="U30" i="2" s="1"/>
  <c r="E155" i="1"/>
  <c r="B326" i="2"/>
  <c r="O52" i="2"/>
  <c r="D28" i="1"/>
  <c r="D50" i="1"/>
  <c r="E50" i="1" s="1"/>
  <c r="D27" i="1"/>
  <c r="E135" i="1"/>
  <c r="E139" i="1"/>
  <c r="E176" i="1"/>
  <c r="E180" i="1"/>
  <c r="E188" i="1"/>
  <c r="E192" i="1"/>
  <c r="E196" i="1"/>
  <c r="E200" i="1"/>
  <c r="Q326" i="2"/>
  <c r="R326" i="2" s="1"/>
  <c r="T143" i="2"/>
  <c r="U143" i="2" s="1"/>
  <c r="L80" i="2"/>
  <c r="C52" i="2"/>
  <c r="D22" i="1"/>
  <c r="T76" i="2"/>
  <c r="U76" i="2" s="1"/>
  <c r="D4" i="1"/>
  <c r="D12" i="1"/>
  <c r="D23" i="1"/>
  <c r="E53" i="1"/>
  <c r="T120" i="2"/>
  <c r="U120" i="2" s="1"/>
  <c r="H326" i="2"/>
  <c r="I326" i="2" s="1"/>
  <c r="D130" i="1"/>
  <c r="E130" i="1" s="1"/>
  <c r="D11" i="1"/>
  <c r="T283" i="2"/>
  <c r="U283" i="2" s="1"/>
  <c r="T324" i="2"/>
  <c r="U324" i="2" s="1"/>
  <c r="D15" i="1"/>
  <c r="D8" i="1" s="1"/>
  <c r="D6" i="1" s="1"/>
  <c r="T19" i="2"/>
  <c r="U19" i="2" s="1"/>
  <c r="T37" i="2"/>
  <c r="U37" i="2" s="1"/>
  <c r="T119" i="2"/>
  <c r="U119" i="2" s="1"/>
  <c r="T151" i="2"/>
  <c r="U151" i="2" s="1"/>
  <c r="D49" i="1" s="1"/>
  <c r="E49" i="1" s="1"/>
  <c r="B207" i="1"/>
  <c r="T263" i="2"/>
  <c r="U263" i="2" s="1"/>
  <c r="T284" i="2"/>
  <c r="U284" i="2" s="1"/>
  <c r="D25" i="1"/>
  <c r="D205" i="1"/>
  <c r="K326" i="2"/>
  <c r="L326" i="2" s="1"/>
  <c r="T314" i="2"/>
  <c r="U314" i="2" s="1"/>
  <c r="T157" i="2"/>
  <c r="U157" i="2" s="1"/>
  <c r="T211" i="2"/>
  <c r="U211" i="2" s="1"/>
  <c r="T325" i="2"/>
  <c r="U325" i="2" s="1"/>
  <c r="E26" i="1" l="1"/>
  <c r="B24" i="1"/>
  <c r="E28" i="1"/>
  <c r="B28" i="1" s="1"/>
  <c r="B23" i="1"/>
  <c r="B26" i="1"/>
  <c r="E27" i="1"/>
  <c r="B27" i="1" s="1"/>
  <c r="B25" i="1"/>
  <c r="E29" i="1"/>
  <c r="B29" i="1" s="1"/>
  <c r="E24" i="1"/>
  <c r="E23" i="1"/>
  <c r="D30" i="1" s="1"/>
  <c r="E25" i="1"/>
  <c r="C326" i="2"/>
  <c r="T326" i="2"/>
  <c r="U326" i="2" s="1"/>
  <c r="D43" i="1"/>
  <c r="E41" i="1"/>
  <c r="E30" i="1" l="1"/>
  <c r="D19" i="1" s="1"/>
  <c r="D20" i="1" s="1"/>
  <c r="E203" i="1"/>
  <c r="D207" i="1" s="1"/>
  <c r="E43" i="1"/>
</calcChain>
</file>

<file path=xl/sharedStrings.xml><?xml version="1.0" encoding="utf-8"?>
<sst xmlns="http://schemas.openxmlformats.org/spreadsheetml/2006/main" count="377" uniqueCount="357">
  <si>
    <t>DJ Cost</t>
  </si>
  <si>
    <t>Dj Cost / Sales Ratio</t>
  </si>
  <si>
    <t>Brunch Sales</t>
  </si>
  <si>
    <t>Dinner Sales</t>
  </si>
  <si>
    <t>Total Sales</t>
  </si>
  <si>
    <t>Budgeted Sales</t>
  </si>
  <si>
    <t>Holiday</t>
  </si>
  <si>
    <t>Brunch Sales Breakdown</t>
  </si>
  <si>
    <t>Dining Sales</t>
  </si>
  <si>
    <t>Bottle Service Sales</t>
  </si>
  <si>
    <t>Table Minimum Breakdown</t>
  </si>
  <si>
    <t># tables</t>
  </si>
  <si>
    <t>Avg. Minimum / Table</t>
  </si>
  <si>
    <t>LBW Sales</t>
  </si>
  <si>
    <t>Food Sales</t>
  </si>
  <si>
    <t>Beverage Sales</t>
  </si>
  <si>
    <t>LBW Cost</t>
  </si>
  <si>
    <t>Food Cost</t>
  </si>
  <si>
    <t>Beverage Cost</t>
  </si>
  <si>
    <t>COGS</t>
  </si>
  <si>
    <t>Gross Profit</t>
  </si>
  <si>
    <t>Payroll Expenses</t>
  </si>
  <si>
    <t>Management</t>
  </si>
  <si>
    <t>FOH Hourly</t>
  </si>
  <si>
    <t>BOH Hourly</t>
  </si>
  <si>
    <t>Payroll Taxes &amp; Other</t>
  </si>
  <si>
    <t>Total Payroll Expenses</t>
  </si>
  <si>
    <t>EBITDA</t>
  </si>
  <si>
    <t>DO NOT TOUCH</t>
  </si>
  <si>
    <t>`</t>
  </si>
  <si>
    <t># Weeks:</t>
  </si>
  <si>
    <t/>
  </si>
  <si>
    <t>Period 1, 2026</t>
  </si>
  <si>
    <t>Period 2, 2026</t>
  </si>
  <si>
    <t>Period 3, 2026</t>
  </si>
  <si>
    <t>Period 4, 2026</t>
  </si>
  <si>
    <t>Period 5, 2026</t>
  </si>
  <si>
    <t>Period 6, 2026</t>
  </si>
  <si>
    <t>YTD</t>
  </si>
  <si>
    <t>Daily Costs</t>
  </si>
  <si>
    <t>Sales</t>
  </si>
  <si>
    <t>4010 - Food Sales</t>
  </si>
  <si>
    <t>4015 - Commissary sales</t>
  </si>
  <si>
    <t>Total Food Sales</t>
  </si>
  <si>
    <t>4020 - N/A Beverage Sales</t>
  </si>
  <si>
    <t>4100 - LBW Sales</t>
  </si>
  <si>
    <t>4105 - Liquor Sales</t>
  </si>
  <si>
    <t>4165 - Beer Sales</t>
  </si>
  <si>
    <t>4180 - Wine Sales</t>
  </si>
  <si>
    <t>4181 - Wine BTG Sales</t>
  </si>
  <si>
    <t>4182 - Wine Reserve Sales</t>
  </si>
  <si>
    <t>Total LBW Sales</t>
  </si>
  <si>
    <t>Other Sales</t>
  </si>
  <si>
    <t>4209 - Other Sales</t>
  </si>
  <si>
    <t>4210 - Retail Sales</t>
  </si>
  <si>
    <t>4211 - No show / Min not met</t>
  </si>
  <si>
    <t>4215 - Yacht sales</t>
  </si>
  <si>
    <t>4216 - Docking fees Revenue</t>
  </si>
  <si>
    <t>4220 - Membership Revenue</t>
  </si>
  <si>
    <t>4221 - Application Fee Revenue</t>
  </si>
  <si>
    <t>4230 - Retained Service Charge</t>
  </si>
  <si>
    <t>4250 - Service Sales</t>
  </si>
  <si>
    <t>Total Other Sales</t>
  </si>
  <si>
    <t>Hotel Sales</t>
  </si>
  <si>
    <t>4399 - Hotel Sales</t>
  </si>
  <si>
    <t>4301 - Accommodation</t>
  </si>
  <si>
    <t>4310 - Mini Bar</t>
  </si>
  <si>
    <t>4320 - Destination Fee</t>
  </si>
  <si>
    <t>4340 - Other Accommodation</t>
  </si>
  <si>
    <t>Total Hotel Sales</t>
  </si>
  <si>
    <t>Comps &amp; Promotions</t>
  </si>
  <si>
    <t>4900 - Comps &amp; Promotions</t>
  </si>
  <si>
    <t>4910 - Employee Discount</t>
  </si>
  <si>
    <t>4915 - Manager Meal</t>
  </si>
  <si>
    <t>4920 - Positive Comp</t>
  </si>
  <si>
    <t>4924 - Marketing/Promotions</t>
  </si>
  <si>
    <t>4925 - Customer Discounts</t>
  </si>
  <si>
    <t>4926 - Promo G/C</t>
  </si>
  <si>
    <t>4927 - Entertainment staff meal</t>
  </si>
  <si>
    <t>4930 - Negative Comp</t>
  </si>
  <si>
    <t>4933 - Training &amp; Tasting</t>
  </si>
  <si>
    <t>4934 - Corporate Comp</t>
  </si>
  <si>
    <t>4935 - Exec Comp</t>
  </si>
  <si>
    <t>Total Comps &amp; Promotions</t>
  </si>
  <si>
    <t>Prime Cost</t>
  </si>
  <si>
    <t>5009 - Food Cost</t>
  </si>
  <si>
    <t>5010 - Purchase Produce</t>
  </si>
  <si>
    <t>5020 - Purchase Dairy</t>
  </si>
  <si>
    <t>5030 - Purchase Meat</t>
  </si>
  <si>
    <t>5033 - Purchase Poultry</t>
  </si>
  <si>
    <t>5040 - Purchase Seafood</t>
  </si>
  <si>
    <t>5050 - Purchase Dry Goods</t>
  </si>
  <si>
    <t>5060 - Purchase Bread</t>
  </si>
  <si>
    <t>5070 - Purchase Food Commissary</t>
  </si>
  <si>
    <t>5090 - Purchase Family Meal DNU old</t>
  </si>
  <si>
    <t>Total Food Cost</t>
  </si>
  <si>
    <t>5080 - Purchase N/A Beverages</t>
  </si>
  <si>
    <t>5110 - LBW Cost</t>
  </si>
  <si>
    <t>5120 - Purchase Beer</t>
  </si>
  <si>
    <t>5130 - Purchase Wine BTG</t>
  </si>
  <si>
    <t>5131 - Purchase Wine</t>
  </si>
  <si>
    <t>5132 - Purchase Wine Reserve</t>
  </si>
  <si>
    <t>5170 - Purchase Liquor</t>
  </si>
  <si>
    <t>5174 - Purchase Beverage Commissary</t>
  </si>
  <si>
    <t>5175 - Purchase Bar Consumables</t>
  </si>
  <si>
    <t>Total LBW Cost</t>
  </si>
  <si>
    <t>Purchase Retail</t>
  </si>
  <si>
    <t>5200 - Purchase Retail</t>
  </si>
  <si>
    <t>5210 - Purchase Mini Bar</t>
  </si>
  <si>
    <t>Total Purchase Retail</t>
  </si>
  <si>
    <t>5400 - Payroll Expenses</t>
  </si>
  <si>
    <t>Houlry Labor</t>
  </si>
  <si>
    <t>5445 - Houlry Labor</t>
  </si>
  <si>
    <t>5430 - Line Cook</t>
  </si>
  <si>
    <t>5431 - Prep Cook</t>
  </si>
  <si>
    <t>5432 - Pastry Cook</t>
  </si>
  <si>
    <t>5433 - Sushi Cook</t>
  </si>
  <si>
    <t>5435 - Chef de Partie</t>
  </si>
  <si>
    <t>5436 - Butcher</t>
  </si>
  <si>
    <t>5439 - Food EXPO BOH</t>
  </si>
  <si>
    <t>5440 - Dishwashers</t>
  </si>
  <si>
    <t>5447 - Receiver</t>
  </si>
  <si>
    <t>5449 - BOH Contract Labor</t>
  </si>
  <si>
    <t>5450 - Bonus BOH Hourly</t>
  </si>
  <si>
    <t>5451 - Vacation BOH</t>
  </si>
  <si>
    <t>5455 - Host</t>
  </si>
  <si>
    <t>5456 - Reservationist</t>
  </si>
  <si>
    <t>5457 - Receptionnist</t>
  </si>
  <si>
    <t>5460 - Servers</t>
  </si>
  <si>
    <t>5463 - Captain</t>
  </si>
  <si>
    <t>5464 - Sommelier</t>
  </si>
  <si>
    <t>5480 - Server Assistant</t>
  </si>
  <si>
    <t>5481 - Expo FOH</t>
  </si>
  <si>
    <t>5482 - Runner</t>
  </si>
  <si>
    <t>5483 - Bartender</t>
  </si>
  <si>
    <t>5484 - Polisher</t>
  </si>
  <si>
    <t>5485 - Barback</t>
  </si>
  <si>
    <t>5486 - Barista</t>
  </si>
  <si>
    <t>5487 - Maitre d'</t>
  </si>
  <si>
    <t>5488 - Door Person</t>
  </si>
  <si>
    <t>5489 - Bathroom Attendant</t>
  </si>
  <si>
    <t>5492 - Bar Prep</t>
  </si>
  <si>
    <t>5495 - FOH Training</t>
  </si>
  <si>
    <t>5499 - FOH Contract Labor</t>
  </si>
  <si>
    <t>5600 - Dock Master</t>
  </si>
  <si>
    <t>5690 - Commissary Rebilling Labor</t>
  </si>
  <si>
    <t>5700 - 7i make up</t>
  </si>
  <si>
    <t>Total Houlry Labor</t>
  </si>
  <si>
    <t>Salaries and Wages</t>
  </si>
  <si>
    <t>5800 - Salaries and Wages</t>
  </si>
  <si>
    <t>5810 - FOH Wages</t>
  </si>
  <si>
    <t>5811 - BOH Wages</t>
  </si>
  <si>
    <t>5820 - Reservation and Guest Relations Wages</t>
  </si>
  <si>
    <t>5821 - Marketing and Events Wages</t>
  </si>
  <si>
    <t>5822 - Finance Wages</t>
  </si>
  <si>
    <t>5823 - HR Wages</t>
  </si>
  <si>
    <t>5824 - Membership Wages</t>
  </si>
  <si>
    <t>5825 - OPS Multi-Unit Wages</t>
  </si>
  <si>
    <t>5826 - Construction  Wages</t>
  </si>
  <si>
    <t>5827 - F&amp;B dept Wages</t>
  </si>
  <si>
    <t>5828 - IT dept Wages</t>
  </si>
  <si>
    <t>5829 - Asset Management Wages</t>
  </si>
  <si>
    <t>5830 - Executive Wages</t>
  </si>
  <si>
    <t>5831 - RDG Founders Fees</t>
  </si>
  <si>
    <t>5835 - Vacation/PTO/Sick</t>
  </si>
  <si>
    <t>5837 - Severance Pay</t>
  </si>
  <si>
    <t>5840 - RDG Rebilling Management</t>
  </si>
  <si>
    <t>5845 - Contract Labor</t>
  </si>
  <si>
    <t>5850 - Multi-Floor Management</t>
  </si>
  <si>
    <t>5860 - Bonus Management</t>
  </si>
  <si>
    <t>Total Salaries and Wages</t>
  </si>
  <si>
    <t>Payroll Taxes</t>
  </si>
  <si>
    <t>5950 - Payroll Taxes</t>
  </si>
  <si>
    <t>5951 - Payroll Tax Expense</t>
  </si>
  <si>
    <t>5952 - Unemployment Taxes</t>
  </si>
  <si>
    <t>5955 - Retirement plan 401K</t>
  </si>
  <si>
    <t>5960 - Workers Compensation</t>
  </si>
  <si>
    <t>5980 - Rebill Payroll Taxes &amp; Other</t>
  </si>
  <si>
    <t>Total Payroll Taxes</t>
  </si>
  <si>
    <t>5965 - Fringe Benefit - Moving Expense</t>
  </si>
  <si>
    <t>5970 - Group Health Insurance</t>
  </si>
  <si>
    <t>5971 - Group Dental Insurance</t>
  </si>
  <si>
    <t>5972 - Group Vision Insurance</t>
  </si>
  <si>
    <t>5975 - Group Life and other Insurance</t>
  </si>
  <si>
    <t>Total Prime Cost</t>
  </si>
  <si>
    <t>Operating Expense</t>
  </si>
  <si>
    <t>Direct Operating Expenses</t>
  </si>
  <si>
    <t>6100 - Direct Operating Expenses</t>
  </si>
  <si>
    <t>6105 - Automobile</t>
  </si>
  <si>
    <t>6110 - China</t>
  </si>
  <si>
    <t>6120 - Glass</t>
  </si>
  <si>
    <t>6130 - Silverware</t>
  </si>
  <si>
    <t>6200 - Bar Supplies</t>
  </si>
  <si>
    <t>6201 - Ice Expense</t>
  </si>
  <si>
    <t>6210 - Cleaning Supplies</t>
  </si>
  <si>
    <t>6230 - Kitchen Supplies</t>
  </si>
  <si>
    <t>6235 - Kitchen Equipment - Ops</t>
  </si>
  <si>
    <t>6240 - Restaurant Supplies</t>
  </si>
  <si>
    <t>6245 - Restaurant Equipment</t>
  </si>
  <si>
    <t>6246 - Hotel Amenities</t>
  </si>
  <si>
    <t>6247 - Hotel Equipment</t>
  </si>
  <si>
    <t>6250 - Menu supplies</t>
  </si>
  <si>
    <t>6260 - Chemicals/Dish Machine</t>
  </si>
  <si>
    <t>6270 - Disposable Paper Products</t>
  </si>
  <si>
    <t>6280 - Linen</t>
  </si>
  <si>
    <t>6285 - Uniforms</t>
  </si>
  <si>
    <t>6290 - Decorations &amp; Flowers</t>
  </si>
  <si>
    <t>6300 - Commission third party</t>
  </si>
  <si>
    <t>6301 - Commission on Membership</t>
  </si>
  <si>
    <t>6310 - Employee incentive</t>
  </si>
  <si>
    <t>6320 - Family Meal</t>
  </si>
  <si>
    <t>6330 - Menu Research</t>
  </si>
  <si>
    <t>6350 - Buy Out - Event Expenses</t>
  </si>
  <si>
    <t>6500 - Facility Maintenance</t>
  </si>
  <si>
    <t>6505 - Sales incentives</t>
  </si>
  <si>
    <t>6520 - Repairs - Kitchen</t>
  </si>
  <si>
    <t>6530 - Repairs - Facility</t>
  </si>
  <si>
    <t>6532 - Repair - Electrical</t>
  </si>
  <si>
    <t>6534 - Repair - HVAC</t>
  </si>
  <si>
    <t>6540 - Maintenance Contracts</t>
  </si>
  <si>
    <t>6550 - Janitorial</t>
  </si>
  <si>
    <t>6600 - Commissary Direct Opex</t>
  </si>
  <si>
    <t>6610 - License &amp; Permits</t>
  </si>
  <si>
    <t>6750 - Live Entertainment</t>
  </si>
  <si>
    <t>6755 - Members Entertainment</t>
  </si>
  <si>
    <t>6760 - MM at Sea</t>
  </si>
  <si>
    <t>6761 - Docking fees expenses</t>
  </si>
  <si>
    <t>6762 - Operating Yachting Cost</t>
  </si>
  <si>
    <t>6770 - Printing Expense</t>
  </si>
  <si>
    <t>6780 - AVA Coconut Grove</t>
  </si>
  <si>
    <t>6781 - E11even</t>
  </si>
  <si>
    <t>6782 - Vanquish CN</t>
  </si>
  <si>
    <t>6783 - Mila Cannes</t>
  </si>
  <si>
    <t>6784 - GP (Casa Neos)</t>
  </si>
  <si>
    <t>6785 - AVA research and Development</t>
  </si>
  <si>
    <t>6800 - COVID Expenses</t>
  </si>
  <si>
    <t>Total Direct Operating Expenses</t>
  </si>
  <si>
    <t>7205 - 7205(deleted)</t>
  </si>
  <si>
    <t>Total Operating Expense</t>
  </si>
  <si>
    <t>Non Controllable Expense</t>
  </si>
  <si>
    <t>General and Administrative</t>
  </si>
  <si>
    <t>7000 - General and Administrative</t>
  </si>
  <si>
    <t>7010 - Credit Card Fees</t>
  </si>
  <si>
    <t>7015 - Open Table Fees</t>
  </si>
  <si>
    <t>7020 - Dues and Subscriptions</t>
  </si>
  <si>
    <t>7040 - Payroll Processing Fees</t>
  </si>
  <si>
    <t>7050 - Fire &amp; Security</t>
  </si>
  <si>
    <t>7060 - Postage &amp; Delivery</t>
  </si>
  <si>
    <t>7070 - Storage facility</t>
  </si>
  <si>
    <t>7080 - Office Supplies</t>
  </si>
  <si>
    <t>7090 - Computer Supplies</t>
  </si>
  <si>
    <t>7091 - IT Support</t>
  </si>
  <si>
    <t>7092 - IT AI solutions</t>
  </si>
  <si>
    <t>7100 - Cash Short (Over)</t>
  </si>
  <si>
    <t>7110 - Bank Fees</t>
  </si>
  <si>
    <t>7120 - Bad Debts</t>
  </si>
  <si>
    <t>7130 - Business Taxes</t>
  </si>
  <si>
    <t>7140 - Personnel &amp; Recruiting Expenses</t>
  </si>
  <si>
    <t>7145 - Employee settlement</t>
  </si>
  <si>
    <t>7146 - Guest Settlement/Dispute</t>
  </si>
  <si>
    <t>7150 - Training &amp; Seminars</t>
  </si>
  <si>
    <t>7160 - Travel</t>
  </si>
  <si>
    <t>7170 - Meals</t>
  </si>
  <si>
    <t>7175 - General Liability Insurance</t>
  </si>
  <si>
    <t>7176 - Equipment Rental</t>
  </si>
  <si>
    <t>7177 - Parking - Team</t>
  </si>
  <si>
    <t>7178 - Parking - Customer</t>
  </si>
  <si>
    <t>7180 - Commissary General Administrative</t>
  </si>
  <si>
    <t>Total General and Administrative</t>
  </si>
  <si>
    <t>Utilities</t>
  </si>
  <si>
    <t>7500 - Utilities</t>
  </si>
  <si>
    <t>7510 - Telephone</t>
  </si>
  <si>
    <t>7520 - Internet</t>
  </si>
  <si>
    <t>7530 - Cable &amp; Music</t>
  </si>
  <si>
    <t>7540 - Electricity</t>
  </si>
  <si>
    <t>7550 - Gas</t>
  </si>
  <si>
    <t>7570 - Garbage/Recycle</t>
  </si>
  <si>
    <t>7580 - Water &amp; Sewer</t>
  </si>
  <si>
    <t>7700 - Commissary Utilities</t>
  </si>
  <si>
    <t>Total Utilities</t>
  </si>
  <si>
    <t>Occupancy</t>
  </si>
  <si>
    <t>7900 - Occupancy</t>
  </si>
  <si>
    <t>7910 - Rent</t>
  </si>
  <si>
    <t>7911 - Percentage Rent</t>
  </si>
  <si>
    <t>7912 - Prior Year Rent Exp</t>
  </si>
  <si>
    <t>7920 - CAM Charges</t>
  </si>
  <si>
    <t>7930 - Commissary Occupancy</t>
  </si>
  <si>
    <t>7940 - Property Tax</t>
  </si>
  <si>
    <t>9212 - Depreciation ROU</t>
  </si>
  <si>
    <t>9213 - Interest ROU</t>
  </si>
  <si>
    <t>Total Occupancy</t>
  </si>
  <si>
    <t>Other (Income) Expenses</t>
  </si>
  <si>
    <t>8000 - Other (Income) Expenses</t>
  </si>
  <si>
    <t>8010 - Interest Income</t>
  </si>
  <si>
    <t>8020 - Net Rental Real Estate Income/(Loss)</t>
  </si>
  <si>
    <t>8030 - Miscellaneous Income</t>
  </si>
  <si>
    <t>8051 - Mgmt Fee Income - MILA</t>
  </si>
  <si>
    <t>8052 - Mgmt Fee Income - MILA II</t>
  </si>
  <si>
    <t>8053 - Mgmt Fee Income - AVA</t>
  </si>
  <si>
    <t>8054 - Mgmt Fee Income - Baoli</t>
  </si>
  <si>
    <t>8055 - Mgmt Fee Income - CASA NEOS</t>
  </si>
  <si>
    <t>8056 - Mgmt Fee Income - CLAUDIE</t>
  </si>
  <si>
    <t>8057 - Mgmt Fee Income - MMembers</t>
  </si>
  <si>
    <t>8058 - Mgmt Fee Income - AVA CG</t>
  </si>
  <si>
    <t>8059 - Mgmt Fee Income - CN LOUNGE</t>
  </si>
  <si>
    <t>8090 - Service Charge Retained</t>
  </si>
  <si>
    <t>8094 - Private Event Income</t>
  </si>
  <si>
    <t>8095 - Private Event COMM Paid (Wages)</t>
  </si>
  <si>
    <t>8098 - Auto Gratuity Received</t>
  </si>
  <si>
    <t>8099 - Auto Gratuity Wages</t>
  </si>
  <si>
    <t>Total Other (Income) Expenses</t>
  </si>
  <si>
    <t>Total Non Controllable Expense</t>
  </si>
  <si>
    <t>Corporate Overhead &amp; Other</t>
  </si>
  <si>
    <t>Corporate Overhead</t>
  </si>
  <si>
    <t>9000 - Corporate Overhead</t>
  </si>
  <si>
    <t>9010 - Interest Expense</t>
  </si>
  <si>
    <t>9020 - Professional Fees</t>
  </si>
  <si>
    <t>9030 - Management Fee Expense</t>
  </si>
  <si>
    <t>9045 - Donation</t>
  </si>
  <si>
    <t>9050 - Public Relations</t>
  </si>
  <si>
    <t>9055 - Advertising</t>
  </si>
  <si>
    <t>9060 - Marketing</t>
  </si>
  <si>
    <t>9061 - Promotion Branded Items</t>
  </si>
  <si>
    <t>9062 - New Market Development</t>
  </si>
  <si>
    <t>9065 - Accounting Fees</t>
  </si>
  <si>
    <t>9070 - Executive Bonus</t>
  </si>
  <si>
    <t>9071 - Stock Options Compensation</t>
  </si>
  <si>
    <t>9075 - Federal Tax Expense</t>
  </si>
  <si>
    <t>9080 - Royalty fees</t>
  </si>
  <si>
    <t>9100 - Loan Fees - RDG</t>
  </si>
  <si>
    <t>9205 - Depreciation Expense</t>
  </si>
  <si>
    <t>9210 - (Gain)/Loss on Asset Disposal</t>
  </si>
  <si>
    <t>9211 - Deferred Rent Expense (GAAP)</t>
  </si>
  <si>
    <t>9221 - Guaranteed Payments</t>
  </si>
  <si>
    <t>9222 - GP - Medical</t>
  </si>
  <si>
    <t>9225 - Tax Expense State</t>
  </si>
  <si>
    <t>9312 - Executive Salary G&amp;A</t>
  </si>
  <si>
    <t>9345 - Life Insurance</t>
  </si>
  <si>
    <t>9346 - Penalties and fines</t>
  </si>
  <si>
    <t>9500 - Equity in Earnings of Subs</t>
  </si>
  <si>
    <t>9501 - Income Tax Expense (GAAP)</t>
  </si>
  <si>
    <t>Total Corporate Overhead</t>
  </si>
  <si>
    <t>New Location</t>
  </si>
  <si>
    <t>9400 - New Location</t>
  </si>
  <si>
    <t>9410 - New Location COGS</t>
  </si>
  <si>
    <t>9420 - New Location Labor</t>
  </si>
  <si>
    <t>9430 - New Location Operating Cost</t>
  </si>
  <si>
    <t>9440 - New Location Marketing</t>
  </si>
  <si>
    <t>9450 - New Location G&amp;A</t>
  </si>
  <si>
    <t>9460 - New Location Other Expenses</t>
  </si>
  <si>
    <t>9470 - New Location Revenue</t>
  </si>
  <si>
    <t>Total New Location</t>
  </si>
  <si>
    <t>Total Corporate Overhead &amp; Other</t>
  </si>
  <si>
    <t>Net Profit</t>
  </si>
  <si>
    <t>Powered by Restaurant365</t>
  </si>
  <si>
    <t>1</t>
  </si>
  <si>
    <t>08/24/2026 07:31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</si>
</sst>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800]dddd\,\ mmmm\ dd\,\ yyyy"/>
    <numFmt numFmtId="165" formatCode="0.0%"/>
    <numFmt numFmtId="166" formatCode="&quot;$&quot;#,##0"/>
    <numFmt numFmtId="167" formatCode="0.0"/>
    <numFmt numFmtId="168" formatCode="#,##0.0%"/>
    <numFmt numFmtId="169" formatCode="#,##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4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b/>
      <i/>
      <sz val="12"/>
      <color theme="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color rgb="FFFF0000"/>
      <name val="Aptos Narrow"/>
      <family val="2"/>
      <scheme val="minor"/>
    </font>
    <font>
      <sz val="12"/>
      <color theme="9" tint="-0.499984740745262"/>
      <name val="Aptos Narrow"/>
      <family val="2"/>
      <scheme val="minor"/>
    </font>
    <font>
      <b/>
      <sz val="12"/>
      <color theme="9" tint="-0.499984740745262"/>
      <name val="Aptos Narrow"/>
      <family val="2"/>
      <scheme val="minor"/>
    </font>
    <font>
      <b/>
      <sz val="12"/>
      <color rgb="FF156082"/>
      <name val="Aptos Narrow"/>
      <family val="2"/>
      <scheme val="minor"/>
    </font>
    <font>
      <b/>
      <sz val="12"/>
      <color rgb="FF696969"/>
      <name val="Aptos Narrow"/>
      <family val="2"/>
      <scheme val="minor"/>
    </font>
    <font>
      <b/>
      <sz val="12"/>
      <name val="Aptos Narrow"/>
      <family val="2"/>
      <scheme val="minor"/>
    </font>
    <font>
      <b/>
      <i/>
      <sz val="8"/>
      <name val="Aptos Narrow"/>
      <family val="2"/>
      <scheme val="minor"/>
    </font>
    <font>
      <i/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05D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B9D7FC"/>
      </patternFill>
    </fill>
    <fill>
      <patternFill patternType="solid">
        <fgColor rgb="FFB9D7FC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horizontal="center" vertical="center"/>
    </xf>
    <xf numFmtId="165" fontId="5" fillId="2" borderId="0" xfId="1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65" fontId="5" fillId="2" borderId="0" xfId="1" applyNumberFormat="1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166" fontId="6" fillId="3" borderId="2" xfId="0" applyNumberFormat="1" applyFont="1" applyFill="1" applyBorder="1" applyAlignment="1">
      <alignment horizontal="center" vertical="center"/>
    </xf>
    <xf numFmtId="166" fontId="6" fillId="3" borderId="3" xfId="0" applyNumberFormat="1" applyFont="1" applyFill="1" applyBorder="1" applyAlignment="1">
      <alignment horizontal="center" vertical="center"/>
    </xf>
    <xf numFmtId="166" fontId="7" fillId="2" borderId="0" xfId="1" applyNumberFormat="1" applyFont="1" applyFill="1" applyAlignment="1">
      <alignment horizontal="center" vertical="center"/>
    </xf>
    <xf numFmtId="2" fontId="6" fillId="3" borderId="2" xfId="1" applyNumberFormat="1" applyFont="1" applyFill="1" applyBorder="1" applyAlignment="1">
      <alignment horizontal="center" vertical="center"/>
    </xf>
    <xf numFmtId="2" fontId="6" fillId="3" borderId="3" xfId="1" applyNumberFormat="1" applyFont="1" applyFill="1" applyBorder="1" applyAlignment="1">
      <alignment horizontal="center" vertical="center"/>
    </xf>
    <xf numFmtId="2" fontId="7" fillId="2" borderId="0" xfId="1" applyNumberFormat="1" applyFont="1" applyFill="1" applyAlignment="1">
      <alignment horizontal="center" vertical="center"/>
    </xf>
    <xf numFmtId="167" fontId="6" fillId="2" borderId="0" xfId="1" applyNumberFormat="1" applyFont="1" applyFill="1" applyBorder="1" applyAlignment="1">
      <alignment horizontal="center" vertical="center"/>
    </xf>
    <xf numFmtId="165" fontId="7" fillId="2" borderId="0" xfId="1" applyNumberFormat="1" applyFon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5" fontId="8" fillId="2" borderId="0" xfId="1" applyNumberFormat="1" applyFont="1" applyFill="1" applyAlignment="1">
      <alignment horizontal="center" vertical="center"/>
    </xf>
    <xf numFmtId="0" fontId="6" fillId="4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center" vertical="center"/>
    </xf>
    <xf numFmtId="166" fontId="6" fillId="4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center" vertical="center"/>
    </xf>
    <xf numFmtId="166" fontId="6" fillId="5" borderId="4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166" fontId="6" fillId="2" borderId="0" xfId="0" applyNumberFormat="1" applyFont="1" applyFill="1" applyAlignment="1">
      <alignment vertical="center"/>
    </xf>
    <xf numFmtId="165" fontId="7" fillId="2" borderId="0" xfId="1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166" fontId="9" fillId="2" borderId="0" xfId="0" applyNumberFormat="1" applyFont="1" applyFill="1" applyAlignment="1">
      <alignment vertical="center"/>
    </xf>
    <xf numFmtId="165" fontId="10" fillId="2" borderId="0" xfId="1" applyNumberFormat="1" applyFont="1" applyFill="1" applyAlignment="1">
      <alignment horizontal="center" vertical="center"/>
    </xf>
    <xf numFmtId="166" fontId="0" fillId="2" borderId="0" xfId="0" applyNumberFormat="1" applyFill="1" applyAlignment="1">
      <alignment vertical="center"/>
    </xf>
    <xf numFmtId="167" fontId="11" fillId="3" borderId="5" xfId="1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" fontId="1" fillId="2" borderId="0" xfId="0" applyNumberFormat="1" applyFont="1" applyFill="1" applyAlignment="1">
      <alignment horizontal="center" vertical="center"/>
    </xf>
    <xf numFmtId="1" fontId="8" fillId="2" borderId="0" xfId="1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166" fontId="12" fillId="3" borderId="5" xfId="0" applyNumberFormat="1" applyFont="1" applyFill="1" applyBorder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66" fontId="6" fillId="2" borderId="6" xfId="0" applyNumberFormat="1" applyFont="1" applyFill="1" applyBorder="1" applyAlignment="1">
      <alignment vertical="center"/>
    </xf>
    <xf numFmtId="1" fontId="6" fillId="2" borderId="6" xfId="0" applyNumberFormat="1" applyFont="1" applyFill="1" applyBorder="1" applyAlignment="1">
      <alignment horizontal="center" vertical="center"/>
    </xf>
    <xf numFmtId="166" fontId="6" fillId="4" borderId="4" xfId="0" applyNumberFormat="1" applyFont="1" applyFill="1" applyBorder="1" applyAlignment="1">
      <alignment vertical="center"/>
    </xf>
    <xf numFmtId="165" fontId="7" fillId="4" borderId="4" xfId="1" applyNumberFormat="1" applyFont="1" applyFill="1" applyBorder="1" applyAlignment="1">
      <alignment horizontal="center" vertical="center"/>
    </xf>
    <xf numFmtId="4" fontId="6" fillId="6" borderId="4" xfId="0" applyNumberFormat="1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center" vertical="center"/>
    </xf>
    <xf numFmtId="166" fontId="6" fillId="6" borderId="4" xfId="0" applyNumberFormat="1" applyFont="1" applyFill="1" applyBorder="1" applyAlignment="1">
      <alignment vertical="center"/>
    </xf>
    <xf numFmtId="165" fontId="7" fillId="6" borderId="4" xfId="1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center" vertical="center"/>
    </xf>
    <xf numFmtId="166" fontId="6" fillId="4" borderId="7" xfId="0" applyNumberFormat="1" applyFont="1" applyFill="1" applyBorder="1" applyAlignment="1">
      <alignment vertical="center"/>
    </xf>
    <xf numFmtId="165" fontId="7" fillId="4" borderId="7" xfId="1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166" fontId="6" fillId="4" borderId="0" xfId="0" applyNumberFormat="1" applyFont="1" applyFill="1" applyAlignment="1">
      <alignment vertical="center"/>
    </xf>
    <xf numFmtId="165" fontId="7" fillId="4" borderId="0" xfId="1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right" vertical="center"/>
    </xf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vertical="center"/>
    </xf>
    <xf numFmtId="164" fontId="0" fillId="2" borderId="5" xfId="0" applyNumberForma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165" fontId="0" fillId="2" borderId="5" xfId="0" applyNumberFormat="1" applyFill="1" applyBorder="1" applyAlignment="1">
      <alignment horizontal="center" vertical="center"/>
    </xf>
    <xf numFmtId="0" fontId="13" fillId="7" borderId="0" xfId="0" applyFont="1" applyFill="1" applyAlignment="1">
      <alignment horizontal="right"/>
    </xf>
    <xf numFmtId="0" fontId="13" fillId="7" borderId="0" xfId="0" applyFont="1" applyFill="1" applyAlignment="1">
      <alignment horizontal="left"/>
    </xf>
    <xf numFmtId="0" fontId="9" fillId="0" borderId="0" xfId="0" applyFont="1" applyAlignment="1">
      <alignment horizontal="center" vertical="center" wrapText="1"/>
    </xf>
    <xf numFmtId="4" fontId="14" fillId="8" borderId="0" xfId="0" applyNumberFormat="1" applyFont="1" applyFill="1" applyAlignment="1">
      <alignment horizontal="center" vertical="center" wrapText="1"/>
    </xf>
    <xf numFmtId="168" fontId="14" fillId="8" borderId="0" xfId="0" applyNumberFormat="1" applyFont="1" applyFill="1" applyAlignment="1">
      <alignment horizontal="center" vertical="center" wrapText="1"/>
    </xf>
    <xf numFmtId="0" fontId="14" fillId="9" borderId="0" xfId="0" applyFont="1" applyFill="1" applyAlignment="1">
      <alignment horizontal="center"/>
    </xf>
    <xf numFmtId="0" fontId="15" fillId="0" borderId="0" xfId="0" applyFont="1" applyAlignment="1">
      <alignment horizontal="left" vertical="center" wrapText="1"/>
    </xf>
    <xf numFmtId="4" fontId="15" fillId="0" borderId="0" xfId="0" applyNumberFormat="1" applyFont="1" applyAlignment="1">
      <alignment vertical="center"/>
    </xf>
    <xf numFmtId="168" fontId="16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4" fontId="9" fillId="0" borderId="0" xfId="0" applyNumberFormat="1" applyFont="1" applyAlignment="1">
      <alignment vertical="center"/>
    </xf>
    <xf numFmtId="168" fontId="17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4" fontId="0" fillId="0" borderId="0" xfId="0" applyNumberFormat="1"/>
    <xf numFmtId="4" fontId="15" fillId="0" borderId="0" xfId="0" applyNumberFormat="1" applyFont="1" applyAlignment="1">
      <alignment horizontal="left" vertical="center" wrapText="1" indent="1"/>
    </xf>
    <xf numFmtId="4" fontId="15" fillId="0" borderId="0" xfId="0" applyNumberFormat="1" applyFont="1" applyAlignment="1">
      <alignment horizontal="right" vertical="center"/>
    </xf>
    <xf numFmtId="168" fontId="16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 wrapText="1" indent="1"/>
    </xf>
    <xf numFmtId="4" fontId="15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left" vertical="center" wrapText="1" indent="2"/>
    </xf>
    <xf numFmtId="0" fontId="9" fillId="0" borderId="0" xfId="0" applyFont="1" applyAlignment="1">
      <alignment horizontal="left" vertical="center" wrapText="1" indent="3"/>
    </xf>
    <xf numFmtId="4" fontId="15" fillId="0" borderId="0" xfId="0" applyNumberFormat="1" applyFont="1" applyAlignment="1">
      <alignment horizontal="left" vertical="center" wrapText="1" indent="2"/>
    </xf>
    <xf numFmtId="0" fontId="9" fillId="0" borderId="0" xfId="0" applyFont="1" applyAlignment="1">
      <alignment horizontal="left" vertical="center" wrapText="1"/>
    </xf>
    <xf numFmtId="169" fontId="17" fillId="0" borderId="0" xfId="0" applyNumberFormat="1" applyFont="1" applyAlignment="1">
      <alignment vertical="center"/>
    </xf>
    <xf numFmtId="0" fontId="9" fillId="0" borderId="0" xfId="0" applyFont="1"/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ivieradininggroup.sharepoint.com/sites/RivieraDiningGroup/Shared%20Documents/Finance/ACCOUNTING/CONTROLLER/2%20-%20FP&amp;A/1%20-%20FP&amp;A/10%20-%20RDG/10%20-%20Sales/ROI%20MINIMUM%20FLASH/CASA%20NEOS/CASA%20NEOS%20DJ%20ROI%20-%20Minimums%20-%202026.xlsx" TargetMode="External"/><Relationship Id="rId2" Type="http://schemas.microsoft.com/office/2019/04/relationships/externalLinkLongPath" Target="https://rivieradininggroup.sharepoint.com/sites/RivieraDiningGroup/Shared%20Documents/Finance/ACCOUNTING/CONTROLLER/2%20-%20FP&amp;A/1%20-%20FP&amp;A/10%20-%20RDG/10%20-%20Sales/ROI%20MINIMUM%20FLASH/CASA%20NEOS/CASA%20NEOS%20DJ%20ROI%20-%20Minimums%20-%202026.xlsx?3E2C4827" TargetMode="External"/><Relationship Id="rId1" Type="http://schemas.openxmlformats.org/officeDocument/2006/relationships/externalLinkPath" Target="file:///\\3E2C4827\CASA%20NEOS%20DJ%20ROI%20-%20Minimums%20-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C7zg-pyRUWD1dffX6ZYFmEABhQBbZhNrnNTTTFffo-sxdBNOnRvRLBDbQKsYGY8" itemId="01NVXZN74N7PSWDM3XFZH23NAK3BSOTF5S">
      <xxl21:absoluteUrl r:id="rId3"/>
    </xxl21:alternateUrls>
    <sheetNames>
      <sheetName val="HUGO &amp; CHRISTOPHE -&gt;"/>
      <sheetName val="Sheet4"/>
      <sheetName val="Sheet1"/>
      <sheetName val="DATA DJ"/>
      <sheetName val="2025 data"/>
      <sheetName val="DJ DATABASE"/>
      <sheetName val="MATTHIAS -&gt;"/>
      <sheetName val="PAST "/>
      <sheetName val="MoM Performance"/>
      <sheetName val="SALES DROP"/>
      <sheetName val="Act. Vs. For. Reporting"/>
      <sheetName val="Overview 2026"/>
      <sheetName val="EBIDTA TABLE ( BUDGET )"/>
      <sheetName val="DJ Minimum Tiers"/>
      <sheetName val="Floor Plan Bottle Service"/>
      <sheetName val="Sheet5"/>
      <sheetName val="EBIDTA TABLE ( ACTUAL )"/>
      <sheetName val="EBIDTA 2"/>
      <sheetName val="LEX &amp; AGENTS -&gt;"/>
      <sheetName val="FLASH LEX"/>
      <sheetName val="DROP FOURVENUES"/>
      <sheetName val="Minimum Reporting"/>
      <sheetName val="Sheet3"/>
      <sheetName val="Sheet2"/>
      <sheetName val="Budget"/>
      <sheetName val="NYE Week"/>
      <sheetName val="DJ VISIBILITY -&gt;"/>
      <sheetName val="REF"/>
      <sheetName val="Bottle Service"/>
      <sheetName val="OPEX Data"/>
      <sheetName val="OPEX DATA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C3">
            <v>2</v>
          </cell>
          <cell r="D3">
            <v>3</v>
          </cell>
          <cell r="F3">
            <v>5</v>
          </cell>
          <cell r="H3">
            <v>7</v>
          </cell>
          <cell r="J3">
            <v>9</v>
          </cell>
          <cell r="L3">
            <v>11</v>
          </cell>
          <cell r="O3">
            <v>14</v>
          </cell>
          <cell r="R3">
            <v>17</v>
          </cell>
          <cell r="W3">
            <v>22</v>
          </cell>
          <cell r="X3">
            <v>23</v>
          </cell>
          <cell r="Y3">
            <v>24</v>
          </cell>
          <cell r="Z3">
            <v>25</v>
          </cell>
          <cell r="AA3">
            <v>26</v>
          </cell>
          <cell r="AB3">
            <v>27</v>
          </cell>
          <cell r="AC3">
            <v>28</v>
          </cell>
        </row>
        <row r="6">
          <cell r="Q6" t="str">
            <v>Minimum</v>
          </cell>
          <cell r="R6" t="str">
            <v>Location</v>
          </cell>
          <cell r="U6" t="str">
            <v>Total</v>
          </cell>
          <cell r="V6" t="str">
            <v>Over / Short</v>
          </cell>
          <cell r="W6">
            <v>3</v>
          </cell>
          <cell r="X6">
            <v>2</v>
          </cell>
          <cell r="Y6">
            <v>13</v>
          </cell>
          <cell r="Z6">
            <v>5</v>
          </cell>
          <cell r="AA6">
            <v>5</v>
          </cell>
          <cell r="AB6">
            <v>19</v>
          </cell>
          <cell r="AC6">
            <v>0</v>
          </cell>
        </row>
        <row r="7">
          <cell r="B7">
            <v>46026</v>
          </cell>
          <cell r="D7">
            <v>0</v>
          </cell>
          <cell r="E7">
            <v>233500</v>
          </cell>
          <cell r="F7">
            <v>81000</v>
          </cell>
          <cell r="G7">
            <v>85000</v>
          </cell>
          <cell r="H7">
            <v>67500</v>
          </cell>
          <cell r="J7" t="str">
            <v xml:space="preserve">JAN BLOMQVIST </v>
          </cell>
          <cell r="K7" t="str">
            <v>Booked</v>
          </cell>
          <cell r="L7">
            <v>42500</v>
          </cell>
          <cell r="M7">
            <v>0.5</v>
          </cell>
          <cell r="N7">
            <v>0.34791443560721924</v>
          </cell>
          <cell r="O7">
            <v>2</v>
          </cell>
          <cell r="Q7">
            <v>85000</v>
          </cell>
          <cell r="R7" t="str">
            <v>Beach Club</v>
          </cell>
          <cell r="S7">
            <v>28</v>
          </cell>
          <cell r="T7">
            <v>3035.7142857142858</v>
          </cell>
          <cell r="U7">
            <v>161500</v>
          </cell>
          <cell r="V7">
            <v>76500</v>
          </cell>
          <cell r="W7">
            <v>8500</v>
          </cell>
          <cell r="X7">
            <v>7000</v>
          </cell>
          <cell r="Y7">
            <v>6500</v>
          </cell>
          <cell r="Z7">
            <v>4500</v>
          </cell>
          <cell r="AA7">
            <v>3000</v>
          </cell>
        </row>
        <row r="8">
          <cell r="B8">
            <v>46032</v>
          </cell>
          <cell r="D8">
            <v>0</v>
          </cell>
          <cell r="E8">
            <v>271500</v>
          </cell>
          <cell r="F8">
            <v>20000</v>
          </cell>
          <cell r="G8">
            <v>150000</v>
          </cell>
          <cell r="H8">
            <v>101500</v>
          </cell>
          <cell r="J8" t="str">
            <v>GORDO</v>
          </cell>
          <cell r="K8" t="str">
            <v>Booked</v>
          </cell>
          <cell r="L8">
            <v>75000</v>
          </cell>
          <cell r="M8">
            <v>0.5</v>
          </cell>
          <cell r="N8">
            <v>0.2527481425940542</v>
          </cell>
          <cell r="O8">
            <v>2</v>
          </cell>
          <cell r="Q8">
            <v>150000</v>
          </cell>
          <cell r="R8" t="str">
            <v>Beach Club</v>
          </cell>
          <cell r="S8">
            <v>28</v>
          </cell>
          <cell r="T8">
            <v>5357.1428571428569</v>
          </cell>
          <cell r="U8">
            <v>154000</v>
          </cell>
          <cell r="V8">
            <v>4000</v>
          </cell>
          <cell r="W8">
            <v>8500</v>
          </cell>
          <cell r="X8">
            <v>6500</v>
          </cell>
          <cell r="Y8">
            <v>6000</v>
          </cell>
          <cell r="Z8">
            <v>4500</v>
          </cell>
          <cell r="AA8">
            <v>3000</v>
          </cell>
        </row>
        <row r="9">
          <cell r="B9">
            <v>46033</v>
          </cell>
          <cell r="D9">
            <v>0</v>
          </cell>
          <cell r="E9">
            <v>241500</v>
          </cell>
          <cell r="F9">
            <v>67500</v>
          </cell>
          <cell r="G9">
            <v>120000</v>
          </cell>
          <cell r="H9">
            <v>54000</v>
          </cell>
          <cell r="J9" t="str">
            <v xml:space="preserve">DENNIS CRUZ </v>
          </cell>
          <cell r="K9" t="str">
            <v>Booked</v>
          </cell>
          <cell r="L9">
            <v>60000</v>
          </cell>
          <cell r="M9">
            <v>0.5</v>
          </cell>
          <cell r="N9">
            <v>0.28887958887902998</v>
          </cell>
          <cell r="O9">
            <v>2</v>
          </cell>
          <cell r="Q9">
            <v>120000</v>
          </cell>
          <cell r="R9" t="str">
            <v>Beach Club</v>
          </cell>
          <cell r="S9">
            <v>28</v>
          </cell>
          <cell r="T9">
            <v>4285.7142857142853</v>
          </cell>
          <cell r="U9">
            <v>188000</v>
          </cell>
          <cell r="V9">
            <v>68000</v>
          </cell>
          <cell r="W9">
            <v>9000</v>
          </cell>
          <cell r="X9">
            <v>7500</v>
          </cell>
          <cell r="Y9">
            <v>7000</v>
          </cell>
          <cell r="Z9">
            <v>6500</v>
          </cell>
          <cell r="AA9">
            <v>4500</v>
          </cell>
        </row>
        <row r="10">
          <cell r="B10">
            <v>46039</v>
          </cell>
          <cell r="D10">
            <v>0</v>
          </cell>
          <cell r="E10">
            <v>136500</v>
          </cell>
          <cell r="F10">
            <v>20000</v>
          </cell>
          <cell r="G10">
            <v>15000</v>
          </cell>
          <cell r="H10">
            <v>101500</v>
          </cell>
          <cell r="J10" t="str">
            <v>AABEL / SCENARIO</v>
          </cell>
          <cell r="K10" t="str">
            <v>Booked</v>
          </cell>
          <cell r="L10">
            <v>3000</v>
          </cell>
          <cell r="M10">
            <v>0.2</v>
          </cell>
          <cell r="N10">
            <v>0.34921553636839342</v>
          </cell>
          <cell r="O10">
            <v>5</v>
          </cell>
          <cell r="Q10">
            <v>15000</v>
          </cell>
          <cell r="R10" t="str">
            <v>Beach Club</v>
          </cell>
          <cell r="S10">
            <v>28</v>
          </cell>
          <cell r="T10">
            <v>535.71428571428567</v>
          </cell>
          <cell r="U10">
            <v>78000</v>
          </cell>
          <cell r="V10">
            <v>63000</v>
          </cell>
          <cell r="W10">
            <v>4000</v>
          </cell>
          <cell r="X10">
            <v>3500</v>
          </cell>
          <cell r="Y10">
            <v>3000</v>
          </cell>
          <cell r="Z10">
            <v>2500</v>
          </cell>
          <cell r="AA10">
            <v>1500</v>
          </cell>
        </row>
        <row r="11">
          <cell r="B11">
            <v>46040</v>
          </cell>
          <cell r="D11">
            <v>0</v>
          </cell>
          <cell r="E11">
            <v>282000</v>
          </cell>
          <cell r="F11">
            <v>81000</v>
          </cell>
          <cell r="G11">
            <v>120000</v>
          </cell>
          <cell r="H11">
            <v>81000</v>
          </cell>
          <cell r="J11" t="str">
            <v xml:space="preserve">NOTRE DAME </v>
          </cell>
          <cell r="K11" t="str">
            <v>Booked</v>
          </cell>
          <cell r="L11">
            <v>20000</v>
          </cell>
          <cell r="M11">
            <v>0.16666666666666666</v>
          </cell>
          <cell r="N11">
            <v>0.46522223657548128</v>
          </cell>
          <cell r="O11">
            <v>6</v>
          </cell>
          <cell r="Q11">
            <v>120000</v>
          </cell>
          <cell r="R11" t="str">
            <v>Beach Club</v>
          </cell>
          <cell r="S11">
            <v>28</v>
          </cell>
          <cell r="T11">
            <v>4285.7142857142853</v>
          </cell>
          <cell r="U11">
            <v>129500</v>
          </cell>
          <cell r="V11">
            <v>9500</v>
          </cell>
          <cell r="W11">
            <v>7000</v>
          </cell>
          <cell r="X11">
            <v>5500</v>
          </cell>
          <cell r="Y11">
            <v>5000</v>
          </cell>
          <cell r="Z11">
            <v>4000</v>
          </cell>
          <cell r="AA11">
            <v>2500</v>
          </cell>
        </row>
        <row r="12">
          <cell r="B12">
            <v>46046</v>
          </cell>
          <cell r="D12">
            <v>0</v>
          </cell>
          <cell r="E12">
            <v>201500</v>
          </cell>
          <cell r="F12">
            <v>20000</v>
          </cell>
          <cell r="G12">
            <v>80000</v>
          </cell>
          <cell r="H12">
            <v>101500</v>
          </cell>
          <cell r="J12" t="str">
            <v>STEVE LAWLER</v>
          </cell>
          <cell r="K12" t="str">
            <v>Booked</v>
          </cell>
          <cell r="L12">
            <v>8000</v>
          </cell>
          <cell r="M12">
            <v>0.1</v>
          </cell>
          <cell r="N12">
            <v>0.42485146756469344</v>
          </cell>
          <cell r="O12">
            <v>10</v>
          </cell>
          <cell r="Q12">
            <v>80000</v>
          </cell>
          <cell r="R12" t="str">
            <v>Beach Club</v>
          </cell>
          <cell r="S12">
            <v>28</v>
          </cell>
          <cell r="T12">
            <v>2857.1428571428573</v>
          </cell>
          <cell r="U12">
            <v>83500</v>
          </cell>
          <cell r="V12">
            <v>3500</v>
          </cell>
          <cell r="W12">
            <v>5500</v>
          </cell>
          <cell r="X12">
            <v>4000</v>
          </cell>
          <cell r="Y12">
            <v>3000</v>
          </cell>
          <cell r="Z12">
            <v>2500</v>
          </cell>
          <cell r="AA12">
            <v>1500</v>
          </cell>
        </row>
        <row r="13">
          <cell r="B13">
            <v>46047</v>
          </cell>
          <cell r="D13">
            <v>0</v>
          </cell>
          <cell r="E13">
            <v>210000</v>
          </cell>
          <cell r="F13">
            <v>81000</v>
          </cell>
          <cell r="G13">
            <v>48000</v>
          </cell>
          <cell r="H13">
            <v>81000</v>
          </cell>
          <cell r="J13" t="str">
            <v xml:space="preserve">SINEGO </v>
          </cell>
          <cell r="K13" t="str">
            <v>Booked</v>
          </cell>
          <cell r="L13">
            <v>6000</v>
          </cell>
          <cell r="M13">
            <v>0.125</v>
          </cell>
          <cell r="N13">
            <v>0.46255938435374144</v>
          </cell>
          <cell r="O13">
            <v>8</v>
          </cell>
          <cell r="Q13">
            <v>48000</v>
          </cell>
          <cell r="R13" t="str">
            <v>Beach Club</v>
          </cell>
          <cell r="S13">
            <v>28</v>
          </cell>
          <cell r="T13">
            <v>1714.2857142857142</v>
          </cell>
          <cell r="U13">
            <v>109000</v>
          </cell>
          <cell r="V13">
            <v>61000</v>
          </cell>
          <cell r="W13">
            <v>6000</v>
          </cell>
          <cell r="X13">
            <v>5000</v>
          </cell>
          <cell r="Y13">
            <v>4500</v>
          </cell>
          <cell r="Z13">
            <v>3000</v>
          </cell>
          <cell r="AA13">
            <v>1500</v>
          </cell>
        </row>
        <row r="14">
          <cell r="B14">
            <v>46053</v>
          </cell>
          <cell r="D14">
            <v>0</v>
          </cell>
          <cell r="E14">
            <v>201500</v>
          </cell>
          <cell r="F14">
            <v>20000</v>
          </cell>
          <cell r="G14">
            <v>80000</v>
          </cell>
          <cell r="H14">
            <v>101500</v>
          </cell>
          <cell r="J14" t="str">
            <v xml:space="preserve">CALUSSA </v>
          </cell>
          <cell r="K14" t="str">
            <v>Booked</v>
          </cell>
          <cell r="L14">
            <v>10000</v>
          </cell>
          <cell r="M14">
            <v>0.125</v>
          </cell>
          <cell r="N14">
            <v>0.43792590925203811</v>
          </cell>
          <cell r="O14">
            <v>8</v>
          </cell>
          <cell r="Q14">
            <v>80000</v>
          </cell>
          <cell r="R14" t="str">
            <v>Beach Club</v>
          </cell>
          <cell r="S14">
            <v>28</v>
          </cell>
          <cell r="T14">
            <v>2857.1428571428573</v>
          </cell>
          <cell r="U14">
            <v>83500</v>
          </cell>
          <cell r="V14">
            <v>3500</v>
          </cell>
          <cell r="W14">
            <v>5500</v>
          </cell>
          <cell r="X14">
            <v>4000</v>
          </cell>
          <cell r="Y14">
            <v>3000</v>
          </cell>
          <cell r="Z14">
            <v>2500</v>
          </cell>
          <cell r="AA14">
            <v>1500</v>
          </cell>
        </row>
        <row r="15">
          <cell r="B15">
            <v>46054</v>
          </cell>
          <cell r="D15">
            <v>0</v>
          </cell>
          <cell r="E15">
            <v>242000</v>
          </cell>
          <cell r="F15">
            <v>81000</v>
          </cell>
          <cell r="G15">
            <v>80000</v>
          </cell>
          <cell r="H15">
            <v>81000</v>
          </cell>
          <cell r="J15" t="str">
            <v xml:space="preserve">VALERON </v>
          </cell>
          <cell r="K15" t="str">
            <v>Booked</v>
          </cell>
          <cell r="L15">
            <v>10000</v>
          </cell>
          <cell r="M15">
            <v>0.125</v>
          </cell>
          <cell r="N15">
            <v>0.48955070543093265</v>
          </cell>
          <cell r="O15">
            <v>8</v>
          </cell>
          <cell r="Q15">
            <v>80000</v>
          </cell>
          <cell r="R15" t="str">
            <v>Beach Club</v>
          </cell>
          <cell r="S15">
            <v>28</v>
          </cell>
          <cell r="T15">
            <v>2857.1428571428573</v>
          </cell>
          <cell r="U15">
            <v>109000</v>
          </cell>
          <cell r="V15">
            <v>29000</v>
          </cell>
          <cell r="W15">
            <v>6000</v>
          </cell>
          <cell r="X15">
            <v>5000</v>
          </cell>
          <cell r="Y15">
            <v>4500</v>
          </cell>
          <cell r="Z15">
            <v>3000</v>
          </cell>
          <cell r="AA15">
            <v>1500</v>
          </cell>
        </row>
        <row r="16">
          <cell r="B16">
            <v>46060</v>
          </cell>
          <cell r="D16">
            <v>0</v>
          </cell>
          <cell r="E16">
            <v>177500</v>
          </cell>
          <cell r="F16">
            <v>20000</v>
          </cell>
          <cell r="G16">
            <v>56000</v>
          </cell>
          <cell r="H16">
            <v>101500</v>
          </cell>
          <cell r="J16" t="str">
            <v xml:space="preserve">TOM&amp;COLLINS </v>
          </cell>
          <cell r="K16" t="str">
            <v>Booked</v>
          </cell>
          <cell r="L16">
            <v>7000</v>
          </cell>
          <cell r="M16">
            <v>0.125</v>
          </cell>
          <cell r="N16">
            <v>0.41311814486921533</v>
          </cell>
          <cell r="O16">
            <v>8</v>
          </cell>
          <cell r="Q16">
            <v>56000</v>
          </cell>
          <cell r="R16" t="str">
            <v>Beach Club</v>
          </cell>
          <cell r="S16">
            <v>28</v>
          </cell>
          <cell r="T16">
            <v>2000</v>
          </cell>
          <cell r="U16">
            <v>83500</v>
          </cell>
          <cell r="V16">
            <v>27500</v>
          </cell>
          <cell r="W16">
            <v>5500</v>
          </cell>
          <cell r="X16">
            <v>4000</v>
          </cell>
          <cell r="Y16">
            <v>3000</v>
          </cell>
          <cell r="Z16">
            <v>2500</v>
          </cell>
          <cell r="AA16">
            <v>1500</v>
          </cell>
        </row>
        <row r="17">
          <cell r="B17">
            <v>46061</v>
          </cell>
          <cell r="D17">
            <v>0</v>
          </cell>
          <cell r="E17">
            <v>242000</v>
          </cell>
          <cell r="F17">
            <v>81000</v>
          </cell>
          <cell r="G17">
            <v>80000</v>
          </cell>
          <cell r="H17">
            <v>81000</v>
          </cell>
          <cell r="J17" t="str">
            <v xml:space="preserve">FRANKY RIZARDO </v>
          </cell>
          <cell r="K17" t="str">
            <v>Booked</v>
          </cell>
          <cell r="L17">
            <v>40000</v>
          </cell>
          <cell r="M17">
            <v>0.5</v>
          </cell>
          <cell r="N17">
            <v>0.36558376328217229</v>
          </cell>
          <cell r="O17">
            <v>2</v>
          </cell>
          <cell r="Q17">
            <v>80000</v>
          </cell>
          <cell r="R17" t="str">
            <v>Beach Club</v>
          </cell>
          <cell r="S17">
            <v>28</v>
          </cell>
          <cell r="T17">
            <v>2857.1428571428573</v>
          </cell>
          <cell r="U17">
            <v>161500</v>
          </cell>
          <cell r="V17">
            <v>81500</v>
          </cell>
          <cell r="W17">
            <v>8500</v>
          </cell>
          <cell r="X17">
            <v>7000</v>
          </cell>
          <cell r="Y17">
            <v>6500</v>
          </cell>
          <cell r="Z17">
            <v>4500</v>
          </cell>
          <cell r="AA17">
            <v>3000</v>
          </cell>
        </row>
        <row r="18">
          <cell r="B18">
            <v>46067</v>
          </cell>
          <cell r="D18">
            <v>0</v>
          </cell>
          <cell r="E18">
            <v>223500</v>
          </cell>
          <cell r="F18">
            <v>20000</v>
          </cell>
          <cell r="G18">
            <v>102000</v>
          </cell>
          <cell r="H18">
            <v>101500</v>
          </cell>
          <cell r="J18" t="str">
            <v>DJEFF B2B AWEN</v>
          </cell>
          <cell r="K18" t="str">
            <v>Booked</v>
          </cell>
          <cell r="L18">
            <v>17000</v>
          </cell>
          <cell r="M18">
            <v>0.16666666666666666</v>
          </cell>
          <cell r="N18">
            <v>0.43697033876637897</v>
          </cell>
          <cell r="O18">
            <v>6</v>
          </cell>
          <cell r="Q18">
            <v>102000</v>
          </cell>
          <cell r="R18" t="str">
            <v>Beach Club</v>
          </cell>
          <cell r="S18">
            <v>28</v>
          </cell>
          <cell r="T18">
            <v>3642.8571428571427</v>
          </cell>
          <cell r="U18">
            <v>96000</v>
          </cell>
          <cell r="V18">
            <v>-6000</v>
          </cell>
          <cell r="W18">
            <v>5500</v>
          </cell>
          <cell r="X18">
            <v>4500</v>
          </cell>
          <cell r="Y18">
            <v>3500</v>
          </cell>
          <cell r="Z18">
            <v>3000</v>
          </cell>
          <cell r="AA18">
            <v>2000</v>
          </cell>
        </row>
        <row r="19">
          <cell r="B19">
            <v>46068</v>
          </cell>
          <cell r="D19">
            <v>0</v>
          </cell>
          <cell r="E19">
            <v>242000</v>
          </cell>
          <cell r="F19">
            <v>81000</v>
          </cell>
          <cell r="G19">
            <v>80000</v>
          </cell>
          <cell r="H19">
            <v>81000</v>
          </cell>
          <cell r="J19" t="str">
            <v>SILVIE LOTTO</v>
          </cell>
          <cell r="K19" t="str">
            <v>Booked</v>
          </cell>
          <cell r="L19">
            <v>8000</v>
          </cell>
          <cell r="M19">
            <v>0.1</v>
          </cell>
          <cell r="N19">
            <v>0.49781516824084998</v>
          </cell>
          <cell r="O19">
            <v>10</v>
          </cell>
          <cell r="Q19">
            <v>80000</v>
          </cell>
          <cell r="R19" t="str">
            <v>Beach Club</v>
          </cell>
          <cell r="S19">
            <v>28</v>
          </cell>
          <cell r="T19">
            <v>2857.1428571428573</v>
          </cell>
          <cell r="U19">
            <v>109000</v>
          </cell>
          <cell r="V19">
            <v>29000</v>
          </cell>
          <cell r="W19">
            <v>6000</v>
          </cell>
          <cell r="X19">
            <v>5000</v>
          </cell>
          <cell r="Y19">
            <v>4500</v>
          </cell>
          <cell r="Z19">
            <v>3000</v>
          </cell>
          <cell r="AA19">
            <v>1500</v>
          </cell>
        </row>
        <row r="20">
          <cell r="B20">
            <v>46074</v>
          </cell>
          <cell r="D20">
            <v>0</v>
          </cell>
          <cell r="E20">
            <v>221500</v>
          </cell>
          <cell r="F20">
            <v>20000</v>
          </cell>
          <cell r="G20">
            <v>100000</v>
          </cell>
          <cell r="H20">
            <v>101500</v>
          </cell>
          <cell r="J20" t="str">
            <v>PABLO FIERRO</v>
          </cell>
          <cell r="K20" t="str">
            <v>Booked</v>
          </cell>
          <cell r="L20">
            <v>25000</v>
          </cell>
          <cell r="M20">
            <v>0.25</v>
          </cell>
          <cell r="N20">
            <v>0.39805900999677513</v>
          </cell>
          <cell r="O20">
            <v>4</v>
          </cell>
          <cell r="Q20">
            <v>100000</v>
          </cell>
          <cell r="R20" t="str">
            <v>Beach Club</v>
          </cell>
          <cell r="S20">
            <v>28</v>
          </cell>
          <cell r="T20">
            <v>3571.4285714285716</v>
          </cell>
          <cell r="U20">
            <v>96000</v>
          </cell>
          <cell r="V20">
            <v>-4000</v>
          </cell>
          <cell r="W20">
            <v>5500</v>
          </cell>
          <cell r="X20">
            <v>4500</v>
          </cell>
          <cell r="Y20">
            <v>3500</v>
          </cell>
          <cell r="Z20">
            <v>3000</v>
          </cell>
          <cell r="AA20">
            <v>2000</v>
          </cell>
        </row>
        <row r="21">
          <cell r="B21">
            <v>46075</v>
          </cell>
          <cell r="D21">
            <v>0</v>
          </cell>
          <cell r="E21">
            <v>302000</v>
          </cell>
          <cell r="F21">
            <v>81000</v>
          </cell>
          <cell r="G21">
            <v>140000</v>
          </cell>
          <cell r="H21">
            <v>81000</v>
          </cell>
          <cell r="J21" t="str">
            <v>BEDOUIN</v>
          </cell>
          <cell r="K21" t="str">
            <v>Booked</v>
          </cell>
          <cell r="L21">
            <v>70000</v>
          </cell>
          <cell r="M21">
            <v>0.5</v>
          </cell>
          <cell r="N21">
            <v>0.34190486991485336</v>
          </cell>
          <cell r="O21">
            <v>2</v>
          </cell>
          <cell r="Q21">
            <v>140000</v>
          </cell>
          <cell r="R21" t="str">
            <v>Beach Club</v>
          </cell>
          <cell r="S21">
            <v>28</v>
          </cell>
          <cell r="T21">
            <v>5000</v>
          </cell>
          <cell r="U21">
            <v>193000</v>
          </cell>
          <cell r="V21">
            <v>53000</v>
          </cell>
          <cell r="W21">
            <v>9500</v>
          </cell>
          <cell r="X21">
            <v>8500</v>
          </cell>
          <cell r="Y21">
            <v>7500</v>
          </cell>
          <cell r="Z21">
            <v>6000</v>
          </cell>
          <cell r="AA21">
            <v>4000</v>
          </cell>
        </row>
        <row r="22">
          <cell r="B22">
            <v>46081</v>
          </cell>
          <cell r="D22">
            <v>0</v>
          </cell>
          <cell r="E22">
            <v>241500</v>
          </cell>
          <cell r="F22">
            <v>20000</v>
          </cell>
          <cell r="G22">
            <v>120000</v>
          </cell>
          <cell r="H22">
            <v>101500</v>
          </cell>
          <cell r="J22" t="str">
            <v>DAMIAN LAZARUS</v>
          </cell>
          <cell r="K22" t="str">
            <v>Booked</v>
          </cell>
          <cell r="L22">
            <v>60000</v>
          </cell>
          <cell r="M22">
            <v>0.5</v>
          </cell>
          <cell r="N22">
            <v>0.2819795888790298</v>
          </cell>
          <cell r="O22">
            <v>2</v>
          </cell>
          <cell r="Q22">
            <v>120000</v>
          </cell>
          <cell r="R22" t="str">
            <v>Beach Club</v>
          </cell>
          <cell r="S22">
            <v>28</v>
          </cell>
          <cell r="T22">
            <v>4285.7142857142853</v>
          </cell>
          <cell r="U22">
            <v>133500</v>
          </cell>
          <cell r="V22">
            <v>13500</v>
          </cell>
          <cell r="W22">
            <v>7500</v>
          </cell>
          <cell r="X22">
            <v>6000</v>
          </cell>
          <cell r="Y22">
            <v>5500</v>
          </cell>
          <cell r="Z22">
            <v>3500</v>
          </cell>
          <cell r="AA22">
            <v>2000</v>
          </cell>
        </row>
        <row r="23">
          <cell r="B23">
            <v>46082</v>
          </cell>
          <cell r="D23">
            <v>0</v>
          </cell>
          <cell r="E23">
            <v>402000</v>
          </cell>
          <cell r="F23">
            <v>81000</v>
          </cell>
          <cell r="G23">
            <v>240000</v>
          </cell>
          <cell r="H23">
            <v>81000</v>
          </cell>
          <cell r="J23" t="str">
            <v>MARCO CAROLA</v>
          </cell>
          <cell r="K23" t="str">
            <v>Booked</v>
          </cell>
          <cell r="L23">
            <v>120000</v>
          </cell>
          <cell r="M23">
            <v>0.5</v>
          </cell>
          <cell r="N23">
            <v>0.31814743958777542</v>
          </cell>
          <cell r="O23">
            <v>2</v>
          </cell>
          <cell r="Q23">
            <v>240000</v>
          </cell>
          <cell r="R23" t="str">
            <v>Beach Club</v>
          </cell>
          <cell r="S23">
            <v>28</v>
          </cell>
          <cell r="T23">
            <v>8571.4285714285706</v>
          </cell>
          <cell r="U23">
            <v>248760</v>
          </cell>
          <cell r="V23">
            <v>8760</v>
          </cell>
          <cell r="W23">
            <v>14160</v>
          </cell>
          <cell r="X23">
            <v>11280</v>
          </cell>
          <cell r="Y23">
            <v>9840</v>
          </cell>
          <cell r="Z23">
            <v>6960</v>
          </cell>
          <cell r="AA23">
            <v>4200</v>
          </cell>
        </row>
        <row r="24">
          <cell r="B24">
            <v>46025</v>
          </cell>
          <cell r="D24">
            <v>0</v>
          </cell>
          <cell r="E24">
            <v>321500</v>
          </cell>
          <cell r="F24">
            <v>20000</v>
          </cell>
          <cell r="G24">
            <v>200000</v>
          </cell>
          <cell r="H24">
            <v>101500</v>
          </cell>
          <cell r="J24" t="str">
            <v>CLOONEE</v>
          </cell>
          <cell r="K24" t="str">
            <v>Booked</v>
          </cell>
          <cell r="L24">
            <v>100000</v>
          </cell>
          <cell r="M24">
            <v>0.5</v>
          </cell>
          <cell r="N24">
            <v>0.2754261919573428</v>
          </cell>
          <cell r="O24">
            <v>2</v>
          </cell>
          <cell r="Q24">
            <v>200000</v>
          </cell>
          <cell r="R24" t="str">
            <v>Beach Club</v>
          </cell>
          <cell r="S24">
            <v>28</v>
          </cell>
          <cell r="T24">
            <v>7142.8571428571431</v>
          </cell>
          <cell r="U24">
            <v>207300</v>
          </cell>
          <cell r="V24">
            <v>7300</v>
          </cell>
          <cell r="W24">
            <v>11800</v>
          </cell>
          <cell r="X24">
            <v>9400</v>
          </cell>
          <cell r="Y24">
            <v>8200</v>
          </cell>
          <cell r="Z24">
            <v>5800</v>
          </cell>
          <cell r="AA24">
            <v>3500.0000000000005</v>
          </cell>
        </row>
        <row r="25">
          <cell r="B25">
            <v>46088</v>
          </cell>
          <cell r="D25">
            <v>0</v>
          </cell>
          <cell r="E25">
            <v>127900</v>
          </cell>
          <cell r="F25">
            <v>26400</v>
          </cell>
          <cell r="G25">
            <v>0</v>
          </cell>
          <cell r="H25">
            <v>101500</v>
          </cell>
          <cell r="J25" t="str">
            <v>BC CLOSED</v>
          </cell>
          <cell r="K25" t="str">
            <v>Not Booked</v>
          </cell>
          <cell r="L25">
            <v>0</v>
          </cell>
          <cell r="M25" t="str">
            <v/>
          </cell>
          <cell r="N25">
            <v>0.33860070925946606</v>
          </cell>
          <cell r="O25">
            <v>0</v>
          </cell>
          <cell r="Q25">
            <v>0</v>
          </cell>
          <cell r="R25" t="str">
            <v>Beach Club</v>
          </cell>
          <cell r="S25">
            <v>28</v>
          </cell>
          <cell r="T25">
            <v>0</v>
          </cell>
          <cell r="U25" t="e">
            <v>#VALUE!</v>
          </cell>
          <cell r="V25">
            <v>0</v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</row>
        <row r="26">
          <cell r="B26">
            <v>46089</v>
          </cell>
          <cell r="D26">
            <v>0</v>
          </cell>
          <cell r="E26">
            <v>332000</v>
          </cell>
          <cell r="F26">
            <v>81000</v>
          </cell>
          <cell r="G26">
            <v>170000</v>
          </cell>
          <cell r="H26">
            <v>81000</v>
          </cell>
          <cell r="J26" t="str">
            <v>BOB MOSES</v>
          </cell>
          <cell r="K26" t="str">
            <v>Booked</v>
          </cell>
          <cell r="L26">
            <v>85000</v>
          </cell>
          <cell r="M26">
            <v>0.5</v>
          </cell>
          <cell r="N26">
            <v>0.33327491179001717</v>
          </cell>
          <cell r="O26">
            <v>2</v>
          </cell>
          <cell r="Q26">
            <v>170000</v>
          </cell>
          <cell r="R26" t="str">
            <v>Beach Club</v>
          </cell>
          <cell r="S26">
            <v>28</v>
          </cell>
          <cell r="T26">
            <v>6071.4285714285716</v>
          </cell>
          <cell r="U26">
            <v>223500</v>
          </cell>
          <cell r="V26">
            <v>53500</v>
          </cell>
          <cell r="W26">
            <v>15000</v>
          </cell>
          <cell r="X26">
            <v>9000</v>
          </cell>
          <cell r="Y26">
            <v>8500</v>
          </cell>
          <cell r="Z26">
            <v>5500</v>
          </cell>
          <cell r="AA26">
            <v>4500</v>
          </cell>
        </row>
        <row r="27">
          <cell r="B27">
            <v>46095</v>
          </cell>
          <cell r="D27">
            <v>0</v>
          </cell>
          <cell r="E27">
            <v>213300</v>
          </cell>
          <cell r="F27">
            <v>26400</v>
          </cell>
          <cell r="G27">
            <v>82500</v>
          </cell>
          <cell r="H27">
            <v>104400</v>
          </cell>
          <cell r="J27" t="str">
            <v>MIGUELLE &amp; TONS</v>
          </cell>
          <cell r="K27" t="str">
            <v>Booked</v>
          </cell>
          <cell r="L27">
            <v>15000</v>
          </cell>
          <cell r="M27">
            <v>0.18181818181818182</v>
          </cell>
          <cell r="N27">
            <v>0.43154988614292406</v>
          </cell>
          <cell r="O27">
            <v>5.5</v>
          </cell>
          <cell r="Q27">
            <v>82500</v>
          </cell>
          <cell r="R27" t="str">
            <v>Beach Club</v>
          </cell>
          <cell r="S27">
            <v>28</v>
          </cell>
          <cell r="T27">
            <v>2946.4285714285716</v>
          </cell>
          <cell r="U27">
            <v>83500</v>
          </cell>
          <cell r="V27">
            <v>1000</v>
          </cell>
          <cell r="W27">
            <v>5500</v>
          </cell>
          <cell r="X27">
            <v>4000</v>
          </cell>
          <cell r="Y27">
            <v>3000</v>
          </cell>
          <cell r="Z27">
            <v>2500</v>
          </cell>
          <cell r="AA27">
            <v>1500</v>
          </cell>
        </row>
        <row r="28">
          <cell r="B28">
            <v>46096</v>
          </cell>
          <cell r="D28">
            <v>0</v>
          </cell>
          <cell r="E28">
            <v>319500</v>
          </cell>
          <cell r="F28">
            <v>81000</v>
          </cell>
          <cell r="G28">
            <v>157500</v>
          </cell>
          <cell r="H28">
            <v>81000</v>
          </cell>
          <cell r="J28" t="str">
            <v>MITA GAMI</v>
          </cell>
          <cell r="K28" t="str">
            <v>Booked</v>
          </cell>
          <cell r="L28">
            <v>45000</v>
          </cell>
          <cell r="M28">
            <v>0.2857142857142857</v>
          </cell>
          <cell r="N28">
            <v>0.44230757657053427</v>
          </cell>
          <cell r="O28">
            <v>3.5</v>
          </cell>
          <cell r="Q28">
            <v>157500</v>
          </cell>
          <cell r="R28" t="str">
            <v>Beach Club</v>
          </cell>
          <cell r="S28">
            <v>28</v>
          </cell>
          <cell r="T28">
            <v>5625</v>
          </cell>
          <cell r="U28">
            <v>161500</v>
          </cell>
          <cell r="V28">
            <v>4000</v>
          </cell>
          <cell r="W28">
            <v>8500</v>
          </cell>
          <cell r="X28">
            <v>7000</v>
          </cell>
          <cell r="Y28">
            <v>6500</v>
          </cell>
          <cell r="Z28">
            <v>4500</v>
          </cell>
          <cell r="AA28">
            <v>3000</v>
          </cell>
        </row>
        <row r="29">
          <cell r="B29">
            <v>46102</v>
          </cell>
          <cell r="D29">
            <v>0</v>
          </cell>
          <cell r="E29">
            <v>203900</v>
          </cell>
          <cell r="F29">
            <v>26400</v>
          </cell>
          <cell r="G29">
            <v>68750</v>
          </cell>
          <cell r="H29">
            <v>108750</v>
          </cell>
          <cell r="J29" t="str">
            <v>ANDREA OLIVA</v>
          </cell>
          <cell r="K29" t="str">
            <v>Booked</v>
          </cell>
          <cell r="L29">
            <v>12500</v>
          </cell>
          <cell r="M29">
            <v>0.18181818181818182</v>
          </cell>
          <cell r="N29">
            <v>0.4292958838366146</v>
          </cell>
          <cell r="O29">
            <v>5.5</v>
          </cell>
          <cell r="Q29">
            <v>68750</v>
          </cell>
          <cell r="R29" t="str">
            <v>Beach Club</v>
          </cell>
          <cell r="S29">
            <v>28</v>
          </cell>
          <cell r="T29">
            <v>2455.3571428571427</v>
          </cell>
          <cell r="U29">
            <v>83500</v>
          </cell>
          <cell r="V29">
            <v>14750</v>
          </cell>
          <cell r="W29">
            <v>5500</v>
          </cell>
          <cell r="X29">
            <v>4000</v>
          </cell>
          <cell r="Y29">
            <v>3000</v>
          </cell>
          <cell r="Z29">
            <v>2500</v>
          </cell>
          <cell r="AA29">
            <v>1500</v>
          </cell>
        </row>
        <row r="30">
          <cell r="B30">
            <v>46103</v>
          </cell>
          <cell r="D30">
            <v>0</v>
          </cell>
          <cell r="E30">
            <v>267000</v>
          </cell>
          <cell r="F30">
            <v>81000</v>
          </cell>
          <cell r="G30">
            <v>105000</v>
          </cell>
          <cell r="H30">
            <v>81000</v>
          </cell>
          <cell r="J30" t="str">
            <v>ROGER SANCHEZ</v>
          </cell>
          <cell r="K30" t="str">
            <v>Booked</v>
          </cell>
          <cell r="L30">
            <v>15000</v>
          </cell>
          <cell r="M30">
            <v>0.14285714285714285</v>
          </cell>
          <cell r="N30">
            <v>0.49487367308721236</v>
          </cell>
          <cell r="O30">
            <v>7</v>
          </cell>
          <cell r="Q30">
            <v>105000</v>
          </cell>
          <cell r="R30" t="str">
            <v>Beach Club</v>
          </cell>
          <cell r="S30">
            <v>28</v>
          </cell>
          <cell r="T30">
            <v>3750</v>
          </cell>
          <cell r="U30">
            <v>109000</v>
          </cell>
          <cell r="V30">
            <v>4000</v>
          </cell>
          <cell r="W30">
            <v>6000</v>
          </cell>
          <cell r="X30">
            <v>5000</v>
          </cell>
          <cell r="Y30">
            <v>4500</v>
          </cell>
          <cell r="Z30">
            <v>3000</v>
          </cell>
          <cell r="AA30">
            <v>1500</v>
          </cell>
        </row>
        <row r="31">
          <cell r="B31">
            <v>46109</v>
          </cell>
          <cell r="D31">
            <v>0</v>
          </cell>
          <cell r="E31">
            <v>299500</v>
          </cell>
          <cell r="F31">
            <v>26400</v>
          </cell>
          <cell r="G31">
            <v>160000</v>
          </cell>
          <cell r="H31">
            <v>113100</v>
          </cell>
          <cell r="J31" t="str">
            <v>CAMELPHAT</v>
          </cell>
          <cell r="K31" t="str">
            <v>Booked</v>
          </cell>
          <cell r="L31">
            <v>80000</v>
          </cell>
          <cell r="M31">
            <v>0.5</v>
          </cell>
          <cell r="N31">
            <v>0.30513946816122106</v>
          </cell>
          <cell r="O31">
            <v>2</v>
          </cell>
          <cell r="Q31">
            <v>160000</v>
          </cell>
          <cell r="R31" t="str">
            <v>Beach Club</v>
          </cell>
          <cell r="S31">
            <v>28</v>
          </cell>
          <cell r="T31">
            <v>5714.2857142857147</v>
          </cell>
          <cell r="U31">
            <v>174500</v>
          </cell>
          <cell r="V31">
            <v>14500</v>
          </cell>
          <cell r="W31">
            <v>10000</v>
          </cell>
          <cell r="X31">
            <v>8000</v>
          </cell>
          <cell r="Y31">
            <v>7000</v>
          </cell>
          <cell r="Z31">
            <v>4500</v>
          </cell>
          <cell r="AA31">
            <v>3000</v>
          </cell>
        </row>
        <row r="32">
          <cell r="B32">
            <v>46110</v>
          </cell>
          <cell r="D32">
            <v>0</v>
          </cell>
          <cell r="E32">
            <v>337000</v>
          </cell>
          <cell r="F32">
            <v>81000</v>
          </cell>
          <cell r="G32">
            <v>175000</v>
          </cell>
          <cell r="H32">
            <v>81000</v>
          </cell>
          <cell r="J32" t="str">
            <v>LUCIANO</v>
          </cell>
          <cell r="K32" t="str">
            <v>Booked</v>
          </cell>
          <cell r="L32">
            <v>70000</v>
          </cell>
          <cell r="M32">
            <v>0.4</v>
          </cell>
          <cell r="N32">
            <v>0.38391474989402286</v>
          </cell>
          <cell r="O32">
            <v>2.5</v>
          </cell>
          <cell r="Q32">
            <v>175000</v>
          </cell>
          <cell r="R32" t="str">
            <v>Beach Club</v>
          </cell>
          <cell r="S32">
            <v>28</v>
          </cell>
          <cell r="T32">
            <v>6250</v>
          </cell>
          <cell r="U32">
            <v>193000</v>
          </cell>
          <cell r="V32">
            <v>18000</v>
          </cell>
          <cell r="W32">
            <v>9500</v>
          </cell>
          <cell r="X32">
            <v>8500</v>
          </cell>
          <cell r="Y32">
            <v>7500</v>
          </cell>
          <cell r="Z32">
            <v>6000</v>
          </cell>
          <cell r="AA32">
            <v>4000</v>
          </cell>
        </row>
        <row r="33">
          <cell r="B33">
            <v>46116</v>
          </cell>
          <cell r="D33">
            <v>0</v>
          </cell>
          <cell r="E33">
            <v>194500</v>
          </cell>
          <cell r="F33">
            <v>26400</v>
          </cell>
          <cell r="G33">
            <v>55000</v>
          </cell>
          <cell r="H33">
            <v>113100</v>
          </cell>
          <cell r="J33" t="str">
            <v>ZEEBA &amp; AVI</v>
          </cell>
          <cell r="K33" t="str">
            <v>Booked</v>
          </cell>
          <cell r="L33">
            <v>10000</v>
          </cell>
          <cell r="M33">
            <v>0.18181818181818182</v>
          </cell>
          <cell r="N33">
            <v>0.42682401395519648</v>
          </cell>
          <cell r="O33">
            <v>5.5</v>
          </cell>
          <cell r="Q33">
            <v>55000</v>
          </cell>
          <cell r="R33" t="str">
            <v>Beach Club</v>
          </cell>
          <cell r="S33">
            <v>28</v>
          </cell>
          <cell r="T33">
            <v>1964.2857142857142</v>
          </cell>
          <cell r="U33">
            <v>83500</v>
          </cell>
          <cell r="V33">
            <v>28500</v>
          </cell>
          <cell r="W33">
            <v>5500</v>
          </cell>
          <cell r="X33">
            <v>4000</v>
          </cell>
          <cell r="Y33">
            <v>3000</v>
          </cell>
          <cell r="Z33">
            <v>2500</v>
          </cell>
          <cell r="AA33">
            <v>1500</v>
          </cell>
        </row>
        <row r="34">
          <cell r="B34">
            <v>46117</v>
          </cell>
          <cell r="D34">
            <v>0</v>
          </cell>
          <cell r="E34">
            <v>302000</v>
          </cell>
          <cell r="F34">
            <v>81000</v>
          </cell>
          <cell r="G34">
            <v>140000</v>
          </cell>
          <cell r="H34">
            <v>81000</v>
          </cell>
          <cell r="J34" t="str">
            <v>SHIMZA</v>
          </cell>
          <cell r="K34" t="str">
            <v>Booked</v>
          </cell>
          <cell r="L34">
            <v>40000</v>
          </cell>
          <cell r="M34">
            <v>0.2857142857142857</v>
          </cell>
          <cell r="N34">
            <v>0.44124261825922417</v>
          </cell>
          <cell r="O34">
            <v>3.5</v>
          </cell>
          <cell r="Q34">
            <v>140000</v>
          </cell>
          <cell r="R34" t="str">
            <v>Beach Club</v>
          </cell>
          <cell r="S34">
            <v>28</v>
          </cell>
          <cell r="T34">
            <v>5000</v>
          </cell>
          <cell r="U34">
            <v>161500</v>
          </cell>
          <cell r="V34">
            <v>21500</v>
          </cell>
          <cell r="W34">
            <v>8500</v>
          </cell>
          <cell r="X34">
            <v>7000</v>
          </cell>
          <cell r="Y34">
            <v>6500</v>
          </cell>
          <cell r="Z34">
            <v>4500</v>
          </cell>
          <cell r="AA34">
            <v>3000</v>
          </cell>
        </row>
        <row r="35">
          <cell r="B35">
            <v>46123</v>
          </cell>
          <cell r="D35">
            <v>0</v>
          </cell>
          <cell r="E35">
            <v>206000</v>
          </cell>
          <cell r="F35">
            <v>81000</v>
          </cell>
          <cell r="G35">
            <v>44000</v>
          </cell>
          <cell r="H35">
            <v>81000</v>
          </cell>
          <cell r="J35" t="str">
            <v>VANJEE</v>
          </cell>
          <cell r="K35" t="str">
            <v>Booked</v>
          </cell>
          <cell r="L35">
            <v>8000</v>
          </cell>
          <cell r="M35">
            <v>0.18181818181818182</v>
          </cell>
          <cell r="N35">
            <v>0.45437315880721213</v>
          </cell>
          <cell r="O35">
            <v>5.5</v>
          </cell>
          <cell r="Q35">
            <v>44000</v>
          </cell>
          <cell r="R35" t="str">
            <v>Beach Club</v>
          </cell>
          <cell r="S35">
            <v>28</v>
          </cell>
          <cell r="T35">
            <v>1571.4285714285713</v>
          </cell>
          <cell r="U35">
            <v>121500</v>
          </cell>
          <cell r="V35">
            <v>77500</v>
          </cell>
          <cell r="W35">
            <v>5500</v>
          </cell>
          <cell r="X35">
            <v>4000</v>
          </cell>
          <cell r="Y35">
            <v>3000</v>
          </cell>
          <cell r="Z35">
            <v>2500</v>
          </cell>
          <cell r="AA35">
            <v>1500</v>
          </cell>
          <cell r="AB35">
            <v>2000</v>
          </cell>
        </row>
        <row r="36">
          <cell r="B36">
            <v>46124</v>
          </cell>
          <cell r="D36">
            <v>0</v>
          </cell>
          <cell r="E36">
            <v>218000</v>
          </cell>
          <cell r="F36">
            <v>81000</v>
          </cell>
          <cell r="G36">
            <v>56000</v>
          </cell>
          <cell r="H36">
            <v>81000</v>
          </cell>
          <cell r="J36" t="str">
            <v>DARMON B2B BARON</v>
          </cell>
          <cell r="K36" t="str">
            <v>Booked</v>
          </cell>
          <cell r="L36">
            <v>8000</v>
          </cell>
          <cell r="M36">
            <v>0.14285714285714285</v>
          </cell>
          <cell r="N36">
            <v>0.47044803079947584</v>
          </cell>
          <cell r="O36">
            <v>7</v>
          </cell>
          <cell r="Q36">
            <v>56000</v>
          </cell>
          <cell r="R36" t="str">
            <v>Beach Club</v>
          </cell>
          <cell r="S36">
            <v>28</v>
          </cell>
          <cell r="T36">
            <v>2000</v>
          </cell>
          <cell r="U36">
            <v>109000</v>
          </cell>
          <cell r="V36">
            <v>53000</v>
          </cell>
          <cell r="W36">
            <v>6000</v>
          </cell>
          <cell r="X36">
            <v>5000</v>
          </cell>
          <cell r="Y36">
            <v>4500</v>
          </cell>
          <cell r="Z36">
            <v>3000</v>
          </cell>
          <cell r="AA36">
            <v>1500</v>
          </cell>
        </row>
        <row r="37">
          <cell r="B37">
            <v>46130</v>
          </cell>
          <cell r="D37">
            <v>0</v>
          </cell>
          <cell r="E37">
            <v>217000</v>
          </cell>
          <cell r="F37">
            <v>81000</v>
          </cell>
          <cell r="G37">
            <v>55000</v>
          </cell>
          <cell r="H37">
            <v>81000</v>
          </cell>
          <cell r="J37" t="str">
            <v>NICO DE ANDREA</v>
          </cell>
          <cell r="K37" t="str">
            <v>Booked</v>
          </cell>
          <cell r="L37">
            <v>10000</v>
          </cell>
          <cell r="M37">
            <v>0.18181818181818182</v>
          </cell>
          <cell r="N37">
            <v>0.4599597728768926</v>
          </cell>
          <cell r="O37">
            <v>5.5</v>
          </cell>
          <cell r="Q37">
            <v>55000</v>
          </cell>
          <cell r="R37" t="str">
            <v>Beach Club</v>
          </cell>
          <cell r="S37">
            <v>28</v>
          </cell>
          <cell r="T37">
            <v>1964.2857142857142</v>
          </cell>
          <cell r="U37">
            <v>121500</v>
          </cell>
          <cell r="V37">
            <v>66500</v>
          </cell>
          <cell r="W37">
            <v>5500</v>
          </cell>
          <cell r="X37">
            <v>4000</v>
          </cell>
          <cell r="Y37">
            <v>3000</v>
          </cell>
          <cell r="Z37">
            <v>2500</v>
          </cell>
          <cell r="AA37">
            <v>1500</v>
          </cell>
          <cell r="AB37">
            <v>2000</v>
          </cell>
        </row>
        <row r="38">
          <cell r="B38">
            <v>46131</v>
          </cell>
          <cell r="D38">
            <v>0</v>
          </cell>
          <cell r="E38">
            <v>262000</v>
          </cell>
          <cell r="F38">
            <v>81000</v>
          </cell>
          <cell r="G38">
            <v>100000</v>
          </cell>
          <cell r="H38">
            <v>81000</v>
          </cell>
          <cell r="J38" t="str">
            <v>ENOO NAPA B2B CAIIRO</v>
          </cell>
          <cell r="K38" t="str">
            <v>Booked</v>
          </cell>
          <cell r="L38">
            <v>20000</v>
          </cell>
          <cell r="M38">
            <v>0.2</v>
          </cell>
          <cell r="N38">
            <v>0.47098958287895304</v>
          </cell>
          <cell r="O38">
            <v>5</v>
          </cell>
          <cell r="Q38">
            <v>100000</v>
          </cell>
          <cell r="R38" t="str">
            <v>Beach Club</v>
          </cell>
          <cell r="S38">
            <v>28</v>
          </cell>
          <cell r="T38">
            <v>3571.4285714285716</v>
          </cell>
          <cell r="U38">
            <v>129500</v>
          </cell>
          <cell r="V38">
            <v>29500</v>
          </cell>
          <cell r="W38">
            <v>7000</v>
          </cell>
          <cell r="X38">
            <v>5500</v>
          </cell>
          <cell r="Y38">
            <v>5000</v>
          </cell>
          <cell r="Z38">
            <v>4000</v>
          </cell>
          <cell r="AA38">
            <v>2500</v>
          </cell>
        </row>
        <row r="39">
          <cell r="B39">
            <v>46137</v>
          </cell>
          <cell r="D39">
            <v>0</v>
          </cell>
          <cell r="E39">
            <v>282000</v>
          </cell>
          <cell r="F39">
            <v>81000</v>
          </cell>
          <cell r="G39">
            <v>120000</v>
          </cell>
          <cell r="H39">
            <v>81000</v>
          </cell>
          <cell r="J39" t="str">
            <v>PATRICK TOPPING</v>
          </cell>
          <cell r="K39" t="str">
            <v>Booked</v>
          </cell>
          <cell r="L39">
            <v>60000</v>
          </cell>
          <cell r="M39">
            <v>0.5</v>
          </cell>
          <cell r="N39">
            <v>0.34867826494427556</v>
          </cell>
          <cell r="O39">
            <v>2</v>
          </cell>
          <cell r="Q39">
            <v>120000</v>
          </cell>
          <cell r="R39" t="str">
            <v>Beach Club</v>
          </cell>
          <cell r="S39">
            <v>28</v>
          </cell>
          <cell r="T39">
            <v>4285.7142857142853</v>
          </cell>
          <cell r="U39">
            <v>133500</v>
          </cell>
          <cell r="V39">
            <v>13500</v>
          </cell>
          <cell r="W39">
            <v>7500</v>
          </cell>
          <cell r="X39">
            <v>6000</v>
          </cell>
          <cell r="Y39">
            <v>5500</v>
          </cell>
          <cell r="Z39">
            <v>3500</v>
          </cell>
          <cell r="AA39">
            <v>2000</v>
          </cell>
        </row>
        <row r="40">
          <cell r="B40">
            <v>46138</v>
          </cell>
          <cell r="D40">
            <v>0</v>
          </cell>
          <cell r="E40">
            <v>262000</v>
          </cell>
          <cell r="F40">
            <v>81000</v>
          </cell>
          <cell r="G40">
            <v>100000</v>
          </cell>
          <cell r="H40">
            <v>81000</v>
          </cell>
          <cell r="J40" t="str">
            <v>BORA UZER</v>
          </cell>
          <cell r="K40" t="str">
            <v>Booked</v>
          </cell>
          <cell r="L40">
            <v>20000</v>
          </cell>
          <cell r="M40">
            <v>0.2</v>
          </cell>
          <cell r="N40">
            <v>0.47098958287895304</v>
          </cell>
          <cell r="O40">
            <v>5</v>
          </cell>
          <cell r="Q40">
            <v>100000</v>
          </cell>
          <cell r="R40" t="str">
            <v>Beach Club</v>
          </cell>
          <cell r="S40">
            <v>28</v>
          </cell>
          <cell r="T40">
            <v>3571.4285714285716</v>
          </cell>
          <cell r="U40">
            <v>129500</v>
          </cell>
          <cell r="V40">
            <v>29500</v>
          </cell>
          <cell r="W40">
            <v>7000</v>
          </cell>
          <cell r="X40">
            <v>5500</v>
          </cell>
          <cell r="Y40">
            <v>5000</v>
          </cell>
          <cell r="Z40">
            <v>4000</v>
          </cell>
          <cell r="AA40">
            <v>2500</v>
          </cell>
        </row>
        <row r="41">
          <cell r="B41">
            <v>46143</v>
          </cell>
          <cell r="D41">
            <v>0</v>
          </cell>
          <cell r="E41">
            <v>462000</v>
          </cell>
          <cell r="F41">
            <v>81000</v>
          </cell>
          <cell r="G41">
            <v>300000</v>
          </cell>
          <cell r="H41">
            <v>81000</v>
          </cell>
          <cell r="J41" t="str">
            <v>ADRIATIQUE</v>
          </cell>
          <cell r="K41" t="str">
            <v>Booked</v>
          </cell>
          <cell r="L41">
            <v>150000</v>
          </cell>
          <cell r="M41">
            <v>0.5</v>
          </cell>
          <cell r="N41" t="str">
            <v/>
          </cell>
          <cell r="O41">
            <v>2</v>
          </cell>
          <cell r="Q41">
            <v>300000</v>
          </cell>
          <cell r="R41" t="str">
            <v>Beach Club</v>
          </cell>
          <cell r="S41">
            <v>28</v>
          </cell>
          <cell r="T41">
            <v>10714.285714285714</v>
          </cell>
          <cell r="U41">
            <v>310950</v>
          </cell>
          <cell r="V41">
            <v>10950</v>
          </cell>
          <cell r="W41">
            <v>17700</v>
          </cell>
          <cell r="X41">
            <v>14100</v>
          </cell>
          <cell r="Y41">
            <v>12300</v>
          </cell>
          <cell r="Z41">
            <v>8700</v>
          </cell>
          <cell r="AA41">
            <v>5250.0000000000009</v>
          </cell>
        </row>
        <row r="42">
          <cell r="B42">
            <v>46144</v>
          </cell>
          <cell r="D42">
            <v>0</v>
          </cell>
          <cell r="E42">
            <v>387000</v>
          </cell>
          <cell r="F42">
            <v>81000</v>
          </cell>
          <cell r="G42">
            <v>225000</v>
          </cell>
          <cell r="H42">
            <v>81000</v>
          </cell>
          <cell r="J42" t="str">
            <v>MESTIZA</v>
          </cell>
          <cell r="K42" t="str">
            <v>Booked</v>
          </cell>
          <cell r="L42">
            <v>45000</v>
          </cell>
          <cell r="M42">
            <v>0.2</v>
          </cell>
          <cell r="N42">
            <v>0.49534695275009222</v>
          </cell>
          <cell r="O42">
            <v>5</v>
          </cell>
          <cell r="Q42">
            <v>225000</v>
          </cell>
          <cell r="R42" t="str">
            <v>Beach Club</v>
          </cell>
          <cell r="S42">
            <v>28</v>
          </cell>
          <cell r="T42">
            <v>8035.7142857142853</v>
          </cell>
          <cell r="U42">
            <v>245300</v>
          </cell>
          <cell r="V42">
            <v>20300</v>
          </cell>
          <cell r="W42">
            <v>11800</v>
          </cell>
          <cell r="X42">
            <v>9400</v>
          </cell>
          <cell r="Y42">
            <v>8200</v>
          </cell>
          <cell r="Z42">
            <v>5800</v>
          </cell>
          <cell r="AA42">
            <v>3500.0000000000005</v>
          </cell>
          <cell r="AB42">
            <v>2000</v>
          </cell>
        </row>
        <row r="43">
          <cell r="B43">
            <v>46145</v>
          </cell>
          <cell r="D43">
            <v>0</v>
          </cell>
          <cell r="E43">
            <v>460000</v>
          </cell>
          <cell r="F43">
            <v>120000</v>
          </cell>
          <cell r="G43">
            <v>240000</v>
          </cell>
          <cell r="H43">
            <v>100000</v>
          </cell>
          <cell r="J43" t="str">
            <v>SETH TROXLER</v>
          </cell>
          <cell r="K43" t="str">
            <v>Booked</v>
          </cell>
          <cell r="L43">
            <v>60000</v>
          </cell>
          <cell r="M43">
            <v>0.25</v>
          </cell>
          <cell r="N43">
            <v>0.50257928416149067</v>
          </cell>
          <cell r="O43">
            <v>4</v>
          </cell>
          <cell r="Q43">
            <v>240000</v>
          </cell>
          <cell r="R43" t="str">
            <v>Beach Club</v>
          </cell>
          <cell r="S43">
            <v>28</v>
          </cell>
          <cell r="T43">
            <v>8571.4285714285706</v>
          </cell>
          <cell r="U43">
            <v>245300</v>
          </cell>
          <cell r="V43">
            <v>5300</v>
          </cell>
          <cell r="W43">
            <v>11800</v>
          </cell>
          <cell r="X43">
            <v>9400</v>
          </cell>
          <cell r="Y43">
            <v>8200</v>
          </cell>
          <cell r="Z43">
            <v>5800</v>
          </cell>
          <cell r="AA43">
            <v>3500.0000000000005</v>
          </cell>
          <cell r="AB43">
            <v>2000</v>
          </cell>
        </row>
        <row r="44">
          <cell r="B44">
            <v>46151</v>
          </cell>
          <cell r="D44">
            <v>0</v>
          </cell>
          <cell r="E44">
            <v>203000</v>
          </cell>
          <cell r="F44">
            <v>81000</v>
          </cell>
          <cell r="G44">
            <v>37000</v>
          </cell>
          <cell r="H44">
            <v>85000</v>
          </cell>
          <cell r="J44" t="str">
            <v>AMOG</v>
          </cell>
          <cell r="K44" t="str">
            <v>Not Booked</v>
          </cell>
          <cell r="L44">
            <v>2000</v>
          </cell>
          <cell r="M44">
            <v>5.4054054054054057E-2</v>
          </cell>
          <cell r="N44">
            <v>0.47961414144968334</v>
          </cell>
          <cell r="O44">
            <v>18.5</v>
          </cell>
          <cell r="Q44">
            <v>37000</v>
          </cell>
          <cell r="R44" t="str">
            <v>Beach Club</v>
          </cell>
          <cell r="S44">
            <v>28</v>
          </cell>
          <cell r="T44">
            <v>1321.4285714285713</v>
          </cell>
          <cell r="U44">
            <v>78000</v>
          </cell>
          <cell r="V44">
            <v>41000</v>
          </cell>
          <cell r="W44">
            <v>4000</v>
          </cell>
          <cell r="X44">
            <v>3500</v>
          </cell>
          <cell r="Y44">
            <v>3000</v>
          </cell>
          <cell r="Z44">
            <v>2500</v>
          </cell>
          <cell r="AA44">
            <v>1500</v>
          </cell>
        </row>
        <row r="45">
          <cell r="B45">
            <v>46152</v>
          </cell>
          <cell r="D45">
            <v>0</v>
          </cell>
          <cell r="E45">
            <v>193000</v>
          </cell>
          <cell r="F45">
            <v>81000</v>
          </cell>
          <cell r="G45">
            <v>42000</v>
          </cell>
          <cell r="H45">
            <v>70000</v>
          </cell>
          <cell r="J45" t="str">
            <v>APACHE</v>
          </cell>
          <cell r="K45" t="str">
            <v>Booked</v>
          </cell>
          <cell r="L45">
            <v>6000</v>
          </cell>
          <cell r="M45">
            <v>0.14285714285714285</v>
          </cell>
          <cell r="N45">
            <v>0.44506565136935611</v>
          </cell>
          <cell r="O45">
            <v>7</v>
          </cell>
          <cell r="Q45">
            <v>42000</v>
          </cell>
          <cell r="S45" t="str">
            <v/>
          </cell>
          <cell r="T45" t="str">
            <v/>
          </cell>
          <cell r="U45">
            <v>109000</v>
          </cell>
          <cell r="V45">
            <v>67000</v>
          </cell>
          <cell r="W45">
            <v>6000</v>
          </cell>
          <cell r="X45">
            <v>5000</v>
          </cell>
          <cell r="Y45">
            <v>4500</v>
          </cell>
          <cell r="Z45">
            <v>3000</v>
          </cell>
          <cell r="AA45">
            <v>1500</v>
          </cell>
        </row>
        <row r="46">
          <cell r="B46">
            <v>46158</v>
          </cell>
          <cell r="D46">
            <v>0</v>
          </cell>
          <cell r="E46">
            <v>221000</v>
          </cell>
          <cell r="F46">
            <v>81000</v>
          </cell>
          <cell r="G46">
            <v>55000</v>
          </cell>
          <cell r="H46">
            <v>85000</v>
          </cell>
          <cell r="J46" t="str">
            <v>KIMONOS</v>
          </cell>
          <cell r="K46" t="str">
            <v>Booked</v>
          </cell>
          <cell r="L46">
            <v>10000</v>
          </cell>
          <cell r="M46">
            <v>0.18181818181818182</v>
          </cell>
          <cell r="N46" t="str">
            <v/>
          </cell>
          <cell r="O46">
            <v>5.5</v>
          </cell>
          <cell r="Q46">
            <v>55000</v>
          </cell>
          <cell r="R46" t="str">
            <v>Beach Club</v>
          </cell>
          <cell r="S46">
            <v>28</v>
          </cell>
          <cell r="T46">
            <v>1964.2857142857142</v>
          </cell>
          <cell r="U46">
            <v>121500</v>
          </cell>
          <cell r="V46">
            <v>66500</v>
          </cell>
          <cell r="W46">
            <v>5500</v>
          </cell>
          <cell r="X46">
            <v>4000</v>
          </cell>
          <cell r="Y46">
            <v>3000</v>
          </cell>
          <cell r="Z46">
            <v>2500</v>
          </cell>
          <cell r="AA46">
            <v>1500</v>
          </cell>
          <cell r="AB46">
            <v>2000</v>
          </cell>
        </row>
        <row r="47">
          <cell r="B47">
            <v>46159</v>
          </cell>
          <cell r="D47">
            <v>0</v>
          </cell>
          <cell r="E47">
            <v>402000</v>
          </cell>
          <cell r="F47">
            <v>0</v>
          </cell>
          <cell r="G47">
            <v>200000</v>
          </cell>
          <cell r="H47">
            <v>202000</v>
          </cell>
          <cell r="J47" t="str">
            <v>MONOLINK</v>
          </cell>
          <cell r="K47" t="str">
            <v>Booked</v>
          </cell>
          <cell r="L47">
            <v>100000</v>
          </cell>
          <cell r="M47">
            <v>0.5</v>
          </cell>
          <cell r="N47" t="str">
            <v/>
          </cell>
          <cell r="O47">
            <v>2</v>
          </cell>
          <cell r="Q47">
            <v>200000</v>
          </cell>
          <cell r="R47" t="str">
            <v>Beach Club</v>
          </cell>
          <cell r="S47">
            <v>28</v>
          </cell>
          <cell r="T47">
            <v>7142.8571428571431</v>
          </cell>
          <cell r="U47">
            <v>245300</v>
          </cell>
          <cell r="V47">
            <v>45300</v>
          </cell>
          <cell r="W47">
            <v>11800</v>
          </cell>
          <cell r="X47">
            <v>9400</v>
          </cell>
          <cell r="Y47">
            <v>8200</v>
          </cell>
          <cell r="Z47">
            <v>5800</v>
          </cell>
          <cell r="AA47">
            <v>3500.0000000000005</v>
          </cell>
          <cell r="AB47">
            <v>2000</v>
          </cell>
        </row>
        <row r="48">
          <cell r="B48">
            <v>46165</v>
          </cell>
          <cell r="D48">
            <v>0</v>
          </cell>
          <cell r="E48">
            <v>133000</v>
          </cell>
          <cell r="F48">
            <v>81000</v>
          </cell>
          <cell r="G48">
            <v>52000</v>
          </cell>
          <cell r="J48" t="str">
            <v>STEVE LAWLER</v>
          </cell>
          <cell r="K48" t="str">
            <v>Booked</v>
          </cell>
          <cell r="L48">
            <v>8000</v>
          </cell>
          <cell r="M48">
            <v>0.15384615384615385</v>
          </cell>
          <cell r="N48" t="str">
            <v/>
          </cell>
          <cell r="O48">
            <v>6.5</v>
          </cell>
          <cell r="Q48">
            <v>52000</v>
          </cell>
          <cell r="R48" t="str">
            <v>Beach Club</v>
          </cell>
          <cell r="S48">
            <v>28</v>
          </cell>
          <cell r="T48">
            <v>1857.1428571428571</v>
          </cell>
          <cell r="U48">
            <v>83500</v>
          </cell>
          <cell r="V48">
            <v>31500</v>
          </cell>
          <cell r="W48">
            <v>5500</v>
          </cell>
          <cell r="X48">
            <v>4000</v>
          </cell>
          <cell r="Y48">
            <v>3000</v>
          </cell>
          <cell r="Z48">
            <v>2500</v>
          </cell>
          <cell r="AA48">
            <v>1500</v>
          </cell>
        </row>
        <row r="49">
          <cell r="B49">
            <v>46166</v>
          </cell>
          <cell r="D49">
            <v>0</v>
          </cell>
          <cell r="E49">
            <v>251000</v>
          </cell>
          <cell r="F49">
            <v>81000</v>
          </cell>
          <cell r="G49">
            <v>70000</v>
          </cell>
          <cell r="H49">
            <v>100000</v>
          </cell>
          <cell r="J49" t="str">
            <v>TOM &amp; COLLINS</v>
          </cell>
          <cell r="K49" t="str">
            <v>Not Booked</v>
          </cell>
          <cell r="L49">
            <v>7000</v>
          </cell>
          <cell r="M49">
            <v>0.1</v>
          </cell>
          <cell r="N49" t="str">
            <v/>
          </cell>
          <cell r="O49">
            <v>10</v>
          </cell>
          <cell r="Q49">
            <v>70000</v>
          </cell>
          <cell r="R49" t="str">
            <v>Beach Club</v>
          </cell>
          <cell r="S49">
            <v>28</v>
          </cell>
          <cell r="T49">
            <v>2500</v>
          </cell>
          <cell r="U49">
            <v>109000</v>
          </cell>
          <cell r="V49">
            <v>39000</v>
          </cell>
          <cell r="W49">
            <v>6000</v>
          </cell>
          <cell r="X49">
            <v>5000</v>
          </cell>
          <cell r="Y49">
            <v>4500</v>
          </cell>
          <cell r="Z49">
            <v>3000</v>
          </cell>
          <cell r="AA49">
            <v>1500</v>
          </cell>
        </row>
        <row r="50">
          <cell r="B50">
            <v>46167</v>
          </cell>
          <cell r="D50">
            <v>0</v>
          </cell>
          <cell r="E50">
            <v>255001</v>
          </cell>
          <cell r="F50">
            <v>81000</v>
          </cell>
          <cell r="G50">
            <v>74000</v>
          </cell>
          <cell r="H50">
            <v>100001</v>
          </cell>
          <cell r="J50" t="str">
            <v>PABLO FIERRO</v>
          </cell>
          <cell r="K50" t="str">
            <v>Booked</v>
          </cell>
          <cell r="L50">
            <v>20000</v>
          </cell>
          <cell r="M50">
            <v>0.27027027027027029</v>
          </cell>
          <cell r="N50" t="str">
            <v/>
          </cell>
          <cell r="O50">
            <v>3.7</v>
          </cell>
          <cell r="Q50">
            <v>74000</v>
          </cell>
          <cell r="R50" t="str">
            <v>Beach Club</v>
          </cell>
          <cell r="S50">
            <v>28</v>
          </cell>
          <cell r="T50">
            <v>2642.8571428571427</v>
          </cell>
          <cell r="U50">
            <v>129500</v>
          </cell>
          <cell r="V50">
            <v>55500</v>
          </cell>
          <cell r="W50">
            <v>7000</v>
          </cell>
          <cell r="X50">
            <v>5500</v>
          </cell>
          <cell r="Y50">
            <v>5000</v>
          </cell>
          <cell r="Z50">
            <v>4000</v>
          </cell>
          <cell r="AA50">
            <v>2500</v>
          </cell>
        </row>
        <row r="51">
          <cell r="B51">
            <v>46172</v>
          </cell>
          <cell r="D51">
            <v>0</v>
          </cell>
          <cell r="E51">
            <v>247000</v>
          </cell>
          <cell r="F51">
            <v>81000</v>
          </cell>
          <cell r="G51">
            <v>66000</v>
          </cell>
          <cell r="H51">
            <v>100000</v>
          </cell>
          <cell r="J51" t="str">
            <v>Vanjee</v>
          </cell>
          <cell r="K51" t="str">
            <v>Not Booked</v>
          </cell>
          <cell r="L51">
            <v>12000</v>
          </cell>
          <cell r="M51">
            <v>0.18181818181818182</v>
          </cell>
          <cell r="N51" t="str">
            <v/>
          </cell>
          <cell r="O51">
            <v>5.5</v>
          </cell>
          <cell r="Q51">
            <v>66000</v>
          </cell>
          <cell r="R51" t="str">
            <v>Beach Club</v>
          </cell>
          <cell r="S51">
            <v>28</v>
          </cell>
          <cell r="T51">
            <v>2357.1428571428573</v>
          </cell>
          <cell r="U51">
            <v>121500</v>
          </cell>
          <cell r="V51">
            <v>55500</v>
          </cell>
          <cell r="W51">
            <v>5500</v>
          </cell>
          <cell r="X51">
            <v>4000</v>
          </cell>
          <cell r="Y51">
            <v>3000</v>
          </cell>
          <cell r="Z51">
            <v>2500</v>
          </cell>
          <cell r="AA51">
            <v>1500</v>
          </cell>
          <cell r="AB51">
            <v>2000</v>
          </cell>
        </row>
        <row r="52">
          <cell r="B52">
            <v>46173</v>
          </cell>
          <cell r="D52">
            <v>0</v>
          </cell>
          <cell r="E52">
            <v>226000</v>
          </cell>
          <cell r="F52">
            <v>81000</v>
          </cell>
          <cell r="G52">
            <v>60000</v>
          </cell>
          <cell r="H52">
            <v>85000</v>
          </cell>
          <cell r="J52" t="str">
            <v>BONTAN</v>
          </cell>
          <cell r="K52" t="str">
            <v>Booked</v>
          </cell>
          <cell r="L52">
            <v>10000</v>
          </cell>
          <cell r="M52">
            <v>0.16666666666666666</v>
          </cell>
          <cell r="N52" t="str">
            <v/>
          </cell>
          <cell r="O52">
            <v>6</v>
          </cell>
          <cell r="Q52">
            <v>60000</v>
          </cell>
          <cell r="R52" t="str">
            <v>Beach Club</v>
          </cell>
          <cell r="S52">
            <v>28</v>
          </cell>
          <cell r="T52">
            <v>2142.8571428571427</v>
          </cell>
          <cell r="U52">
            <v>109000</v>
          </cell>
          <cell r="V52">
            <v>49000</v>
          </cell>
          <cell r="W52">
            <v>6000</v>
          </cell>
          <cell r="X52">
            <v>5000</v>
          </cell>
          <cell r="Y52">
            <v>4500</v>
          </cell>
          <cell r="Z52">
            <v>3000</v>
          </cell>
          <cell r="AA52">
            <v>1500</v>
          </cell>
        </row>
      </sheetData>
      <sheetData sheetId="12"/>
      <sheetData sheetId="13"/>
      <sheetData sheetId="14">
        <row r="29">
          <cell r="R29" t="str">
            <v>Beach Club</v>
          </cell>
          <cell r="S29" t="str">
            <v>Tier 1</v>
          </cell>
          <cell r="T29" t="str">
            <v>Tier 2</v>
          </cell>
          <cell r="U29" t="str">
            <v>Tier 3</v>
          </cell>
          <cell r="V29" t="str">
            <v>Tier 4</v>
          </cell>
          <cell r="W29" t="str">
            <v>Tier 5</v>
          </cell>
          <cell r="X29" t="str">
            <v/>
          </cell>
          <cell r="Y29" t="str">
            <v/>
          </cell>
        </row>
        <row r="30">
          <cell r="R30" t="str">
            <v>Full Ground Fl.</v>
          </cell>
          <cell r="S30" t="str">
            <v>Tier 1</v>
          </cell>
          <cell r="T30" t="str">
            <v>Tier 2</v>
          </cell>
          <cell r="U30" t="str">
            <v>Tier 3</v>
          </cell>
          <cell r="V30" t="str">
            <v>Tier 4</v>
          </cell>
          <cell r="W30" t="str">
            <v>Tier 5</v>
          </cell>
          <cell r="X30" t="str">
            <v>Tier 6</v>
          </cell>
          <cell r="Y30" t="str">
            <v>Tier 7</v>
          </cell>
        </row>
        <row r="33">
          <cell r="R33" t="str">
            <v>Beach Club</v>
          </cell>
          <cell r="S33">
            <v>3</v>
          </cell>
          <cell r="T33">
            <v>2</v>
          </cell>
          <cell r="U33">
            <v>13</v>
          </cell>
          <cell r="V33">
            <v>5</v>
          </cell>
          <cell r="W33">
            <v>5</v>
          </cell>
        </row>
        <row r="34">
          <cell r="R34" t="str">
            <v>Full Ground Fl.</v>
          </cell>
          <cell r="S34">
            <v>3</v>
          </cell>
          <cell r="T34">
            <v>2</v>
          </cell>
          <cell r="U34">
            <v>13</v>
          </cell>
          <cell r="V34">
            <v>4</v>
          </cell>
          <cell r="W34">
            <v>5</v>
          </cell>
          <cell r="X34">
            <v>19</v>
          </cell>
          <cell r="Y34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DD18-EC06-4B8C-8F68-C4E97E1A8EA4}">
  <sheetPr>
    <tabColor rgb="FFE8E05D"/>
  </sheetPr>
  <dimension ref="B1:FS290"/>
  <sheetViews>
    <sheetView tabSelected="1" topLeftCell="A41" zoomScale="60" zoomScaleNormal="60" workbookViewId="0">
      <pane xSplit="3" topLeftCell="D1" activePane="topRight" state="frozen"/>
      <selection activeCell="U139" sqref="U139"/>
      <selection pane="topRight" activeCell="Q91" sqref="Q91"/>
    </sheetView>
  </sheetViews>
  <sheetFormatPr defaultColWidth="10.875" defaultRowHeight="15.75" outlineLevelRow="1" x14ac:dyDescent="0.25"/>
  <cols>
    <col min="1" max="1" width="3.875" style="1" customWidth="1"/>
    <col min="2" max="2" width="37.125" style="1" bestFit="1" customWidth="1"/>
    <col min="3" max="3" width="2.875" style="2" bestFit="1" customWidth="1"/>
    <col min="4" max="4" width="14.375" style="1" customWidth="1"/>
    <col min="5" max="5" width="11.625" style="20" customWidth="1"/>
    <col min="6" max="6" width="2.125" style="20" customWidth="1"/>
    <col min="7" max="7" width="7.5" style="20" customWidth="1"/>
    <col min="10" max="10" width="2.125" customWidth="1"/>
    <col min="11" max="11" width="7.5" customWidth="1"/>
    <col min="14" max="14" width="2.125" customWidth="1"/>
    <col min="15" max="15" width="7.5" customWidth="1"/>
    <col min="18" max="18" width="2.125" customWidth="1"/>
    <col min="19" max="19" width="7.5" customWidth="1"/>
    <col min="20" max="20" width="12.75" customWidth="1"/>
    <col min="21" max="21" width="18.375" customWidth="1"/>
    <col min="22" max="22" width="2.125" customWidth="1"/>
    <col min="23" max="23" width="7.5" customWidth="1"/>
    <col min="26" max="26" width="2.125" customWidth="1"/>
    <col min="27" max="27" width="7.5" customWidth="1"/>
    <col min="30" max="30" width="2.125" customWidth="1"/>
    <col min="31" max="31" width="7.5" customWidth="1"/>
    <col min="34" max="34" width="2.125" customWidth="1"/>
    <col min="35" max="35" width="7.5" customWidth="1"/>
    <col min="38" max="38" width="2.125" customWidth="1"/>
    <col min="39" max="39" width="7.5" customWidth="1"/>
    <col min="42" max="42" width="2.125" customWidth="1"/>
    <col min="43" max="43" width="7.5" customWidth="1"/>
    <col min="46" max="46" width="2.125" customWidth="1"/>
    <col min="47" max="47" width="7.5" customWidth="1"/>
    <col min="50" max="50" width="2.125" customWidth="1"/>
    <col min="51" max="51" width="7.5" customWidth="1"/>
    <col min="54" max="54" width="2.125" customWidth="1"/>
    <col min="55" max="55" width="7.5" customWidth="1"/>
    <col min="58" max="58" width="2.125" customWidth="1"/>
    <col min="59" max="59" width="7.5" customWidth="1"/>
    <col min="62" max="62" width="2.125" customWidth="1"/>
    <col min="63" max="63" width="7.5" customWidth="1"/>
    <col min="66" max="66" width="2.125" customWidth="1"/>
    <col min="67" max="67" width="7.5" customWidth="1"/>
    <col min="70" max="70" width="2.125" customWidth="1"/>
    <col min="71" max="71" width="7.5" customWidth="1"/>
    <col min="74" max="74" width="2.125" customWidth="1"/>
    <col min="75" max="75" width="7.5" customWidth="1"/>
    <col min="78" max="78" width="2.125" customWidth="1"/>
    <col min="79" max="79" width="7.5" customWidth="1"/>
    <col min="82" max="82" width="2.125" customWidth="1"/>
    <col min="83" max="83" width="7.5" customWidth="1"/>
    <col min="86" max="86" width="2.125" customWidth="1"/>
    <col min="87" max="87" width="7.5" customWidth="1"/>
    <col min="89" max="89" width="11.875" customWidth="1"/>
    <col min="90" max="90" width="2.125" customWidth="1"/>
    <col min="91" max="91" width="7.5" customWidth="1"/>
    <col min="94" max="94" width="2.125" customWidth="1"/>
    <col min="95" max="95" width="7.5" customWidth="1"/>
    <col min="98" max="98" width="2.125" customWidth="1"/>
    <col min="99" max="99" width="7.5" customWidth="1"/>
    <col min="100" max="101" width="11.5" customWidth="1"/>
    <col min="102" max="102" width="2.125" customWidth="1"/>
    <col min="103" max="103" width="7.5" customWidth="1"/>
    <col min="106" max="106" width="2.125" customWidth="1"/>
    <col min="107" max="107" width="7.5" customWidth="1"/>
    <col min="108" max="109" width="11.5" customWidth="1"/>
    <col min="110" max="110" width="2.125" customWidth="1"/>
    <col min="111" max="111" width="7.5" customWidth="1"/>
    <col min="114" max="114" width="2.125" customWidth="1"/>
    <col min="115" max="115" width="7.5" customWidth="1"/>
    <col min="116" max="117" width="11.5" customWidth="1"/>
    <col min="118" max="118" width="2.125" customWidth="1"/>
    <col min="119" max="119" width="7.5" customWidth="1"/>
    <col min="122" max="122" width="2.125" customWidth="1"/>
    <col min="123" max="123" width="7.5" customWidth="1"/>
    <col min="124" max="125" width="11.5" customWidth="1"/>
    <col min="126" max="126" width="2.125" customWidth="1"/>
    <col min="127" max="127" width="7.5" customWidth="1"/>
    <col min="130" max="130" width="2.125" customWidth="1"/>
    <col min="131" max="131" width="7.5" customWidth="1"/>
    <col min="132" max="133" width="11.5" customWidth="1"/>
    <col min="134" max="134" width="2.125" customWidth="1"/>
    <col min="135" max="135" width="7.5" customWidth="1"/>
    <col min="138" max="138" width="2.125" customWidth="1"/>
    <col min="139" max="140" width="11.5" customWidth="1"/>
    <col min="141" max="141" width="7.5" customWidth="1"/>
    <col min="142" max="143" width="11.5" customWidth="1"/>
    <col min="144" max="144" width="2.125" customWidth="1"/>
    <col min="145" max="145" width="7.5" customWidth="1"/>
    <col min="148" max="148" width="2.125" customWidth="1"/>
    <col min="149" max="149" width="7.5" customWidth="1"/>
    <col min="150" max="151" width="11.5" customWidth="1"/>
    <col min="152" max="152" width="2.125" customWidth="1"/>
    <col min="153" max="153" width="7.5" customWidth="1"/>
    <col min="156" max="156" width="2.125" customWidth="1"/>
    <col min="157" max="157" width="7.5" customWidth="1"/>
    <col min="158" max="159" width="11.5" customWidth="1"/>
    <col min="160" max="160" width="2.125" customWidth="1"/>
    <col min="161" max="161" width="7.5" customWidth="1"/>
    <col min="164" max="164" width="2.125" customWidth="1"/>
    <col min="165" max="165" width="7.5" customWidth="1"/>
    <col min="166" max="167" width="11.5" customWidth="1"/>
    <col min="168" max="168" width="2.125" customWidth="1"/>
    <col min="169" max="169" width="7.5" customWidth="1"/>
    <col min="172" max="172" width="2.125" customWidth="1"/>
    <col min="173" max="173" width="7.5" customWidth="1"/>
    <col min="174" max="175" width="11.5" customWidth="1"/>
    <col min="176" max="16384" width="10.875" style="1"/>
  </cols>
  <sheetData>
    <row r="1" spans="2:175" x14ac:dyDescent="0.25">
      <c r="E1" s="1"/>
      <c r="F1" s="1"/>
      <c r="G1" s="1"/>
    </row>
    <row r="2" spans="2:175" s="3" customFormat="1" x14ac:dyDescent="0.25">
      <c r="C2" s="2"/>
      <c r="D2" s="4">
        <f>'[1]Overview 2026'!B24</f>
        <v>46025</v>
      </c>
      <c r="E2" s="4"/>
      <c r="F2" s="5"/>
      <c r="G2" s="5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</row>
    <row r="3" spans="2:175" s="3" customFormat="1" ht="6.95" customHeight="1" x14ac:dyDescent="0.25">
      <c r="C3" s="2"/>
      <c r="D3" s="6"/>
      <c r="E3" s="6"/>
      <c r="F3" s="5"/>
      <c r="G3" s="5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</row>
    <row r="4" spans="2:175" s="7" customFormat="1" ht="20.100000000000001" customHeight="1" x14ac:dyDescent="0.25">
      <c r="C4" s="2">
        <f>'[1]Overview 2026'!J3</f>
        <v>9</v>
      </c>
      <c r="D4" s="8" t="str">
        <f>VLOOKUP(D$2,'[1]Overview 2026'!$B$7:$AC$52,$C4,FALSE)</f>
        <v>CLOONEE</v>
      </c>
      <c r="E4" s="8"/>
      <c r="F4" s="9"/>
      <c r="G4" s="9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</row>
    <row r="5" spans="2:175" s="10" customFormat="1" x14ac:dyDescent="0.25">
      <c r="B5" s="10" t="s">
        <v>0</v>
      </c>
      <c r="C5" s="2">
        <f>'[1]Overview 2026'!L3</f>
        <v>11</v>
      </c>
      <c r="D5" s="11">
        <v>4000</v>
      </c>
      <c r="E5" s="12"/>
      <c r="F5" s="13"/>
      <c r="G5" s="13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</row>
    <row r="6" spans="2:175" s="10" customFormat="1" x14ac:dyDescent="0.25">
      <c r="B6" s="10" t="s">
        <v>1</v>
      </c>
      <c r="C6" s="2"/>
      <c r="D6" s="14">
        <f>IFERROR(D5/D8,"")</f>
        <v>0.14285714285714285</v>
      </c>
      <c r="E6" s="15"/>
      <c r="F6" s="16"/>
      <c r="G6" s="1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</row>
    <row r="7" spans="2:175" s="10" customFormat="1" x14ac:dyDescent="0.25">
      <c r="C7" s="2"/>
      <c r="D7" s="17"/>
      <c r="E7" s="17"/>
      <c r="F7" s="18"/>
      <c r="G7" s="18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</row>
    <row r="8" spans="2:175" x14ac:dyDescent="0.25">
      <c r="B8" s="1" t="s">
        <v>2</v>
      </c>
      <c r="C8" s="2">
        <f>'[1]Overview 2026'!F3</f>
        <v>5</v>
      </c>
      <c r="D8" s="19">
        <f>D15+D16</f>
        <v>28000</v>
      </c>
      <c r="E8" s="19"/>
      <c r="T8" t="str">
        <f>IFERROR(B8+E8+H8+K8+N8+Q8, "NA")</f>
        <v>NA</v>
      </c>
    </row>
    <row r="9" spans="2:175" x14ac:dyDescent="0.25">
      <c r="B9" s="1" t="s">
        <v>3</v>
      </c>
      <c r="C9" s="2">
        <f>'[1]Overview 2026'!H3</f>
        <v>7</v>
      </c>
      <c r="D9" s="19">
        <f>VLOOKUP(D$2,'[1]Overview 2026'!$B$7:$AC$52,$C9,FALSE)</f>
        <v>101500</v>
      </c>
      <c r="E9" s="19"/>
      <c r="W9">
        <f>4+4+5</f>
        <v>13</v>
      </c>
    </row>
    <row r="10" spans="2:175" x14ac:dyDescent="0.25">
      <c r="B10" s="21" t="s">
        <v>4</v>
      </c>
      <c r="C10" s="22"/>
      <c r="D10" s="23">
        <v>61500</v>
      </c>
      <c r="E10" s="23"/>
      <c r="W10">
        <f>W9*2</f>
        <v>26</v>
      </c>
    </row>
    <row r="11" spans="2:175" x14ac:dyDescent="0.25">
      <c r="B11" s="24" t="s">
        <v>5</v>
      </c>
      <c r="C11" s="25">
        <f>'[1]Overview 2026'!D3</f>
        <v>3</v>
      </c>
      <c r="D11" s="26" t="str">
        <f>IF(VLOOKUP(D$2,'[1]Overview 2026'!$B6:$AC$52,$C11,FALSE)=0,"",VLOOKUP(D$2,'[1]Overview 2026'!$B6:$AC$52,$C11,FALSE))</f>
        <v/>
      </c>
      <c r="E11" s="26"/>
    </row>
    <row r="12" spans="2:175" x14ac:dyDescent="0.25">
      <c r="B12" s="24" t="s">
        <v>6</v>
      </c>
      <c r="C12" s="25">
        <f>'[1]Overview 2026'!C3</f>
        <v>2</v>
      </c>
      <c r="D12" s="26" t="str">
        <f>IF(VLOOKUP(D$2,'[1]Overview 2026'!$B7:$AC$52,$C12,FALSE)=0,"",VLOOKUP(D$2,'[1]Overview 2026'!$B7:$AC$52,$C12,FALSE))</f>
        <v/>
      </c>
      <c r="E12" s="26"/>
    </row>
    <row r="13" spans="2:175" x14ac:dyDescent="0.25">
      <c r="B13" s="27"/>
      <c r="D13" s="28"/>
      <c r="E13" s="29"/>
    </row>
    <row r="14" spans="2:175" x14ac:dyDescent="0.25">
      <c r="B14" s="30" t="s">
        <v>7</v>
      </c>
      <c r="D14" s="28"/>
      <c r="E14" s="29"/>
    </row>
    <row r="15" spans="2:175" x14ac:dyDescent="0.25">
      <c r="B15" s="31" t="s">
        <v>8</v>
      </c>
      <c r="C15" s="2">
        <f>'[1]Overview 2026'!F3</f>
        <v>5</v>
      </c>
      <c r="D15" s="32">
        <f>VLOOKUP(D$2,'[1]Overview 2026'!$B7:$AC$52,$C15,FALSE)</f>
        <v>20000</v>
      </c>
      <c r="E15" s="29"/>
      <c r="F15" s="33"/>
      <c r="G15" s="33"/>
    </row>
    <row r="16" spans="2:175" x14ac:dyDescent="0.25">
      <c r="B16" s="31" t="s">
        <v>9</v>
      </c>
      <c r="C16" s="2">
        <f>'[1]Overview 2026'!O3</f>
        <v>14</v>
      </c>
      <c r="D16" s="34">
        <f>IFERROR(D5*E16,0)</f>
        <v>8000</v>
      </c>
      <c r="E16" s="35">
        <f>VLOOKUP(D$2,'[1]Overview 2026'!$B$7:$AC$52,$C16,FALSE)</f>
        <v>2</v>
      </c>
    </row>
    <row r="17" spans="2:7" x14ac:dyDescent="0.25">
      <c r="B17" s="27"/>
      <c r="D17" s="28"/>
      <c r="E17" s="29"/>
    </row>
    <row r="18" spans="2:7" x14ac:dyDescent="0.25">
      <c r="B18" s="30" t="s">
        <v>10</v>
      </c>
      <c r="D18" s="28"/>
      <c r="E18" s="29"/>
    </row>
    <row r="19" spans="2:7" x14ac:dyDescent="0.25">
      <c r="B19" s="36" t="s">
        <v>11</v>
      </c>
      <c r="D19" s="37">
        <f>E30</f>
        <v>28</v>
      </c>
      <c r="E19" s="37"/>
      <c r="F19" s="38"/>
      <c r="G19" s="38"/>
    </row>
    <row r="20" spans="2:7" x14ac:dyDescent="0.25">
      <c r="B20" s="36" t="s">
        <v>12</v>
      </c>
      <c r="D20" s="39">
        <f>D16/D19</f>
        <v>285.71428571428572</v>
      </c>
      <c r="E20" s="39"/>
    </row>
    <row r="21" spans="2:7" x14ac:dyDescent="0.25">
      <c r="B21" s="27"/>
      <c r="D21" s="28"/>
      <c r="E21" s="29"/>
    </row>
    <row r="22" spans="2:7" x14ac:dyDescent="0.25">
      <c r="B22" s="27"/>
      <c r="C22" s="2">
        <f>'[1]Overview 2026'!R3</f>
        <v>17</v>
      </c>
      <c r="D22" s="40" t="str">
        <f>IF(VLOOKUP(D$2,'[1]Overview 2026'!$B$7:$AC$52,$C22,FALSE)=0,"Beach Club",VLOOKUP(D$2,'[1]Overview 2026'!$B$7:$AC$52,$C22,FALSE))</f>
        <v>Beach Club</v>
      </c>
      <c r="E22" s="40"/>
    </row>
    <row r="23" spans="2:7" x14ac:dyDescent="0.25">
      <c r="B23" s="27" t="str">
        <f>VLOOKUP(D$22,'[1]Floor Plan Bottle Service'!$R$29:$Y$31,2,FALSE)</f>
        <v>Tier 1</v>
      </c>
      <c r="C23" s="2">
        <f>'[1]Overview 2026'!W3</f>
        <v>22</v>
      </c>
      <c r="D23" s="41">
        <f>VLOOKUP(D$2,'[1]Overview 2026'!$B$7:$AC$52,$C23,FALSE)</f>
        <v>11800</v>
      </c>
      <c r="E23" s="42">
        <f>IF(VLOOKUP(D$22,'[1]Floor Plan Bottle Service'!$R$33:$X$34,2,FALSE)=0,"",VLOOKUP(D$22,'[1]Floor Plan Bottle Service'!$R$33:$X$34,2,FALSE))</f>
        <v>3</v>
      </c>
      <c r="G23" s="27" t="e">
        <f>VLOOKUP(H$22,'[1]Floor Plan Bottle Service'!$R$29:$Y$31,2,FALSE)</f>
        <v>#N/A</v>
      </c>
    </row>
    <row r="24" spans="2:7" x14ac:dyDescent="0.25">
      <c r="B24" s="27" t="str">
        <f>VLOOKUP(D$22,'[1]Floor Plan Bottle Service'!$R$29:$Y$31,3,FALSE)</f>
        <v>Tier 2</v>
      </c>
      <c r="C24" s="2">
        <f>'[1]Overview 2026'!X3</f>
        <v>23</v>
      </c>
      <c r="D24" s="41">
        <f>VLOOKUP(D$2,'[1]Overview 2026'!$B$7:$AC$52,$C24,FALSE)</f>
        <v>9400</v>
      </c>
      <c r="E24" s="42">
        <f>VLOOKUP(D$22,'[1]Floor Plan Bottle Service'!$R$33:$Y$34,3,FALSE)</f>
        <v>2</v>
      </c>
      <c r="G24" s="27" t="e">
        <f>VLOOKUP(H$22,'[1]Floor Plan Bottle Service'!$R$29:$Y$31,3,FALSE)</f>
        <v>#N/A</v>
      </c>
    </row>
    <row r="25" spans="2:7" x14ac:dyDescent="0.25">
      <c r="B25" s="27" t="str">
        <f>VLOOKUP(D$22,'[1]Floor Plan Bottle Service'!$R$29:$Y$31,4,FALSE)</f>
        <v>Tier 3</v>
      </c>
      <c r="C25" s="2">
        <f>'[1]Overview 2026'!Y3</f>
        <v>24</v>
      </c>
      <c r="D25" s="41">
        <f>VLOOKUP(D$2,'[1]Overview 2026'!$B$7:$AC$52,$C25,FALSE)</f>
        <v>8200</v>
      </c>
      <c r="E25" s="42">
        <f>VLOOKUP(D$22,'[1]Floor Plan Bottle Service'!$R$33:$Y$34,4,FALSE)</f>
        <v>13</v>
      </c>
      <c r="G25" s="27" t="e">
        <f>VLOOKUP(H$22,'[1]Floor Plan Bottle Service'!$R$29:$Y$31,4,FALSE)</f>
        <v>#N/A</v>
      </c>
    </row>
    <row r="26" spans="2:7" x14ac:dyDescent="0.25">
      <c r="B26" s="27" t="str">
        <f>VLOOKUP(D$22,'[1]Floor Plan Bottle Service'!$R$29:$Y$31,5,FALSE)</f>
        <v>Tier 4</v>
      </c>
      <c r="C26" s="2">
        <f>'[1]Overview 2026'!Z3</f>
        <v>25</v>
      </c>
      <c r="D26" s="41">
        <f>VLOOKUP(D$2,'[1]Overview 2026'!$B$7:$AC$52,$C26,FALSE)</f>
        <v>5800</v>
      </c>
      <c r="E26" s="42">
        <f>VLOOKUP(D$22,'[1]Floor Plan Bottle Service'!$R$33:$Y$34,5,FALSE)</f>
        <v>5</v>
      </c>
      <c r="G26" s="27" t="e">
        <f>VLOOKUP(H$22,'[1]Floor Plan Bottle Service'!$R$29:$Y$31,5,FALSE)</f>
        <v>#N/A</v>
      </c>
    </row>
    <row r="27" spans="2:7" x14ac:dyDescent="0.25">
      <c r="B27" s="27" t="str">
        <f>IF(E27=0,"",VLOOKUP(D$22,'[1]Floor Plan Bottle Service'!$R$29:$Y$31,6,FALSE))</f>
        <v>Tier 5</v>
      </c>
      <c r="C27" s="2">
        <f>'[1]Overview 2026'!AA3</f>
        <v>26</v>
      </c>
      <c r="D27" s="41">
        <f>VLOOKUP(D$2,'[1]Overview 2026'!$B$7:$AC$52,$C27,FALSE)</f>
        <v>3500.0000000000005</v>
      </c>
      <c r="E27" s="42">
        <f>VLOOKUP(D$22,'[1]Floor Plan Bottle Service'!$R$33:$Y$34,6,FALSE)</f>
        <v>5</v>
      </c>
      <c r="G27" s="27" t="str">
        <f>IF(I27=0,"",VLOOKUP(H$22,'[1]Floor Plan Bottle Service'!$R$29:$Y$31,6,FALSE))</f>
        <v/>
      </c>
    </row>
    <row r="28" spans="2:7" x14ac:dyDescent="0.25">
      <c r="B28" s="27" t="str">
        <f>IF(E28=0,"",VLOOKUP(D$22,'[1]Floor Plan Bottle Service'!$R$29:$Y$31,7,FALSE))</f>
        <v/>
      </c>
      <c r="C28" s="2">
        <f>'[1]Overview 2026'!AB3</f>
        <v>27</v>
      </c>
      <c r="D28" s="41">
        <f>VLOOKUP(D$2,'[1]Overview 2026'!$B$7:$AC$52,$C28,FALSE)</f>
        <v>0</v>
      </c>
      <c r="E28" s="42">
        <f>VLOOKUP(D$22,'[1]Floor Plan Bottle Service'!$R$33:$Y$34,7,FALSE)</f>
        <v>0</v>
      </c>
      <c r="G28" s="27" t="str">
        <f>IF(I28=0,"",VLOOKUP(H$22,'[1]Floor Plan Bottle Service'!$R$29:$Y$31,7,FALSE))</f>
        <v/>
      </c>
    </row>
    <row r="29" spans="2:7" ht="16.5" thickBot="1" x14ac:dyDescent="0.3">
      <c r="B29" s="27" t="str">
        <f>IF(E29=0,"",VLOOKUP(D$22,'[1]Floor Plan Bottle Service'!$R$29:$Y$31,8,FALSE))</f>
        <v/>
      </c>
      <c r="C29" s="2">
        <f>'[1]Overview 2026'!AC3</f>
        <v>28</v>
      </c>
      <c r="D29" s="41">
        <f>VLOOKUP(D$2,'[1]Overview 2026'!$B$7:$AC$52,$C29,FALSE)</f>
        <v>0</v>
      </c>
      <c r="E29" s="42">
        <f>VLOOKUP(D$22,'[1]Floor Plan Bottle Service'!$R$33:$Y$34,8,FALSE)</f>
        <v>0</v>
      </c>
      <c r="G29" s="27" t="str">
        <f>IF(I29=0,"",VLOOKUP(H$22,'[1]Floor Plan Bottle Service'!$R$29:$Y$31,8,FALSE))</f>
        <v/>
      </c>
    </row>
    <row r="30" spans="2:7" x14ac:dyDescent="0.25">
      <c r="B30" s="27"/>
      <c r="D30" s="43">
        <f>(D23*E23)+(D24*E24)+(D25*E25)+(D26*E26)+(D27*E27)+(D29*E29)+(D28*E28)</f>
        <v>207300</v>
      </c>
      <c r="E30" s="44">
        <f>SUM(E23:E29)</f>
        <v>28</v>
      </c>
    </row>
    <row r="31" spans="2:7" x14ac:dyDescent="0.25">
      <c r="B31" s="27"/>
      <c r="D31" s="28"/>
      <c r="E31" s="29"/>
    </row>
    <row r="33" spans="2:175" outlineLevel="1" x14ac:dyDescent="0.25">
      <c r="B33" s="1" t="s">
        <v>13</v>
      </c>
      <c r="D33" s="34">
        <f>D$36*E33</f>
        <v>38130</v>
      </c>
      <c r="E33" s="20">
        <v>0.62</v>
      </c>
    </row>
    <row r="34" spans="2:175" outlineLevel="1" x14ac:dyDescent="0.25">
      <c r="B34" s="1" t="s">
        <v>14</v>
      </c>
      <c r="D34" s="34">
        <f t="shared" ref="D34" si="0">D$36*E34</f>
        <v>20910</v>
      </c>
      <c r="E34" s="20">
        <f>E36-E33-E35</f>
        <v>0.34</v>
      </c>
    </row>
    <row r="35" spans="2:175" outlineLevel="1" x14ac:dyDescent="0.25">
      <c r="B35" s="1" t="s">
        <v>15</v>
      </c>
      <c r="D35" s="34">
        <f>D$36*E35</f>
        <v>2460</v>
      </c>
      <c r="E35" s="20">
        <v>0.04</v>
      </c>
    </row>
    <row r="36" spans="2:175" x14ac:dyDescent="0.25">
      <c r="B36" s="21" t="s">
        <v>4</v>
      </c>
      <c r="C36" s="22"/>
      <c r="D36" s="45">
        <f>D10</f>
        <v>61500</v>
      </c>
      <c r="E36" s="46">
        <v>1</v>
      </c>
    </row>
    <row r="37" spans="2:175" ht="5.0999999999999996" customHeight="1" x14ac:dyDescent="0.25">
      <c r="D37" s="34"/>
    </row>
    <row r="38" spans="2:175" outlineLevel="1" x14ac:dyDescent="0.25">
      <c r="B38" s="1" t="s">
        <v>16</v>
      </c>
      <c r="D38" s="34">
        <f>E38*D33</f>
        <v>5719.5</v>
      </c>
      <c r="E38" s="20">
        <v>0.15</v>
      </c>
    </row>
    <row r="39" spans="2:175" outlineLevel="1" x14ac:dyDescent="0.25">
      <c r="B39" s="1" t="s">
        <v>17</v>
      </c>
      <c r="D39" s="34">
        <f t="shared" ref="D39:D40" si="1">E39*D34</f>
        <v>5541.1500000000005</v>
      </c>
      <c r="E39" s="20">
        <v>0.26500000000000001</v>
      </c>
    </row>
    <row r="40" spans="2:175" outlineLevel="1" x14ac:dyDescent="0.25">
      <c r="B40" s="1" t="s">
        <v>18</v>
      </c>
      <c r="D40" s="34">
        <f t="shared" si="1"/>
        <v>688.80000000000007</v>
      </c>
      <c r="E40" s="20">
        <v>0.28000000000000003</v>
      </c>
    </row>
    <row r="41" spans="2:175" x14ac:dyDescent="0.25">
      <c r="B41" s="21" t="s">
        <v>19</v>
      </c>
      <c r="C41" s="22"/>
      <c r="D41" s="45">
        <f>SUM(D38:D40)</f>
        <v>11949.45</v>
      </c>
      <c r="E41" s="46">
        <f>D41/D36</f>
        <v>0.1943</v>
      </c>
    </row>
    <row r="42" spans="2:175" ht="5.0999999999999996" customHeight="1" x14ac:dyDescent="0.25">
      <c r="D42" s="34"/>
    </row>
    <row r="43" spans="2:175" x14ac:dyDescent="0.25">
      <c r="B43" s="21" t="s">
        <v>20</v>
      </c>
      <c r="C43" s="22"/>
      <c r="D43" s="45">
        <f>D36-D41</f>
        <v>49550.55</v>
      </c>
      <c r="E43" s="46">
        <f>D43/D36</f>
        <v>0.80570000000000008</v>
      </c>
    </row>
    <row r="45" spans="2:175" s="10" customFormat="1" x14ac:dyDescent="0.25">
      <c r="B45" s="10" t="s">
        <v>21</v>
      </c>
      <c r="C45" s="2"/>
      <c r="E45" s="18"/>
      <c r="F45" s="18"/>
      <c r="G45" s="18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</row>
    <row r="46" spans="2:175" outlineLevel="1" x14ac:dyDescent="0.25">
      <c r="B46" s="1" t="s">
        <v>22</v>
      </c>
      <c r="D46" s="34">
        <f>'OPEX DATA 2'!U139+'OPEX DATA 2'!U141+'OPEX DATA 2'!U142</f>
        <v>4344.7518131868128</v>
      </c>
      <c r="E46" s="20">
        <f>D46/D$36</f>
        <v>7.0646370946127038E-2</v>
      </c>
    </row>
    <row r="47" spans="2:175" outlineLevel="1" x14ac:dyDescent="0.25">
      <c r="B47" s="1" t="s">
        <v>23</v>
      </c>
      <c r="D47" s="34">
        <f>'OPEX DATA 2'!U123+'OPEX DATA 2'!U97+'OPEX DATA 2'!U98+'OPEX DATA 2'!U110+'OPEX DATA 2'!U112</f>
        <v>1423.4991208791207</v>
      </c>
      <c r="E47" s="20">
        <f t="shared" ref="E47:E50" si="2">D47/D$36</f>
        <v>2.314632716876619E-2</v>
      </c>
    </row>
    <row r="48" spans="2:175" outlineLevel="1" x14ac:dyDescent="0.25">
      <c r="B48" s="1" t="s">
        <v>24</v>
      </c>
      <c r="D48" s="34">
        <f>'OPEX DATA 2'!U85+'OPEX DATA 2'!U86+'OPEX DATA 2'!U87+'OPEX DATA 2'!U88+'OPEX DATA 2'!U92+'OPEX DATA 2'!U124</f>
        <v>3049.357857142857</v>
      </c>
      <c r="E48" s="20">
        <f t="shared" si="2"/>
        <v>4.9583054587688732E-2</v>
      </c>
    </row>
    <row r="49" spans="2:175" outlineLevel="1" x14ac:dyDescent="0.25">
      <c r="B49" s="1" t="s">
        <v>25</v>
      </c>
      <c r="D49" s="34">
        <f>'OPEX DATA 2'!U151+'OPEX DATA 2'!U153+'OPEX DATA 2'!U154</f>
        <v>2499.9871978021974</v>
      </c>
      <c r="E49" s="20">
        <f t="shared" si="2"/>
        <v>4.0650198338247116E-2</v>
      </c>
    </row>
    <row r="50" spans="2:175" x14ac:dyDescent="0.25">
      <c r="B50" s="21" t="s">
        <v>26</v>
      </c>
      <c r="C50" s="22"/>
      <c r="D50" s="45">
        <f>SUM(D46:D49)</f>
        <v>11317.595989010988</v>
      </c>
      <c r="E50" s="46">
        <f t="shared" si="2"/>
        <v>0.18402595104082908</v>
      </c>
    </row>
    <row r="52" spans="2:175" s="10" customFormat="1" x14ac:dyDescent="0.25">
      <c r="B52" s="10" t="str">
        <f>'OPEX DATA 2'!A159</f>
        <v>Direct Operating Expenses</v>
      </c>
      <c r="C52" s="2"/>
      <c r="D52" s="28"/>
      <c r="E52" s="18"/>
      <c r="F52" s="18"/>
      <c r="G52" s="18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</row>
    <row r="53" spans="2:175" outlineLevel="1" x14ac:dyDescent="0.25">
      <c r="B53" s="1" t="str">
        <f>'OPEX DATA 2'!A161</f>
        <v>6105 - Automobile</v>
      </c>
      <c r="D53" s="34">
        <f>'OPEX DATA 2'!U161</f>
        <v>0.15428571428571428</v>
      </c>
      <c r="E53" s="20">
        <f t="shared" ref="E53:E101" si="3">D53/D$36</f>
        <v>2.5087108013937279E-6</v>
      </c>
    </row>
    <row r="54" spans="2:175" outlineLevel="1" x14ac:dyDescent="0.25">
      <c r="B54" s="1" t="str">
        <f>'OPEX DATA 2'!A162</f>
        <v>6110 - China</v>
      </c>
      <c r="D54" s="34">
        <f>'OPEX DATA 2'!U162</f>
        <v>87.150109890109889</v>
      </c>
      <c r="E54" s="20">
        <f t="shared" si="3"/>
        <v>1.4170749575627623E-3</v>
      </c>
    </row>
    <row r="55" spans="2:175" outlineLevel="1" x14ac:dyDescent="0.25">
      <c r="B55" s="1" t="str">
        <f>'OPEX DATA 2'!A163</f>
        <v>6120 - Glass</v>
      </c>
      <c r="D55" s="34">
        <f>'OPEX DATA 2'!U163</f>
        <v>140.36489010989013</v>
      </c>
      <c r="E55" s="20">
        <f t="shared" si="3"/>
        <v>2.2823559367461809E-3</v>
      </c>
    </row>
    <row r="56" spans="2:175" outlineLevel="1" x14ac:dyDescent="0.25">
      <c r="B56" s="1" t="str">
        <f>'OPEX DATA 2'!A164</f>
        <v>6130 - Silverware</v>
      </c>
      <c r="D56" s="34">
        <f>'OPEX DATA 2'!U164</f>
        <v>21.98087912087912</v>
      </c>
      <c r="E56" s="20">
        <f t="shared" si="3"/>
        <v>3.574126686321808E-4</v>
      </c>
    </row>
    <row r="57" spans="2:175" outlineLevel="1" x14ac:dyDescent="0.25">
      <c r="B57" s="1" t="str">
        <f>'OPEX DATA 2'!A165</f>
        <v>6200 - Bar Supplies</v>
      </c>
      <c r="D57" s="34">
        <f>'OPEX DATA 2'!U165</f>
        <v>23.528021978021975</v>
      </c>
      <c r="E57" s="20">
        <f t="shared" si="3"/>
        <v>3.8256946305726791E-4</v>
      </c>
    </row>
    <row r="58" spans="2:175" outlineLevel="1" x14ac:dyDescent="0.25">
      <c r="B58" s="1" t="str">
        <f>'OPEX DATA 2'!A166</f>
        <v>6201 - Ice Expense</v>
      </c>
      <c r="D58" s="34">
        <f>'OPEX DATA 2'!U166</f>
        <v>131.82384615384618</v>
      </c>
      <c r="E58" s="20">
        <f t="shared" si="3"/>
        <v>2.143477173233271E-3</v>
      </c>
    </row>
    <row r="59" spans="2:175" outlineLevel="1" x14ac:dyDescent="0.25">
      <c r="B59" s="1" t="str">
        <f>'OPEX DATA 2'!A167</f>
        <v>6210 - Cleaning Supplies</v>
      </c>
      <c r="D59" s="34">
        <f>'OPEX DATA 2'!U167</f>
        <v>98.866648351648365</v>
      </c>
      <c r="E59" s="20">
        <f t="shared" si="3"/>
        <v>1.6075877780755831E-3</v>
      </c>
    </row>
    <row r="60" spans="2:175" outlineLevel="1" x14ac:dyDescent="0.25">
      <c r="B60" s="1" t="str">
        <f>'OPEX DATA 2'!A168</f>
        <v>6230 - Kitchen Supplies</v>
      </c>
      <c r="D60" s="34">
        <f>'OPEX DATA 2'!U168</f>
        <v>404.94472527472539</v>
      </c>
      <c r="E60" s="20">
        <f t="shared" si="3"/>
        <v>6.5844670776378112E-3</v>
      </c>
    </row>
    <row r="61" spans="2:175" outlineLevel="1" x14ac:dyDescent="0.25">
      <c r="B61" s="1" t="str">
        <f>'OPEX DATA 2'!A169</f>
        <v>6235 - Kitchen Equipment - Ops</v>
      </c>
      <c r="D61" s="34">
        <f>'OPEX DATA 2'!U169</f>
        <v>20.565274725274726</v>
      </c>
      <c r="E61" s="20">
        <f t="shared" si="3"/>
        <v>3.3439471098007685E-4</v>
      </c>
    </row>
    <row r="62" spans="2:175" outlineLevel="1" x14ac:dyDescent="0.25">
      <c r="B62" s="1" t="str">
        <f>'OPEX DATA 2'!A170</f>
        <v>6240 - Restaurant Supplies</v>
      </c>
      <c r="D62" s="34">
        <f>'OPEX DATA 2'!U170</f>
        <v>144.35527472527471</v>
      </c>
      <c r="E62" s="20">
        <f t="shared" si="3"/>
        <v>2.3472402394353613E-3</v>
      </c>
    </row>
    <row r="63" spans="2:175" outlineLevel="1" x14ac:dyDescent="0.25">
      <c r="B63" s="1" t="str">
        <f>'OPEX DATA 2'!A171</f>
        <v>6245 - Restaurant Equipment</v>
      </c>
      <c r="D63" s="34">
        <f>'OPEX DATA 2'!U171</f>
        <v>159.63818681318682</v>
      </c>
      <c r="E63" s="20">
        <f t="shared" si="3"/>
        <v>2.595742875011168E-3</v>
      </c>
    </row>
    <row r="64" spans="2:175" outlineLevel="1" x14ac:dyDescent="0.25">
      <c r="B64" s="1" t="str">
        <f>'OPEX DATA 2'!A172</f>
        <v>6246 - Hotel Amenities</v>
      </c>
      <c r="D64" s="34">
        <f>'OPEX DATA 2'!U172</f>
        <v>0</v>
      </c>
      <c r="E64" s="20">
        <f t="shared" si="3"/>
        <v>0</v>
      </c>
    </row>
    <row r="65" spans="2:5" outlineLevel="1" x14ac:dyDescent="0.25">
      <c r="B65" s="1" t="str">
        <f>'OPEX DATA 2'!A173</f>
        <v>6247 - Hotel Equipment</v>
      </c>
      <c r="D65" s="34">
        <f>'OPEX DATA 2'!U173</f>
        <v>0</v>
      </c>
      <c r="E65" s="20">
        <f t="shared" si="3"/>
        <v>0</v>
      </c>
    </row>
    <row r="66" spans="2:5" outlineLevel="1" x14ac:dyDescent="0.25">
      <c r="B66" s="1" t="str">
        <f>'OPEX DATA 2'!A174</f>
        <v>6250 - Menu supplies</v>
      </c>
      <c r="D66" s="34">
        <f>'OPEX DATA 2'!U174</f>
        <v>0</v>
      </c>
      <c r="E66" s="20">
        <f t="shared" si="3"/>
        <v>0</v>
      </c>
    </row>
    <row r="67" spans="2:5" outlineLevel="1" x14ac:dyDescent="0.25">
      <c r="B67" s="1" t="str">
        <f>'OPEX DATA 2'!A175</f>
        <v>6260 - Chemicals/Dish Machine</v>
      </c>
      <c r="D67" s="34">
        <f>'OPEX DATA 2'!U175</f>
        <v>154.4084065934066</v>
      </c>
      <c r="E67" s="20">
        <f t="shared" si="3"/>
        <v>2.5107057982667741E-3</v>
      </c>
    </row>
    <row r="68" spans="2:5" outlineLevel="1" x14ac:dyDescent="0.25">
      <c r="B68" s="1" t="str">
        <f>'OPEX DATA 2'!A176</f>
        <v>6270 - Disposable Paper Products</v>
      </c>
      <c r="D68" s="34">
        <f>'OPEX DATA 2'!U176</f>
        <v>147.91428571428574</v>
      </c>
      <c r="E68" s="20">
        <f t="shared" si="3"/>
        <v>2.4051103368176543E-3</v>
      </c>
    </row>
    <row r="69" spans="2:5" outlineLevel="1" x14ac:dyDescent="0.25">
      <c r="B69" s="1" t="str">
        <f>'OPEX DATA 2'!A177</f>
        <v>6280 - Linen</v>
      </c>
      <c r="D69" s="34">
        <f>'OPEX DATA 2'!U177</f>
        <v>119.39230769230768</v>
      </c>
      <c r="E69" s="20">
        <f t="shared" si="3"/>
        <v>1.9413383364602875E-3</v>
      </c>
    </row>
    <row r="70" spans="2:5" outlineLevel="1" x14ac:dyDescent="0.25">
      <c r="B70" s="1" t="str">
        <f>'OPEX DATA 2'!A178</f>
        <v>6285 - Uniforms</v>
      </c>
      <c r="D70" s="34">
        <f>'OPEX DATA 2'!U178</f>
        <v>169.7764285714286</v>
      </c>
      <c r="E70" s="20">
        <f t="shared" si="3"/>
        <v>2.760592334494774E-3</v>
      </c>
    </row>
    <row r="71" spans="2:5" outlineLevel="1" x14ac:dyDescent="0.25">
      <c r="B71" s="1" t="str">
        <f>'OPEX DATA 2'!A179</f>
        <v>6290 - Decorations &amp; Flowers</v>
      </c>
      <c r="D71" s="34">
        <f>'OPEX DATA 2'!U179</f>
        <v>56.898791208791202</v>
      </c>
      <c r="E71" s="20">
        <f t="shared" si="3"/>
        <v>9.2518359689091386E-4</v>
      </c>
    </row>
    <row r="72" spans="2:5" outlineLevel="1" x14ac:dyDescent="0.25">
      <c r="B72" s="1" t="str">
        <f>'OPEX DATA 2'!A180</f>
        <v>6300 - Commission third party</v>
      </c>
      <c r="D72" s="34">
        <f>'OPEX DATA 2'!U180</f>
        <v>299.24170329670329</v>
      </c>
      <c r="E72" s="20">
        <f t="shared" si="3"/>
        <v>4.8657187527919232E-3</v>
      </c>
    </row>
    <row r="73" spans="2:5" outlineLevel="1" x14ac:dyDescent="0.25">
      <c r="B73" s="1" t="str">
        <f>'OPEX DATA 2'!A181</f>
        <v>6301 - Commission on Membership</v>
      </c>
      <c r="D73" s="34">
        <f>'OPEX DATA 2'!U181</f>
        <v>0</v>
      </c>
      <c r="E73" s="20">
        <f t="shared" si="3"/>
        <v>0</v>
      </c>
    </row>
    <row r="74" spans="2:5" outlineLevel="1" x14ac:dyDescent="0.25">
      <c r="B74" s="1" t="str">
        <f>'OPEX DATA 2'!A182</f>
        <v>6310 - Employee incentive</v>
      </c>
      <c r="D74" s="34">
        <f>'OPEX DATA 2'!U182</f>
        <v>2.1949999999999998</v>
      </c>
      <c r="E74" s="20">
        <f t="shared" si="3"/>
        <v>3.5691056910569106E-5</v>
      </c>
    </row>
    <row r="75" spans="2:5" outlineLevel="1" x14ac:dyDescent="0.25">
      <c r="B75" s="1" t="str">
        <f>'OPEX DATA 2'!A183</f>
        <v>6320 - Family Meal</v>
      </c>
      <c r="D75" s="34">
        <f>'OPEX DATA 2'!U183</f>
        <v>83.723791208791212</v>
      </c>
      <c r="E75" s="20">
        <f t="shared" si="3"/>
        <v>1.3613624586795319E-3</v>
      </c>
    </row>
    <row r="76" spans="2:5" outlineLevel="1" x14ac:dyDescent="0.25">
      <c r="B76" s="1" t="str">
        <f>'OPEX DATA 2'!A184</f>
        <v>6330 - Menu Research</v>
      </c>
      <c r="D76" s="34">
        <f>'OPEX DATA 2'!U184</f>
        <v>29.155659340659337</v>
      </c>
      <c r="E76" s="20">
        <f t="shared" si="3"/>
        <v>4.740757616367372E-4</v>
      </c>
    </row>
    <row r="77" spans="2:5" outlineLevel="1" x14ac:dyDescent="0.25">
      <c r="B77" s="1" t="str">
        <f>'OPEX DATA 2'!A185</f>
        <v>6350 - Buy Out - Event Expenses</v>
      </c>
      <c r="D77" s="34">
        <f>'OPEX DATA 2'!U185</f>
        <v>0</v>
      </c>
      <c r="E77" s="20">
        <f t="shared" si="3"/>
        <v>0</v>
      </c>
    </row>
    <row r="78" spans="2:5" outlineLevel="1" x14ac:dyDescent="0.25">
      <c r="B78" s="1" t="str">
        <f>'OPEX DATA 2'!A186</f>
        <v>6500 - Facility Maintenance</v>
      </c>
      <c r="D78" s="34">
        <f>'OPEX DATA 2'!U186</f>
        <v>0</v>
      </c>
      <c r="E78" s="20">
        <f t="shared" si="3"/>
        <v>0</v>
      </c>
    </row>
    <row r="79" spans="2:5" outlineLevel="1" x14ac:dyDescent="0.25">
      <c r="B79" s="1" t="str">
        <f>'OPEX DATA 2'!A187</f>
        <v>6505 - Sales incentives</v>
      </c>
      <c r="D79" s="34">
        <f>'OPEX DATA 2'!U187</f>
        <v>11.998406593406594</v>
      </c>
      <c r="E79" s="20">
        <f t="shared" si="3"/>
        <v>1.9509604216921291E-4</v>
      </c>
    </row>
    <row r="80" spans="2:5" outlineLevel="1" x14ac:dyDescent="0.25">
      <c r="B80" s="1" t="str">
        <f>'OPEX DATA 2'!A188</f>
        <v>6520 - Repairs - Kitchen</v>
      </c>
      <c r="D80" s="34">
        <f>'OPEX DATA 2'!U188</f>
        <v>102.32258241758242</v>
      </c>
      <c r="E80" s="20">
        <f t="shared" si="3"/>
        <v>1.6637818279281694E-3</v>
      </c>
    </row>
    <row r="81" spans="2:175" outlineLevel="1" x14ac:dyDescent="0.25">
      <c r="B81" s="1" t="str">
        <f>'OPEX DATA 2'!A189</f>
        <v>6530 - Repairs - Facility</v>
      </c>
      <c r="D81" s="34">
        <f>'OPEX DATA 2'!U189</f>
        <v>170.5397802197802</v>
      </c>
      <c r="E81" s="20">
        <f t="shared" si="3"/>
        <v>2.7730045564191902E-3</v>
      </c>
    </row>
    <row r="82" spans="2:175" outlineLevel="1" x14ac:dyDescent="0.25">
      <c r="B82" s="1" t="str">
        <f>'OPEX DATA 2'!A190</f>
        <v>6532 - Repair - Electrical</v>
      </c>
      <c r="D82" s="34">
        <f>'OPEX DATA 2'!U190</f>
        <v>6.8321428571428573</v>
      </c>
      <c r="E82" s="20">
        <f t="shared" si="3"/>
        <v>1.1109175377468061E-4</v>
      </c>
    </row>
    <row r="83" spans="2:175" outlineLevel="1" x14ac:dyDescent="0.25">
      <c r="B83" s="1" t="str">
        <f>'OPEX DATA 2'!A191</f>
        <v>6534 - Repair - HVAC</v>
      </c>
      <c r="D83" s="34">
        <f>'OPEX DATA 2'!U191</f>
        <v>0</v>
      </c>
      <c r="E83" s="20">
        <f t="shared" si="3"/>
        <v>0</v>
      </c>
    </row>
    <row r="84" spans="2:175" outlineLevel="1" x14ac:dyDescent="0.25">
      <c r="B84" s="1" t="str">
        <f>'OPEX DATA 2'!A192</f>
        <v>6540 - Maintenance Contracts</v>
      </c>
      <c r="D84" s="34">
        <f>'OPEX DATA 2'!U192</f>
        <v>96.996098901098904</v>
      </c>
      <c r="E84" s="20">
        <f t="shared" si="3"/>
        <v>1.5771723398552667E-3</v>
      </c>
    </row>
    <row r="85" spans="2:175" x14ac:dyDescent="0.25">
      <c r="B85" s="21" t="str">
        <f>'OPEX DATA 2'!A193</f>
        <v>6550 - Janitorial</v>
      </c>
      <c r="C85" s="22"/>
      <c r="D85" s="45">
        <f>'OPEX DATA 2'!U193</f>
        <v>709.21170329670326</v>
      </c>
      <c r="E85" s="46">
        <f t="shared" si="3"/>
        <v>1.153189761458054E-2</v>
      </c>
    </row>
    <row r="86" spans="2:175" x14ac:dyDescent="0.25">
      <c r="B86" s="1" t="str">
        <f>'OPEX DATA 2'!A194</f>
        <v>6600 - Commissary Direct Opex</v>
      </c>
      <c r="D86" s="34">
        <f>'OPEX DATA 2'!U194</f>
        <v>341.52368131868127</v>
      </c>
      <c r="E86" s="20">
        <f t="shared" si="3"/>
        <v>5.553230590547663E-3</v>
      </c>
    </row>
    <row r="87" spans="2:175" s="10" customFormat="1" x14ac:dyDescent="0.25">
      <c r="B87" s="10" t="str">
        <f>'OPEX DATA 2'!A195</f>
        <v>6610 - License &amp; Permits</v>
      </c>
      <c r="C87" s="2"/>
      <c r="D87" s="28">
        <f>'OPEX DATA 2'!U195</f>
        <v>42.526263736263736</v>
      </c>
      <c r="E87" s="18">
        <f t="shared" si="3"/>
        <v>6.9148396319128021E-4</v>
      </c>
      <c r="F87" s="18"/>
      <c r="G87" s="18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</row>
    <row r="88" spans="2:175" outlineLevel="1" x14ac:dyDescent="0.25">
      <c r="B88" s="1" t="str">
        <f>'OPEX DATA 2'!A196</f>
        <v>6750 - Live Entertainment</v>
      </c>
      <c r="D88" s="34">
        <f>D5</f>
        <v>4000</v>
      </c>
      <c r="E88" s="20">
        <f t="shared" si="3"/>
        <v>6.5040650406504072E-2</v>
      </c>
    </row>
    <row r="89" spans="2:175" outlineLevel="1" x14ac:dyDescent="0.25">
      <c r="B89" s="1" t="str">
        <f>'OPEX DATA 2'!A197</f>
        <v>6755 - Members Entertainment</v>
      </c>
      <c r="D89" s="34">
        <f>'OPEX DATA 2'!U197</f>
        <v>16.457582417582415</v>
      </c>
      <c r="E89" s="20">
        <f t="shared" si="3"/>
        <v>2.6760296613955148E-4</v>
      </c>
    </row>
    <row r="90" spans="2:175" outlineLevel="1" x14ac:dyDescent="0.25">
      <c r="B90" s="1" t="str">
        <f>'OPEX DATA 2'!A198</f>
        <v>6760 - MM at Sea</v>
      </c>
      <c r="D90" s="34">
        <f>'OPEX DATA 2'!U198</f>
        <v>0</v>
      </c>
      <c r="E90" s="20">
        <f t="shared" si="3"/>
        <v>0</v>
      </c>
    </row>
    <row r="91" spans="2:175" outlineLevel="1" x14ac:dyDescent="0.25">
      <c r="B91" s="1" t="str">
        <f>'OPEX DATA 2'!A199</f>
        <v>6761 - Docking fees expenses</v>
      </c>
      <c r="D91" s="34">
        <f>'OPEX DATA 2'!U199</f>
        <v>0</v>
      </c>
      <c r="E91" s="20">
        <f t="shared" si="3"/>
        <v>0</v>
      </c>
    </row>
    <row r="92" spans="2:175" outlineLevel="1" x14ac:dyDescent="0.25">
      <c r="B92" s="1" t="str">
        <f>'OPEX DATA 2'!A200</f>
        <v>6762 - Operating Yachting Cost</v>
      </c>
      <c r="D92" s="34">
        <f>'OPEX DATA 2'!U200</f>
        <v>0</v>
      </c>
      <c r="E92" s="20">
        <f t="shared" si="3"/>
        <v>0</v>
      </c>
    </row>
    <row r="93" spans="2:175" outlineLevel="1" x14ac:dyDescent="0.25">
      <c r="B93" s="1" t="str">
        <f>'OPEX DATA 2'!A201</f>
        <v>6770 - Printing Expense</v>
      </c>
      <c r="D93" s="34">
        <f>'OPEX DATA 2'!U201</f>
        <v>15.443186813186813</v>
      </c>
      <c r="E93" s="20">
        <f t="shared" si="3"/>
        <v>2.5110872866970427E-4</v>
      </c>
    </row>
    <row r="94" spans="2:175" outlineLevel="1" x14ac:dyDescent="0.25">
      <c r="B94" s="1" t="str">
        <f>'OPEX DATA 2'!A202</f>
        <v>6780 - AVA Coconut Grove</v>
      </c>
      <c r="D94" s="34">
        <f>'OPEX DATA 2'!U202</f>
        <v>0</v>
      </c>
      <c r="E94" s="20">
        <f t="shared" si="3"/>
        <v>0</v>
      </c>
    </row>
    <row r="95" spans="2:175" outlineLevel="1" x14ac:dyDescent="0.25">
      <c r="B95" s="1" t="str">
        <f>'OPEX DATA 2'!A203</f>
        <v>6781 - E11even</v>
      </c>
      <c r="D95" s="34">
        <f>'OPEX DATA 2'!U203</f>
        <v>0</v>
      </c>
      <c r="E95" s="20">
        <f t="shared" si="3"/>
        <v>0</v>
      </c>
    </row>
    <row r="96" spans="2:175" outlineLevel="1" x14ac:dyDescent="0.25">
      <c r="B96" s="1" t="str">
        <f>'OPEX DATA 2'!A204</f>
        <v>6782 - Vanquish CN</v>
      </c>
      <c r="D96" s="34">
        <f>'OPEX DATA 2'!U204</f>
        <v>0</v>
      </c>
      <c r="E96" s="20">
        <f t="shared" si="3"/>
        <v>0</v>
      </c>
    </row>
    <row r="97" spans="2:175" outlineLevel="1" x14ac:dyDescent="0.25">
      <c r="B97" s="1" t="str">
        <f>'OPEX DATA 2'!A205</f>
        <v>6783 - Mila Cannes</v>
      </c>
      <c r="D97" s="34">
        <f>'OPEX DATA 2'!U205</f>
        <v>0</v>
      </c>
      <c r="E97" s="20">
        <f t="shared" si="3"/>
        <v>0</v>
      </c>
    </row>
    <row r="98" spans="2:175" outlineLevel="1" x14ac:dyDescent="0.25">
      <c r="B98" s="1" t="str">
        <f>'OPEX DATA 2'!A206</f>
        <v>6784 - GP (Casa Neos)</v>
      </c>
      <c r="D98" s="34">
        <f>'OPEX DATA 2'!U206</f>
        <v>0</v>
      </c>
      <c r="E98" s="20">
        <f t="shared" si="3"/>
        <v>0</v>
      </c>
    </row>
    <row r="99" spans="2:175" outlineLevel="1" x14ac:dyDescent="0.25">
      <c r="B99" s="1" t="str">
        <f>'OPEX DATA 2'!A207</f>
        <v>6785 - AVA research and Development</v>
      </c>
      <c r="D99" s="34">
        <f>'OPEX DATA 2'!U207</f>
        <v>0</v>
      </c>
      <c r="E99" s="20">
        <f t="shared" si="3"/>
        <v>0</v>
      </c>
    </row>
    <row r="100" spans="2:175" outlineLevel="1" x14ac:dyDescent="0.25">
      <c r="B100" s="1" t="str">
        <f>'OPEX DATA 2'!A208</f>
        <v>6800 - COVID Expenses</v>
      </c>
      <c r="D100" s="34">
        <f>'OPEX DATA 2'!U208</f>
        <v>0</v>
      </c>
      <c r="E100" s="20">
        <f t="shared" si="3"/>
        <v>0</v>
      </c>
    </row>
    <row r="101" spans="2:175" outlineLevel="1" x14ac:dyDescent="0.25">
      <c r="B101" s="47" t="str">
        <f>'OPEX DATA 2'!A209</f>
        <v>Total Direct Operating Expenses</v>
      </c>
      <c r="C101" s="48"/>
      <c r="D101" s="49">
        <f>SUM(D53:D100)</f>
        <v>7809.9299450549461</v>
      </c>
      <c r="E101" s="50">
        <f t="shared" si="3"/>
        <v>0.12699073081390155</v>
      </c>
      <c r="F101" s="50"/>
      <c r="G101" s="50"/>
    </row>
    <row r="102" spans="2:175" outlineLevel="1" x14ac:dyDescent="0.25">
      <c r="D102" s="34"/>
    </row>
    <row r="103" spans="2:175" outlineLevel="1" x14ac:dyDescent="0.25">
      <c r="B103" s="10" t="str">
        <f>'OPEX DATA 2'!A213</f>
        <v>General and Administrative</v>
      </c>
      <c r="D103" s="34"/>
      <c r="E103" s="18"/>
    </row>
    <row r="104" spans="2:175" outlineLevel="1" x14ac:dyDescent="0.25">
      <c r="B104" s="1" t="str">
        <f>'OPEX DATA 2'!A215</f>
        <v>7010 - Credit Card Fees</v>
      </c>
      <c r="D104" s="34">
        <f>'OPEX DATA 2'!U215</f>
        <v>1942.826978021978</v>
      </c>
      <c r="E104" s="20">
        <f t="shared" ref="E104:E130" si="4">D104/D$36</f>
        <v>3.1590682569463055E-2</v>
      </c>
    </row>
    <row r="105" spans="2:175" outlineLevel="1" x14ac:dyDescent="0.25">
      <c r="B105" s="1" t="str">
        <f>'OPEX DATA 2'!A216</f>
        <v>7015 - Open Table Fees</v>
      </c>
      <c r="D105" s="34">
        <f>'OPEX DATA 2'!U216</f>
        <v>28.043956043956047</v>
      </c>
      <c r="E105" s="20">
        <f t="shared" si="4"/>
        <v>4.5599928526757802E-4</v>
      </c>
    </row>
    <row r="106" spans="2:175" outlineLevel="1" x14ac:dyDescent="0.25">
      <c r="B106" s="1" t="str">
        <f>'OPEX DATA 2'!A217</f>
        <v>7020 - Dues and Subscriptions</v>
      </c>
      <c r="D106" s="34">
        <f>'OPEX DATA 2'!U217</f>
        <v>426.59027472527475</v>
      </c>
      <c r="E106" s="20">
        <f t="shared" si="4"/>
        <v>6.9364272313052807E-3</v>
      </c>
    </row>
    <row r="107" spans="2:175" outlineLevel="1" x14ac:dyDescent="0.25">
      <c r="B107" s="1" t="str">
        <f>'OPEX DATA 2'!A218</f>
        <v>7040 - Payroll Processing Fees</v>
      </c>
      <c r="D107" s="34">
        <f>'OPEX DATA 2'!U218</f>
        <v>34.25736263736264</v>
      </c>
      <c r="E107" s="20">
        <f t="shared" si="4"/>
        <v>5.5703028678638438E-4</v>
      </c>
    </row>
    <row r="108" spans="2:175" outlineLevel="1" x14ac:dyDescent="0.25">
      <c r="B108" s="1" t="str">
        <f>'OPEX DATA 2'!A219</f>
        <v>7050 - Fire &amp; Security</v>
      </c>
      <c r="D108" s="34">
        <f>'OPEX DATA 2'!U219</f>
        <v>794.67241758241755</v>
      </c>
      <c r="E108" s="20">
        <f t="shared" si="4"/>
        <v>1.2921502724917358E-2</v>
      </c>
    </row>
    <row r="109" spans="2:175" outlineLevel="1" x14ac:dyDescent="0.25">
      <c r="B109" s="1" t="str">
        <f>'OPEX DATA 2'!A220</f>
        <v>7060 - Postage &amp; Delivery</v>
      </c>
      <c r="D109" s="34">
        <f>'OPEX DATA 2'!U220</f>
        <v>18.373186813186813</v>
      </c>
      <c r="E109" s="20">
        <f t="shared" si="4"/>
        <v>2.9875100509246848E-4</v>
      </c>
    </row>
    <row r="110" spans="2:175" x14ac:dyDescent="0.25">
      <c r="B110" s="21" t="str">
        <f>'OPEX DATA 2'!A221</f>
        <v>7070 - Storage facility</v>
      </c>
      <c r="C110" s="22"/>
      <c r="D110" s="45">
        <f>'OPEX DATA 2'!U221</f>
        <v>0</v>
      </c>
      <c r="E110" s="46">
        <f t="shared" si="4"/>
        <v>0</v>
      </c>
    </row>
    <row r="111" spans="2:175" x14ac:dyDescent="0.25">
      <c r="B111" s="1" t="str">
        <f>'OPEX DATA 2'!A222</f>
        <v>7080 - Office Supplies</v>
      </c>
      <c r="D111" s="34">
        <f>'OPEX DATA 2'!U222</f>
        <v>8.797417582417582</v>
      </c>
      <c r="E111" s="20">
        <f t="shared" si="4"/>
        <v>1.4304744036451353E-4</v>
      </c>
    </row>
    <row r="112" spans="2:175" s="10" customFormat="1" x14ac:dyDescent="0.25">
      <c r="B112" s="10" t="str">
        <f>'OPEX DATA 2'!A223</f>
        <v>7090 - Computer Supplies</v>
      </c>
      <c r="C112" s="2"/>
      <c r="D112" s="28">
        <f>'OPEX DATA 2'!U223</f>
        <v>4.0824175824175822E-2</v>
      </c>
      <c r="E112" s="18">
        <f t="shared" si="4"/>
        <v>6.6380773697846864E-7</v>
      </c>
      <c r="F112" s="18"/>
      <c r="G112" s="18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</row>
    <row r="113" spans="2:175" outlineLevel="1" x14ac:dyDescent="0.25">
      <c r="B113" s="1" t="str">
        <f>'OPEX DATA 2'!A224</f>
        <v>7091 - IT Support</v>
      </c>
      <c r="D113" s="34">
        <f>'OPEX DATA 2'!U224</f>
        <v>3.8060989010989013</v>
      </c>
      <c r="E113" s="20">
        <f t="shared" si="4"/>
        <v>6.1887787009738235E-5</v>
      </c>
    </row>
    <row r="114" spans="2:175" outlineLevel="1" x14ac:dyDescent="0.25">
      <c r="B114" s="1" t="str">
        <f>'OPEX DATA 2'!A225</f>
        <v>7092 - IT AI solutions</v>
      </c>
      <c r="D114" s="34">
        <f>'OPEX DATA 2'!U225</f>
        <v>0</v>
      </c>
      <c r="E114" s="20">
        <f t="shared" si="4"/>
        <v>0</v>
      </c>
    </row>
    <row r="115" spans="2:175" outlineLevel="1" x14ac:dyDescent="0.25">
      <c r="B115" s="1" t="str">
        <f>'OPEX DATA 2'!A226</f>
        <v>7100 - Cash Short (Over)</v>
      </c>
      <c r="D115" s="34">
        <f>'OPEX DATA 2'!U226</f>
        <v>-0.74967032967032965</v>
      </c>
      <c r="E115" s="20">
        <f t="shared" si="4"/>
        <v>-1.218976145805414E-5</v>
      </c>
    </row>
    <row r="116" spans="2:175" outlineLevel="1" x14ac:dyDescent="0.25">
      <c r="B116" s="1" t="str">
        <f>'OPEX DATA 2'!A227</f>
        <v>7110 - Bank Fees</v>
      </c>
      <c r="D116" s="34">
        <f>'OPEX DATA 2'!U227</f>
        <v>118.59192307692308</v>
      </c>
      <c r="E116" s="20">
        <f t="shared" si="4"/>
        <v>1.9283239524702941E-3</v>
      </c>
    </row>
    <row r="117" spans="2:175" outlineLevel="1" x14ac:dyDescent="0.25">
      <c r="B117" s="1" t="str">
        <f>'OPEX DATA 2'!A228</f>
        <v>7120 - Bad Debts</v>
      </c>
      <c r="D117" s="34">
        <f>'OPEX DATA 2'!U228</f>
        <v>24.308406593406595</v>
      </c>
      <c r="E117" s="20">
        <f t="shared" si="4"/>
        <v>3.9525864379522921E-4</v>
      </c>
    </row>
    <row r="118" spans="2:175" outlineLevel="1" x14ac:dyDescent="0.25">
      <c r="B118" s="1" t="str">
        <f>'OPEX DATA 2'!A229</f>
        <v>7130 - Business Taxes</v>
      </c>
      <c r="D118" s="34">
        <f>'OPEX DATA 2'!U229</f>
        <v>0.60989010989010983</v>
      </c>
      <c r="E118" s="20">
        <f t="shared" si="4"/>
        <v>9.9169123559367455E-6</v>
      </c>
    </row>
    <row r="119" spans="2:175" x14ac:dyDescent="0.25">
      <c r="B119" s="21" t="str">
        <f>'OPEX DATA 2'!A230</f>
        <v>7140 - Personnel &amp; Recruiting Expenses</v>
      </c>
      <c r="C119" s="22"/>
      <c r="D119" s="45">
        <f>'OPEX DATA 2'!U230</f>
        <v>81.932967032967028</v>
      </c>
      <c r="E119" s="46">
        <f t="shared" si="4"/>
        <v>1.3322433663897077E-3</v>
      </c>
    </row>
    <row r="120" spans="2:175" x14ac:dyDescent="0.25">
      <c r="B120" s="1" t="str">
        <f>'OPEX DATA 2'!A231</f>
        <v>7145 - Employee settlement</v>
      </c>
      <c r="D120" s="34">
        <f>'OPEX DATA 2'!U231</f>
        <v>0</v>
      </c>
      <c r="E120" s="20">
        <f t="shared" si="4"/>
        <v>0</v>
      </c>
    </row>
    <row r="121" spans="2:175" s="10" customFormat="1" x14ac:dyDescent="0.25">
      <c r="B121" s="10" t="str">
        <f>'OPEX DATA 2'!A232</f>
        <v>7146 - Guest Settlement/Dispute</v>
      </c>
      <c r="C121" s="2"/>
      <c r="D121" s="28">
        <f>'OPEX DATA 2'!U232</f>
        <v>2.7472527472527473</v>
      </c>
      <c r="E121" s="18">
        <f t="shared" si="4"/>
        <v>4.4670776378093451E-5</v>
      </c>
      <c r="F121" s="18"/>
      <c r="G121" s="18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</row>
    <row r="122" spans="2:175" x14ac:dyDescent="0.25">
      <c r="B122" s="21" t="str">
        <f>'OPEX DATA 2'!A233</f>
        <v>7150 - Training &amp; Seminars</v>
      </c>
      <c r="C122" s="22"/>
      <c r="D122" s="45">
        <f>'OPEX DATA 2'!U233</f>
        <v>0.50230769230769234</v>
      </c>
      <c r="E122" s="46">
        <f t="shared" si="4"/>
        <v>8.1676047529706064E-6</v>
      </c>
    </row>
    <row r="123" spans="2:175" x14ac:dyDescent="0.25">
      <c r="B123" s="1" t="str">
        <f>'OPEX DATA 2'!A234</f>
        <v>7160 - Travel</v>
      </c>
      <c r="D123" s="34">
        <f>'OPEX DATA 2'!U234</f>
        <v>4.3490659340659343</v>
      </c>
      <c r="E123" s="20">
        <f t="shared" si="4"/>
        <v>7.0716519253104617E-5</v>
      </c>
    </row>
    <row r="124" spans="2:175" s="10" customFormat="1" x14ac:dyDescent="0.25">
      <c r="B124" s="10" t="str">
        <f>'OPEX DATA 2'!A235</f>
        <v>7170 - Meals</v>
      </c>
      <c r="C124" s="2"/>
      <c r="D124" s="28">
        <f>'OPEX DATA 2'!U235</f>
        <v>35.93796703296703</v>
      </c>
      <c r="E124" s="18">
        <f t="shared" si="4"/>
        <v>5.8435718752791917E-4</v>
      </c>
      <c r="F124" s="18"/>
      <c r="G124" s="18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</row>
    <row r="125" spans="2:175" outlineLevel="1" x14ac:dyDescent="0.25">
      <c r="B125" s="1" t="str">
        <f>'OPEX DATA 2'!A236</f>
        <v>7175 - General Liability Insurance</v>
      </c>
      <c r="D125" s="34">
        <f>'OPEX DATA 2'!U236</f>
        <v>1125.1606043956044</v>
      </c>
      <c r="E125" s="20">
        <f t="shared" si="4"/>
        <v>1.8295294380416331E-2</v>
      </c>
    </row>
    <row r="126" spans="2:175" x14ac:dyDescent="0.25">
      <c r="B126" s="21" t="str">
        <f>'OPEX DATA 2'!A237</f>
        <v>7176 - Equipment Rental</v>
      </c>
      <c r="C126" s="22"/>
      <c r="D126" s="45">
        <f>'OPEX DATA 2'!U237</f>
        <v>81.332197802197811</v>
      </c>
      <c r="E126" s="46">
        <f t="shared" si="4"/>
        <v>1.3224747610113465E-3</v>
      </c>
    </row>
    <row r="127" spans="2:175" x14ac:dyDescent="0.25">
      <c r="B127" s="1" t="str">
        <f>'OPEX DATA 2'!A238</f>
        <v>7177 - Parking - Team</v>
      </c>
      <c r="D127" s="34">
        <f>'OPEX DATA 2'!U238</f>
        <v>11.850494505494506</v>
      </c>
      <c r="E127" s="20">
        <f t="shared" si="4"/>
        <v>1.9269096756901636E-4</v>
      </c>
    </row>
    <row r="128" spans="2:175" s="10" customFormat="1" x14ac:dyDescent="0.25">
      <c r="B128" s="10" t="str">
        <f>'OPEX DATA 2'!A239</f>
        <v>7178 - Parking - Customer</v>
      </c>
      <c r="C128" s="2"/>
      <c r="D128" s="28">
        <f>'OPEX DATA 2'!U239</f>
        <v>0</v>
      </c>
      <c r="E128" s="18">
        <f t="shared" si="4"/>
        <v>0</v>
      </c>
      <c r="F128" s="18"/>
      <c r="G128" s="1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</row>
    <row r="129" spans="2:7" outlineLevel="1" x14ac:dyDescent="0.25">
      <c r="B129" s="1" t="str">
        <f>'OPEX DATA 2'!A240</f>
        <v>7180 - Commissary General Administrative</v>
      </c>
      <c r="D129" s="34">
        <f>'OPEX DATA 2'!U240</f>
        <v>0</v>
      </c>
      <c r="E129" s="20">
        <f t="shared" si="4"/>
        <v>0</v>
      </c>
    </row>
    <row r="130" spans="2:7" outlineLevel="1" x14ac:dyDescent="0.25">
      <c r="B130" s="47" t="str">
        <f>'OPEX DATA 2'!A241</f>
        <v>Total General and Administrative</v>
      </c>
      <c r="C130" s="48"/>
      <c r="D130" s="49">
        <f>SUM(D104:D129)</f>
        <v>4743.9819230769235</v>
      </c>
      <c r="E130" s="50">
        <f t="shared" si="4"/>
        <v>7.7137917448405258E-2</v>
      </c>
      <c r="F130" s="50"/>
      <c r="G130" s="50"/>
    </row>
    <row r="131" spans="2:7" outlineLevel="1" x14ac:dyDescent="0.25">
      <c r="D131" s="34"/>
    </row>
    <row r="132" spans="2:7" outlineLevel="1" x14ac:dyDescent="0.25">
      <c r="B132" s="10" t="str">
        <f>'OPEX DATA 2'!A242</f>
        <v>Utilities</v>
      </c>
      <c r="D132" s="34"/>
      <c r="E132" s="18"/>
    </row>
    <row r="133" spans="2:7" outlineLevel="1" x14ac:dyDescent="0.25">
      <c r="B133" s="1" t="str">
        <f>'OPEX DATA 2'!A244</f>
        <v>7510 - Telephone</v>
      </c>
      <c r="D133" s="34">
        <f>'OPEX DATA 2'!U244</f>
        <v>20.959285714285709</v>
      </c>
      <c r="E133" s="20">
        <f t="shared" ref="E133:E141" si="5">D133/D$36</f>
        <v>3.4080139372822294E-4</v>
      </c>
    </row>
    <row r="134" spans="2:7" outlineLevel="1" x14ac:dyDescent="0.25">
      <c r="B134" s="1" t="str">
        <f>'OPEX DATA 2'!A245</f>
        <v>7520 - Internet</v>
      </c>
      <c r="D134" s="34">
        <f>'OPEX DATA 2'!U245</f>
        <v>15.025109890109889</v>
      </c>
      <c r="E134" s="20">
        <f t="shared" si="5"/>
        <v>2.44310729920486E-4</v>
      </c>
    </row>
    <row r="135" spans="2:7" outlineLevel="1" x14ac:dyDescent="0.25">
      <c r="B135" s="1" t="str">
        <f>'OPEX DATA 2'!A246</f>
        <v>7530 - Cable &amp; Music</v>
      </c>
      <c r="D135" s="34">
        <f>'OPEX DATA 2'!U246</f>
        <v>0</v>
      </c>
      <c r="E135" s="20">
        <f t="shared" si="5"/>
        <v>0</v>
      </c>
    </row>
    <row r="136" spans="2:7" outlineLevel="1" x14ac:dyDescent="0.25">
      <c r="B136" s="1" t="str">
        <f>'OPEX DATA 2'!A247</f>
        <v>7540 - Electricity</v>
      </c>
      <c r="D136" s="34">
        <f>'OPEX DATA 2'!U247</f>
        <v>144.80395604395605</v>
      </c>
      <c r="E136" s="20">
        <f t="shared" si="5"/>
        <v>2.3545358706334317E-3</v>
      </c>
    </row>
    <row r="137" spans="2:7" outlineLevel="1" x14ac:dyDescent="0.25">
      <c r="B137" s="1" t="str">
        <f>'OPEX DATA 2'!A248</f>
        <v>7550 - Gas</v>
      </c>
      <c r="D137" s="34">
        <f>'OPEX DATA 2'!U248</f>
        <v>24.860439560439563</v>
      </c>
      <c r="E137" s="20">
        <f t="shared" si="5"/>
        <v>4.0423478960064328E-4</v>
      </c>
    </row>
    <row r="138" spans="2:7" x14ac:dyDescent="0.25">
      <c r="B138" s="21" t="str">
        <f>'OPEX DATA 2'!A249</f>
        <v>7570 - Garbage/Recycle</v>
      </c>
      <c r="C138" s="22"/>
      <c r="D138" s="45">
        <f>'OPEX DATA 2'!U249</f>
        <v>155.47115384615384</v>
      </c>
      <c r="E138" s="46">
        <f t="shared" si="5"/>
        <v>2.5279862414008753E-3</v>
      </c>
    </row>
    <row r="139" spans="2:7" x14ac:dyDescent="0.25">
      <c r="B139" s="1" t="str">
        <f>'OPEX DATA 2'!A250</f>
        <v>7580 - Water &amp; Sewer</v>
      </c>
      <c r="D139" s="34">
        <f>'OPEX DATA 2'!U250</f>
        <v>0</v>
      </c>
      <c r="E139" s="20">
        <f t="shared" si="5"/>
        <v>0</v>
      </c>
    </row>
    <row r="140" spans="2:7" x14ac:dyDescent="0.25">
      <c r="B140" s="51" t="str">
        <f>'OPEX DATA 2'!A251</f>
        <v>7700 - Commissary Utilities</v>
      </c>
      <c r="C140" s="52"/>
      <c r="D140" s="53">
        <f>'OPEX DATA 2'!U251</f>
        <v>0</v>
      </c>
      <c r="E140" s="54">
        <f t="shared" si="5"/>
        <v>0</v>
      </c>
    </row>
    <row r="141" spans="2:7" x14ac:dyDescent="0.25">
      <c r="B141" s="47" t="str">
        <f>'OPEX DATA 2'!A252</f>
        <v>Total Utilities</v>
      </c>
      <c r="C141" s="48"/>
      <c r="D141" s="49">
        <f>SUM(D133:D140)</f>
        <v>361.11994505494505</v>
      </c>
      <c r="E141" s="50">
        <f t="shared" si="5"/>
        <v>5.8718690252836598E-3</v>
      </c>
      <c r="F141" s="50"/>
      <c r="G141" s="50"/>
    </row>
    <row r="142" spans="2:7" x14ac:dyDescent="0.25">
      <c r="B142" s="55"/>
      <c r="C142" s="56"/>
      <c r="D142" s="57"/>
      <c r="E142" s="58"/>
    </row>
    <row r="143" spans="2:7" x14ac:dyDescent="0.25">
      <c r="B143" s="55" t="str">
        <f>'OPEX DATA 2'!A253</f>
        <v>Occupancy</v>
      </c>
      <c r="C143" s="56"/>
      <c r="D143" s="57"/>
      <c r="E143" s="58"/>
    </row>
    <row r="144" spans="2:7" x14ac:dyDescent="0.25">
      <c r="B144" s="55" t="str">
        <f>'OPEX DATA 2'!A255</f>
        <v>7910 - Rent</v>
      </c>
      <c r="C144" s="56"/>
      <c r="D144" s="57">
        <f>'OPEX DATA 2'!U255</f>
        <v>0</v>
      </c>
      <c r="E144" s="58">
        <f t="shared" ref="E144:E152" si="6">D144/D$36</f>
        <v>0</v>
      </c>
    </row>
    <row r="145" spans="2:7" x14ac:dyDescent="0.25">
      <c r="B145" s="55" t="str">
        <f>'OPEX DATA 2'!A256</f>
        <v>7911 - Percentage Rent</v>
      </c>
      <c r="C145" s="56"/>
      <c r="D145" s="57">
        <f>'OPEX DATA 2'!U256</f>
        <v>2508.1870329670332</v>
      </c>
      <c r="E145" s="58">
        <f t="shared" si="6"/>
        <v>4.0783528991333876E-2</v>
      </c>
    </row>
    <row r="146" spans="2:7" x14ac:dyDescent="0.25">
      <c r="B146" s="55" t="str">
        <f>'OPEX DATA 2'!A257</f>
        <v>7912 - Prior Year Rent Exp</v>
      </c>
      <c r="C146" s="56"/>
      <c r="D146" s="57">
        <f>'OPEX DATA 2'!U257</f>
        <v>0</v>
      </c>
      <c r="E146" s="58">
        <f t="shared" si="6"/>
        <v>0</v>
      </c>
    </row>
    <row r="147" spans="2:7" x14ac:dyDescent="0.25">
      <c r="B147" s="55" t="str">
        <f>'OPEX DATA 2'!A258</f>
        <v>7920 - CAM Charges</v>
      </c>
      <c r="C147" s="56"/>
      <c r="D147" s="57">
        <f>'OPEX DATA 2'!U258</f>
        <v>126.06516483516484</v>
      </c>
      <c r="E147" s="58">
        <f t="shared" si="6"/>
        <v>2.0498400786205665E-3</v>
      </c>
    </row>
    <row r="148" spans="2:7" x14ac:dyDescent="0.25">
      <c r="B148" s="55" t="str">
        <f>'OPEX DATA 2'!A259</f>
        <v>7930 - Commissary Occupancy</v>
      </c>
      <c r="C148" s="56"/>
      <c r="D148" s="57">
        <f>'OPEX DATA 2'!U259</f>
        <v>0</v>
      </c>
      <c r="E148" s="58">
        <f t="shared" si="6"/>
        <v>0</v>
      </c>
    </row>
    <row r="149" spans="2:7" x14ac:dyDescent="0.25">
      <c r="B149" s="55" t="str">
        <f>'OPEX DATA 2'!A260</f>
        <v>7940 - Property Tax</v>
      </c>
      <c r="C149" s="56"/>
      <c r="D149" s="57">
        <f>'OPEX DATA 2'!U260</f>
        <v>0</v>
      </c>
      <c r="E149" s="58">
        <f t="shared" si="6"/>
        <v>0</v>
      </c>
    </row>
    <row r="150" spans="2:7" x14ac:dyDescent="0.25">
      <c r="B150" s="55" t="str">
        <f>'OPEX DATA 2'!A261</f>
        <v>9212 - Depreciation ROU</v>
      </c>
      <c r="C150" s="56"/>
      <c r="D150" s="57">
        <f>'OPEX DATA 2'!U261</f>
        <v>831.8067582417583</v>
      </c>
      <c r="E150" s="58">
        <f t="shared" si="6"/>
        <v>1.3525313142142411E-2</v>
      </c>
    </row>
    <row r="151" spans="2:7" x14ac:dyDescent="0.25">
      <c r="B151" s="55" t="str">
        <f>'OPEX DATA 2'!A262</f>
        <v>9213 - Interest ROU</v>
      </c>
      <c r="C151" s="56"/>
      <c r="D151" s="57">
        <f>'OPEX DATA 2'!U262</f>
        <v>308.97318681318677</v>
      </c>
      <c r="E151" s="58">
        <f t="shared" si="6"/>
        <v>5.0239542571249886E-3</v>
      </c>
    </row>
    <row r="152" spans="2:7" x14ac:dyDescent="0.25">
      <c r="B152" s="47" t="str">
        <f>'OPEX DATA 2'!A263</f>
        <v>Total Occupancy</v>
      </c>
      <c r="C152" s="48"/>
      <c r="D152" s="49">
        <f>SUM(D144:D151)</f>
        <v>3775.0321428571433</v>
      </c>
      <c r="E152" s="50">
        <f t="shared" si="6"/>
        <v>6.1382636469221839E-2</v>
      </c>
      <c r="F152" s="50"/>
      <c r="G152" s="50"/>
    </row>
    <row r="153" spans="2:7" x14ac:dyDescent="0.25">
      <c r="B153" s="55"/>
      <c r="C153" s="56"/>
      <c r="D153" s="57"/>
      <c r="E153" s="58"/>
    </row>
    <row r="154" spans="2:7" x14ac:dyDescent="0.25">
      <c r="B154" s="55" t="str">
        <f>'OPEX DATA 2'!A264</f>
        <v>Other (Income) Expenses</v>
      </c>
      <c r="C154" s="56"/>
      <c r="D154" s="57"/>
      <c r="E154" s="58"/>
    </row>
    <row r="155" spans="2:7" x14ac:dyDescent="0.25">
      <c r="B155" s="55" t="str">
        <f>'OPEX DATA 2'!A266</f>
        <v>8010 - Interest Income</v>
      </c>
      <c r="C155" s="56"/>
      <c r="D155" s="57">
        <f>'OPEX DATA 2'!U266</f>
        <v>0</v>
      </c>
      <c r="E155" s="58">
        <f t="shared" ref="E155:E172" si="7">D155/D$36</f>
        <v>0</v>
      </c>
    </row>
    <row r="156" spans="2:7" x14ac:dyDescent="0.25">
      <c r="B156" s="55" t="str">
        <f>'OPEX DATA 2'!A267</f>
        <v>8020 - Net Rental Real Estate Income/(Loss)</v>
      </c>
      <c r="C156" s="56"/>
      <c r="D156" s="57">
        <f>'OPEX DATA 2'!U267</f>
        <v>0</v>
      </c>
      <c r="E156" s="58">
        <f t="shared" si="7"/>
        <v>0</v>
      </c>
    </row>
    <row r="157" spans="2:7" x14ac:dyDescent="0.25">
      <c r="B157" s="55" t="str">
        <f>'OPEX DATA 2'!A268</f>
        <v>8030 - Miscellaneous Income</v>
      </c>
      <c r="C157" s="56"/>
      <c r="D157" s="57">
        <f>'OPEX DATA 2'!U268</f>
        <v>-0.18175824175824173</v>
      </c>
      <c r="E157" s="58">
        <f t="shared" si="7"/>
        <v>-2.9554185651746624E-6</v>
      </c>
    </row>
    <row r="158" spans="2:7" x14ac:dyDescent="0.25">
      <c r="B158" s="55" t="str">
        <f>'OPEX DATA 2'!A269</f>
        <v>8051 - Mgmt Fee Income - MILA</v>
      </c>
      <c r="C158" s="56"/>
      <c r="D158" s="57">
        <f>'OPEX DATA 2'!U269</f>
        <v>0</v>
      </c>
      <c r="E158" s="58">
        <f t="shared" si="7"/>
        <v>0</v>
      </c>
    </row>
    <row r="159" spans="2:7" x14ac:dyDescent="0.25">
      <c r="B159" s="55" t="str">
        <f>'OPEX DATA 2'!A270</f>
        <v>8052 - Mgmt Fee Income - MILA II</v>
      </c>
      <c r="C159" s="56"/>
      <c r="D159" s="57">
        <f>'OPEX DATA 2'!U270</f>
        <v>0</v>
      </c>
      <c r="E159" s="58">
        <f t="shared" si="7"/>
        <v>0</v>
      </c>
    </row>
    <row r="160" spans="2:7" x14ac:dyDescent="0.25">
      <c r="B160" s="55" t="str">
        <f>'OPEX DATA 2'!A271</f>
        <v>8053 - Mgmt Fee Income - AVA</v>
      </c>
      <c r="C160" s="56"/>
      <c r="D160" s="57">
        <f>'OPEX DATA 2'!U271</f>
        <v>0</v>
      </c>
      <c r="E160" s="58">
        <f t="shared" si="7"/>
        <v>0</v>
      </c>
    </row>
    <row r="161" spans="2:7" x14ac:dyDescent="0.25">
      <c r="B161" s="55" t="str">
        <f>'OPEX DATA 2'!A272</f>
        <v>8054 - Mgmt Fee Income - Baoli</v>
      </c>
      <c r="C161" s="56"/>
      <c r="D161" s="57">
        <f>'OPEX DATA 2'!U272</f>
        <v>0</v>
      </c>
      <c r="E161" s="58">
        <f t="shared" si="7"/>
        <v>0</v>
      </c>
    </row>
    <row r="162" spans="2:7" x14ac:dyDescent="0.25">
      <c r="B162" s="55" t="str">
        <f>'OPEX DATA 2'!A273</f>
        <v>8055 - Mgmt Fee Income - CASA NEOS</v>
      </c>
      <c r="C162" s="56"/>
      <c r="D162" s="57">
        <f>'OPEX DATA 2'!U273</f>
        <v>0</v>
      </c>
      <c r="E162" s="58">
        <f t="shared" si="7"/>
        <v>0</v>
      </c>
    </row>
    <row r="163" spans="2:7" x14ac:dyDescent="0.25">
      <c r="B163" s="55" t="str">
        <f>'OPEX DATA 2'!A274</f>
        <v>8056 - Mgmt Fee Income - CLAUDIE</v>
      </c>
      <c r="C163" s="56"/>
      <c r="D163" s="57">
        <f>'OPEX DATA 2'!U274</f>
        <v>0</v>
      </c>
      <c r="E163" s="58">
        <f t="shared" si="7"/>
        <v>0</v>
      </c>
    </row>
    <row r="164" spans="2:7" x14ac:dyDescent="0.25">
      <c r="B164" s="55" t="str">
        <f>'OPEX DATA 2'!A275</f>
        <v>8057 - Mgmt Fee Income - MMembers</v>
      </c>
      <c r="C164" s="56"/>
      <c r="D164" s="57">
        <f>'OPEX DATA 2'!U275</f>
        <v>0</v>
      </c>
      <c r="E164" s="58">
        <f t="shared" si="7"/>
        <v>0</v>
      </c>
    </row>
    <row r="165" spans="2:7" x14ac:dyDescent="0.25">
      <c r="B165" s="55" t="str">
        <f>'OPEX DATA 2'!A276</f>
        <v>8058 - Mgmt Fee Income - AVA CG</v>
      </c>
      <c r="C165" s="56"/>
      <c r="D165" s="57">
        <f>'OPEX DATA 2'!U276</f>
        <v>0</v>
      </c>
      <c r="E165" s="58">
        <f t="shared" si="7"/>
        <v>0</v>
      </c>
    </row>
    <row r="166" spans="2:7" x14ac:dyDescent="0.25">
      <c r="B166" s="55" t="str">
        <f>'OPEX DATA 2'!A277</f>
        <v>8059 - Mgmt Fee Income - CN LOUNGE</v>
      </c>
      <c r="C166" s="56"/>
      <c r="D166" s="57">
        <f>'OPEX DATA 2'!U277</f>
        <v>0</v>
      </c>
      <c r="E166" s="58">
        <f t="shared" si="7"/>
        <v>0</v>
      </c>
    </row>
    <row r="167" spans="2:7" x14ac:dyDescent="0.25">
      <c r="B167" s="55" t="str">
        <f>'OPEX DATA 2'!A278</f>
        <v>8090 - Service Charge Retained</v>
      </c>
      <c r="C167" s="56"/>
      <c r="D167" s="57">
        <f>'OPEX DATA 2'!U278</f>
        <v>-2284.8806593406593</v>
      </c>
      <c r="E167" s="58">
        <f t="shared" si="7"/>
        <v>-3.7152531046189582E-2</v>
      </c>
    </row>
    <row r="168" spans="2:7" x14ac:dyDescent="0.25">
      <c r="B168" s="55" t="str">
        <f>'OPEX DATA 2'!A279</f>
        <v>8094 - Private Event Income</v>
      </c>
      <c r="C168" s="56"/>
      <c r="D168" s="57">
        <f>'OPEX DATA 2'!U279</f>
        <v>0</v>
      </c>
      <c r="E168" s="58">
        <f t="shared" si="7"/>
        <v>0</v>
      </c>
    </row>
    <row r="169" spans="2:7" x14ac:dyDescent="0.25">
      <c r="B169" s="55" t="str">
        <f>'OPEX DATA 2'!A280</f>
        <v>8095 - Private Event COMM Paid (Wages)</v>
      </c>
      <c r="C169" s="56"/>
      <c r="D169" s="57">
        <f>'OPEX DATA 2'!U280</f>
        <v>0</v>
      </c>
      <c r="E169" s="58">
        <f t="shared" si="7"/>
        <v>0</v>
      </c>
    </row>
    <row r="170" spans="2:7" x14ac:dyDescent="0.25">
      <c r="B170" s="55" t="str">
        <f>'OPEX DATA 2'!A281</f>
        <v>8098 - Auto Gratuity Received</v>
      </c>
      <c r="C170" s="56"/>
      <c r="D170" s="57">
        <f>'OPEX DATA 2'!U281</f>
        <v>0</v>
      </c>
      <c r="E170" s="58">
        <f t="shared" si="7"/>
        <v>0</v>
      </c>
    </row>
    <row r="171" spans="2:7" x14ac:dyDescent="0.25">
      <c r="B171" s="55" t="str">
        <f>'OPEX DATA 2'!A282</f>
        <v>8099 - Auto Gratuity Wages</v>
      </c>
      <c r="C171" s="56"/>
      <c r="D171" s="57">
        <f>'OPEX DATA 2'!U282</f>
        <v>0</v>
      </c>
      <c r="E171" s="58">
        <f t="shared" si="7"/>
        <v>0</v>
      </c>
    </row>
    <row r="172" spans="2:7" x14ac:dyDescent="0.25">
      <c r="B172" s="47" t="str">
        <f>'OPEX DATA 2'!A283</f>
        <v>Total Other (Income) Expenses</v>
      </c>
      <c r="C172" s="48"/>
      <c r="D172" s="49">
        <f>SUM(D155:D171)</f>
        <v>-2285.0624175824178</v>
      </c>
      <c r="E172" s="50">
        <f t="shared" si="7"/>
        <v>-3.7155486464754757E-2</v>
      </c>
      <c r="F172" s="50"/>
      <c r="G172" s="50"/>
    </row>
    <row r="173" spans="2:7" x14ac:dyDescent="0.25">
      <c r="B173" s="55"/>
      <c r="C173" s="56"/>
      <c r="D173" s="57"/>
      <c r="E173" s="58"/>
    </row>
    <row r="174" spans="2:7" x14ac:dyDescent="0.25">
      <c r="B174" s="55" t="str">
        <f>'OPEX DATA 2'!A286</f>
        <v>Corporate Overhead</v>
      </c>
      <c r="C174" s="56"/>
      <c r="D174" s="57"/>
      <c r="E174" s="58"/>
    </row>
    <row r="175" spans="2:7" x14ac:dyDescent="0.25">
      <c r="B175" s="55" t="str">
        <f>'OPEX DATA 2'!A288</f>
        <v>9010 - Interest Expense</v>
      </c>
      <c r="C175" s="56"/>
      <c r="D175" s="57">
        <f>'OPEX DATA 2'!U288</f>
        <v>0</v>
      </c>
      <c r="E175" s="58">
        <f t="shared" ref="E175:E201" si="8">D175/D$36</f>
        <v>0</v>
      </c>
    </row>
    <row r="176" spans="2:7" x14ac:dyDescent="0.25">
      <c r="B176" s="55" t="str">
        <f>'OPEX DATA 2'!A289</f>
        <v>9020 - Professional Fees</v>
      </c>
      <c r="C176" s="56"/>
      <c r="D176" s="57">
        <f>'OPEX DATA 2'!U289</f>
        <v>377.30285714285714</v>
      </c>
      <c r="E176" s="58">
        <f t="shared" si="8"/>
        <v>6.1350058072009292E-3</v>
      </c>
    </row>
    <row r="177" spans="2:5" x14ac:dyDescent="0.25">
      <c r="B177" s="55" t="str">
        <f>'OPEX DATA 2'!A290</f>
        <v>9030 - Management Fee Expense</v>
      </c>
      <c r="C177" s="56"/>
      <c r="D177" s="57">
        <f>'OPEX DATA 2'!U290</f>
        <v>3246.9006043956042</v>
      </c>
      <c r="E177" s="58">
        <f t="shared" si="8"/>
        <v>5.2795131778790312E-2</v>
      </c>
    </row>
    <row r="178" spans="2:5" x14ac:dyDescent="0.25">
      <c r="B178" s="55" t="str">
        <f>'OPEX DATA 2'!A291</f>
        <v>9045 - Donation</v>
      </c>
      <c r="C178" s="56"/>
      <c r="D178" s="57">
        <f>'OPEX DATA 2'!U291</f>
        <v>0.40659340659340659</v>
      </c>
      <c r="E178" s="58">
        <f t="shared" si="8"/>
        <v>6.6112749039578306E-6</v>
      </c>
    </row>
    <row r="179" spans="2:5" x14ac:dyDescent="0.25">
      <c r="B179" s="55" t="str">
        <f>'OPEX DATA 2'!A292</f>
        <v>9050 - Public Relations</v>
      </c>
      <c r="C179" s="56"/>
      <c r="D179" s="57">
        <f>'OPEX DATA 2'!U292</f>
        <v>86.494505494505489</v>
      </c>
      <c r="E179" s="58">
        <f t="shared" si="8"/>
        <v>1.4064147234878941E-3</v>
      </c>
    </row>
    <row r="180" spans="2:5" x14ac:dyDescent="0.25">
      <c r="B180" s="55" t="str">
        <f>'OPEX DATA 2'!A293</f>
        <v>9055 - Advertising</v>
      </c>
      <c r="C180" s="56"/>
      <c r="D180" s="57">
        <f>'OPEX DATA 2'!U293</f>
        <v>8.3655494505494499</v>
      </c>
      <c r="E180" s="58">
        <f t="shared" si="8"/>
        <v>1.3602519431787723E-4</v>
      </c>
    </row>
    <row r="181" spans="2:5" x14ac:dyDescent="0.25">
      <c r="B181" s="55" t="str">
        <f>'OPEX DATA 2'!A294</f>
        <v>9060 - Marketing</v>
      </c>
      <c r="C181" s="56"/>
      <c r="D181" s="57">
        <f>'OPEX DATA 2'!U294</f>
        <v>218.10131868131865</v>
      </c>
      <c r="E181" s="58">
        <f t="shared" si="8"/>
        <v>3.546362905387295E-3</v>
      </c>
    </row>
    <row r="182" spans="2:5" x14ac:dyDescent="0.25">
      <c r="B182" s="55" t="str">
        <f>'OPEX DATA 2'!A295</f>
        <v>9061 - Promotion Branded Items</v>
      </c>
      <c r="C182" s="56"/>
      <c r="D182" s="57">
        <f>'OPEX DATA 2'!U295</f>
        <v>0</v>
      </c>
      <c r="E182" s="58">
        <f t="shared" si="8"/>
        <v>0</v>
      </c>
    </row>
    <row r="183" spans="2:5" x14ac:dyDescent="0.25">
      <c r="B183" s="55" t="str">
        <f>'OPEX DATA 2'!A296</f>
        <v>9062 - New Market Development</v>
      </c>
      <c r="C183" s="56"/>
      <c r="D183" s="57">
        <f>'OPEX DATA 2'!U296</f>
        <v>0</v>
      </c>
      <c r="E183" s="58">
        <f t="shared" si="8"/>
        <v>0</v>
      </c>
    </row>
    <row r="184" spans="2:5" x14ac:dyDescent="0.25">
      <c r="B184" s="55" t="str">
        <f>'OPEX DATA 2'!A297</f>
        <v>9065 - Accounting Fees</v>
      </c>
      <c r="C184" s="56"/>
      <c r="D184" s="57">
        <f>'OPEX DATA 2'!U297</f>
        <v>2.6509890109890111</v>
      </c>
      <c r="E184" s="58">
        <f t="shared" si="8"/>
        <v>4.3105512373805061E-5</v>
      </c>
    </row>
    <row r="185" spans="2:5" x14ac:dyDescent="0.25">
      <c r="B185" s="55" t="str">
        <f>'OPEX DATA 2'!A298</f>
        <v>9070 - Executive Bonus</v>
      </c>
      <c r="C185" s="56"/>
      <c r="D185" s="57">
        <f>'OPEX DATA 2'!U298</f>
        <v>0</v>
      </c>
      <c r="E185" s="58">
        <f t="shared" si="8"/>
        <v>0</v>
      </c>
    </row>
    <row r="186" spans="2:5" x14ac:dyDescent="0.25">
      <c r="B186" s="55" t="str">
        <f>'OPEX DATA 2'!A299</f>
        <v>9071 - Stock Options Compensation</v>
      </c>
      <c r="C186" s="56"/>
      <c r="D186" s="57">
        <f>'OPEX DATA 2'!U299</f>
        <v>0</v>
      </c>
      <c r="E186" s="58">
        <f t="shared" si="8"/>
        <v>0</v>
      </c>
    </row>
    <row r="187" spans="2:5" x14ac:dyDescent="0.25">
      <c r="B187" s="55" t="str">
        <f>'OPEX DATA 2'!A300</f>
        <v>9075 - Federal Tax Expense</v>
      </c>
      <c r="C187" s="56"/>
      <c r="D187" s="57">
        <f>'OPEX DATA 2'!U300</f>
        <v>0</v>
      </c>
      <c r="E187" s="58">
        <f t="shared" si="8"/>
        <v>0</v>
      </c>
    </row>
    <row r="188" spans="2:5" x14ac:dyDescent="0.25">
      <c r="B188" s="55" t="str">
        <f>'OPEX DATA 2'!A301</f>
        <v>9080 - Royalty fees</v>
      </c>
      <c r="C188" s="56"/>
      <c r="D188" s="57">
        <f>'OPEX DATA 2'!U301</f>
        <v>0</v>
      </c>
      <c r="E188" s="58">
        <f t="shared" si="8"/>
        <v>0</v>
      </c>
    </row>
    <row r="189" spans="2:5" x14ac:dyDescent="0.25">
      <c r="B189" s="55" t="str">
        <f>'OPEX DATA 2'!A302</f>
        <v>9100 - Loan Fees - RDG</v>
      </c>
      <c r="C189" s="56"/>
      <c r="D189" s="57">
        <f>'OPEX DATA 2'!U302</f>
        <v>0</v>
      </c>
      <c r="E189" s="58">
        <f t="shared" si="8"/>
        <v>0</v>
      </c>
    </row>
    <row r="190" spans="2:5" x14ac:dyDescent="0.25">
      <c r="B190" s="55" t="str">
        <f>'OPEX DATA 2'!A303</f>
        <v>9205 - Depreciation Expense</v>
      </c>
      <c r="C190" s="56"/>
      <c r="D190" s="57">
        <f>'OPEX DATA 2'!U303</f>
        <v>0</v>
      </c>
      <c r="E190" s="58">
        <f t="shared" si="8"/>
        <v>0</v>
      </c>
    </row>
    <row r="191" spans="2:5" x14ac:dyDescent="0.25">
      <c r="B191" s="55" t="str">
        <f>'OPEX DATA 2'!A304</f>
        <v>9210 - (Gain)/Loss on Asset Disposal</v>
      </c>
      <c r="C191" s="56"/>
      <c r="D191" s="57">
        <f>'OPEX DATA 2'!U304</f>
        <v>0</v>
      </c>
      <c r="E191" s="58">
        <f t="shared" si="8"/>
        <v>0</v>
      </c>
    </row>
    <row r="192" spans="2:5" x14ac:dyDescent="0.25">
      <c r="B192" s="55" t="str">
        <f>'OPEX DATA 2'!A305</f>
        <v>9211 - Deferred Rent Expense (GAAP)</v>
      </c>
      <c r="C192" s="56"/>
      <c r="D192" s="57">
        <f>'OPEX DATA 2'!U305</f>
        <v>0</v>
      </c>
      <c r="E192" s="58">
        <f t="shared" si="8"/>
        <v>0</v>
      </c>
    </row>
    <row r="193" spans="2:175" x14ac:dyDescent="0.25">
      <c r="B193" s="55" t="str">
        <f>'OPEX DATA 2'!A306</f>
        <v>9221 - Guaranteed Payments</v>
      </c>
      <c r="C193" s="56"/>
      <c r="D193" s="57">
        <f>'OPEX DATA 2'!U306</f>
        <v>0</v>
      </c>
      <c r="E193" s="58">
        <f t="shared" si="8"/>
        <v>0</v>
      </c>
    </row>
    <row r="194" spans="2:175" x14ac:dyDescent="0.25">
      <c r="B194" s="55" t="str">
        <f>'OPEX DATA 2'!A307</f>
        <v>9222 - GP - Medical</v>
      </c>
      <c r="C194" s="56"/>
      <c r="D194" s="57">
        <f>'OPEX DATA 2'!U307</f>
        <v>0</v>
      </c>
      <c r="E194" s="58">
        <f t="shared" si="8"/>
        <v>0</v>
      </c>
    </row>
    <row r="195" spans="2:175" x14ac:dyDescent="0.25">
      <c r="B195" s="55" t="str">
        <f>'OPEX DATA 2'!A308</f>
        <v>9225 - Tax Expense State</v>
      </c>
      <c r="C195" s="56"/>
      <c r="D195" s="57">
        <f>'OPEX DATA 2'!U308</f>
        <v>0</v>
      </c>
      <c r="E195" s="58">
        <f t="shared" si="8"/>
        <v>0</v>
      </c>
    </row>
    <row r="196" spans="2:175" x14ac:dyDescent="0.25">
      <c r="B196" s="55" t="str">
        <f>'OPEX DATA 2'!A309</f>
        <v>9312 - Executive Salary G&amp;A</v>
      </c>
      <c r="C196" s="56"/>
      <c r="D196" s="57">
        <f>'OPEX DATA 2'!U309</f>
        <v>0</v>
      </c>
      <c r="E196" s="58">
        <f t="shared" si="8"/>
        <v>0</v>
      </c>
    </row>
    <row r="197" spans="2:175" x14ac:dyDescent="0.25">
      <c r="B197" s="55" t="str">
        <f>'OPEX DATA 2'!A310</f>
        <v>9345 - Life Insurance</v>
      </c>
      <c r="C197" s="56"/>
      <c r="D197" s="57">
        <f>'OPEX DATA 2'!U310</f>
        <v>0</v>
      </c>
      <c r="E197" s="58">
        <f t="shared" si="8"/>
        <v>0</v>
      </c>
    </row>
    <row r="198" spans="2:175" x14ac:dyDescent="0.25">
      <c r="B198" s="55" t="str">
        <f>'OPEX DATA 2'!A311</f>
        <v>9346 - Penalties and fines</v>
      </c>
      <c r="C198" s="56"/>
      <c r="D198" s="57">
        <f>'OPEX DATA 2'!U311</f>
        <v>0</v>
      </c>
      <c r="E198" s="58">
        <f t="shared" si="8"/>
        <v>0</v>
      </c>
    </row>
    <row r="199" spans="2:175" x14ac:dyDescent="0.25">
      <c r="B199" s="55" t="str">
        <f>'OPEX DATA 2'!A312</f>
        <v>9500 - Equity in Earnings of Subs</v>
      </c>
      <c r="C199" s="56"/>
      <c r="D199" s="57">
        <f>'OPEX DATA 2'!U312</f>
        <v>0</v>
      </c>
      <c r="E199" s="58">
        <f t="shared" si="8"/>
        <v>0</v>
      </c>
    </row>
    <row r="200" spans="2:175" x14ac:dyDescent="0.25">
      <c r="B200" s="55" t="str">
        <f>'OPEX DATA 2'!A313</f>
        <v>9501 - Income Tax Expense (GAAP)</v>
      </c>
      <c r="C200" s="56"/>
      <c r="D200" s="57">
        <f>'OPEX DATA 2'!U313</f>
        <v>0</v>
      </c>
      <c r="E200" s="58">
        <f t="shared" si="8"/>
        <v>0</v>
      </c>
    </row>
    <row r="201" spans="2:175" x14ac:dyDescent="0.25">
      <c r="B201" s="47" t="str">
        <f>'OPEX DATA 2'!A314</f>
        <v>Total Corporate Overhead</v>
      </c>
      <c r="C201" s="48"/>
      <c r="D201" s="49">
        <f>SUM(D175:D200)</f>
        <v>3940.2224175824176</v>
      </c>
      <c r="E201" s="50">
        <f t="shared" si="8"/>
        <v>6.406865719646207E-2</v>
      </c>
      <c r="F201" s="50"/>
      <c r="G201" s="50"/>
    </row>
    <row r="202" spans="2:175" x14ac:dyDescent="0.25">
      <c r="B202" s="55"/>
      <c r="C202" s="56"/>
      <c r="D202" s="57"/>
      <c r="E202" s="58"/>
    </row>
    <row r="203" spans="2:175" x14ac:dyDescent="0.25">
      <c r="B203" s="59" t="s">
        <v>27</v>
      </c>
      <c r="C203" s="48"/>
      <c r="D203" s="49">
        <f>D43-D50-D101-D130-D141-D152-D172-D201</f>
        <v>19887.730054945059</v>
      </c>
      <c r="E203" s="50">
        <f>D203/D36</f>
        <v>0.32337772447065138</v>
      </c>
      <c r="F203" s="50"/>
      <c r="G203" s="50"/>
    </row>
    <row r="205" spans="2:175" x14ac:dyDescent="0.25">
      <c r="D205" s="60">
        <f>D2</f>
        <v>46025</v>
      </c>
      <c r="E205" s="60"/>
    </row>
    <row r="206" spans="2:175" x14ac:dyDescent="0.25">
      <c r="B206" s="10" t="s">
        <v>28</v>
      </c>
      <c r="D206" s="61"/>
    </row>
    <row r="207" spans="2:175" x14ac:dyDescent="0.25">
      <c r="B207" s="62">
        <f>D2</f>
        <v>46025</v>
      </c>
      <c r="C207" s="63"/>
      <c r="D207" s="64">
        <f>E203</f>
        <v>0.32337772447065138</v>
      </c>
    </row>
    <row r="208" spans="2:175" s="20" customFormat="1" x14ac:dyDescent="0.25">
      <c r="B208" s="62">
        <f>H2</f>
        <v>0</v>
      </c>
      <c r="C208" s="63"/>
      <c r="D208" s="64">
        <f>I203</f>
        <v>0</v>
      </c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</row>
    <row r="209" spans="2:175" s="20" customFormat="1" x14ac:dyDescent="0.25">
      <c r="B209" s="62">
        <f>L2</f>
        <v>0</v>
      </c>
      <c r="C209" s="63"/>
      <c r="D209" s="64">
        <f>M203</f>
        <v>0</v>
      </c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</row>
    <row r="210" spans="2:175" s="20" customFormat="1" x14ac:dyDescent="0.25">
      <c r="B210" s="62">
        <f>P2</f>
        <v>0</v>
      </c>
      <c r="C210" s="63"/>
      <c r="D210" s="64">
        <f>Q203</f>
        <v>0</v>
      </c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</row>
    <row r="211" spans="2:175" s="20" customFormat="1" x14ac:dyDescent="0.25">
      <c r="B211" s="62">
        <f>T2</f>
        <v>0</v>
      </c>
      <c r="C211" s="63"/>
      <c r="D211" s="64">
        <f>U203</f>
        <v>0</v>
      </c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</row>
    <row r="212" spans="2:175" s="20" customFormat="1" x14ac:dyDescent="0.25">
      <c r="B212" s="62">
        <f>X2</f>
        <v>0</v>
      </c>
      <c r="C212" s="63"/>
      <c r="D212" s="64">
        <f>Y203</f>
        <v>0</v>
      </c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</row>
    <row r="213" spans="2:175" s="20" customFormat="1" x14ac:dyDescent="0.25">
      <c r="B213" s="62">
        <f>AB2</f>
        <v>0</v>
      </c>
      <c r="C213" s="63"/>
      <c r="D213" s="64">
        <f>AC203</f>
        <v>0</v>
      </c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</row>
    <row r="214" spans="2:175" s="20" customFormat="1" x14ac:dyDescent="0.25">
      <c r="B214" s="62">
        <f>AF2</f>
        <v>0</v>
      </c>
      <c r="C214" s="63"/>
      <c r="D214" s="64">
        <f>AG203</f>
        <v>0</v>
      </c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</row>
    <row r="215" spans="2:175" s="20" customFormat="1" x14ac:dyDescent="0.25">
      <c r="B215" s="62">
        <f>AJ2</f>
        <v>0</v>
      </c>
      <c r="C215" s="63"/>
      <c r="D215" s="64">
        <f>AK203</f>
        <v>0</v>
      </c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</row>
    <row r="216" spans="2:175" s="20" customFormat="1" x14ac:dyDescent="0.25">
      <c r="B216" s="62">
        <f>AN2</f>
        <v>0</v>
      </c>
      <c r="C216" s="63"/>
      <c r="D216" s="64">
        <f>AO203</f>
        <v>0</v>
      </c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</row>
    <row r="217" spans="2:175" s="20" customFormat="1" x14ac:dyDescent="0.25">
      <c r="B217" s="62">
        <f>AR2</f>
        <v>0</v>
      </c>
      <c r="C217" s="63"/>
      <c r="D217" s="64">
        <f>AS203</f>
        <v>0</v>
      </c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</row>
    <row r="218" spans="2:175" s="20" customFormat="1" x14ac:dyDescent="0.25">
      <c r="B218" s="62">
        <f>AV2</f>
        <v>0</v>
      </c>
      <c r="C218" s="63"/>
      <c r="D218" s="64">
        <f>AW203</f>
        <v>0</v>
      </c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</row>
    <row r="219" spans="2:175" s="20" customFormat="1" x14ac:dyDescent="0.25">
      <c r="B219" s="62">
        <f>AZ2</f>
        <v>0</v>
      </c>
      <c r="C219" s="63"/>
      <c r="D219" s="64">
        <f>BA203</f>
        <v>0</v>
      </c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</row>
    <row r="220" spans="2:175" s="20" customFormat="1" x14ac:dyDescent="0.25">
      <c r="B220" s="62">
        <f>BD2</f>
        <v>0</v>
      </c>
      <c r="C220" s="63"/>
      <c r="D220" s="64">
        <f>BE203</f>
        <v>0</v>
      </c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</row>
    <row r="221" spans="2:175" s="20" customFormat="1" x14ac:dyDescent="0.25">
      <c r="B221" s="62">
        <f>BH2</f>
        <v>0</v>
      </c>
      <c r="C221" s="63"/>
      <c r="D221" s="64">
        <f>BI203</f>
        <v>0</v>
      </c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</row>
    <row r="222" spans="2:175" s="20" customFormat="1" x14ac:dyDescent="0.25">
      <c r="B222" s="62">
        <f>BL2</f>
        <v>0</v>
      </c>
      <c r="C222" s="63"/>
      <c r="D222" s="64">
        <f>BM203</f>
        <v>0</v>
      </c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</row>
    <row r="223" spans="2:175" s="20" customFormat="1" x14ac:dyDescent="0.25">
      <c r="B223" s="62">
        <f>BP2</f>
        <v>0</v>
      </c>
      <c r="C223" s="63"/>
      <c r="D223" s="64">
        <f>BQ203</f>
        <v>0</v>
      </c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</row>
    <row r="224" spans="2:175" s="20" customFormat="1" x14ac:dyDescent="0.25">
      <c r="B224" s="62">
        <f>BT2</f>
        <v>0</v>
      </c>
      <c r="C224" s="63"/>
      <c r="D224" s="64">
        <f>BU203</f>
        <v>0</v>
      </c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</row>
    <row r="225" spans="2:175" s="20" customFormat="1" x14ac:dyDescent="0.25">
      <c r="B225" s="62">
        <f>BX2</f>
        <v>0</v>
      </c>
      <c r="C225" s="63"/>
      <c r="D225" s="64">
        <f>BY203</f>
        <v>0</v>
      </c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</row>
    <row r="226" spans="2:175" s="20" customFormat="1" x14ac:dyDescent="0.25">
      <c r="B226" s="62">
        <f>CB2</f>
        <v>0</v>
      </c>
      <c r="C226" s="63"/>
      <c r="D226" s="64">
        <f>CC203</f>
        <v>0</v>
      </c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</row>
    <row r="227" spans="2:175" s="20" customFormat="1" x14ac:dyDescent="0.25">
      <c r="B227" s="62">
        <f>CF2</f>
        <v>0</v>
      </c>
      <c r="C227" s="63"/>
      <c r="D227" s="64">
        <f>CG203</f>
        <v>0</v>
      </c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</row>
    <row r="228" spans="2:175" s="20" customFormat="1" x14ac:dyDescent="0.25">
      <c r="B228" s="62">
        <f>CJ2</f>
        <v>0</v>
      </c>
      <c r="C228" s="63"/>
      <c r="D228" s="64">
        <f>CK203</f>
        <v>0</v>
      </c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</row>
    <row r="229" spans="2:175" s="20" customFormat="1" x14ac:dyDescent="0.25">
      <c r="B229" s="62">
        <f>CN2</f>
        <v>0</v>
      </c>
      <c r="C229" s="63"/>
      <c r="D229" s="64">
        <f>CO203</f>
        <v>0</v>
      </c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</row>
    <row r="230" spans="2:175" s="20" customFormat="1" x14ac:dyDescent="0.25">
      <c r="B230" s="62">
        <f>CR2</f>
        <v>0</v>
      </c>
      <c r="C230" s="63"/>
      <c r="D230" s="64">
        <f>CS203</f>
        <v>0</v>
      </c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</row>
    <row r="231" spans="2:175" s="20" customFormat="1" x14ac:dyDescent="0.25">
      <c r="B231" s="62">
        <f>CV2</f>
        <v>0</v>
      </c>
      <c r="C231" s="63"/>
      <c r="D231" s="64">
        <f>CW203</f>
        <v>0</v>
      </c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</row>
    <row r="232" spans="2:175" s="20" customFormat="1" x14ac:dyDescent="0.25">
      <c r="B232" s="62">
        <f>CZ2</f>
        <v>0</v>
      </c>
      <c r="C232" s="63"/>
      <c r="D232" s="64">
        <f>DA203</f>
        <v>0</v>
      </c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</row>
    <row r="233" spans="2:175" s="20" customFormat="1" x14ac:dyDescent="0.25">
      <c r="B233" s="62">
        <f>DD2</f>
        <v>0</v>
      </c>
      <c r="C233" s="63"/>
      <c r="D233" s="64">
        <f>DE203</f>
        <v>0</v>
      </c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</row>
    <row r="234" spans="2:175" s="20" customFormat="1" x14ac:dyDescent="0.25">
      <c r="B234" s="62">
        <f>DH2</f>
        <v>0</v>
      </c>
      <c r="C234" s="63"/>
      <c r="D234" s="64">
        <f>DI203</f>
        <v>0</v>
      </c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</row>
    <row r="235" spans="2:175" s="20" customFormat="1" x14ac:dyDescent="0.25">
      <c r="B235" s="62">
        <f>DL2</f>
        <v>0</v>
      </c>
      <c r="C235" s="63"/>
      <c r="D235" s="64">
        <f>DM203</f>
        <v>0</v>
      </c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</row>
    <row r="236" spans="2:175" s="20" customFormat="1" x14ac:dyDescent="0.25">
      <c r="B236" s="62">
        <f>DP2</f>
        <v>0</v>
      </c>
      <c r="C236" s="63"/>
      <c r="D236" s="64">
        <f>DQ203</f>
        <v>0</v>
      </c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</row>
    <row r="237" spans="2:175" s="20" customFormat="1" x14ac:dyDescent="0.25">
      <c r="B237" s="62">
        <f>DT2</f>
        <v>0</v>
      </c>
      <c r="C237" s="63"/>
      <c r="D237" s="64">
        <f>DU203</f>
        <v>0</v>
      </c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</row>
    <row r="238" spans="2:175" s="20" customFormat="1" x14ac:dyDescent="0.25">
      <c r="B238" s="62">
        <f>DX2</f>
        <v>0</v>
      </c>
      <c r="C238" s="63"/>
      <c r="D238" s="64">
        <f>DY203</f>
        <v>0</v>
      </c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</row>
    <row r="239" spans="2:175" s="20" customFormat="1" x14ac:dyDescent="0.25">
      <c r="B239" s="62">
        <f>EB2</f>
        <v>0</v>
      </c>
      <c r="C239" s="63"/>
      <c r="D239" s="64">
        <f>EC203</f>
        <v>0</v>
      </c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</row>
    <row r="240" spans="2:175" s="20" customFormat="1" x14ac:dyDescent="0.25">
      <c r="B240" s="62">
        <f>EF2</f>
        <v>0</v>
      </c>
      <c r="C240" s="63"/>
      <c r="D240" s="64">
        <f>EG203</f>
        <v>0</v>
      </c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</row>
    <row r="241" spans="2:175" s="20" customFormat="1" x14ac:dyDescent="0.25">
      <c r="B241" s="62">
        <f>EI2</f>
        <v>0</v>
      </c>
      <c r="C241" s="63"/>
      <c r="D241" s="64">
        <f>EJ203</f>
        <v>0</v>
      </c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</row>
    <row r="242" spans="2:175" s="20" customFormat="1" x14ac:dyDescent="0.25">
      <c r="B242" s="62">
        <f>EL2</f>
        <v>0</v>
      </c>
      <c r="C242" s="63"/>
      <c r="D242" s="64">
        <f>EM203</f>
        <v>0</v>
      </c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</row>
    <row r="243" spans="2:175" s="20" customFormat="1" x14ac:dyDescent="0.25">
      <c r="B243" s="62">
        <f>EP2</f>
        <v>0</v>
      </c>
      <c r="C243" s="63"/>
      <c r="D243" s="64">
        <f>EQ203</f>
        <v>0</v>
      </c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</row>
    <row r="244" spans="2:175" s="20" customFormat="1" x14ac:dyDescent="0.25">
      <c r="B244" s="62">
        <f>ET2</f>
        <v>0</v>
      </c>
      <c r="C244" s="63"/>
      <c r="D244" s="64">
        <f>EU203</f>
        <v>0</v>
      </c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</row>
    <row r="245" spans="2:175" s="20" customFormat="1" x14ac:dyDescent="0.25">
      <c r="B245" s="62">
        <f>EX2</f>
        <v>0</v>
      </c>
      <c r="C245" s="63"/>
      <c r="D245" s="64">
        <f>EY203</f>
        <v>0</v>
      </c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</row>
    <row r="246" spans="2:175" s="20" customFormat="1" x14ac:dyDescent="0.25">
      <c r="B246" s="62">
        <f>FB2</f>
        <v>0</v>
      </c>
      <c r="C246" s="63"/>
      <c r="D246" s="64">
        <f>FC203</f>
        <v>0</v>
      </c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</row>
    <row r="247" spans="2:175" s="20" customFormat="1" x14ac:dyDescent="0.25">
      <c r="B247" s="62">
        <f>FF2</f>
        <v>0</v>
      </c>
      <c r="C247" s="63"/>
      <c r="D247" s="64">
        <f>FG203</f>
        <v>0</v>
      </c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</row>
    <row r="248" spans="2:175" s="20" customFormat="1" x14ac:dyDescent="0.25">
      <c r="B248" s="62">
        <f>FJ2</f>
        <v>0</v>
      </c>
      <c r="C248" s="63"/>
      <c r="D248" s="64">
        <f>FK203</f>
        <v>0</v>
      </c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</row>
    <row r="249" spans="2:175" s="20" customFormat="1" x14ac:dyDescent="0.25">
      <c r="B249" s="62">
        <f>FN2</f>
        <v>0</v>
      </c>
      <c r="C249" s="63"/>
      <c r="D249" s="64">
        <f>FO203</f>
        <v>0</v>
      </c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</row>
    <row r="250" spans="2:175" s="20" customFormat="1" x14ac:dyDescent="0.25">
      <c r="B250" s="62">
        <f>FR2</f>
        <v>0</v>
      </c>
      <c r="C250" s="63"/>
      <c r="D250" s="64">
        <f>FS203</f>
        <v>0</v>
      </c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</row>
    <row r="290" spans="21:21" x14ac:dyDescent="0.25">
      <c r="U290" t="e">
        <f>(T290/$V$1)/7</f>
        <v>#DIV/0!</v>
      </c>
    </row>
  </sheetData>
  <mergeCells count="13">
    <mergeCell ref="D205:E205"/>
    <mergeCell ref="D10:E10"/>
    <mergeCell ref="D11:E11"/>
    <mergeCell ref="D12:E12"/>
    <mergeCell ref="D19:E19"/>
    <mergeCell ref="D20:E20"/>
    <mergeCell ref="D22:E22"/>
    <mergeCell ref="D2:E2"/>
    <mergeCell ref="D4:E4"/>
    <mergeCell ref="D5:E5"/>
    <mergeCell ref="D6:E6"/>
    <mergeCell ref="D8:E8"/>
    <mergeCell ref="D9:E9"/>
  </mergeCells>
  <conditionalFormatting sqref="D30">
    <cfRule type="cellIs" dxfId="1" priority="1" stopIfTrue="1" operator="lessThan">
      <formula>D16</formula>
    </cfRule>
    <cfRule type="cellIs" dxfId="0" priority="2" operator="greaterThan">
      <formula>D16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9862-AB87-4CF6-8D35-9F6AF745B5F6}">
  <dimension ref="A1:W332"/>
  <sheetViews>
    <sheetView topLeftCell="A88" zoomScale="60" zoomScaleNormal="60" workbookViewId="0">
      <selection activeCell="O29" sqref="O29"/>
    </sheetView>
  </sheetViews>
  <sheetFormatPr defaultRowHeight="15.75" x14ac:dyDescent="0.25"/>
  <cols>
    <col min="1" max="1" width="37.5" customWidth="1"/>
    <col min="2" max="2" width="17.875" customWidth="1"/>
    <col min="3" max="3" width="8.25" customWidth="1"/>
    <col min="4" max="4" width="14.375" customWidth="1"/>
    <col min="5" max="5" width="18.125" customWidth="1"/>
    <col min="6" max="6" width="8.25" customWidth="1"/>
    <col min="7" max="7" width="1.25" customWidth="1"/>
    <col min="8" max="8" width="17.5" customWidth="1"/>
    <col min="9" max="9" width="8.25" customWidth="1"/>
    <col min="10" max="10" width="1.25" customWidth="1"/>
    <col min="11" max="11" width="19.125" customWidth="1"/>
    <col min="12" max="12" width="8.25" customWidth="1"/>
    <col min="13" max="13" width="1.25" customWidth="1"/>
    <col min="14" max="14" width="20" customWidth="1"/>
    <col min="15" max="15" width="8.25" customWidth="1"/>
    <col min="16" max="16" width="1.25" customWidth="1"/>
    <col min="17" max="17" width="20.875" customWidth="1"/>
    <col min="18" max="18" width="8.25" customWidth="1"/>
    <col min="20" max="20" width="12.75" customWidth="1"/>
    <col min="21" max="21" width="18.375" customWidth="1"/>
  </cols>
  <sheetData>
    <row r="1" spans="1:23" x14ac:dyDescent="0.25">
      <c r="A1" t="s">
        <v>29</v>
      </c>
      <c r="U1" s="65" t="s">
        <v>30</v>
      </c>
      <c r="V1" s="66">
        <v>26</v>
      </c>
    </row>
    <row r="5" spans="1:23" x14ac:dyDescent="0.25">
      <c r="A5" s="67" t="s">
        <v>31</v>
      </c>
      <c r="B5" s="68" t="s">
        <v>32</v>
      </c>
      <c r="C5" s="69" t="s">
        <v>31</v>
      </c>
      <c r="D5" s="67" t="s">
        <v>31</v>
      </c>
      <c r="E5" s="68" t="s">
        <v>33</v>
      </c>
      <c r="F5" s="69" t="s">
        <v>31</v>
      </c>
      <c r="G5" s="67" t="s">
        <v>31</v>
      </c>
      <c r="H5" s="68" t="s">
        <v>34</v>
      </c>
      <c r="I5" s="69" t="s">
        <v>31</v>
      </c>
      <c r="J5" s="67" t="s">
        <v>31</v>
      </c>
      <c r="K5" s="68" t="s">
        <v>35</v>
      </c>
      <c r="L5" s="69" t="s">
        <v>31</v>
      </c>
      <c r="M5" s="67" t="s">
        <v>31</v>
      </c>
      <c r="N5" s="68" t="s">
        <v>36</v>
      </c>
      <c r="O5" s="69" t="s">
        <v>31</v>
      </c>
      <c r="P5" s="67" t="s">
        <v>31</v>
      </c>
      <c r="Q5" s="68" t="s">
        <v>37</v>
      </c>
      <c r="R5" s="69" t="s">
        <v>31</v>
      </c>
      <c r="T5" s="70" t="s">
        <v>38</v>
      </c>
      <c r="U5" s="65" t="s">
        <v>39</v>
      </c>
    </row>
    <row r="6" spans="1:23" x14ac:dyDescent="0.25">
      <c r="A6" s="71" t="s">
        <v>40</v>
      </c>
      <c r="B6" s="72"/>
      <c r="C6" s="73"/>
      <c r="D6" s="74"/>
      <c r="E6" s="72"/>
      <c r="F6" s="73"/>
      <c r="G6" s="74"/>
      <c r="H6" s="72"/>
      <c r="I6" s="73"/>
      <c r="J6" s="74"/>
      <c r="K6" s="72"/>
      <c r="L6" s="73"/>
      <c r="M6" s="74"/>
      <c r="N6" s="72"/>
      <c r="O6" s="73"/>
      <c r="P6" s="74"/>
      <c r="Q6" s="72"/>
      <c r="R6" s="73"/>
    </row>
    <row r="7" spans="1:23" x14ac:dyDescent="0.25">
      <c r="A7" s="75" t="s">
        <v>14</v>
      </c>
      <c r="B7" s="72"/>
      <c r="C7" s="73"/>
      <c r="D7" s="74"/>
      <c r="E7" s="72"/>
      <c r="F7" s="73"/>
      <c r="G7" s="74"/>
      <c r="H7" s="72"/>
      <c r="I7" s="73"/>
      <c r="J7" s="74"/>
      <c r="K7" s="72"/>
      <c r="L7" s="73"/>
      <c r="M7" s="74"/>
      <c r="N7" s="72"/>
      <c r="O7" s="73"/>
      <c r="P7" s="74"/>
      <c r="Q7" s="72"/>
      <c r="R7" s="73"/>
    </row>
    <row r="8" spans="1:23" x14ac:dyDescent="0.25">
      <c r="A8" s="76" t="s">
        <v>41</v>
      </c>
      <c r="B8" s="77">
        <v>572516.55000000005</v>
      </c>
      <c r="C8" s="78">
        <f>IFERROR(B8/B327, "NA")</f>
        <v>0.2583051992585858</v>
      </c>
      <c r="D8" s="79"/>
      <c r="E8" s="77">
        <v>470187</v>
      </c>
      <c r="F8" s="78">
        <f>IFERROR(E8/E327, "NA")</f>
        <v>0.26723839455488818</v>
      </c>
      <c r="G8" s="79"/>
      <c r="H8" s="77">
        <v>697656.3</v>
      </c>
      <c r="I8" s="78">
        <f>IFERROR(H8/H327, "NA")</f>
        <v>0.28507415465090535</v>
      </c>
      <c r="J8" s="79"/>
      <c r="K8" s="77">
        <v>395561</v>
      </c>
      <c r="L8" s="78">
        <f>IFERROR(K8/K327, "NA")</f>
        <v>0.26112304382987667</v>
      </c>
      <c r="M8" s="79"/>
      <c r="N8" s="77">
        <v>596937.21</v>
      </c>
      <c r="O8" s="78">
        <f>IFERROR(N8/N327, "NA")</f>
        <v>0.28237075953534024</v>
      </c>
      <c r="P8" s="79"/>
      <c r="Q8" s="77">
        <v>385651</v>
      </c>
      <c r="R8" s="78">
        <f>IFERROR(Q8/Q327, "NA")</f>
        <v>0.27800030920560981</v>
      </c>
      <c r="T8" s="80">
        <f>IFERROR(B8+E8+H8+K8+N8+Q8, "NA")</f>
        <v>3118509.06</v>
      </c>
      <c r="U8" s="80">
        <f>(T8/$V$1)/7</f>
        <v>17134.665164835165</v>
      </c>
    </row>
    <row r="9" spans="1:23" x14ac:dyDescent="0.25">
      <c r="A9" s="76" t="s">
        <v>42</v>
      </c>
      <c r="B9" s="77">
        <v>0</v>
      </c>
      <c r="C9" s="78">
        <f>IFERROR(B9/B327, "NA")</f>
        <v>0</v>
      </c>
      <c r="D9" s="79"/>
      <c r="E9" s="77">
        <v>0</v>
      </c>
      <c r="F9" s="78">
        <f>IFERROR(E9/E327, "NA")</f>
        <v>0</v>
      </c>
      <c r="G9" s="79"/>
      <c r="H9" s="77">
        <v>0</v>
      </c>
      <c r="I9" s="78">
        <f>IFERROR(H9/H327, "NA")</f>
        <v>0</v>
      </c>
      <c r="J9" s="79"/>
      <c r="K9" s="77">
        <v>0</v>
      </c>
      <c r="L9" s="78">
        <f>IFERROR(K9/K327, "NA")</f>
        <v>0</v>
      </c>
      <c r="M9" s="79"/>
      <c r="N9" s="77">
        <v>0</v>
      </c>
      <c r="O9" s="78">
        <f>IFERROR(N9/N327, "NA")</f>
        <v>0</v>
      </c>
      <c r="P9" s="79"/>
      <c r="Q9" s="77">
        <v>0</v>
      </c>
      <c r="R9" s="78">
        <f>IFERROR(Q9/Q327, "NA")</f>
        <v>0</v>
      </c>
      <c r="T9" s="80">
        <f t="shared" ref="T9:T72" si="0">IFERROR(B9+E9+H9+K9+N9+Q9, "NA")</f>
        <v>0</v>
      </c>
      <c r="U9" s="80">
        <f t="shared" ref="U9:U72" si="1">(T9/$V$1)/7</f>
        <v>0</v>
      </c>
      <c r="W9">
        <f>4+4+5</f>
        <v>13</v>
      </c>
    </row>
    <row r="10" spans="1:23" x14ac:dyDescent="0.25">
      <c r="A10" s="81" t="s">
        <v>43</v>
      </c>
      <c r="B10" s="82">
        <f>IFERROR(B8+B9, "NA")</f>
        <v>572516.55000000005</v>
      </c>
      <c r="C10" s="83">
        <f>IFERROR(B10/B327, "NA")</f>
        <v>0.2583051992585858</v>
      </c>
      <c r="D10" s="72"/>
      <c r="E10" s="82">
        <f>IFERROR(E8+E9, "NA")</f>
        <v>470187</v>
      </c>
      <c r="F10" s="83">
        <f>IFERROR(E10/E327, "NA")</f>
        <v>0.26723839455488818</v>
      </c>
      <c r="G10" s="72"/>
      <c r="H10" s="82">
        <f>IFERROR(H8+H9, "NA")</f>
        <v>697656.3</v>
      </c>
      <c r="I10" s="83">
        <f>IFERROR(H10/H327, "NA")</f>
        <v>0.28507415465090535</v>
      </c>
      <c r="J10" s="72"/>
      <c r="K10" s="82">
        <f>IFERROR(K8+K9, "NA")</f>
        <v>395561</v>
      </c>
      <c r="L10" s="83">
        <f>IFERROR(K10/K327, "NA")</f>
        <v>0.26112304382987667</v>
      </c>
      <c r="M10" s="72"/>
      <c r="N10" s="82">
        <f>IFERROR(N8+N9, "NA")</f>
        <v>596937.21</v>
      </c>
      <c r="O10" s="83">
        <f>IFERROR(N10/N327, "NA")</f>
        <v>0.28237075953534024</v>
      </c>
      <c r="P10" s="72"/>
      <c r="Q10" s="82">
        <f>IFERROR(Q8+Q9, "NA")</f>
        <v>385651</v>
      </c>
      <c r="R10" s="83">
        <f>IFERROR(Q10/Q327, "NA")</f>
        <v>0.27800030920560981</v>
      </c>
      <c r="T10" s="80">
        <f t="shared" si="0"/>
        <v>3118509.06</v>
      </c>
      <c r="U10" s="80">
        <f t="shared" si="1"/>
        <v>17134.665164835165</v>
      </c>
      <c r="W10">
        <f>W9*2</f>
        <v>26</v>
      </c>
    </row>
    <row r="11" spans="1:23" x14ac:dyDescent="0.25">
      <c r="A11" s="84" t="s">
        <v>44</v>
      </c>
      <c r="B11" s="77">
        <v>70391</v>
      </c>
      <c r="C11" s="78">
        <f>IFERROR(B11/B327, "NA")</f>
        <v>3.1758664934683746E-2</v>
      </c>
      <c r="D11" s="79"/>
      <c r="E11" s="77">
        <v>53929</v>
      </c>
      <c r="F11" s="78">
        <f>IFERROR(E11/E327, "NA")</f>
        <v>3.065142034967059E-2</v>
      </c>
      <c r="G11" s="79"/>
      <c r="H11" s="77">
        <v>75086.53</v>
      </c>
      <c r="I11" s="78">
        <f>IFERROR(H11/H327, "NA")</f>
        <v>3.0681625128906372E-2</v>
      </c>
      <c r="J11" s="79"/>
      <c r="K11" s="77">
        <v>52783.51</v>
      </c>
      <c r="L11" s="78">
        <f>IFERROR(K11/K327, "NA")</f>
        <v>3.484416005426403E-2</v>
      </c>
      <c r="M11" s="79"/>
      <c r="N11" s="77">
        <v>65238</v>
      </c>
      <c r="O11" s="78">
        <f>IFERROR(N11/N327, "NA")</f>
        <v>3.0859700655227255E-2</v>
      </c>
      <c r="P11" s="79"/>
      <c r="Q11" s="77">
        <v>51065</v>
      </c>
      <c r="R11" s="78">
        <f>IFERROR(Q11/Q327, "NA")</f>
        <v>3.6810706544477947E-2</v>
      </c>
      <c r="T11" s="80">
        <f t="shared" si="0"/>
        <v>368493.04000000004</v>
      </c>
      <c r="U11" s="80">
        <f t="shared" si="1"/>
        <v>2024.687032967033</v>
      </c>
    </row>
    <row r="12" spans="1:23" x14ac:dyDescent="0.25">
      <c r="A12" s="75" t="s">
        <v>13</v>
      </c>
      <c r="B12" s="72"/>
      <c r="C12" s="73"/>
      <c r="D12" s="74"/>
      <c r="E12" s="72"/>
      <c r="F12" s="73"/>
      <c r="G12" s="74"/>
      <c r="H12" s="72"/>
      <c r="I12" s="73"/>
      <c r="J12" s="74"/>
      <c r="K12" s="72"/>
      <c r="L12" s="73"/>
      <c r="M12" s="74"/>
      <c r="N12" s="72"/>
      <c r="O12" s="73"/>
      <c r="P12" s="74"/>
      <c r="Q12" s="72"/>
      <c r="R12" s="73"/>
      <c r="T12" s="80">
        <f t="shared" si="0"/>
        <v>0</v>
      </c>
      <c r="U12" s="80">
        <f t="shared" si="1"/>
        <v>0</v>
      </c>
    </row>
    <row r="13" spans="1:23" x14ac:dyDescent="0.25">
      <c r="A13" s="76" t="s">
        <v>45</v>
      </c>
      <c r="B13" s="77">
        <v>0</v>
      </c>
      <c r="C13" s="78">
        <f>IFERROR(B13/B327, "NA")</f>
        <v>0</v>
      </c>
      <c r="D13" s="79"/>
      <c r="E13" s="77">
        <v>0</v>
      </c>
      <c r="F13" s="78">
        <f>IFERROR(E13/E327, "NA")</f>
        <v>0</v>
      </c>
      <c r="G13" s="79"/>
      <c r="H13" s="77">
        <v>0</v>
      </c>
      <c r="I13" s="78">
        <f>IFERROR(H13/H327, "NA")</f>
        <v>0</v>
      </c>
      <c r="J13" s="79"/>
      <c r="K13" s="77">
        <v>0</v>
      </c>
      <c r="L13" s="78">
        <f>IFERROR(K13/K327, "NA")</f>
        <v>0</v>
      </c>
      <c r="M13" s="79"/>
      <c r="N13" s="77">
        <v>0</v>
      </c>
      <c r="O13" s="78">
        <f>IFERROR(N13/N327, "NA")</f>
        <v>0</v>
      </c>
      <c r="P13" s="79"/>
      <c r="Q13" s="77">
        <v>0</v>
      </c>
      <c r="R13" s="78">
        <f>IFERROR(Q13/Q327, "NA")</f>
        <v>0</v>
      </c>
      <c r="T13" s="80">
        <f t="shared" si="0"/>
        <v>0</v>
      </c>
      <c r="U13" s="80">
        <f t="shared" si="1"/>
        <v>0</v>
      </c>
    </row>
    <row r="14" spans="1:23" x14ac:dyDescent="0.25">
      <c r="A14" s="76" t="s">
        <v>46</v>
      </c>
      <c r="B14" s="77">
        <v>1090650</v>
      </c>
      <c r="C14" s="78">
        <f>IFERROR(B14/B327, "NA")</f>
        <v>0.49207409911796718</v>
      </c>
      <c r="D14" s="79"/>
      <c r="E14" s="77">
        <v>830839</v>
      </c>
      <c r="F14" s="78">
        <f>IFERROR(E14/E327, "NA")</f>
        <v>0.47222079830703262</v>
      </c>
      <c r="G14" s="79"/>
      <c r="H14" s="77">
        <v>1166419</v>
      </c>
      <c r="I14" s="78">
        <f>IFERROR(H14/H327, "NA")</f>
        <v>0.47661851601390876</v>
      </c>
      <c r="J14" s="79"/>
      <c r="K14" s="77">
        <v>722390</v>
      </c>
      <c r="L14" s="78">
        <f>IFERROR(K14/K327, "NA")</f>
        <v>0.47687379603212798</v>
      </c>
      <c r="M14" s="79"/>
      <c r="N14" s="77">
        <v>940974.71</v>
      </c>
      <c r="O14" s="78">
        <f>IFERROR(N14/N327, "NA")</f>
        <v>0.44511171211164158</v>
      </c>
      <c r="P14" s="79"/>
      <c r="Q14" s="77">
        <v>677135</v>
      </c>
      <c r="R14" s="78">
        <f>IFERROR(Q14/Q327, "NA")</f>
        <v>0.48811941204337755</v>
      </c>
      <c r="T14" s="80">
        <f t="shared" si="0"/>
        <v>5428407.71</v>
      </c>
      <c r="U14" s="80">
        <f t="shared" si="1"/>
        <v>29826.415989010991</v>
      </c>
    </row>
    <row r="15" spans="1:23" x14ac:dyDescent="0.25">
      <c r="A15" s="76" t="s">
        <v>47</v>
      </c>
      <c r="B15" s="77">
        <v>10518</v>
      </c>
      <c r="C15" s="78">
        <f>IFERROR(B15/B327, "NA")</f>
        <v>4.7454594732707824E-3</v>
      </c>
      <c r="D15" s="79"/>
      <c r="E15" s="77">
        <v>8634</v>
      </c>
      <c r="F15" s="78">
        <f>IFERROR(E15/E327, "NA")</f>
        <v>4.9072736987345556E-3</v>
      </c>
      <c r="G15" s="79"/>
      <c r="H15" s="77">
        <v>13368</v>
      </c>
      <c r="I15" s="78">
        <f>IFERROR(H15/H327, "NA")</f>
        <v>5.4623907207220837E-3</v>
      </c>
      <c r="J15" s="79"/>
      <c r="K15" s="77">
        <v>7233</v>
      </c>
      <c r="L15" s="78">
        <f>IFERROR(K15/K327, "NA")</f>
        <v>4.7747451746291917E-3</v>
      </c>
      <c r="M15" s="79"/>
      <c r="N15" s="77">
        <v>8969</v>
      </c>
      <c r="O15" s="78">
        <f>IFERROR(N15/N327, "NA")</f>
        <v>4.2426293751606919E-3</v>
      </c>
      <c r="P15" s="79"/>
      <c r="Q15" s="77">
        <v>5467</v>
      </c>
      <c r="R15" s="78">
        <f>IFERROR(Q15/Q327, "NA")</f>
        <v>3.9409406184012716E-3</v>
      </c>
      <c r="T15" s="80">
        <f t="shared" si="0"/>
        <v>54189</v>
      </c>
      <c r="U15" s="80">
        <f t="shared" si="1"/>
        <v>297.74175824175825</v>
      </c>
    </row>
    <row r="16" spans="1:23" x14ac:dyDescent="0.25">
      <c r="A16" s="76" t="s">
        <v>48</v>
      </c>
      <c r="B16" s="77">
        <v>197139</v>
      </c>
      <c r="C16" s="78">
        <f>IFERROR(B16/B327, "NA")</f>
        <v>8.894420375557413E-2</v>
      </c>
      <c r="D16" s="79"/>
      <c r="E16" s="77">
        <v>175759</v>
      </c>
      <c r="F16" s="78">
        <f>IFERROR(E16/E327, "NA")</f>
        <v>9.9895473478791616E-2</v>
      </c>
      <c r="G16" s="79"/>
      <c r="H16" s="77">
        <v>256346</v>
      </c>
      <c r="I16" s="78">
        <f>IFERROR(H16/H327, "NA")</f>
        <v>0.10474730787658762</v>
      </c>
      <c r="J16" s="79"/>
      <c r="K16" s="77">
        <v>166595</v>
      </c>
      <c r="L16" s="78">
        <f>IFERROR(K16/K327, "NA")</f>
        <v>0.10997493050841287</v>
      </c>
      <c r="M16" s="79"/>
      <c r="N16" s="77">
        <v>303542</v>
      </c>
      <c r="O16" s="78">
        <f>IFERROR(N16/N327, "NA")</f>
        <v>0.14358526098729255</v>
      </c>
      <c r="P16" s="79"/>
      <c r="Q16" s="77">
        <v>145189</v>
      </c>
      <c r="R16" s="78">
        <f>IFERROR(Q16/Q327, "NA")</f>
        <v>0.10466091594019795</v>
      </c>
      <c r="T16" s="80">
        <f t="shared" si="0"/>
        <v>1244570</v>
      </c>
      <c r="U16" s="80">
        <f t="shared" si="1"/>
        <v>6838.2967032967035</v>
      </c>
    </row>
    <row r="17" spans="1:21" x14ac:dyDescent="0.25">
      <c r="A17" s="76" t="s">
        <v>49</v>
      </c>
      <c r="B17" s="77">
        <v>45936</v>
      </c>
      <c r="C17" s="78">
        <f>IFERROR(B17/B327, "NA")</f>
        <v>2.0725178395528298E-2</v>
      </c>
      <c r="D17" s="79"/>
      <c r="E17" s="77">
        <v>53549</v>
      </c>
      <c r="F17" s="78">
        <f>IFERROR(E17/E327, "NA")</f>
        <v>3.0435441196842335E-2</v>
      </c>
      <c r="G17" s="79"/>
      <c r="H17" s="77">
        <v>51850</v>
      </c>
      <c r="I17" s="78">
        <f>IFERROR(H17/H327, "NA")</f>
        <v>2.1186786270903656E-2</v>
      </c>
      <c r="J17" s="79"/>
      <c r="K17" s="77">
        <v>34556</v>
      </c>
      <c r="L17" s="78">
        <f>IFERROR(K17/K327, "NA")</f>
        <v>2.2811571167494313E-2</v>
      </c>
      <c r="M17" s="79"/>
      <c r="N17" s="77">
        <v>41151</v>
      </c>
      <c r="O17" s="78">
        <f>IFERROR(N17/N327, "NA")</f>
        <v>1.9465764457268105E-2</v>
      </c>
      <c r="P17" s="79"/>
      <c r="Q17" s="77">
        <v>28108</v>
      </c>
      <c r="R17" s="78">
        <f>IFERROR(Q17/Q327, "NA")</f>
        <v>2.026192773038649E-2</v>
      </c>
      <c r="T17" s="80">
        <f t="shared" si="0"/>
        <v>255150</v>
      </c>
      <c r="U17" s="80">
        <f t="shared" si="1"/>
        <v>1401.9230769230769</v>
      </c>
    </row>
    <row r="18" spans="1:21" x14ac:dyDescent="0.25">
      <c r="A18" s="76" t="s">
        <v>50</v>
      </c>
      <c r="B18" s="77">
        <v>135005</v>
      </c>
      <c r="C18" s="78">
        <f>IFERROR(B18/B327, "NA")</f>
        <v>6.0910891442186914E-2</v>
      </c>
      <c r="D18" s="79"/>
      <c r="E18" s="77">
        <v>88110</v>
      </c>
      <c r="F18" s="78">
        <f>IFERROR(E18/E327, "NA")</f>
        <v>5.0078745146571894E-2</v>
      </c>
      <c r="G18" s="79"/>
      <c r="H18" s="77">
        <v>127530</v>
      </c>
      <c r="I18" s="78">
        <f>IFERROR(H18/H327, "NA")</f>
        <v>5.2110913271520599E-2</v>
      </c>
      <c r="J18" s="79"/>
      <c r="K18" s="77">
        <v>79700</v>
      </c>
      <c r="L18" s="78">
        <f>IFERROR(K18/K327, "NA")</f>
        <v>5.2612635202259998E-2</v>
      </c>
      <c r="M18" s="79"/>
      <c r="N18" s="77">
        <v>61455</v>
      </c>
      <c r="O18" s="78">
        <f>IFERROR(N18/N327, "NA")</f>
        <v>2.9070218335433197E-2</v>
      </c>
      <c r="P18" s="79"/>
      <c r="Q18" s="77">
        <v>71370</v>
      </c>
      <c r="R18" s="78">
        <f>IFERROR(Q18/Q327, "NA")</f>
        <v>5.1447765124437307E-2</v>
      </c>
      <c r="T18" s="80">
        <f t="shared" si="0"/>
        <v>563170</v>
      </c>
      <c r="U18" s="80">
        <f t="shared" si="1"/>
        <v>3094.3406593406594</v>
      </c>
    </row>
    <row r="19" spans="1:21" x14ac:dyDescent="0.25">
      <c r="A19" s="81" t="s">
        <v>51</v>
      </c>
      <c r="B19" s="82">
        <f>IFERROR(B13+B14+B15+B16+B17+B18, "NA")</f>
        <v>1479248</v>
      </c>
      <c r="C19" s="83">
        <f>IFERROR(B19/B327, "NA")</f>
        <v>0.66739983218452725</v>
      </c>
      <c r="D19" s="72"/>
      <c r="E19" s="82">
        <f>IFERROR(E13+E14+E15+E16+E17+E18, "NA")</f>
        <v>1156891</v>
      </c>
      <c r="F19" s="83">
        <f>IFERROR(E19/E327, "NA")</f>
        <v>0.65753773182797304</v>
      </c>
      <c r="G19" s="72"/>
      <c r="H19" s="82">
        <f>IFERROR(H13+H14+H15+H16+H17+H18, "NA")</f>
        <v>1615513</v>
      </c>
      <c r="I19" s="83">
        <f>IFERROR(H19/H327, "NA")</f>
        <v>0.66012591415364275</v>
      </c>
      <c r="J19" s="72"/>
      <c r="K19" s="82">
        <f>IFERROR(K13+K14+K15+K16+K17+K18, "NA")</f>
        <v>1010474</v>
      </c>
      <c r="L19" s="83">
        <f>IFERROR(K19/K327, "NA")</f>
        <v>0.66704767808492438</v>
      </c>
      <c r="M19" s="72"/>
      <c r="N19" s="82">
        <f>IFERROR(N13+N14+N15+N16+N17+N18, "NA")</f>
        <v>1356091.71</v>
      </c>
      <c r="O19" s="83">
        <f>IFERROR(N19/N327, "NA")</f>
        <v>0.64147558526679616</v>
      </c>
      <c r="P19" s="72"/>
      <c r="Q19" s="82">
        <f>IFERROR(Q13+Q14+Q15+Q16+Q17+Q18, "NA")</f>
        <v>927269</v>
      </c>
      <c r="R19" s="83">
        <f>IFERROR(Q19/Q327, "NA")</f>
        <v>0.66843096145680059</v>
      </c>
      <c r="T19" s="80">
        <f t="shared" si="0"/>
        <v>7545486.71</v>
      </c>
      <c r="U19" s="80">
        <f t="shared" si="1"/>
        <v>41458.718186813188</v>
      </c>
    </row>
    <row r="20" spans="1:21" x14ac:dyDescent="0.25">
      <c r="A20" s="75" t="s">
        <v>52</v>
      </c>
      <c r="B20" s="72"/>
      <c r="C20" s="73"/>
      <c r="D20" s="74"/>
      <c r="E20" s="72"/>
      <c r="F20" s="73"/>
      <c r="G20" s="74"/>
      <c r="H20" s="72"/>
      <c r="I20" s="73"/>
      <c r="J20" s="74"/>
      <c r="K20" s="72"/>
      <c r="L20" s="73"/>
      <c r="M20" s="74"/>
      <c r="N20" s="72"/>
      <c r="O20" s="73"/>
      <c r="P20" s="74"/>
      <c r="Q20" s="72"/>
      <c r="R20" s="73"/>
      <c r="T20" s="80">
        <f t="shared" si="0"/>
        <v>0</v>
      </c>
      <c r="U20" s="80">
        <f t="shared" si="1"/>
        <v>0</v>
      </c>
    </row>
    <row r="21" spans="1:21" x14ac:dyDescent="0.25">
      <c r="A21" s="76" t="s">
        <v>53</v>
      </c>
      <c r="B21" s="77">
        <v>0</v>
      </c>
      <c r="C21" s="78">
        <f>IFERROR(B21/B327, "NA")</f>
        <v>0</v>
      </c>
      <c r="D21" s="79"/>
      <c r="E21" s="77">
        <v>0</v>
      </c>
      <c r="F21" s="78">
        <f>IFERROR(E21/E327, "NA")</f>
        <v>0</v>
      </c>
      <c r="G21" s="79"/>
      <c r="H21" s="77">
        <v>0</v>
      </c>
      <c r="I21" s="78">
        <f>IFERROR(H21/H327, "NA")</f>
        <v>0</v>
      </c>
      <c r="J21" s="79"/>
      <c r="K21" s="77">
        <v>0</v>
      </c>
      <c r="L21" s="78">
        <f>IFERROR(K21/K327, "NA")</f>
        <v>0</v>
      </c>
      <c r="M21" s="79"/>
      <c r="N21" s="77">
        <v>0</v>
      </c>
      <c r="O21" s="78">
        <f>IFERROR(N21/N327, "NA")</f>
        <v>0</v>
      </c>
      <c r="P21" s="79"/>
      <c r="Q21" s="77">
        <v>0</v>
      </c>
      <c r="R21" s="78">
        <f>IFERROR(Q21/Q327, "NA")</f>
        <v>0</v>
      </c>
      <c r="T21" s="80">
        <f t="shared" si="0"/>
        <v>0</v>
      </c>
      <c r="U21" s="80">
        <f t="shared" si="1"/>
        <v>0</v>
      </c>
    </row>
    <row r="22" spans="1:21" x14ac:dyDescent="0.25">
      <c r="A22" s="76" t="s">
        <v>54</v>
      </c>
      <c r="B22" s="77">
        <v>50476.5</v>
      </c>
      <c r="C22" s="78">
        <f>IFERROR(B22/B327, "NA")</f>
        <v>2.2773738838424856E-2</v>
      </c>
      <c r="D22" s="79"/>
      <c r="E22" s="77">
        <v>37420.46</v>
      </c>
      <c r="F22" s="78">
        <f>IFERROR(E22/E327, "NA")</f>
        <v>2.1268524340114489E-2</v>
      </c>
      <c r="G22" s="79"/>
      <c r="H22" s="77">
        <v>51519.72</v>
      </c>
      <c r="I22" s="78">
        <f>IFERROR(H22/H327, "NA")</f>
        <v>2.1051828281134048E-2</v>
      </c>
      <c r="J22" s="79"/>
      <c r="K22" s="77">
        <v>20531.919999999998</v>
      </c>
      <c r="L22" s="78">
        <f>IFERROR(K22/K327, "NA")</f>
        <v>1.3553806988230692E-2</v>
      </c>
      <c r="M22" s="79"/>
      <c r="N22" s="77">
        <v>44399.59</v>
      </c>
      <c r="O22" s="78">
        <f>IFERROR(N22/N327, "NA")</f>
        <v>2.10024534261446E-2</v>
      </c>
      <c r="P22" s="79"/>
      <c r="Q22" s="77">
        <v>9221.5300000000007</v>
      </c>
      <c r="R22" s="78">
        <f>IFERROR(Q22/Q327, "NA")</f>
        <v>6.6474304263409332E-3</v>
      </c>
      <c r="T22" s="80">
        <f t="shared" si="0"/>
        <v>213569.71999999997</v>
      </c>
      <c r="U22" s="80">
        <f t="shared" si="1"/>
        <v>1173.4599999999998</v>
      </c>
    </row>
    <row r="23" spans="1:21" x14ac:dyDescent="0.25">
      <c r="A23" s="76" t="s">
        <v>55</v>
      </c>
      <c r="B23" s="77">
        <v>0</v>
      </c>
      <c r="C23" s="78">
        <f>IFERROR(B23/B327, "NA")</f>
        <v>0</v>
      </c>
      <c r="D23" s="79"/>
      <c r="E23" s="77">
        <v>0</v>
      </c>
      <c r="F23" s="78">
        <f>IFERROR(E23/E327, "NA")</f>
        <v>0</v>
      </c>
      <c r="G23" s="79"/>
      <c r="H23" s="77">
        <v>0</v>
      </c>
      <c r="I23" s="78">
        <f>IFERROR(H23/H327, "NA")</f>
        <v>0</v>
      </c>
      <c r="J23" s="79"/>
      <c r="K23" s="77">
        <v>-216</v>
      </c>
      <c r="L23" s="78">
        <f>IFERROR(K23/K327, "NA")</f>
        <v>-1.4258882313285018E-4</v>
      </c>
      <c r="M23" s="79"/>
      <c r="N23" s="77">
        <v>0</v>
      </c>
      <c r="O23" s="78">
        <f>IFERROR(N23/N327, "NA")</f>
        <v>0</v>
      </c>
      <c r="P23" s="79"/>
      <c r="Q23" s="77">
        <v>0</v>
      </c>
      <c r="R23" s="78">
        <f>IFERROR(Q23/Q327, "NA")</f>
        <v>0</v>
      </c>
      <c r="T23" s="80">
        <f t="shared" si="0"/>
        <v>-216</v>
      </c>
      <c r="U23" s="80">
        <f t="shared" si="1"/>
        <v>-1.1868131868131868</v>
      </c>
    </row>
    <row r="24" spans="1:21" x14ac:dyDescent="0.25">
      <c r="A24" s="76" t="s">
        <v>56</v>
      </c>
      <c r="B24" s="77">
        <v>0</v>
      </c>
      <c r="C24" s="78">
        <f>IFERROR(B24/B327, "NA")</f>
        <v>0</v>
      </c>
      <c r="D24" s="79"/>
      <c r="E24" s="77">
        <v>0</v>
      </c>
      <c r="F24" s="78">
        <f>IFERROR(E24/E327, "NA")</f>
        <v>0</v>
      </c>
      <c r="G24" s="79"/>
      <c r="H24" s="77">
        <v>0</v>
      </c>
      <c r="I24" s="78">
        <f>IFERROR(H24/H327, "NA")</f>
        <v>0</v>
      </c>
      <c r="J24" s="79"/>
      <c r="K24" s="77">
        <v>0</v>
      </c>
      <c r="L24" s="78">
        <f>IFERROR(K24/K327, "NA")</f>
        <v>0</v>
      </c>
      <c r="M24" s="79"/>
      <c r="N24" s="77">
        <v>0</v>
      </c>
      <c r="O24" s="78">
        <f>IFERROR(N24/N327, "NA")</f>
        <v>0</v>
      </c>
      <c r="P24" s="79"/>
      <c r="Q24" s="77">
        <v>0</v>
      </c>
      <c r="R24" s="78">
        <f>IFERROR(Q24/Q327, "NA")</f>
        <v>0</v>
      </c>
      <c r="T24" s="80">
        <f t="shared" si="0"/>
        <v>0</v>
      </c>
      <c r="U24" s="80">
        <f t="shared" si="1"/>
        <v>0</v>
      </c>
    </row>
    <row r="25" spans="1:21" x14ac:dyDescent="0.25">
      <c r="A25" s="76" t="s">
        <v>57</v>
      </c>
      <c r="B25" s="77">
        <v>0</v>
      </c>
      <c r="C25" s="78">
        <f>IFERROR(B25/B327, "NA")</f>
        <v>0</v>
      </c>
      <c r="D25" s="79"/>
      <c r="E25" s="77">
        <v>0</v>
      </c>
      <c r="F25" s="78">
        <f>IFERROR(E25/E327, "NA")</f>
        <v>0</v>
      </c>
      <c r="G25" s="79"/>
      <c r="H25" s="77">
        <v>0</v>
      </c>
      <c r="I25" s="78">
        <f>IFERROR(H25/H327, "NA")</f>
        <v>0</v>
      </c>
      <c r="J25" s="79"/>
      <c r="K25" s="77">
        <v>0</v>
      </c>
      <c r="L25" s="78">
        <f>IFERROR(K25/K327, "NA")</f>
        <v>0</v>
      </c>
      <c r="M25" s="79"/>
      <c r="N25" s="77">
        <v>0</v>
      </c>
      <c r="O25" s="78">
        <f>IFERROR(N25/N327, "NA")</f>
        <v>0</v>
      </c>
      <c r="P25" s="79"/>
      <c r="Q25" s="77">
        <v>0</v>
      </c>
      <c r="R25" s="78">
        <f>IFERROR(Q25/Q327, "NA")</f>
        <v>0</v>
      </c>
      <c r="T25" s="80">
        <f t="shared" si="0"/>
        <v>0</v>
      </c>
      <c r="U25" s="80">
        <f t="shared" si="1"/>
        <v>0</v>
      </c>
    </row>
    <row r="26" spans="1:21" x14ac:dyDescent="0.25">
      <c r="A26" s="76" t="s">
        <v>58</v>
      </c>
      <c r="B26" s="77">
        <v>95724.78</v>
      </c>
      <c r="C26" s="78">
        <f>IFERROR(B26/B327, "NA")</f>
        <v>4.3188635109123553E-2</v>
      </c>
      <c r="D26" s="79"/>
      <c r="E26" s="77">
        <v>102708.41</v>
      </c>
      <c r="F26" s="78">
        <f>IFERROR(E26/E327, "NA")</f>
        <v>5.8375987842465282E-2</v>
      </c>
      <c r="G26" s="79"/>
      <c r="H26" s="77">
        <v>99171.36</v>
      </c>
      <c r="I26" s="78">
        <f>IFERROR(H26/H327, "NA")</f>
        <v>4.0523093703275677E-2</v>
      </c>
      <c r="J26" s="79"/>
      <c r="K26" s="77">
        <v>89854.81</v>
      </c>
      <c r="L26" s="78">
        <f>IFERROR(K26/K327, "NA")</f>
        <v>5.9316164864471568E-2</v>
      </c>
      <c r="M26" s="79"/>
      <c r="N26" s="77">
        <v>109882.7</v>
      </c>
      <c r="O26" s="78">
        <f>IFERROR(N26/N327, "NA")</f>
        <v>5.1978099101568712E-2</v>
      </c>
      <c r="P26" s="79"/>
      <c r="Q26" s="77">
        <v>75533.59</v>
      </c>
      <c r="R26" s="78">
        <f>IFERROR(Q26/Q327, "NA")</f>
        <v>5.4449129849033856E-2</v>
      </c>
      <c r="T26" s="80">
        <f t="shared" si="0"/>
        <v>572875.65</v>
      </c>
      <c r="U26" s="80">
        <f t="shared" si="1"/>
        <v>3147.6684065934064</v>
      </c>
    </row>
    <row r="27" spans="1:21" x14ac:dyDescent="0.25">
      <c r="A27" s="76" t="s">
        <v>59</v>
      </c>
      <c r="B27" s="77">
        <v>0</v>
      </c>
      <c r="C27" s="78">
        <f>IFERROR(B27/B327, "NA")</f>
        <v>0</v>
      </c>
      <c r="D27" s="79"/>
      <c r="E27" s="77">
        <v>0</v>
      </c>
      <c r="F27" s="78">
        <f>IFERROR(E27/E327, "NA")</f>
        <v>0</v>
      </c>
      <c r="G27" s="79"/>
      <c r="H27" s="77">
        <v>0</v>
      </c>
      <c r="I27" s="78">
        <f>IFERROR(H27/H327, "NA")</f>
        <v>0</v>
      </c>
      <c r="J27" s="79"/>
      <c r="K27" s="77">
        <v>0</v>
      </c>
      <c r="L27" s="78">
        <f>IFERROR(K27/K327, "NA")</f>
        <v>0</v>
      </c>
      <c r="M27" s="79"/>
      <c r="N27" s="77">
        <v>0</v>
      </c>
      <c r="O27" s="78">
        <f>IFERROR(N27/N327, "NA")</f>
        <v>0</v>
      </c>
      <c r="P27" s="79"/>
      <c r="Q27" s="77">
        <v>0</v>
      </c>
      <c r="R27" s="78">
        <f>IFERROR(Q27/Q327, "NA")</f>
        <v>0</v>
      </c>
      <c r="T27" s="80">
        <f t="shared" si="0"/>
        <v>0</v>
      </c>
      <c r="U27" s="80">
        <f t="shared" si="1"/>
        <v>0</v>
      </c>
    </row>
    <row r="28" spans="1:21" x14ac:dyDescent="0.25">
      <c r="A28" s="76" t="s">
        <v>60</v>
      </c>
      <c r="B28" s="77">
        <v>0</v>
      </c>
      <c r="C28" s="78">
        <f>IFERROR(B28/B327, "NA")</f>
        <v>0</v>
      </c>
      <c r="D28" s="79"/>
      <c r="E28" s="77">
        <v>0</v>
      </c>
      <c r="F28" s="78">
        <f>IFERROR(E28/E327, "NA")</f>
        <v>0</v>
      </c>
      <c r="G28" s="79"/>
      <c r="H28" s="77">
        <v>0</v>
      </c>
      <c r="I28" s="78">
        <f>IFERROR(H28/H327, "NA")</f>
        <v>0</v>
      </c>
      <c r="J28" s="79"/>
      <c r="K28" s="77">
        <v>0</v>
      </c>
      <c r="L28" s="78">
        <f>IFERROR(K28/K327, "NA")</f>
        <v>0</v>
      </c>
      <c r="M28" s="79"/>
      <c r="N28" s="77">
        <v>0</v>
      </c>
      <c r="O28" s="78">
        <f>IFERROR(N28/N327, "NA")</f>
        <v>0</v>
      </c>
      <c r="P28" s="79"/>
      <c r="Q28" s="77">
        <v>0</v>
      </c>
      <c r="R28" s="78">
        <f>IFERROR(Q28/Q327, "NA")</f>
        <v>0</v>
      </c>
      <c r="T28" s="80">
        <f t="shared" si="0"/>
        <v>0</v>
      </c>
      <c r="U28" s="80">
        <f t="shared" si="1"/>
        <v>0</v>
      </c>
    </row>
    <row r="29" spans="1:21" x14ac:dyDescent="0.25">
      <c r="A29" s="76" t="s">
        <v>61</v>
      </c>
      <c r="B29" s="77">
        <v>0</v>
      </c>
      <c r="C29" s="78">
        <f>IFERROR(B29/B327, "NA")</f>
        <v>0</v>
      </c>
      <c r="D29" s="79"/>
      <c r="E29" s="77">
        <v>0</v>
      </c>
      <c r="F29" s="78">
        <f>IFERROR(E29/E327, "NA")</f>
        <v>0</v>
      </c>
      <c r="G29" s="79"/>
      <c r="H29" s="77">
        <v>0</v>
      </c>
      <c r="I29" s="78">
        <f>IFERROR(H29/H327, "NA")</f>
        <v>0</v>
      </c>
      <c r="J29" s="79"/>
      <c r="K29" s="77">
        <v>0</v>
      </c>
      <c r="L29" s="78">
        <f>IFERROR(K29/K327, "NA")</f>
        <v>0</v>
      </c>
      <c r="M29" s="79"/>
      <c r="N29" s="77">
        <v>0</v>
      </c>
      <c r="O29" s="78">
        <f>IFERROR(N29/N327, "NA")</f>
        <v>0</v>
      </c>
      <c r="P29" s="79"/>
      <c r="Q29" s="77">
        <v>0</v>
      </c>
      <c r="R29" s="78">
        <f>IFERROR(Q29/Q327, "NA")</f>
        <v>0</v>
      </c>
      <c r="T29" s="80">
        <f t="shared" si="0"/>
        <v>0</v>
      </c>
      <c r="U29" s="80">
        <f t="shared" si="1"/>
        <v>0</v>
      </c>
    </row>
    <row r="30" spans="1:21" x14ac:dyDescent="0.25">
      <c r="A30" s="81" t="s">
        <v>62</v>
      </c>
      <c r="B30" s="82">
        <f>IFERROR(B21+B22+B23+B24+B25+B26+B27+B28+B29, "NA")</f>
        <v>146201.28</v>
      </c>
      <c r="C30" s="83">
        <f>IFERROR(B30/B327, "NA")</f>
        <v>6.5962373947548406E-2</v>
      </c>
      <c r="D30" s="72"/>
      <c r="E30" s="82">
        <f>IFERROR(E21+E22+E23+E24+E25+E26+E27+E28+E29, "NA")</f>
        <v>140128.87</v>
      </c>
      <c r="F30" s="83">
        <f>IFERROR(E30/E327, "NA")</f>
        <v>7.9644512182579771E-2</v>
      </c>
      <c r="G30" s="72"/>
      <c r="H30" s="82">
        <f>IFERROR(H21+H22+H23+H24+H25+H26+H27+H28+H29, "NA")</f>
        <v>150691.08000000002</v>
      </c>
      <c r="I30" s="83">
        <f>IFERROR(H30/H327, "NA")</f>
        <v>6.1574921984409732E-2</v>
      </c>
      <c r="J30" s="72"/>
      <c r="K30" s="82">
        <f>IFERROR(K21+K22+K23+K24+K25+K26+K27+K28+K29, "NA")</f>
        <v>110170.73</v>
      </c>
      <c r="L30" s="83">
        <f>IFERROR(K30/K327, "NA")</f>
        <v>7.2727383029569409E-2</v>
      </c>
      <c r="M30" s="72"/>
      <c r="N30" s="82">
        <f>IFERROR(N21+N22+N23+N24+N25+N26+N27+N28+N29, "NA")</f>
        <v>154282.28999999998</v>
      </c>
      <c r="O30" s="83">
        <f>IFERROR(N30/N327, "NA")</f>
        <v>7.2980552527713308E-2</v>
      </c>
      <c r="P30" s="72"/>
      <c r="Q30" s="82">
        <f>IFERROR(Q21+Q22+Q23+Q24+Q25+Q26+Q27+Q28+Q29, "NA")</f>
        <v>84755.12</v>
      </c>
      <c r="R30" s="83">
        <f>IFERROR(Q30/Q327, "NA")</f>
        <v>6.1096560275374787E-2</v>
      </c>
      <c r="T30" s="80">
        <f t="shared" si="0"/>
        <v>786229.37</v>
      </c>
      <c r="U30" s="80">
        <f t="shared" si="1"/>
        <v>4319.9415934065937</v>
      </c>
    </row>
    <row r="31" spans="1:21" x14ac:dyDescent="0.25">
      <c r="A31" s="75" t="s">
        <v>63</v>
      </c>
      <c r="B31" s="72"/>
      <c r="C31" s="73"/>
      <c r="D31" s="74"/>
      <c r="E31" s="72"/>
      <c r="F31" s="73"/>
      <c r="G31" s="74"/>
      <c r="H31" s="72"/>
      <c r="I31" s="73"/>
      <c r="J31" s="74"/>
      <c r="K31" s="72"/>
      <c r="L31" s="73"/>
      <c r="M31" s="74"/>
      <c r="N31" s="72"/>
      <c r="O31" s="73"/>
      <c r="P31" s="74"/>
      <c r="Q31" s="72"/>
      <c r="R31" s="73"/>
      <c r="T31" s="80">
        <f t="shared" si="0"/>
        <v>0</v>
      </c>
      <c r="U31" s="80">
        <f t="shared" si="1"/>
        <v>0</v>
      </c>
    </row>
    <row r="32" spans="1:21" x14ac:dyDescent="0.25">
      <c r="A32" s="76" t="s">
        <v>64</v>
      </c>
      <c r="B32" s="77">
        <v>0</v>
      </c>
      <c r="C32" s="78">
        <f>IFERROR(B32/B327, "NA")</f>
        <v>0</v>
      </c>
      <c r="D32" s="79"/>
      <c r="E32" s="77">
        <v>0</v>
      </c>
      <c r="F32" s="78">
        <f>IFERROR(E32/E327, "NA")</f>
        <v>0</v>
      </c>
      <c r="G32" s="79"/>
      <c r="H32" s="77">
        <v>0</v>
      </c>
      <c r="I32" s="78">
        <f>IFERROR(H32/H327, "NA")</f>
        <v>0</v>
      </c>
      <c r="J32" s="79"/>
      <c r="K32" s="77">
        <v>0</v>
      </c>
      <c r="L32" s="78">
        <f>IFERROR(K32/K327, "NA")</f>
        <v>0</v>
      </c>
      <c r="M32" s="79"/>
      <c r="N32" s="77">
        <v>0</v>
      </c>
      <c r="O32" s="78">
        <f>IFERROR(N32/N327, "NA")</f>
        <v>0</v>
      </c>
      <c r="P32" s="79"/>
      <c r="Q32" s="77">
        <v>0</v>
      </c>
      <c r="R32" s="78">
        <f>IFERROR(Q32/Q327, "NA")</f>
        <v>0</v>
      </c>
      <c r="T32" s="80">
        <f t="shared" si="0"/>
        <v>0</v>
      </c>
      <c r="U32" s="80">
        <f t="shared" si="1"/>
        <v>0</v>
      </c>
    </row>
    <row r="33" spans="1:21" x14ac:dyDescent="0.25">
      <c r="A33" s="76" t="s">
        <v>65</v>
      </c>
      <c r="B33" s="77">
        <v>0</v>
      </c>
      <c r="C33" s="78">
        <f>IFERROR(B33/B327, "NA")</f>
        <v>0</v>
      </c>
      <c r="D33" s="79"/>
      <c r="E33" s="77">
        <v>0</v>
      </c>
      <c r="F33" s="78">
        <f>IFERROR(E33/E327, "NA")</f>
        <v>0</v>
      </c>
      <c r="G33" s="79"/>
      <c r="H33" s="77">
        <v>0</v>
      </c>
      <c r="I33" s="78">
        <f>IFERROR(H33/H327, "NA")</f>
        <v>0</v>
      </c>
      <c r="J33" s="79"/>
      <c r="K33" s="77">
        <v>0</v>
      </c>
      <c r="L33" s="78">
        <f>IFERROR(K33/K327, "NA")</f>
        <v>0</v>
      </c>
      <c r="M33" s="79"/>
      <c r="N33" s="77">
        <v>0</v>
      </c>
      <c r="O33" s="78">
        <f>IFERROR(N33/N327, "NA")</f>
        <v>0</v>
      </c>
      <c r="P33" s="79"/>
      <c r="Q33" s="77">
        <v>0</v>
      </c>
      <c r="R33" s="78">
        <f>IFERROR(Q33/Q327, "NA")</f>
        <v>0</v>
      </c>
      <c r="T33" s="80">
        <f t="shared" si="0"/>
        <v>0</v>
      </c>
      <c r="U33" s="80">
        <f t="shared" si="1"/>
        <v>0</v>
      </c>
    </row>
    <row r="34" spans="1:21" x14ac:dyDescent="0.25">
      <c r="A34" s="76" t="s">
        <v>66</v>
      </c>
      <c r="B34" s="77">
        <v>0</v>
      </c>
      <c r="C34" s="78">
        <f>IFERROR(B34/B327, "NA")</f>
        <v>0</v>
      </c>
      <c r="D34" s="79"/>
      <c r="E34" s="77">
        <v>0</v>
      </c>
      <c r="F34" s="78">
        <f>IFERROR(E34/E327, "NA")</f>
        <v>0</v>
      </c>
      <c r="G34" s="79"/>
      <c r="H34" s="77">
        <v>0</v>
      </c>
      <c r="I34" s="78">
        <f>IFERROR(H34/H327, "NA")</f>
        <v>0</v>
      </c>
      <c r="J34" s="79"/>
      <c r="K34" s="77">
        <v>0</v>
      </c>
      <c r="L34" s="78">
        <f>IFERROR(K34/K327, "NA")</f>
        <v>0</v>
      </c>
      <c r="M34" s="79"/>
      <c r="N34" s="77">
        <v>0</v>
      </c>
      <c r="O34" s="78">
        <f>IFERROR(N34/N327, "NA")</f>
        <v>0</v>
      </c>
      <c r="P34" s="79"/>
      <c r="Q34" s="77">
        <v>0</v>
      </c>
      <c r="R34" s="78">
        <f>IFERROR(Q34/Q327, "NA")</f>
        <v>0</v>
      </c>
      <c r="T34" s="80">
        <f t="shared" si="0"/>
        <v>0</v>
      </c>
      <c r="U34" s="80">
        <f t="shared" si="1"/>
        <v>0</v>
      </c>
    </row>
    <row r="35" spans="1:21" x14ac:dyDescent="0.25">
      <c r="A35" s="76" t="s">
        <v>67</v>
      </c>
      <c r="B35" s="77">
        <v>0</v>
      </c>
      <c r="C35" s="78">
        <f>IFERROR(B35/B327, "NA")</f>
        <v>0</v>
      </c>
      <c r="D35" s="79"/>
      <c r="E35" s="77">
        <v>0</v>
      </c>
      <c r="F35" s="78">
        <f>IFERROR(E35/E327, "NA")</f>
        <v>0</v>
      </c>
      <c r="G35" s="79"/>
      <c r="H35" s="77">
        <v>0</v>
      </c>
      <c r="I35" s="78">
        <f>IFERROR(H35/H327, "NA")</f>
        <v>0</v>
      </c>
      <c r="J35" s="79"/>
      <c r="K35" s="77">
        <v>0</v>
      </c>
      <c r="L35" s="78">
        <f>IFERROR(K35/K327, "NA")</f>
        <v>0</v>
      </c>
      <c r="M35" s="79"/>
      <c r="N35" s="77">
        <v>0</v>
      </c>
      <c r="O35" s="78">
        <f>IFERROR(N35/N327, "NA")</f>
        <v>0</v>
      </c>
      <c r="P35" s="79"/>
      <c r="Q35" s="77">
        <v>0</v>
      </c>
      <c r="R35" s="78">
        <f>IFERROR(Q35/Q327, "NA")</f>
        <v>0</v>
      </c>
      <c r="T35" s="80">
        <f t="shared" si="0"/>
        <v>0</v>
      </c>
      <c r="U35" s="80">
        <f t="shared" si="1"/>
        <v>0</v>
      </c>
    </row>
    <row r="36" spans="1:21" x14ac:dyDescent="0.25">
      <c r="A36" s="76" t="s">
        <v>68</v>
      </c>
      <c r="B36" s="77">
        <v>0</v>
      </c>
      <c r="C36" s="78">
        <f>IFERROR(B36/B327, "NA")</f>
        <v>0</v>
      </c>
      <c r="D36" s="79"/>
      <c r="E36" s="77">
        <v>0</v>
      </c>
      <c r="F36" s="78">
        <f>IFERROR(E36/E327, "NA")</f>
        <v>0</v>
      </c>
      <c r="G36" s="79"/>
      <c r="H36" s="77">
        <v>0</v>
      </c>
      <c r="I36" s="78">
        <f>IFERROR(H36/H327, "NA")</f>
        <v>0</v>
      </c>
      <c r="J36" s="79"/>
      <c r="K36" s="77">
        <v>0</v>
      </c>
      <c r="L36" s="78">
        <f>IFERROR(K36/K327, "NA")</f>
        <v>0</v>
      </c>
      <c r="M36" s="79"/>
      <c r="N36" s="77">
        <v>0</v>
      </c>
      <c r="O36" s="78">
        <f>IFERROR(N36/N327, "NA")</f>
        <v>0</v>
      </c>
      <c r="P36" s="79"/>
      <c r="Q36" s="77">
        <v>0</v>
      </c>
      <c r="R36" s="78">
        <f>IFERROR(Q36/Q327, "NA")</f>
        <v>0</v>
      </c>
      <c r="T36" s="80">
        <f t="shared" si="0"/>
        <v>0</v>
      </c>
      <c r="U36" s="80">
        <f t="shared" si="1"/>
        <v>0</v>
      </c>
    </row>
    <row r="37" spans="1:21" x14ac:dyDescent="0.25">
      <c r="A37" s="81" t="s">
        <v>69</v>
      </c>
      <c r="B37" s="82">
        <f>IFERROR(B32+B33+B34+B35+B36, "NA")</f>
        <v>0</v>
      </c>
      <c r="C37" s="83">
        <f>IFERROR(B37/B327, "NA")</f>
        <v>0</v>
      </c>
      <c r="D37" s="72"/>
      <c r="E37" s="82">
        <f>IFERROR(E32+E33+E34+E35+E36, "NA")</f>
        <v>0</v>
      </c>
      <c r="F37" s="83">
        <f>IFERROR(E37/E327, "NA")</f>
        <v>0</v>
      </c>
      <c r="G37" s="72"/>
      <c r="H37" s="82">
        <f>IFERROR(H32+H33+H34+H35+H36, "NA")</f>
        <v>0</v>
      </c>
      <c r="I37" s="83">
        <f>IFERROR(H37/H327, "NA")</f>
        <v>0</v>
      </c>
      <c r="J37" s="72"/>
      <c r="K37" s="82">
        <f>IFERROR(K32+K33+K34+K35+K36, "NA")</f>
        <v>0</v>
      </c>
      <c r="L37" s="83">
        <f>IFERROR(K37/K327, "NA")</f>
        <v>0</v>
      </c>
      <c r="M37" s="72"/>
      <c r="N37" s="82">
        <f>IFERROR(N32+N33+N34+N35+N36, "NA")</f>
        <v>0</v>
      </c>
      <c r="O37" s="83">
        <f>IFERROR(N37/N327, "NA")</f>
        <v>0</v>
      </c>
      <c r="P37" s="72"/>
      <c r="Q37" s="82">
        <f>IFERROR(Q32+Q33+Q34+Q35+Q36, "NA")</f>
        <v>0</v>
      </c>
      <c r="R37" s="83">
        <f>IFERROR(Q37/Q327, "NA")</f>
        <v>0</v>
      </c>
      <c r="T37" s="80">
        <f t="shared" si="0"/>
        <v>0</v>
      </c>
      <c r="U37" s="80">
        <f t="shared" si="1"/>
        <v>0</v>
      </c>
    </row>
    <row r="38" spans="1:21" x14ac:dyDescent="0.25">
      <c r="A38" s="75" t="s">
        <v>70</v>
      </c>
      <c r="B38" s="72"/>
      <c r="C38" s="73"/>
      <c r="D38" s="74"/>
      <c r="E38" s="72"/>
      <c r="F38" s="73"/>
      <c r="G38" s="74"/>
      <c r="H38" s="72"/>
      <c r="I38" s="73"/>
      <c r="J38" s="74"/>
      <c r="K38" s="72"/>
      <c r="L38" s="73"/>
      <c r="M38" s="74"/>
      <c r="N38" s="72"/>
      <c r="O38" s="73"/>
      <c r="P38" s="74"/>
      <c r="Q38" s="72"/>
      <c r="R38" s="73"/>
      <c r="T38" s="80">
        <f t="shared" si="0"/>
        <v>0</v>
      </c>
      <c r="U38" s="80">
        <f t="shared" si="1"/>
        <v>0</v>
      </c>
    </row>
    <row r="39" spans="1:21" x14ac:dyDescent="0.25">
      <c r="A39" s="76" t="s">
        <v>71</v>
      </c>
      <c r="B39" s="77">
        <v>0</v>
      </c>
      <c r="C39" s="78">
        <f>IFERROR(B39/B327, "NA")</f>
        <v>0</v>
      </c>
      <c r="D39" s="79"/>
      <c r="E39" s="77">
        <v>0</v>
      </c>
      <c r="F39" s="78">
        <f>IFERROR(E39/E327, "NA")</f>
        <v>0</v>
      </c>
      <c r="G39" s="79"/>
      <c r="H39" s="77">
        <v>0</v>
      </c>
      <c r="I39" s="78">
        <f>IFERROR(H39/H327, "NA")</f>
        <v>0</v>
      </c>
      <c r="J39" s="79"/>
      <c r="K39" s="77">
        <v>0</v>
      </c>
      <c r="L39" s="78">
        <f>IFERROR(K39/K327, "NA")</f>
        <v>0</v>
      </c>
      <c r="M39" s="79"/>
      <c r="N39" s="77">
        <v>0</v>
      </c>
      <c r="O39" s="78">
        <f>IFERROR(N39/N327, "NA")</f>
        <v>0</v>
      </c>
      <c r="P39" s="79"/>
      <c r="Q39" s="77">
        <v>0</v>
      </c>
      <c r="R39" s="78">
        <f>IFERROR(Q39/Q327, "NA")</f>
        <v>0</v>
      </c>
      <c r="T39" s="80">
        <f t="shared" si="0"/>
        <v>0</v>
      </c>
      <c r="U39" s="80">
        <f t="shared" si="1"/>
        <v>0</v>
      </c>
    </row>
    <row r="40" spans="1:21" x14ac:dyDescent="0.25">
      <c r="A40" s="76" t="s">
        <v>72</v>
      </c>
      <c r="B40" s="77">
        <v>-100.25</v>
      </c>
      <c r="C40" s="78">
        <f>IFERROR(B40/B327, "NA")</f>
        <v>-4.5230301596824106E-5</v>
      </c>
      <c r="D40" s="79"/>
      <c r="E40" s="77">
        <v>0</v>
      </c>
      <c r="F40" s="78">
        <f>IFERROR(E40/E327, "NA")</f>
        <v>0</v>
      </c>
      <c r="G40" s="79"/>
      <c r="H40" s="77">
        <v>0</v>
      </c>
      <c r="I40" s="78">
        <f>IFERROR(H40/H327, "NA")</f>
        <v>0</v>
      </c>
      <c r="J40" s="79"/>
      <c r="K40" s="77">
        <v>0</v>
      </c>
      <c r="L40" s="78">
        <f>IFERROR(K40/K327, "NA")</f>
        <v>0</v>
      </c>
      <c r="M40" s="79"/>
      <c r="N40" s="77">
        <v>0</v>
      </c>
      <c r="O40" s="78">
        <f>IFERROR(N40/N327, "NA")</f>
        <v>0</v>
      </c>
      <c r="P40" s="79"/>
      <c r="Q40" s="77">
        <v>-221.25</v>
      </c>
      <c r="R40" s="78">
        <f>IFERROR(Q40/Q327, "NA")</f>
        <v>-1.5949023446520602E-4</v>
      </c>
      <c r="T40" s="80">
        <f t="shared" si="0"/>
        <v>-321.5</v>
      </c>
      <c r="U40" s="80">
        <f t="shared" si="1"/>
        <v>-1.7664835164835164</v>
      </c>
    </row>
    <row r="41" spans="1:21" x14ac:dyDescent="0.25">
      <c r="A41" s="76" t="s">
        <v>73</v>
      </c>
      <c r="B41" s="77">
        <v>-2319</v>
      </c>
      <c r="C41" s="78">
        <f>IFERROR(B41/B327, "NA")</f>
        <v>-1.0462750065140657E-3</v>
      </c>
      <c r="D41" s="79"/>
      <c r="E41" s="77">
        <v>-2352</v>
      </c>
      <c r="F41" s="78">
        <f>IFERROR(E41/E327, "NA")</f>
        <v>-1.3367972827685517E-3</v>
      </c>
      <c r="G41" s="79"/>
      <c r="H41" s="77">
        <v>-3429.8</v>
      </c>
      <c r="I41" s="78">
        <f>IFERROR(H41/H327, "NA")</f>
        <v>-1.4014742440105179E-3</v>
      </c>
      <c r="J41" s="79"/>
      <c r="K41" s="77">
        <v>-1147</v>
      </c>
      <c r="L41" s="78">
        <f>IFERROR(K41/K327, "NA")</f>
        <v>-7.5717305617305176E-4</v>
      </c>
      <c r="M41" s="79"/>
      <c r="N41" s="77">
        <v>-1310</v>
      </c>
      <c r="O41" s="78">
        <f>IFERROR(N41/N327, "NA")</f>
        <v>-6.1967270392022597E-4</v>
      </c>
      <c r="P41" s="79"/>
      <c r="Q41" s="77">
        <v>-1565</v>
      </c>
      <c r="R41" s="78">
        <f>IFERROR(Q41/Q327, "NA")</f>
        <v>-1.1281456132793105E-3</v>
      </c>
      <c r="T41" s="80">
        <f t="shared" si="0"/>
        <v>-12122.8</v>
      </c>
      <c r="U41" s="80">
        <f t="shared" si="1"/>
        <v>-66.608791208791203</v>
      </c>
    </row>
    <row r="42" spans="1:21" x14ac:dyDescent="0.25">
      <c r="A42" s="76" t="s">
        <v>74</v>
      </c>
      <c r="B42" s="77">
        <v>-3672</v>
      </c>
      <c r="C42" s="78">
        <f>IFERROR(B42/B327, "NA")</f>
        <v>-1.6567148874168389E-3</v>
      </c>
      <c r="D42" s="79"/>
      <c r="E42" s="77">
        <v>-4399</v>
      </c>
      <c r="F42" s="78">
        <f>IFERROR(E42/E327, "NA")</f>
        <v>-2.5002428770828484E-3</v>
      </c>
      <c r="G42" s="79"/>
      <c r="H42" s="77">
        <v>-10877</v>
      </c>
      <c r="I42" s="78">
        <f>IFERROR(H42/H327, "NA")</f>
        <v>-4.4445260225384579E-3</v>
      </c>
      <c r="J42" s="79"/>
      <c r="K42" s="77">
        <v>-8407</v>
      </c>
      <c r="L42" s="78">
        <f>IFERROR(K42/K327, "NA")</f>
        <v>-5.5497418336938496E-3</v>
      </c>
      <c r="M42" s="79"/>
      <c r="N42" s="77">
        <v>-3132</v>
      </c>
      <c r="O42" s="78">
        <f>IFERROR(N42/N327, "NA")</f>
        <v>-1.4815380982275937E-3</v>
      </c>
      <c r="P42" s="79"/>
      <c r="Q42" s="77">
        <v>-2673.6</v>
      </c>
      <c r="R42" s="78">
        <f>IFERROR(Q42/Q327, "NA")</f>
        <v>-1.9272908061748015E-3</v>
      </c>
      <c r="T42" s="80">
        <f t="shared" si="0"/>
        <v>-33160.6</v>
      </c>
      <c r="U42" s="80">
        <f t="shared" si="1"/>
        <v>-182.2010989010989</v>
      </c>
    </row>
    <row r="43" spans="1:21" x14ac:dyDescent="0.25">
      <c r="A43" s="76" t="s">
        <v>75</v>
      </c>
      <c r="B43" s="77">
        <v>-10163</v>
      </c>
      <c r="C43" s="78">
        <f>IFERROR(B43/B327, "NA")</f>
        <v>-4.5852923204840234E-3</v>
      </c>
      <c r="D43" s="79"/>
      <c r="E43" s="77">
        <v>-20965</v>
      </c>
      <c r="F43" s="78">
        <f>IFERROR(E43/E327, "NA")</f>
        <v>-1.1915797208011347E-2</v>
      </c>
      <c r="G43" s="79"/>
      <c r="H43" s="77">
        <v>-33183</v>
      </c>
      <c r="I43" s="78">
        <f>IFERROR(H43/H327, "NA")</f>
        <v>-1.3559134596478225E-2</v>
      </c>
      <c r="J43" s="79"/>
      <c r="K43" s="77">
        <v>-23229</v>
      </c>
      <c r="L43" s="78">
        <f>IFERROR(K43/K327, "NA")</f>
        <v>-1.5334239687745265E-2</v>
      </c>
      <c r="M43" s="79"/>
      <c r="N43" s="77">
        <v>-17162</v>
      </c>
      <c r="O43" s="78">
        <f>IFERROR(N43/N327, "NA")</f>
        <v>-8.1181854539533731E-3</v>
      </c>
      <c r="P43" s="79"/>
      <c r="Q43" s="77">
        <v>-24608</v>
      </c>
      <c r="R43" s="78">
        <f>IFERROR(Q43/Q327, "NA")</f>
        <v>-1.773891837161487E-2</v>
      </c>
      <c r="T43" s="80">
        <f t="shared" si="0"/>
        <v>-129310</v>
      </c>
      <c r="U43" s="80">
        <f t="shared" si="1"/>
        <v>-710.49450549450546</v>
      </c>
    </row>
    <row r="44" spans="1:21" x14ac:dyDescent="0.25">
      <c r="A44" s="76" t="s">
        <v>76</v>
      </c>
      <c r="B44" s="77">
        <v>0</v>
      </c>
      <c r="C44" s="78">
        <f>IFERROR(B44/B327, "NA")</f>
        <v>0</v>
      </c>
      <c r="D44" s="79"/>
      <c r="E44" s="77">
        <v>0</v>
      </c>
      <c r="F44" s="78">
        <f>IFERROR(E44/E327, "NA")</f>
        <v>0</v>
      </c>
      <c r="G44" s="79"/>
      <c r="H44" s="77">
        <v>0</v>
      </c>
      <c r="I44" s="78">
        <f>IFERROR(H44/H327, "NA")</f>
        <v>0</v>
      </c>
      <c r="J44" s="79"/>
      <c r="K44" s="77">
        <v>-122</v>
      </c>
      <c r="L44" s="78">
        <f>IFERROR(K44/K327, "NA")</f>
        <v>-8.0536279732443158E-5</v>
      </c>
      <c r="M44" s="79"/>
      <c r="N44" s="77">
        <v>-2204</v>
      </c>
      <c r="O44" s="78">
        <f>IFERROR(N44/N327, "NA")</f>
        <v>-1.0425638469008993E-3</v>
      </c>
      <c r="P44" s="79"/>
      <c r="Q44" s="77">
        <v>-375</v>
      </c>
      <c r="R44" s="78">
        <f>IFERROR(Q44/Q327, "NA")</f>
        <v>-2.7032243129695939E-4</v>
      </c>
      <c r="T44" s="80">
        <f t="shared" si="0"/>
        <v>-2701</v>
      </c>
      <c r="U44" s="80">
        <f t="shared" si="1"/>
        <v>-14.840659340659341</v>
      </c>
    </row>
    <row r="45" spans="1:21" x14ac:dyDescent="0.25">
      <c r="A45" s="76" t="s">
        <v>77</v>
      </c>
      <c r="B45" s="77">
        <v>0</v>
      </c>
      <c r="C45" s="78">
        <f>IFERROR(B45/B327, "NA")</f>
        <v>0</v>
      </c>
      <c r="D45" s="79"/>
      <c r="E45" s="77">
        <v>0</v>
      </c>
      <c r="F45" s="78">
        <f>IFERROR(E45/E327, "NA")</f>
        <v>0</v>
      </c>
      <c r="G45" s="79"/>
      <c r="H45" s="77">
        <v>0</v>
      </c>
      <c r="I45" s="78">
        <f>IFERROR(H45/H327, "NA")</f>
        <v>0</v>
      </c>
      <c r="J45" s="79"/>
      <c r="K45" s="77">
        <v>0</v>
      </c>
      <c r="L45" s="78">
        <f>IFERROR(K45/K327, "NA")</f>
        <v>0</v>
      </c>
      <c r="M45" s="79"/>
      <c r="N45" s="77">
        <v>0</v>
      </c>
      <c r="O45" s="78">
        <f>IFERROR(N45/N327, "NA")</f>
        <v>0</v>
      </c>
      <c r="P45" s="79"/>
      <c r="Q45" s="77">
        <v>0</v>
      </c>
      <c r="R45" s="78">
        <f>IFERROR(Q45/Q327, "NA")</f>
        <v>0</v>
      </c>
      <c r="T45" s="80">
        <f t="shared" si="0"/>
        <v>0</v>
      </c>
      <c r="U45" s="80">
        <f t="shared" si="1"/>
        <v>0</v>
      </c>
    </row>
    <row r="46" spans="1:21" x14ac:dyDescent="0.25">
      <c r="A46" s="76" t="s">
        <v>78</v>
      </c>
      <c r="B46" s="77">
        <v>-24166</v>
      </c>
      <c r="C46" s="78">
        <f>IFERROR(B46/B327, "NA")</f>
        <v>-1.0903096941534676E-2</v>
      </c>
      <c r="D46" s="79">
        <f>(11977+7579+3952)/7</f>
        <v>3358.2857142857142</v>
      </c>
      <c r="E46" s="77">
        <v>-19531</v>
      </c>
      <c r="F46" s="78">
        <f>IFERROR(E46/E327, "NA")</f>
        <v>-1.110076008918052E-2</v>
      </c>
      <c r="G46" s="79"/>
      <c r="H46" s="77">
        <v>-26546.03</v>
      </c>
      <c r="I46" s="78">
        <f>IFERROR(H46/H327, "NA")</f>
        <v>-1.0847156488929538E-2</v>
      </c>
      <c r="J46" s="79"/>
      <c r="K46" s="77">
        <v>-14558</v>
      </c>
      <c r="L46" s="78">
        <f>IFERROR(K46/K327, "NA")</f>
        <v>-9.6102226257779311E-3</v>
      </c>
      <c r="M46" s="79"/>
      <c r="N46" s="77">
        <v>-21956</v>
      </c>
      <c r="O46" s="78">
        <f>IFERROR(N46/N327, "NA")</f>
        <v>-1.0385903730742352E-2</v>
      </c>
      <c r="P46" s="79"/>
      <c r="Q46" s="77">
        <v>-22676</v>
      </c>
      <c r="R46" s="78">
        <f>IFERROR(Q46/Q327, "NA")</f>
        <v>-1.6346217205572937E-2</v>
      </c>
      <c r="T46" s="80">
        <f t="shared" si="0"/>
        <v>-129433.03</v>
      </c>
      <c r="U46" s="80">
        <f t="shared" si="1"/>
        <v>-711.1704945054945</v>
      </c>
    </row>
    <row r="47" spans="1:21" x14ac:dyDescent="0.25">
      <c r="A47" s="76" t="s">
        <v>79</v>
      </c>
      <c r="B47" s="77">
        <v>-4409.5</v>
      </c>
      <c r="C47" s="78">
        <f>IFERROR(B47/B327, "NA")</f>
        <v>-1.9894565076428515E-3</v>
      </c>
      <c r="D47" s="79"/>
      <c r="E47" s="77">
        <v>-6615</v>
      </c>
      <c r="F47" s="78">
        <f>IFERROR(E47/E327, "NA")</f>
        <v>-3.7597423577865516E-3</v>
      </c>
      <c r="G47" s="79"/>
      <c r="H47" s="77">
        <v>-7014</v>
      </c>
      <c r="I47" s="78">
        <f>IFERROR(H47/H327, "NA")</f>
        <v>-2.8660389373986158E-3</v>
      </c>
      <c r="J47" s="79"/>
      <c r="K47" s="77">
        <v>-2834</v>
      </c>
      <c r="L47" s="78">
        <f>IFERROR(K47/K327, "NA")</f>
        <v>-1.8708181701782289E-3</v>
      </c>
      <c r="M47" s="79"/>
      <c r="N47" s="77">
        <v>-3689</v>
      </c>
      <c r="O47" s="78">
        <f>IFERROR(N47/N327, "NA")</f>
        <v>-1.7450172555432929E-3</v>
      </c>
      <c r="P47" s="79"/>
      <c r="Q47" s="77">
        <v>-3845</v>
      </c>
      <c r="R47" s="78">
        <f>IFERROR(Q47/Q327, "NA")</f>
        <v>-2.7717059955648235E-3</v>
      </c>
      <c r="T47" s="80">
        <f t="shared" si="0"/>
        <v>-28406.5</v>
      </c>
      <c r="U47" s="80">
        <f t="shared" si="1"/>
        <v>-156.07967032967034</v>
      </c>
    </row>
    <row r="48" spans="1:21" x14ac:dyDescent="0.25">
      <c r="A48" s="76" t="s">
        <v>80</v>
      </c>
      <c r="B48" s="77">
        <v>-2432</v>
      </c>
      <c r="C48" s="78">
        <f>IFERROR(B48/B327, "NA")</f>
        <v>-1.0972577903588651E-3</v>
      </c>
      <c r="D48" s="79"/>
      <c r="E48" s="77">
        <v>-4320</v>
      </c>
      <c r="F48" s="78">
        <f>IFERROR(E48/E327, "NA")</f>
        <v>-2.4553419479422379E-3</v>
      </c>
      <c r="G48" s="79"/>
      <c r="H48" s="77">
        <v>-5904</v>
      </c>
      <c r="I48" s="78">
        <f>IFERROR(H48/H327, "NA")</f>
        <v>-2.4124741782722311E-3</v>
      </c>
      <c r="J48" s="79"/>
      <c r="K48" s="77">
        <v>-2032</v>
      </c>
      <c r="L48" s="78">
        <f>IFERROR(K48/K327, "NA")</f>
        <v>-1.3413911509534797E-3</v>
      </c>
      <c r="M48" s="79"/>
      <c r="N48" s="77">
        <v>-3622</v>
      </c>
      <c r="O48" s="78">
        <f>IFERROR(N48/N327, "NA")</f>
        <v>-1.713324071449663E-3</v>
      </c>
      <c r="P48" s="79"/>
      <c r="Q48" s="77">
        <v>-4828</v>
      </c>
      <c r="R48" s="78">
        <f>IFERROR(Q48/Q327, "NA")</f>
        <v>-3.4803111954712532E-3</v>
      </c>
      <c r="T48" s="80">
        <f t="shared" si="0"/>
        <v>-23138</v>
      </c>
      <c r="U48" s="80">
        <f t="shared" si="1"/>
        <v>-127.13186813186813</v>
      </c>
    </row>
    <row r="49" spans="1:21" x14ac:dyDescent="0.25">
      <c r="A49" s="76" t="s">
        <v>81</v>
      </c>
      <c r="B49" s="77">
        <v>-172</v>
      </c>
      <c r="C49" s="78">
        <f>IFERROR(B49/B327, "NA")</f>
        <v>-7.7602113462880252E-5</v>
      </c>
      <c r="D49" s="79"/>
      <c r="E49" s="77">
        <v>-98</v>
      </c>
      <c r="F49" s="78">
        <f>IFERROR(E49/E327, "NA")</f>
        <v>-5.5699886782022986E-5</v>
      </c>
      <c r="G49" s="79"/>
      <c r="H49" s="77">
        <v>-1600</v>
      </c>
      <c r="I49" s="78">
        <f>IFERROR(H49/H327, "NA")</f>
        <v>-6.5378704018217645E-4</v>
      </c>
      <c r="J49" s="79"/>
      <c r="K49" s="77">
        <v>-748</v>
      </c>
      <c r="L49" s="78">
        <f>IFERROR(K49/K327, "NA")</f>
        <v>-4.9377981344153675E-4</v>
      </c>
      <c r="M49" s="79"/>
      <c r="N49" s="77">
        <v>0</v>
      </c>
      <c r="O49" s="78">
        <f>IFERROR(N49/N327, "NA")</f>
        <v>0</v>
      </c>
      <c r="P49" s="79"/>
      <c r="Q49" s="77">
        <v>-42</v>
      </c>
      <c r="R49" s="78">
        <f>IFERROR(Q49/Q327, "NA")</f>
        <v>-3.0276112305259448E-5</v>
      </c>
      <c r="T49" s="80">
        <f t="shared" si="0"/>
        <v>-2660</v>
      </c>
      <c r="U49" s="80">
        <f t="shared" si="1"/>
        <v>-14.615384615384615</v>
      </c>
    </row>
    <row r="50" spans="1:21" x14ac:dyDescent="0.25">
      <c r="A50" s="76" t="s">
        <v>82</v>
      </c>
      <c r="B50" s="77">
        <v>-4488.6000000000004</v>
      </c>
      <c r="C50" s="78">
        <f>IFERROR(B50/B327, "NA")</f>
        <v>-2.0251444563342113E-3</v>
      </c>
      <c r="D50" s="79">
        <f>SUM(D46:D49)</f>
        <v>3358.2857142857142</v>
      </c>
      <c r="E50" s="77">
        <v>-3426.8</v>
      </c>
      <c r="F50" s="78">
        <f>IFERROR(E50/E327, "NA")</f>
        <v>-1.947677265557514E-3</v>
      </c>
      <c r="G50" s="79"/>
      <c r="H50" s="77">
        <v>-3113</v>
      </c>
      <c r="I50" s="78">
        <f>IFERROR(H50/H327, "NA")</f>
        <v>-1.2720244100544471E-3</v>
      </c>
      <c r="J50" s="79"/>
      <c r="K50" s="77">
        <v>-1067</v>
      </c>
      <c r="L50" s="78">
        <f>IFERROR(K50/K327, "NA")</f>
        <v>-7.0436238093866271E-4</v>
      </c>
      <c r="M50" s="79"/>
      <c r="N50" s="77">
        <v>-5455</v>
      </c>
      <c r="O50" s="78">
        <f>IFERROR(N50/N327, "NA")</f>
        <v>-2.580392824339567E-3</v>
      </c>
      <c r="P50" s="79"/>
      <c r="Q50" s="77">
        <v>-674</v>
      </c>
      <c r="R50" s="78">
        <f>IFERROR(Q50/Q327, "NA")</f>
        <v>-4.8585951651773499E-4</v>
      </c>
      <c r="T50" s="80">
        <f t="shared" si="0"/>
        <v>-18224.400000000001</v>
      </c>
      <c r="U50" s="80">
        <f t="shared" si="1"/>
        <v>-100.13406593406594</v>
      </c>
    </row>
    <row r="51" spans="1:21" x14ac:dyDescent="0.25">
      <c r="A51" s="81" t="s">
        <v>83</v>
      </c>
      <c r="B51" s="82">
        <f>IFERROR(B39+B40+B41+B42+B43+B44+B45+B46+B47+B48+B49+B50, "NA")</f>
        <v>-51922.35</v>
      </c>
      <c r="C51" s="83">
        <f>IFERROR(B51/B327, "NA")</f>
        <v>-2.3426070325345237E-2</v>
      </c>
      <c r="D51" s="72"/>
      <c r="E51" s="82">
        <f>IFERROR(E39+E40+E41+E42+E43+E44+E45+E46+E47+E48+E49+E50, "NA")</f>
        <v>-61706.8</v>
      </c>
      <c r="F51" s="83">
        <f>IFERROR(E51/E327, "NA")</f>
        <v>-3.5072058915111594E-2</v>
      </c>
      <c r="G51" s="72"/>
      <c r="H51" s="82">
        <f>IFERROR(H39+H40+H41+H42+H43+H44+H45+H46+H47+H48+H49+H50, "NA")</f>
        <v>-91666.83</v>
      </c>
      <c r="I51" s="83">
        <f>IFERROR(H51/H327, "NA")</f>
        <v>-3.7456615917864214E-2</v>
      </c>
      <c r="J51" s="72"/>
      <c r="K51" s="82">
        <f>IFERROR(K39+K40+K41+K42+K43+K44+K45+K46+K47+K48+K49+K50, "NA")</f>
        <v>-54144</v>
      </c>
      <c r="L51" s="83">
        <f>IFERROR(K51/K327, "NA")</f>
        <v>-3.5742264998634449E-2</v>
      </c>
      <c r="M51" s="72"/>
      <c r="N51" s="82">
        <f>IFERROR(N39+N40+N41+N42+N43+N44+N45+N46+N47+N48+N49+N50, "NA")</f>
        <v>-58530</v>
      </c>
      <c r="O51" s="83">
        <f>IFERROR(N51/N327, "NA")</f>
        <v>-2.7686597985076968E-2</v>
      </c>
      <c r="P51" s="72"/>
      <c r="Q51" s="82">
        <f>IFERROR(Q39+Q40+Q41+Q42+Q43+Q44+Q45+Q46+Q47+Q48+Q49+Q50, "NA")</f>
        <v>-61507.85</v>
      </c>
      <c r="R51" s="83">
        <f>IFERROR(Q51/Q327, "NA")</f>
        <v>-4.433853748226315E-2</v>
      </c>
      <c r="T51" s="80">
        <f t="shared" si="0"/>
        <v>-379477.82999999996</v>
      </c>
      <c r="U51" s="80">
        <f t="shared" si="1"/>
        <v>-2085.0430219780219</v>
      </c>
    </row>
    <row r="52" spans="1:21" x14ac:dyDescent="0.25">
      <c r="A52" s="85" t="s">
        <v>4</v>
      </c>
      <c r="B52" s="82">
        <f>IFERROR(B8+B9+B11+B13+B14+B15+B16+B17+B18+B21+B22+B23+B24+B25+B26+B27+B28+B29+B32+B33+B34+B35+B36+B39+B40+B41+B42+B43+B44+B45+B46+B47+B48+B49+B50, "NA")</f>
        <v>2216434.4799999995</v>
      </c>
      <c r="C52" s="83">
        <f>IFERROR(B52/B327, "NA")</f>
        <v>0.99999999999999978</v>
      </c>
      <c r="D52" s="72"/>
      <c r="E52" s="82">
        <f>IFERROR(E8+E9+E11+E13+E14+E15+E16+E17+E18+E21+E22+E23+E24+E25+E26+E27+E28+E29+E32+E33+E34+E35+E36+E39+E40+E41+E42+E43+E44+E45+E46+E47+E48+E49+E50, "NA")</f>
        <v>1759429.0699999998</v>
      </c>
      <c r="F52" s="83">
        <f>IFERROR(E52/E327, "NA")</f>
        <v>0.99999999999999989</v>
      </c>
      <c r="G52" s="72"/>
      <c r="H52" s="82">
        <f>IFERROR(H8+H9+H11+H13+H14+H15+H16+H17+H18+H21+H22+H23+H24+H25+H26+H27+H28+H29+H32+H33+H34+H35+H36+H39+H40+H41+H42+H43+H44+H45+H46+H47+H48+H49+H50, "NA")</f>
        <v>2447280.0800000005</v>
      </c>
      <c r="I52" s="83">
        <f>IFERROR(H52/H327, "NA")</f>
        <v>1.0000000000000002</v>
      </c>
      <c r="J52" s="72"/>
      <c r="K52" s="82">
        <f>IFERROR(K8+K9+K11+K13+K14+K15+K16+K17+K18+K21+K22+K23+K24+K25+K26+K27+K28+K29+K32+K33+K34+K35+K36+K39+K40+K41+K42+K43+K44+K45+K46+K47+K48+K49+K50, "NA")</f>
        <v>1514845.24</v>
      </c>
      <c r="L52" s="83">
        <f>IFERROR(K52/K327, "NA")</f>
        <v>1</v>
      </c>
      <c r="M52" s="72"/>
      <c r="N52" s="82">
        <f>IFERROR(N8+N9+N11+N13+N14+N15+N16+N17+N18+N21+N22+N23+N24+N25+N26+N27+N28+N29+N32+N33+N34+N35+N36+N39+N40+N41+N42+N43+N44+N45+N46+N47+N48+N49+N50, "NA")</f>
        <v>2114019.21</v>
      </c>
      <c r="O52" s="83">
        <f>IFERROR(N52/N327, "NA")</f>
        <v>1</v>
      </c>
      <c r="P52" s="72"/>
      <c r="Q52" s="82">
        <f>IFERROR(Q8+Q9+Q11+Q13+Q14+Q15+Q16+Q17+Q18+Q21+Q22+Q23+Q24+Q25+Q26+Q27+Q28+Q29+Q32+Q33+Q34+Q35+Q36+Q39+Q40+Q41+Q42+Q43+Q44+Q45+Q46+Q47+Q48+Q49+Q50, "NA")</f>
        <v>1387232.27</v>
      </c>
      <c r="R52" s="83">
        <f>IFERROR(Q52/Q327, "NA")</f>
        <v>1</v>
      </c>
      <c r="T52" s="80">
        <f t="shared" si="0"/>
        <v>11439240.35</v>
      </c>
      <c r="U52" s="80">
        <f t="shared" si="1"/>
        <v>62852.968956043951</v>
      </c>
    </row>
    <row r="53" spans="1:21" x14ac:dyDescent="0.25">
      <c r="A53" s="71" t="s">
        <v>84</v>
      </c>
      <c r="B53" s="72"/>
      <c r="C53" s="73"/>
      <c r="D53" s="74"/>
      <c r="E53" s="72"/>
      <c r="F53" s="73"/>
      <c r="G53" s="74"/>
      <c r="H53" s="72"/>
      <c r="I53" s="73"/>
      <c r="J53" s="74"/>
      <c r="K53" s="72"/>
      <c r="L53" s="73"/>
      <c r="M53" s="74"/>
      <c r="N53" s="72"/>
      <c r="O53" s="73"/>
      <c r="P53" s="74"/>
      <c r="Q53" s="72"/>
      <c r="R53" s="73"/>
      <c r="T53" s="80">
        <f t="shared" si="0"/>
        <v>0</v>
      </c>
      <c r="U53" s="80">
        <f t="shared" si="1"/>
        <v>0</v>
      </c>
    </row>
    <row r="54" spans="1:21" x14ac:dyDescent="0.25">
      <c r="A54" s="75" t="s">
        <v>17</v>
      </c>
      <c r="B54" s="72"/>
      <c r="C54" s="73"/>
      <c r="D54" s="74"/>
      <c r="E54" s="72"/>
      <c r="F54" s="73"/>
      <c r="G54" s="74"/>
      <c r="H54" s="72"/>
      <c r="I54" s="73"/>
      <c r="J54" s="74"/>
      <c r="K54" s="72"/>
      <c r="L54" s="73"/>
      <c r="M54" s="74"/>
      <c r="N54" s="72"/>
      <c r="O54" s="73"/>
      <c r="P54" s="74"/>
      <c r="Q54" s="72"/>
      <c r="R54" s="73"/>
      <c r="T54" s="80">
        <f t="shared" si="0"/>
        <v>0</v>
      </c>
      <c r="U54" s="80">
        <f t="shared" si="1"/>
        <v>0</v>
      </c>
    </row>
    <row r="55" spans="1:21" x14ac:dyDescent="0.25">
      <c r="A55" s="76" t="s">
        <v>85</v>
      </c>
      <c r="B55" s="77">
        <v>0</v>
      </c>
      <c r="C55" s="78">
        <f>IFERROR(B55/B327, "NA")</f>
        <v>0</v>
      </c>
      <c r="D55" s="79"/>
      <c r="E55" s="77">
        <v>0</v>
      </c>
      <c r="F55" s="78">
        <f>IFERROR(E55/E327, "NA")</f>
        <v>0</v>
      </c>
      <c r="G55" s="79"/>
      <c r="H55" s="77">
        <v>0</v>
      </c>
      <c r="I55" s="78">
        <f>IFERROR(H55/H327, "NA")</f>
        <v>0</v>
      </c>
      <c r="J55" s="79"/>
      <c r="K55" s="77">
        <v>0</v>
      </c>
      <c r="L55" s="78">
        <f>IFERROR(K55/K327, "NA")</f>
        <v>0</v>
      </c>
      <c r="M55" s="79"/>
      <c r="N55" s="77">
        <v>0</v>
      </c>
      <c r="O55" s="78">
        <f>IFERROR(N55/N327, "NA")</f>
        <v>0</v>
      </c>
      <c r="P55" s="79"/>
      <c r="Q55" s="77">
        <v>0</v>
      </c>
      <c r="R55" s="78">
        <f>IFERROR(Q55/Q327, "NA")</f>
        <v>0</v>
      </c>
      <c r="T55" s="80">
        <f t="shared" si="0"/>
        <v>0</v>
      </c>
      <c r="U55" s="80">
        <f t="shared" si="1"/>
        <v>0</v>
      </c>
    </row>
    <row r="56" spans="1:21" x14ac:dyDescent="0.25">
      <c r="A56" s="76" t="s">
        <v>86</v>
      </c>
      <c r="B56" s="77">
        <v>2275.6799999999998</v>
      </c>
      <c r="C56" s="78">
        <f>IFERROR(B56/B327, "NA")</f>
        <v>1.0267301021232985E-3</v>
      </c>
      <c r="D56" s="79"/>
      <c r="E56" s="77">
        <v>2660.63</v>
      </c>
      <c r="F56" s="78">
        <f>IFERROR(E56/E327, "NA")</f>
        <v>1.5122121404985084E-3</v>
      </c>
      <c r="G56" s="79"/>
      <c r="H56" s="77">
        <v>2609.0500000000002</v>
      </c>
      <c r="I56" s="78">
        <f>IFERROR(H56/H327, "NA")</f>
        <v>1.0661019232420673E-3</v>
      </c>
      <c r="J56" s="79"/>
      <c r="K56" s="77">
        <v>17260.189999999999</v>
      </c>
      <c r="L56" s="78">
        <f>IFERROR(K56/K327, "NA")</f>
        <v>1.1394028607173099E-2</v>
      </c>
      <c r="M56" s="79"/>
      <c r="N56" s="77">
        <v>27597.66</v>
      </c>
      <c r="O56" s="78">
        <f>IFERROR(N56/N327, "NA")</f>
        <v>1.3054592819901576E-2</v>
      </c>
      <c r="P56" s="79"/>
      <c r="Q56" s="77">
        <v>15626.09</v>
      </c>
      <c r="R56" s="78">
        <f>IFERROR(Q56/Q327, "NA")</f>
        <v>1.126422037457361E-2</v>
      </c>
      <c r="T56" s="80">
        <f t="shared" si="0"/>
        <v>68029.3</v>
      </c>
      <c r="U56" s="80">
        <f t="shared" si="1"/>
        <v>373.78736263736266</v>
      </c>
    </row>
    <row r="57" spans="1:21" x14ac:dyDescent="0.25">
      <c r="A57" s="76" t="s">
        <v>87</v>
      </c>
      <c r="B57" s="77">
        <v>6580.99</v>
      </c>
      <c r="C57" s="78">
        <f>IFERROR(B57/B327, "NA")</f>
        <v>2.9691786783609319E-3</v>
      </c>
      <c r="D57" s="79"/>
      <c r="E57" s="77">
        <v>2775.22</v>
      </c>
      <c r="F57" s="78">
        <f>IFERROR(E57/E327, "NA")</f>
        <v>1.5773412224000594E-3</v>
      </c>
      <c r="G57" s="79"/>
      <c r="H57" s="77">
        <v>2669.86</v>
      </c>
      <c r="I57" s="78">
        <f>IFERROR(H57/H327, "NA")</f>
        <v>1.0909499169379909E-3</v>
      </c>
      <c r="J57" s="79"/>
      <c r="K57" s="77">
        <v>2383.7800000000002</v>
      </c>
      <c r="L57" s="78">
        <f>IFERROR(K57/K327, "NA")</f>
        <v>1.5736128926278966E-3</v>
      </c>
      <c r="M57" s="79"/>
      <c r="N57" s="77">
        <v>1965.67</v>
      </c>
      <c r="O57" s="78">
        <f>IFERROR(N57/N327, "NA")</f>
        <v>9.2982598772127533E-4</v>
      </c>
      <c r="P57" s="79"/>
      <c r="Q57" s="77">
        <v>664.8</v>
      </c>
      <c r="R57" s="78">
        <f>IFERROR(Q57/Q327, "NA")</f>
        <v>4.7922760620324953E-4</v>
      </c>
      <c r="T57" s="80">
        <f t="shared" si="0"/>
        <v>17040.32</v>
      </c>
      <c r="U57" s="80">
        <f t="shared" si="1"/>
        <v>93.62813186813186</v>
      </c>
    </row>
    <row r="58" spans="1:21" x14ac:dyDescent="0.25">
      <c r="A58" s="76" t="s">
        <v>88</v>
      </c>
      <c r="B58" s="77">
        <v>40142.94</v>
      </c>
      <c r="C58" s="78">
        <f>IFERROR(B58/B327, "NA")</f>
        <v>1.8111494096590665E-2</v>
      </c>
      <c r="D58" s="79"/>
      <c r="E58" s="77">
        <v>23110.39</v>
      </c>
      <c r="F58" s="78">
        <f>IFERROR(E58/E327, "NA")</f>
        <v>1.3135164351922411E-2</v>
      </c>
      <c r="G58" s="79"/>
      <c r="H58" s="77">
        <v>75978.12</v>
      </c>
      <c r="I58" s="78">
        <f>IFERROR(H58/H327, "NA")</f>
        <v>3.1045943870878886E-2</v>
      </c>
      <c r="J58" s="79"/>
      <c r="K58" s="77">
        <v>21530.799999999999</v>
      </c>
      <c r="L58" s="78">
        <f>IFERROR(K58/K327, "NA")</f>
        <v>1.4213201079207273E-2</v>
      </c>
      <c r="M58" s="79"/>
      <c r="N58" s="77">
        <v>30414.959999999999</v>
      </c>
      <c r="O58" s="78">
        <f>IFERROR(N58/N327, "NA")</f>
        <v>1.4387267559408791E-2</v>
      </c>
      <c r="P58" s="79"/>
      <c r="Q58" s="77">
        <v>23216.01</v>
      </c>
      <c r="R58" s="78">
        <f>IFERROR(Q58/Q327, "NA")</f>
        <v>1.6735488715238722E-2</v>
      </c>
      <c r="T58" s="80">
        <f t="shared" si="0"/>
        <v>214393.22</v>
      </c>
      <c r="U58" s="80">
        <f t="shared" si="1"/>
        <v>1177.9847252747254</v>
      </c>
    </row>
    <row r="59" spans="1:21" x14ac:dyDescent="0.25">
      <c r="A59" s="76" t="s">
        <v>89</v>
      </c>
      <c r="B59" s="77">
        <v>3290.03</v>
      </c>
      <c r="C59" s="78">
        <f>IFERROR(B59/B327, "NA")</f>
        <v>1.4843795427690694E-3</v>
      </c>
      <c r="D59" s="79"/>
      <c r="E59" s="77">
        <v>1966.97</v>
      </c>
      <c r="F59" s="78">
        <f>IFERROR(E59/E327, "NA")</f>
        <v>1.1179592479962832E-3</v>
      </c>
      <c r="G59" s="79"/>
      <c r="H59" s="77">
        <v>2602.77</v>
      </c>
      <c r="I59" s="78">
        <f>IFERROR(H59/H327, "NA")</f>
        <v>1.063535809109352E-3</v>
      </c>
      <c r="J59" s="79"/>
      <c r="K59" s="77">
        <v>1537.55</v>
      </c>
      <c r="L59" s="78">
        <f>IFERROR(K59/K327, "NA")</f>
        <v>1.0149881713329343E-3</v>
      </c>
      <c r="M59" s="79"/>
      <c r="N59" s="77">
        <v>2101.3200000000002</v>
      </c>
      <c r="O59" s="78">
        <f>IFERROR(N59/N327, "NA")</f>
        <v>9.9399285969591555E-4</v>
      </c>
      <c r="P59" s="79"/>
      <c r="Q59" s="77">
        <v>1262.6300000000001</v>
      </c>
      <c r="R59" s="78">
        <f>IFERROR(Q59/Q327, "NA")</f>
        <v>9.1017923047594627E-4</v>
      </c>
      <c r="T59" s="80">
        <f t="shared" si="0"/>
        <v>12761.27</v>
      </c>
      <c r="U59" s="80">
        <f t="shared" si="1"/>
        <v>70.116868131868131</v>
      </c>
    </row>
    <row r="60" spans="1:21" x14ac:dyDescent="0.25">
      <c r="A60" s="76" t="s">
        <v>90</v>
      </c>
      <c r="B60" s="77">
        <v>64532.78</v>
      </c>
      <c r="C60" s="78">
        <f>IFERROR(B60/B327, "NA")</f>
        <v>2.9115582067645869E-2</v>
      </c>
      <c r="D60" s="79"/>
      <c r="E60" s="77">
        <v>72971.28</v>
      </c>
      <c r="F60" s="78">
        <f>IFERROR(E60/E327, "NA")</f>
        <v>4.1474408513666308E-2</v>
      </c>
      <c r="G60" s="79"/>
      <c r="H60" s="77">
        <v>72507.520000000004</v>
      </c>
      <c r="I60" s="78">
        <f>IFERROR(H60/H327, "NA")</f>
        <v>2.9627798057343727E-2</v>
      </c>
      <c r="J60" s="79"/>
      <c r="K60" s="77">
        <v>38008.32</v>
      </c>
      <c r="L60" s="78">
        <f>IFERROR(K60/K327, "NA")</f>
        <v>2.5090563046559131E-2</v>
      </c>
      <c r="M60" s="79"/>
      <c r="N60" s="77">
        <v>50014.59</v>
      </c>
      <c r="O60" s="78">
        <f>IFERROR(N60/N327, "NA")</f>
        <v>2.3658531466230148E-2</v>
      </c>
      <c r="P60" s="79"/>
      <c r="Q60" s="77">
        <v>29980.21</v>
      </c>
      <c r="R60" s="78">
        <f>IFERROR(Q60/Q327, "NA")</f>
        <v>2.1611528687982436E-2</v>
      </c>
      <c r="T60" s="80">
        <f t="shared" si="0"/>
        <v>328014.7</v>
      </c>
      <c r="U60" s="80">
        <f t="shared" si="1"/>
        <v>1802.2785714285715</v>
      </c>
    </row>
    <row r="61" spans="1:21" x14ac:dyDescent="0.25">
      <c r="A61" s="76" t="s">
        <v>91</v>
      </c>
      <c r="B61" s="77">
        <v>3810.54</v>
      </c>
      <c r="C61" s="78">
        <f>IFERROR(B61/B327, "NA")</f>
        <v>1.7192206827607193E-3</v>
      </c>
      <c r="D61" s="79"/>
      <c r="E61" s="77">
        <v>3878.87</v>
      </c>
      <c r="F61" s="78">
        <f>IFERROR(E61/E327, "NA")</f>
        <v>2.2046185698182193E-3</v>
      </c>
      <c r="G61" s="79"/>
      <c r="H61" s="77">
        <v>3925.55</v>
      </c>
      <c r="I61" s="78">
        <f>IFERROR(H61/H327, "NA")</f>
        <v>1.6040460722419642E-3</v>
      </c>
      <c r="J61" s="79"/>
      <c r="K61" s="77">
        <v>13294.96</v>
      </c>
      <c r="L61" s="78">
        <f>IFERROR(K61/K327, "NA")</f>
        <v>8.7764476851773972E-3</v>
      </c>
      <c r="M61" s="79"/>
      <c r="N61" s="77">
        <v>17402.939999999999</v>
      </c>
      <c r="O61" s="78">
        <f>IFERROR(N61/N327, "NA")</f>
        <v>8.2321579282148526E-3</v>
      </c>
      <c r="P61" s="79"/>
      <c r="Q61" s="77">
        <v>14013.12</v>
      </c>
      <c r="R61" s="78">
        <f>IFERROR(Q61/Q327, "NA")</f>
        <v>1.0101495115882793E-2</v>
      </c>
      <c r="T61" s="80">
        <f t="shared" si="0"/>
        <v>56325.98</v>
      </c>
      <c r="U61" s="80">
        <f t="shared" si="1"/>
        <v>309.48340659340658</v>
      </c>
    </row>
    <row r="62" spans="1:21" x14ac:dyDescent="0.25">
      <c r="A62" s="76" t="s">
        <v>92</v>
      </c>
      <c r="B62" s="77">
        <v>150.56</v>
      </c>
      <c r="C62" s="78">
        <f>IFERROR(B62/B327, "NA")</f>
        <v>6.7928919784716576E-5</v>
      </c>
      <c r="D62" s="79"/>
      <c r="E62" s="77">
        <v>130.94999999999999</v>
      </c>
      <c r="F62" s="78">
        <f>IFERROR(E62/E327, "NA")</f>
        <v>7.4427552796999078E-5</v>
      </c>
      <c r="G62" s="79"/>
      <c r="H62" s="77">
        <v>116.61</v>
      </c>
      <c r="I62" s="78">
        <f>IFERROR(H62/H327, "NA")</f>
        <v>4.7648816722277246E-5</v>
      </c>
      <c r="J62" s="79"/>
      <c r="K62" s="77">
        <v>175.84</v>
      </c>
      <c r="L62" s="78">
        <f>IFERROR(K62/K327, "NA")</f>
        <v>1.1607786416518694E-4</v>
      </c>
      <c r="M62" s="79"/>
      <c r="N62" s="77">
        <v>150.47</v>
      </c>
      <c r="O62" s="78">
        <f>IFERROR(N62/N327, "NA")</f>
        <v>7.1177215083111762E-5</v>
      </c>
      <c r="P62" s="79"/>
      <c r="Q62" s="77">
        <v>99.2</v>
      </c>
      <c r="R62" s="78">
        <f>IFERROR(Q62/Q327, "NA")</f>
        <v>7.150929382575566E-5</v>
      </c>
      <c r="T62" s="80">
        <f t="shared" si="0"/>
        <v>823.63000000000011</v>
      </c>
      <c r="U62" s="80">
        <f t="shared" si="1"/>
        <v>4.525439560439561</v>
      </c>
    </row>
    <row r="63" spans="1:21" x14ac:dyDescent="0.25">
      <c r="A63" s="76" t="s">
        <v>93</v>
      </c>
      <c r="B63" s="77">
        <v>6887.67</v>
      </c>
      <c r="C63" s="78">
        <f>IFERROR(B63/B327, "NA")</f>
        <v>3.1075450513655609E-3</v>
      </c>
      <c r="D63" s="79"/>
      <c r="E63" s="77">
        <v>4069.12</v>
      </c>
      <c r="F63" s="78">
        <f>IFERROR(E63/E327, "NA")</f>
        <v>2.3127502377802587E-3</v>
      </c>
      <c r="G63" s="79"/>
      <c r="H63" s="77">
        <v>4730.1000000000004</v>
      </c>
      <c r="I63" s="78">
        <f>IFERROR(H63/H327, "NA")</f>
        <v>1.9327987992285706E-3</v>
      </c>
      <c r="J63" s="79"/>
      <c r="K63" s="77">
        <v>3802.73</v>
      </c>
      <c r="L63" s="78">
        <f>IFERROR(K63/K327, "NA")</f>
        <v>2.5103092379258492E-3</v>
      </c>
      <c r="M63" s="79"/>
      <c r="N63" s="77">
        <v>3958.27</v>
      </c>
      <c r="O63" s="78">
        <f>IFERROR(N63/N327, "NA")</f>
        <v>1.872390743317796E-3</v>
      </c>
      <c r="P63" s="79"/>
      <c r="Q63" s="77">
        <v>3833.79</v>
      </c>
      <c r="R63" s="78">
        <f>IFERROR(Q63/Q327, "NA")</f>
        <v>2.7636251570185861E-3</v>
      </c>
      <c r="T63" s="80">
        <f t="shared" si="0"/>
        <v>27281.680000000004</v>
      </c>
      <c r="U63" s="80">
        <f t="shared" si="1"/>
        <v>149.89934065934068</v>
      </c>
    </row>
    <row r="64" spans="1:21" x14ac:dyDescent="0.25">
      <c r="A64" s="76" t="s">
        <v>94</v>
      </c>
      <c r="B64" s="77">
        <v>0</v>
      </c>
      <c r="C64" s="78">
        <f>IFERROR(B64/B327, "NA")</f>
        <v>0</v>
      </c>
      <c r="D64" s="79"/>
      <c r="E64" s="77">
        <v>0</v>
      </c>
      <c r="F64" s="78">
        <f>IFERROR(E64/E327, "NA")</f>
        <v>0</v>
      </c>
      <c r="G64" s="79"/>
      <c r="H64" s="77">
        <v>0</v>
      </c>
      <c r="I64" s="78">
        <f>IFERROR(H64/H327, "NA")</f>
        <v>0</v>
      </c>
      <c r="J64" s="79"/>
      <c r="K64" s="77">
        <v>0</v>
      </c>
      <c r="L64" s="78">
        <f>IFERROR(K64/K327, "NA")</f>
        <v>0</v>
      </c>
      <c r="M64" s="79"/>
      <c r="N64" s="77">
        <v>0</v>
      </c>
      <c r="O64" s="78">
        <f>IFERROR(N64/N327, "NA")</f>
        <v>0</v>
      </c>
      <c r="P64" s="79"/>
      <c r="Q64" s="77">
        <v>0</v>
      </c>
      <c r="R64" s="78">
        <f>IFERROR(Q64/Q327, "NA")</f>
        <v>0</v>
      </c>
      <c r="T64" s="80">
        <f t="shared" si="0"/>
        <v>0</v>
      </c>
      <c r="U64" s="80">
        <f t="shared" si="1"/>
        <v>0</v>
      </c>
    </row>
    <row r="65" spans="1:21" x14ac:dyDescent="0.25">
      <c r="A65" s="81" t="s">
        <v>95</v>
      </c>
      <c r="B65" s="82">
        <f>IFERROR(B55+B56+B57+B58+B59+B60+B61+B62+B63+B64, "NA")</f>
        <v>127671.18999999999</v>
      </c>
      <c r="C65" s="83">
        <f>IFERROR(B65/B327, "NA")</f>
        <v>5.7602059141400826E-2</v>
      </c>
      <c r="D65" s="72"/>
      <c r="E65" s="82">
        <f>IFERROR(E55+E56+E57+E58+E59+E60+E61+E62+E63+E64, "NA")</f>
        <v>111563.42999999998</v>
      </c>
      <c r="F65" s="83">
        <f>IFERROR(E65/E327, "NA")</f>
        <v>6.3408881836879039E-2</v>
      </c>
      <c r="G65" s="72"/>
      <c r="H65" s="82">
        <f>IFERROR(H55+H56+H57+H58+H59+H60+H61+H62+H63+H64, "NA")</f>
        <v>165139.57999999999</v>
      </c>
      <c r="I65" s="83">
        <f>IFERROR(H65/H327, "NA")</f>
        <v>6.7478823265704826E-2</v>
      </c>
      <c r="J65" s="72"/>
      <c r="K65" s="82">
        <f>IFERROR(K55+K56+K57+K58+K59+K60+K61+K62+K63+K64, "NA")</f>
        <v>97994.17</v>
      </c>
      <c r="L65" s="83">
        <f>IFERROR(K65/K327, "NA")</f>
        <v>6.468922858416877E-2</v>
      </c>
      <c r="M65" s="72"/>
      <c r="N65" s="82">
        <f>IFERROR(N55+N56+N57+N58+N59+N60+N61+N62+N63+N64, "NA")</f>
        <v>133605.88</v>
      </c>
      <c r="O65" s="83">
        <f>IFERROR(N65/N327, "NA")</f>
        <v>6.3199936579573471E-2</v>
      </c>
      <c r="P65" s="72"/>
      <c r="Q65" s="82">
        <f>IFERROR(Q55+Q56+Q57+Q58+Q59+Q60+Q61+Q62+Q63+Q64, "NA")</f>
        <v>88695.849999999977</v>
      </c>
      <c r="R65" s="83">
        <f>IFERROR(Q65/Q327, "NA")</f>
        <v>6.3937274181201084E-2</v>
      </c>
      <c r="T65" s="80">
        <f t="shared" si="0"/>
        <v>724670.1</v>
      </c>
      <c r="U65" s="80">
        <f t="shared" si="1"/>
        <v>3981.7038461538459</v>
      </c>
    </row>
    <row r="66" spans="1:21" x14ac:dyDescent="0.25">
      <c r="A66" s="84" t="s">
        <v>96</v>
      </c>
      <c r="B66" s="77">
        <v>14852.5</v>
      </c>
      <c r="C66" s="78">
        <f>IFERROR(B66/B327, "NA")</f>
        <v>6.7010778500431918E-3</v>
      </c>
      <c r="D66" s="79"/>
      <c r="E66" s="77">
        <v>20783.560000000001</v>
      </c>
      <c r="F66" s="78">
        <f>IFERROR(E66/E327, "NA")</f>
        <v>1.1812672846197773E-2</v>
      </c>
      <c r="G66" s="79"/>
      <c r="H66" s="77">
        <v>12180.9</v>
      </c>
      <c r="I66" s="78">
        <f>IFERROR(H66/H327, "NA")</f>
        <v>4.9773215985969201E-3</v>
      </c>
      <c r="J66" s="79"/>
      <c r="K66" s="77">
        <v>12162.36</v>
      </c>
      <c r="L66" s="78">
        <f>IFERROR(K66/K327, "NA")</f>
        <v>8.0287805505465364E-3</v>
      </c>
      <c r="M66" s="79"/>
      <c r="N66" s="77">
        <v>14063.41</v>
      </c>
      <c r="O66" s="78">
        <f>IFERROR(N66/N327, "NA")</f>
        <v>6.6524513748387366E-3</v>
      </c>
      <c r="P66" s="79"/>
      <c r="Q66" s="77">
        <v>10591.9</v>
      </c>
      <c r="R66" s="78">
        <f>IFERROR(Q66/Q327, "NA")</f>
        <v>7.6352750934780373E-3</v>
      </c>
      <c r="T66" s="80">
        <f t="shared" si="0"/>
        <v>84634.62999999999</v>
      </c>
      <c r="U66" s="80">
        <f t="shared" si="1"/>
        <v>465.02543956043945</v>
      </c>
    </row>
    <row r="67" spans="1:21" x14ac:dyDescent="0.25">
      <c r="A67" s="75" t="s">
        <v>16</v>
      </c>
      <c r="B67" s="72"/>
      <c r="C67" s="73"/>
      <c r="D67" s="74"/>
      <c r="E67" s="72"/>
      <c r="F67" s="73"/>
      <c r="G67" s="74"/>
      <c r="H67" s="72"/>
      <c r="I67" s="73"/>
      <c r="J67" s="74"/>
      <c r="K67" s="72"/>
      <c r="L67" s="73"/>
      <c r="M67" s="74"/>
      <c r="N67" s="72"/>
      <c r="O67" s="73"/>
      <c r="P67" s="74"/>
      <c r="Q67" s="72"/>
      <c r="R67" s="73"/>
      <c r="T67" s="80">
        <f t="shared" si="0"/>
        <v>0</v>
      </c>
      <c r="U67" s="80">
        <f t="shared" si="1"/>
        <v>0</v>
      </c>
    </row>
    <row r="68" spans="1:21" x14ac:dyDescent="0.25">
      <c r="A68" s="76" t="s">
        <v>97</v>
      </c>
      <c r="B68" s="77">
        <v>0</v>
      </c>
      <c r="C68" s="78">
        <f>IFERROR(B68/B327, "NA")</f>
        <v>0</v>
      </c>
      <c r="D68" s="79"/>
      <c r="E68" s="77">
        <v>0</v>
      </c>
      <c r="F68" s="78">
        <f>IFERROR(E68/E327, "NA")</f>
        <v>0</v>
      </c>
      <c r="G68" s="79"/>
      <c r="H68" s="77">
        <v>0</v>
      </c>
      <c r="I68" s="78">
        <f>IFERROR(H68/H327, "NA")</f>
        <v>0</v>
      </c>
      <c r="J68" s="79"/>
      <c r="K68" s="77">
        <v>0</v>
      </c>
      <c r="L68" s="78">
        <f>IFERROR(K68/K327, "NA")</f>
        <v>0</v>
      </c>
      <c r="M68" s="79"/>
      <c r="N68" s="77">
        <v>0</v>
      </c>
      <c r="O68" s="78">
        <f>IFERROR(N68/N327, "NA")</f>
        <v>0</v>
      </c>
      <c r="P68" s="79"/>
      <c r="Q68" s="77">
        <v>0</v>
      </c>
      <c r="R68" s="78">
        <f>IFERROR(Q68/Q327, "NA")</f>
        <v>0</v>
      </c>
      <c r="T68" s="80">
        <f t="shared" si="0"/>
        <v>0</v>
      </c>
      <c r="U68" s="80">
        <f t="shared" si="1"/>
        <v>0</v>
      </c>
    </row>
    <row r="69" spans="1:21" x14ac:dyDescent="0.25">
      <c r="A69" s="76" t="s">
        <v>98</v>
      </c>
      <c r="B69" s="77">
        <v>1546.15</v>
      </c>
      <c r="C69" s="78">
        <f>IFERROR(B69/B327, "NA")</f>
        <v>6.9758434727111812E-4</v>
      </c>
      <c r="D69" s="79"/>
      <c r="E69" s="77">
        <v>2024.46</v>
      </c>
      <c r="F69" s="78">
        <f>IFERROR(E69/E327, "NA")</f>
        <v>1.1506346203544312E-3</v>
      </c>
      <c r="G69" s="79"/>
      <c r="H69" s="77">
        <v>1998.25</v>
      </c>
      <c r="I69" s="78">
        <f>IFERROR(H69/H327, "NA")</f>
        <v>8.1651872065252129E-4</v>
      </c>
      <c r="J69" s="79"/>
      <c r="K69" s="77">
        <v>1171.29</v>
      </c>
      <c r="L69" s="78">
        <f>IFERROR(K69/K327, "NA")</f>
        <v>7.7320769744109309E-4</v>
      </c>
      <c r="M69" s="79"/>
      <c r="N69" s="77">
        <v>1229.06</v>
      </c>
      <c r="O69" s="78">
        <f>IFERROR(N69/N327, "NA")</f>
        <v>5.8138544540472744E-4</v>
      </c>
      <c r="P69" s="79"/>
      <c r="Q69" s="77">
        <v>413.38</v>
      </c>
      <c r="R69" s="78">
        <f>IFERROR(Q69/Q327, "NA")</f>
        <v>2.9798903106543215E-4</v>
      </c>
      <c r="T69" s="80">
        <f t="shared" si="0"/>
        <v>8382.59</v>
      </c>
      <c r="U69" s="80">
        <f t="shared" si="1"/>
        <v>46.058186813186815</v>
      </c>
    </row>
    <row r="70" spans="1:21" x14ac:dyDescent="0.25">
      <c r="A70" s="76" t="s">
        <v>99</v>
      </c>
      <c r="B70" s="77">
        <v>0</v>
      </c>
      <c r="C70" s="78">
        <f>IFERROR(B70/B327, "NA")</f>
        <v>0</v>
      </c>
      <c r="D70" s="79"/>
      <c r="E70" s="77">
        <v>0</v>
      </c>
      <c r="F70" s="78">
        <f>IFERROR(E70/E327, "NA")</f>
        <v>0</v>
      </c>
      <c r="G70" s="79"/>
      <c r="H70" s="77">
        <v>35843.97</v>
      </c>
      <c r="I70" s="78">
        <f>IFERROR(H70/H327, "NA")</f>
        <v>1.4646451909174204E-2</v>
      </c>
      <c r="J70" s="79"/>
      <c r="K70" s="77">
        <v>0</v>
      </c>
      <c r="L70" s="78">
        <f>IFERROR(K70/K327, "NA")</f>
        <v>0</v>
      </c>
      <c r="M70" s="79"/>
      <c r="N70" s="77">
        <v>0</v>
      </c>
      <c r="O70" s="78">
        <f>IFERROR(N70/N327, "NA")</f>
        <v>0</v>
      </c>
      <c r="P70" s="79"/>
      <c r="Q70" s="77">
        <v>0</v>
      </c>
      <c r="R70" s="78">
        <f>IFERROR(Q70/Q327, "NA")</f>
        <v>0</v>
      </c>
      <c r="T70" s="80">
        <f t="shared" si="0"/>
        <v>35843.97</v>
      </c>
      <c r="U70" s="80">
        <f t="shared" si="1"/>
        <v>196.94489010989011</v>
      </c>
    </row>
    <row r="71" spans="1:21" x14ac:dyDescent="0.25">
      <c r="A71" s="76" t="s">
        <v>100</v>
      </c>
      <c r="B71" s="77">
        <v>90739.199999999997</v>
      </c>
      <c r="C71" s="78">
        <f>IFERROR(B71/B327, "NA")</f>
        <v>4.0939265662389444E-2</v>
      </c>
      <c r="D71" s="79"/>
      <c r="E71" s="77">
        <v>79260.800000000003</v>
      </c>
      <c r="F71" s="78">
        <f>IFERROR(E71/E327, "NA")</f>
        <v>4.5049159043393551E-2</v>
      </c>
      <c r="G71" s="79"/>
      <c r="H71" s="77">
        <v>100217</v>
      </c>
      <c r="I71" s="78">
        <f>IFERROR(H71/H327, "NA")</f>
        <v>4.0950359878710735E-2</v>
      </c>
      <c r="J71" s="79"/>
      <c r="K71" s="77">
        <v>73979.429999999993</v>
      </c>
      <c r="L71" s="78">
        <f>IFERROR(K71/K327, "NA")</f>
        <v>4.8836295646940142E-2</v>
      </c>
      <c r="M71" s="79"/>
      <c r="N71" s="77">
        <v>93337.94</v>
      </c>
      <c r="O71" s="78">
        <f>IFERROR(N71/N327, "NA")</f>
        <v>4.4151888288659402E-2</v>
      </c>
      <c r="P71" s="79"/>
      <c r="Q71" s="77">
        <v>61009.89</v>
      </c>
      <c r="R71" s="78">
        <f>IFERROR(Q71/Q327, "NA")</f>
        <v>4.3979578127893465E-2</v>
      </c>
      <c r="T71" s="80">
        <f t="shared" si="0"/>
        <v>498544.26</v>
      </c>
      <c r="U71" s="80">
        <f t="shared" si="1"/>
        <v>2739.2541758241759</v>
      </c>
    </row>
    <row r="72" spans="1:21" x14ac:dyDescent="0.25">
      <c r="A72" s="76" t="s">
        <v>101</v>
      </c>
      <c r="B72" s="77">
        <v>0</v>
      </c>
      <c r="C72" s="78">
        <f>IFERROR(B72/B327, "NA")</f>
        <v>0</v>
      </c>
      <c r="D72" s="79"/>
      <c r="E72" s="77">
        <v>0</v>
      </c>
      <c r="F72" s="78">
        <f>IFERROR(E72/E327, "NA")</f>
        <v>0</v>
      </c>
      <c r="G72" s="79"/>
      <c r="H72" s="77">
        <v>0</v>
      </c>
      <c r="I72" s="78">
        <f>IFERROR(H72/H327, "NA")</f>
        <v>0</v>
      </c>
      <c r="J72" s="79"/>
      <c r="K72" s="77">
        <v>0</v>
      </c>
      <c r="L72" s="78">
        <f>IFERROR(K72/K327, "NA")</f>
        <v>0</v>
      </c>
      <c r="M72" s="79"/>
      <c r="N72" s="77">
        <v>0</v>
      </c>
      <c r="O72" s="78">
        <f>IFERROR(N72/N327, "NA")</f>
        <v>0</v>
      </c>
      <c r="P72" s="79"/>
      <c r="Q72" s="77">
        <v>0</v>
      </c>
      <c r="R72" s="78">
        <f>IFERROR(Q72/Q327, "NA")</f>
        <v>0</v>
      </c>
      <c r="T72" s="80">
        <f t="shared" si="0"/>
        <v>0</v>
      </c>
      <c r="U72" s="80">
        <f t="shared" si="1"/>
        <v>0</v>
      </c>
    </row>
    <row r="73" spans="1:21" x14ac:dyDescent="0.25">
      <c r="A73" s="76" t="s">
        <v>102</v>
      </c>
      <c r="B73" s="77">
        <v>112542.95</v>
      </c>
      <c r="C73" s="78">
        <f>IFERROR(B73/B327, "NA")</f>
        <v>5.0776574275274766E-2</v>
      </c>
      <c r="D73" s="79"/>
      <c r="E73" s="77">
        <v>95799.89</v>
      </c>
      <c r="F73" s="78">
        <f>IFERROR(E73/E327, "NA")</f>
        <v>5.4449418640104656E-2</v>
      </c>
      <c r="G73" s="79"/>
      <c r="H73" s="77">
        <v>142250.76999999999</v>
      </c>
      <c r="I73" s="78">
        <f>IFERROR(H73/H327, "NA")</f>
        <v>5.8126068676209709E-2</v>
      </c>
      <c r="J73" s="79"/>
      <c r="K73" s="77">
        <v>68314.36</v>
      </c>
      <c r="L73" s="78">
        <f>IFERROR(K73/K327, "NA")</f>
        <v>4.5096593497564147E-2</v>
      </c>
      <c r="M73" s="79"/>
      <c r="N73" s="77">
        <v>65976.12</v>
      </c>
      <c r="O73" s="78">
        <f>IFERROR(N73/N327, "NA")</f>
        <v>3.12088554767674E-2</v>
      </c>
      <c r="P73" s="79"/>
      <c r="Q73" s="77">
        <v>41414.639999999999</v>
      </c>
      <c r="R73" s="78">
        <f>IFERROR(Q73/Q327, "NA")</f>
        <v>2.9854149802902148E-2</v>
      </c>
      <c r="T73" s="80">
        <f t="shared" ref="T73:T136" si="2">IFERROR(B73+E73+H73+K73+N73+Q73, "NA")</f>
        <v>526298.73</v>
      </c>
      <c r="U73" s="80">
        <f t="shared" ref="U73:U136" si="3">(T73/$V$1)/7</f>
        <v>2891.7512637362638</v>
      </c>
    </row>
    <row r="74" spans="1:21" x14ac:dyDescent="0.25">
      <c r="A74" s="76" t="s">
        <v>103</v>
      </c>
      <c r="B74" s="77">
        <v>0</v>
      </c>
      <c r="C74" s="78">
        <f>IFERROR(B74/B327, "NA")</f>
        <v>0</v>
      </c>
      <c r="D74" s="79"/>
      <c r="E74" s="77">
        <v>0</v>
      </c>
      <c r="F74" s="78">
        <f>IFERROR(E74/E327, "NA")</f>
        <v>0</v>
      </c>
      <c r="G74" s="79"/>
      <c r="H74" s="77">
        <v>0</v>
      </c>
      <c r="I74" s="78">
        <f>IFERROR(H74/H327, "NA")</f>
        <v>0</v>
      </c>
      <c r="J74" s="79"/>
      <c r="K74" s="77">
        <v>0</v>
      </c>
      <c r="L74" s="78">
        <f>IFERROR(K74/K327, "NA")</f>
        <v>0</v>
      </c>
      <c r="M74" s="79"/>
      <c r="N74" s="77">
        <v>0</v>
      </c>
      <c r="O74" s="78">
        <f>IFERROR(N74/N327, "NA")</f>
        <v>0</v>
      </c>
      <c r="P74" s="79"/>
      <c r="Q74" s="77">
        <v>0</v>
      </c>
      <c r="R74" s="78">
        <f>IFERROR(Q74/Q327, "NA")</f>
        <v>0</v>
      </c>
      <c r="T74" s="80">
        <f t="shared" si="2"/>
        <v>0</v>
      </c>
      <c r="U74" s="80">
        <f t="shared" si="3"/>
        <v>0</v>
      </c>
    </row>
    <row r="75" spans="1:21" x14ac:dyDescent="0.25">
      <c r="A75" s="76" t="s">
        <v>104</v>
      </c>
      <c r="B75" s="77">
        <v>41.7</v>
      </c>
      <c r="C75" s="78">
        <f>IFERROR(B75/B327, "NA")</f>
        <v>1.8814000763965737E-5</v>
      </c>
      <c r="D75" s="79"/>
      <c r="E75" s="77">
        <v>62.24</v>
      </c>
      <c r="F75" s="78">
        <f>IFERROR(E75/E327, "NA")</f>
        <v>3.5375111768501131E-5</v>
      </c>
      <c r="G75" s="79"/>
      <c r="H75" s="77">
        <v>51.98</v>
      </c>
      <c r="I75" s="78">
        <f>IFERROR(H75/H327, "NA")</f>
        <v>2.1239906467918455E-5</v>
      </c>
      <c r="J75" s="79"/>
      <c r="K75" s="77">
        <v>10516.2</v>
      </c>
      <c r="L75" s="78">
        <f>IFERROR(K75/K327, "NA")</f>
        <v>6.942095286248515E-3</v>
      </c>
      <c r="M75" s="79"/>
      <c r="N75" s="77">
        <v>14850.01</v>
      </c>
      <c r="O75" s="78">
        <f>IFERROR(N75/N327, "NA")</f>
        <v>7.0245388167499197E-3</v>
      </c>
      <c r="P75" s="79"/>
      <c r="Q75" s="77">
        <v>13947.37</v>
      </c>
      <c r="R75" s="78">
        <f>IFERROR(Q75/Q327, "NA")</f>
        <v>1.0054098582928727E-2</v>
      </c>
      <c r="T75" s="80">
        <f t="shared" si="2"/>
        <v>39469.5</v>
      </c>
      <c r="U75" s="80">
        <f t="shared" si="3"/>
        <v>216.86538461538461</v>
      </c>
    </row>
    <row r="76" spans="1:21" x14ac:dyDescent="0.25">
      <c r="A76" s="81" t="s">
        <v>105</v>
      </c>
      <c r="B76" s="82">
        <f>IFERROR(B68+B69+B70+B71+B72+B73+B74+B75, "NA")</f>
        <v>204870</v>
      </c>
      <c r="C76" s="83">
        <f>IFERROR(B76/B327, "NA")</f>
        <v>9.2432238285699297E-2</v>
      </c>
      <c r="D76" s="72"/>
      <c r="E76" s="82">
        <f>IFERROR(E68+E69+E70+E71+E72+E73+E74+E75, "NA")</f>
        <v>177147.39</v>
      </c>
      <c r="F76" s="83">
        <f>IFERROR(E76/E327, "NA")</f>
        <v>0.10068458741562114</v>
      </c>
      <c r="G76" s="72"/>
      <c r="H76" s="82">
        <f>IFERROR(H68+H69+H70+H71+H72+H73+H74+H75, "NA")</f>
        <v>280361.96999999997</v>
      </c>
      <c r="I76" s="83">
        <f>IFERROR(H76/H327, "NA")</f>
        <v>0.11456063909121508</v>
      </c>
      <c r="J76" s="72"/>
      <c r="K76" s="82">
        <f>IFERROR(K68+K69+K70+K71+K72+K73+K74+K75, "NA")</f>
        <v>153981.28</v>
      </c>
      <c r="L76" s="83">
        <f>IFERROR(K76/K327, "NA")</f>
        <v>0.1016481921281939</v>
      </c>
      <c r="M76" s="72"/>
      <c r="N76" s="82">
        <f>IFERROR(N68+N69+N70+N71+N72+N73+N74+N75, "NA")</f>
        <v>175393.13</v>
      </c>
      <c r="O76" s="83">
        <f>IFERROR(N76/N327, "NA")</f>
        <v>8.2966668027581458E-2</v>
      </c>
      <c r="P76" s="72"/>
      <c r="Q76" s="82">
        <f>IFERROR(Q68+Q69+Q70+Q71+Q72+Q73+Q74+Q75, "NA")</f>
        <v>116785.28</v>
      </c>
      <c r="R76" s="83">
        <f>IFERROR(Q76/Q327, "NA")</f>
        <v>8.4185815544789766E-2</v>
      </c>
      <c r="T76" s="80">
        <f t="shared" si="2"/>
        <v>1108539.05</v>
      </c>
      <c r="U76" s="80">
        <f t="shared" si="3"/>
        <v>6090.8739010989011</v>
      </c>
    </row>
    <row r="77" spans="1:21" x14ac:dyDescent="0.25">
      <c r="A77" s="75" t="s">
        <v>106</v>
      </c>
      <c r="B77" s="72"/>
      <c r="C77" s="73"/>
      <c r="D77" s="74"/>
      <c r="E77" s="72"/>
      <c r="F77" s="73"/>
      <c r="G77" s="74"/>
      <c r="H77" s="72"/>
      <c r="I77" s="73"/>
      <c r="J77" s="74"/>
      <c r="K77" s="72"/>
      <c r="L77" s="73"/>
      <c r="M77" s="74"/>
      <c r="N77" s="72"/>
      <c r="O77" s="73"/>
      <c r="P77" s="74"/>
      <c r="Q77" s="72"/>
      <c r="R77" s="73"/>
      <c r="T77" s="80">
        <f t="shared" si="2"/>
        <v>0</v>
      </c>
      <c r="U77" s="80">
        <f t="shared" si="3"/>
        <v>0</v>
      </c>
    </row>
    <row r="78" spans="1:21" x14ac:dyDescent="0.25">
      <c r="A78" s="76" t="s">
        <v>107</v>
      </c>
      <c r="B78" s="77">
        <v>0</v>
      </c>
      <c r="C78" s="78">
        <f>IFERROR(B78/B327, "NA")</f>
        <v>0</v>
      </c>
      <c r="D78" s="79"/>
      <c r="E78" s="77">
        <v>0</v>
      </c>
      <c r="F78" s="78">
        <f>IFERROR(E78/E327, "NA")</f>
        <v>0</v>
      </c>
      <c r="G78" s="79"/>
      <c r="H78" s="77">
        <v>0</v>
      </c>
      <c r="I78" s="78">
        <f>IFERROR(H78/H327, "NA")</f>
        <v>0</v>
      </c>
      <c r="J78" s="79"/>
      <c r="K78" s="77">
        <v>0</v>
      </c>
      <c r="L78" s="78">
        <f>IFERROR(K78/K327, "NA")</f>
        <v>0</v>
      </c>
      <c r="M78" s="79"/>
      <c r="N78" s="77">
        <v>0</v>
      </c>
      <c r="O78" s="78">
        <f>IFERROR(N78/N327, "NA")</f>
        <v>0</v>
      </c>
      <c r="P78" s="79"/>
      <c r="Q78" s="77">
        <v>0</v>
      </c>
      <c r="R78" s="78">
        <f>IFERROR(Q78/Q327, "NA")</f>
        <v>0</v>
      </c>
      <c r="T78" s="80">
        <f t="shared" si="2"/>
        <v>0</v>
      </c>
      <c r="U78" s="80">
        <f t="shared" si="3"/>
        <v>0</v>
      </c>
    </row>
    <row r="79" spans="1:21" x14ac:dyDescent="0.25">
      <c r="A79" s="76" t="s">
        <v>108</v>
      </c>
      <c r="B79" s="77">
        <v>0</v>
      </c>
      <c r="C79" s="78">
        <f>IFERROR(B79/B327, "NA")</f>
        <v>0</v>
      </c>
      <c r="D79" s="79"/>
      <c r="E79" s="77">
        <v>0</v>
      </c>
      <c r="F79" s="78">
        <f>IFERROR(E79/E327, "NA")</f>
        <v>0</v>
      </c>
      <c r="G79" s="79"/>
      <c r="H79" s="77">
        <v>0</v>
      </c>
      <c r="I79" s="78">
        <f>IFERROR(H79/H327, "NA")</f>
        <v>0</v>
      </c>
      <c r="J79" s="79"/>
      <c r="K79" s="77">
        <v>0</v>
      </c>
      <c r="L79" s="78">
        <f>IFERROR(K79/K327, "NA")</f>
        <v>0</v>
      </c>
      <c r="M79" s="79"/>
      <c r="N79" s="77">
        <v>0</v>
      </c>
      <c r="O79" s="78">
        <f>IFERROR(N79/N327, "NA")</f>
        <v>0</v>
      </c>
      <c r="P79" s="79"/>
      <c r="Q79" s="77">
        <v>0</v>
      </c>
      <c r="R79" s="78">
        <f>IFERROR(Q79/Q327, "NA")</f>
        <v>0</v>
      </c>
      <c r="T79" s="80">
        <f t="shared" si="2"/>
        <v>0</v>
      </c>
      <c r="U79" s="80">
        <f t="shared" si="3"/>
        <v>0</v>
      </c>
    </row>
    <row r="80" spans="1:21" x14ac:dyDescent="0.25">
      <c r="A80" s="81" t="s">
        <v>109</v>
      </c>
      <c r="B80" s="82">
        <f>IFERROR(B78+B79, "NA")</f>
        <v>0</v>
      </c>
      <c r="C80" s="83">
        <f>IFERROR(B80/B327, "NA")</f>
        <v>0</v>
      </c>
      <c r="D80" s="72"/>
      <c r="E80" s="82">
        <f>IFERROR(E78+E79, "NA")</f>
        <v>0</v>
      </c>
      <c r="F80" s="83">
        <f>IFERROR(E80/E327, "NA")</f>
        <v>0</v>
      </c>
      <c r="G80" s="72"/>
      <c r="H80" s="82">
        <f>IFERROR(H78+H79, "NA")</f>
        <v>0</v>
      </c>
      <c r="I80" s="83">
        <f>IFERROR(H80/H327, "NA")</f>
        <v>0</v>
      </c>
      <c r="J80" s="72"/>
      <c r="K80" s="82">
        <f>IFERROR(K78+K79, "NA")</f>
        <v>0</v>
      </c>
      <c r="L80" s="83">
        <f>IFERROR(K80/K327, "NA")</f>
        <v>0</v>
      </c>
      <c r="M80" s="72"/>
      <c r="N80" s="82">
        <f>IFERROR(N78+N79, "NA")</f>
        <v>0</v>
      </c>
      <c r="O80" s="83">
        <f>IFERROR(N80/N327, "NA")</f>
        <v>0</v>
      </c>
      <c r="P80" s="72"/>
      <c r="Q80" s="82">
        <f>IFERROR(Q78+Q79, "NA")</f>
        <v>0</v>
      </c>
      <c r="R80" s="83">
        <f>IFERROR(Q80/Q327, "NA")</f>
        <v>0</v>
      </c>
      <c r="T80" s="80">
        <f t="shared" si="2"/>
        <v>0</v>
      </c>
      <c r="U80" s="80">
        <f t="shared" si="3"/>
        <v>0</v>
      </c>
    </row>
    <row r="81" spans="1:21" x14ac:dyDescent="0.25">
      <c r="A81" s="75" t="s">
        <v>21</v>
      </c>
      <c r="B81" s="72"/>
      <c r="C81" s="73"/>
      <c r="D81" s="74"/>
      <c r="E81" s="72"/>
      <c r="F81" s="73"/>
      <c r="G81" s="74"/>
      <c r="H81" s="72"/>
      <c r="I81" s="73"/>
      <c r="J81" s="74"/>
      <c r="K81" s="72"/>
      <c r="L81" s="73"/>
      <c r="M81" s="74"/>
      <c r="N81" s="72"/>
      <c r="O81" s="73"/>
      <c r="P81" s="74"/>
      <c r="Q81" s="72"/>
      <c r="R81" s="73"/>
      <c r="T81" s="80">
        <f t="shared" si="2"/>
        <v>0</v>
      </c>
      <c r="U81" s="80">
        <f t="shared" si="3"/>
        <v>0</v>
      </c>
    </row>
    <row r="82" spans="1:21" x14ac:dyDescent="0.25">
      <c r="A82" s="76" t="s">
        <v>110</v>
      </c>
      <c r="B82" s="77">
        <v>0</v>
      </c>
      <c r="C82" s="78">
        <f>IFERROR(B82/B327, "NA")</f>
        <v>0</v>
      </c>
      <c r="D82" s="79"/>
      <c r="E82" s="77">
        <v>0</v>
      </c>
      <c r="F82" s="78">
        <f>IFERROR(E82/E327, "NA")</f>
        <v>0</v>
      </c>
      <c r="G82" s="79"/>
      <c r="H82" s="77">
        <v>0</v>
      </c>
      <c r="I82" s="78">
        <f>IFERROR(H82/H327, "NA")</f>
        <v>0</v>
      </c>
      <c r="J82" s="79"/>
      <c r="K82" s="77">
        <v>0</v>
      </c>
      <c r="L82" s="78">
        <f>IFERROR(K82/K327, "NA")</f>
        <v>0</v>
      </c>
      <c r="M82" s="79"/>
      <c r="N82" s="77">
        <v>0</v>
      </c>
      <c r="O82" s="78">
        <f>IFERROR(N82/N327, "NA")</f>
        <v>0</v>
      </c>
      <c r="P82" s="79"/>
      <c r="Q82" s="77">
        <v>0</v>
      </c>
      <c r="R82" s="78">
        <f>IFERROR(Q82/Q327, "NA")</f>
        <v>0</v>
      </c>
      <c r="T82" s="80">
        <f t="shared" si="2"/>
        <v>0</v>
      </c>
      <c r="U82" s="80">
        <f t="shared" si="3"/>
        <v>0</v>
      </c>
    </row>
    <row r="83" spans="1:21" x14ac:dyDescent="0.25">
      <c r="A83" s="86" t="s">
        <v>111</v>
      </c>
      <c r="B83" s="72"/>
      <c r="C83" s="73"/>
      <c r="D83" s="74"/>
      <c r="E83" s="72"/>
      <c r="F83" s="73"/>
      <c r="G83" s="74"/>
      <c r="H83" s="72"/>
      <c r="I83" s="73"/>
      <c r="J83" s="74"/>
      <c r="K83" s="72"/>
      <c r="L83" s="73"/>
      <c r="M83" s="74"/>
      <c r="N83" s="72"/>
      <c r="O83" s="73"/>
      <c r="P83" s="74"/>
      <c r="Q83" s="72"/>
      <c r="R83" s="73"/>
      <c r="T83" s="80">
        <f t="shared" si="2"/>
        <v>0</v>
      </c>
      <c r="U83" s="80">
        <f t="shared" si="3"/>
        <v>0</v>
      </c>
    </row>
    <row r="84" spans="1:21" x14ac:dyDescent="0.25">
      <c r="A84" s="87" t="s">
        <v>112</v>
      </c>
      <c r="B84" s="77">
        <v>0</v>
      </c>
      <c r="C84" s="78">
        <f>IFERROR(B84/B327, "NA")</f>
        <v>0</v>
      </c>
      <c r="D84" s="79"/>
      <c r="E84" s="77">
        <v>0</v>
      </c>
      <c r="F84" s="78">
        <f>IFERROR(E84/E327, "NA")</f>
        <v>0</v>
      </c>
      <c r="G84" s="79"/>
      <c r="H84" s="77">
        <v>0</v>
      </c>
      <c r="I84" s="78">
        <f>IFERROR(H84/H327, "NA")</f>
        <v>0</v>
      </c>
      <c r="J84" s="79"/>
      <c r="K84" s="77">
        <v>0</v>
      </c>
      <c r="L84" s="78">
        <f>IFERROR(K84/K327, "NA")</f>
        <v>0</v>
      </c>
      <c r="M84" s="79"/>
      <c r="N84" s="77">
        <v>0</v>
      </c>
      <c r="O84" s="78">
        <f>IFERROR(N84/N327, "NA")</f>
        <v>0</v>
      </c>
      <c r="P84" s="79"/>
      <c r="Q84" s="77">
        <v>0</v>
      </c>
      <c r="R84" s="78">
        <f>IFERROR(Q84/Q327, "NA")</f>
        <v>0</v>
      </c>
      <c r="T84" s="80">
        <f t="shared" si="2"/>
        <v>0</v>
      </c>
      <c r="U84" s="80">
        <f t="shared" si="3"/>
        <v>0</v>
      </c>
    </row>
    <row r="85" spans="1:21" x14ac:dyDescent="0.25">
      <c r="A85" s="87" t="s">
        <v>113</v>
      </c>
      <c r="B85" s="77">
        <v>19409.599999999999</v>
      </c>
      <c r="C85" s="78">
        <f>IFERROR(B85/B327, "NA")</f>
        <v>8.7571277992390725E-3</v>
      </c>
      <c r="D85" s="79"/>
      <c r="E85" s="77">
        <v>25372.51</v>
      </c>
      <c r="F85" s="78">
        <f>IFERROR(E85/E327, "NA")</f>
        <v>1.4420876881385164E-2</v>
      </c>
      <c r="G85" s="79"/>
      <c r="H85" s="77">
        <v>31406.26</v>
      </c>
      <c r="I85" s="78">
        <f>IFERROR(H85/H327, "NA")</f>
        <v>1.2833128605369925E-2</v>
      </c>
      <c r="J85" s="79"/>
      <c r="K85" s="77">
        <v>22006.53</v>
      </c>
      <c r="L85" s="78">
        <f>IFERROR(K85/K327, "NA")</f>
        <v>1.4527246360822971E-2</v>
      </c>
      <c r="M85" s="79"/>
      <c r="N85" s="77">
        <v>24971.7</v>
      </c>
      <c r="O85" s="78">
        <f>IFERROR(N85/N327, "NA")</f>
        <v>1.1812428137774587E-2</v>
      </c>
      <c r="P85" s="79"/>
      <c r="Q85" s="77">
        <v>23130.87</v>
      </c>
      <c r="R85" s="78">
        <f>IFERROR(Q85/Q327, "NA")</f>
        <v>1.6674114710437064E-2</v>
      </c>
      <c r="T85" s="80">
        <f t="shared" si="2"/>
        <v>146297.47</v>
      </c>
      <c r="U85" s="80">
        <f t="shared" si="3"/>
        <v>803.83225274725271</v>
      </c>
    </row>
    <row r="86" spans="1:21" x14ac:dyDescent="0.25">
      <c r="A86" s="87" t="s">
        <v>114</v>
      </c>
      <c r="B86" s="77">
        <v>8333.33</v>
      </c>
      <c r="C86" s="78">
        <f>IFERROR(B86/B327, "NA")</f>
        <v>3.7597908150210691E-3</v>
      </c>
      <c r="D86" s="79"/>
      <c r="E86" s="77">
        <v>4784.29</v>
      </c>
      <c r="F86" s="78">
        <f>IFERROR(E86/E327, "NA")</f>
        <v>2.7192286870649464E-3</v>
      </c>
      <c r="G86" s="79"/>
      <c r="H86" s="77">
        <v>8427.23</v>
      </c>
      <c r="I86" s="78">
        <f>IFERROR(H86/H327, "NA")</f>
        <v>3.4435085991465263E-3</v>
      </c>
      <c r="J86" s="79"/>
      <c r="K86" s="77">
        <v>5755.11</v>
      </c>
      <c r="L86" s="78">
        <f>IFERROR(K86/K327, "NA")</f>
        <v>3.7991405643523031E-3</v>
      </c>
      <c r="M86" s="79"/>
      <c r="N86" s="77">
        <v>5615.18</v>
      </c>
      <c r="O86" s="78">
        <f>IFERROR(N86/N327, "NA")</f>
        <v>2.6561631859532632E-3</v>
      </c>
      <c r="P86" s="79"/>
      <c r="Q86" s="77">
        <v>5076.2299999999996</v>
      </c>
      <c r="R86" s="78">
        <f>IFERROR(Q86/Q327, "NA")</f>
        <v>3.6592502277935039E-3</v>
      </c>
      <c r="T86" s="80">
        <f t="shared" si="2"/>
        <v>37991.369999999995</v>
      </c>
      <c r="U86" s="80">
        <f t="shared" si="3"/>
        <v>208.74379120879118</v>
      </c>
    </row>
    <row r="87" spans="1:21" x14ac:dyDescent="0.25">
      <c r="A87" s="87" t="s">
        <v>115</v>
      </c>
      <c r="B87" s="77">
        <v>0</v>
      </c>
      <c r="C87" s="78">
        <f>IFERROR(B87/B327, "NA")</f>
        <v>0</v>
      </c>
      <c r="D87" s="79"/>
      <c r="E87" s="77">
        <v>988.11</v>
      </c>
      <c r="F87" s="78">
        <f>IFERROR(E87/E327, "NA")</f>
        <v>5.6160831763453815E-4</v>
      </c>
      <c r="G87" s="79"/>
      <c r="H87" s="77">
        <v>6464.25</v>
      </c>
      <c r="I87" s="78">
        <f>IFERROR(H87/H327, "NA")</f>
        <v>2.6414017965610214E-3</v>
      </c>
      <c r="J87" s="79"/>
      <c r="K87" s="77">
        <v>3611.69</v>
      </c>
      <c r="L87" s="78">
        <f>IFERROR(K87/K327, "NA")</f>
        <v>2.3841973454661282E-3</v>
      </c>
      <c r="M87" s="79"/>
      <c r="N87" s="77">
        <v>4586.32</v>
      </c>
      <c r="O87" s="78">
        <f>IFERROR(N87/N327, "NA")</f>
        <v>2.1694788667506949E-3</v>
      </c>
      <c r="P87" s="79"/>
      <c r="Q87" s="77">
        <v>3742.73</v>
      </c>
      <c r="R87" s="78">
        <f>IFERROR(Q87/Q327, "NA")</f>
        <v>2.6979836621015166E-3</v>
      </c>
      <c r="T87" s="80">
        <f t="shared" si="2"/>
        <v>19393.099999999999</v>
      </c>
      <c r="U87" s="80">
        <f t="shared" si="3"/>
        <v>106.55549450549449</v>
      </c>
    </row>
    <row r="88" spans="1:21" x14ac:dyDescent="0.25">
      <c r="A88" s="87" t="s">
        <v>116</v>
      </c>
      <c r="B88" s="77">
        <v>25552.83</v>
      </c>
      <c r="C88" s="78">
        <f>IFERROR(B88/B327, "NA")</f>
        <v>1.152880007533541E-2</v>
      </c>
      <c r="D88" s="79"/>
      <c r="E88" s="77">
        <v>25736.2</v>
      </c>
      <c r="F88" s="78">
        <f>IFERROR(E88/E327, "NA")</f>
        <v>1.4627585981627552E-2</v>
      </c>
      <c r="G88" s="79"/>
      <c r="H88" s="77">
        <v>36580</v>
      </c>
      <c r="I88" s="78">
        <f>IFERROR(H88/H327, "NA")</f>
        <v>1.4947206206165008E-2</v>
      </c>
      <c r="J88" s="79"/>
      <c r="K88" s="77">
        <v>19826.38</v>
      </c>
      <c r="L88" s="78">
        <f>IFERROR(K88/K327, "NA")</f>
        <v>1.3088056440669809E-2</v>
      </c>
      <c r="M88" s="79"/>
      <c r="N88" s="77">
        <v>20226.52</v>
      </c>
      <c r="O88" s="78">
        <f>IFERROR(N88/N327, "NA")</f>
        <v>9.5678033124400996E-3</v>
      </c>
      <c r="P88" s="79"/>
      <c r="Q88" s="77">
        <v>14246.29</v>
      </c>
      <c r="R88" s="78">
        <f>IFERROR(Q88/Q327, "NA")</f>
        <v>1.0269577999364159E-2</v>
      </c>
      <c r="T88" s="80">
        <f t="shared" si="2"/>
        <v>142168.22</v>
      </c>
      <c r="U88" s="80">
        <f t="shared" si="3"/>
        <v>781.14406593406591</v>
      </c>
    </row>
    <row r="89" spans="1:21" x14ac:dyDescent="0.25">
      <c r="A89" s="87" t="s">
        <v>117</v>
      </c>
      <c r="B89" s="77">
        <v>0</v>
      </c>
      <c r="C89" s="78">
        <f>IFERROR(B89/B327, "NA")</f>
        <v>0</v>
      </c>
      <c r="D89" s="79"/>
      <c r="E89" s="77">
        <v>216.59</v>
      </c>
      <c r="F89" s="78">
        <f>IFERROR(E89/E327, "NA")</f>
        <v>1.2310243345018732E-4</v>
      </c>
      <c r="G89" s="79"/>
      <c r="H89" s="77">
        <v>749.17</v>
      </c>
      <c r="I89" s="78">
        <f>IFERROR(H89/H327, "NA")</f>
        <v>3.0612352305830066E-4</v>
      </c>
      <c r="J89" s="79"/>
      <c r="K89" s="77">
        <v>138.56</v>
      </c>
      <c r="L89" s="78">
        <f>IFERROR(K89/K327, "NA")</f>
        <v>9.1468089505961683E-5</v>
      </c>
      <c r="M89" s="79"/>
      <c r="N89" s="77">
        <v>0</v>
      </c>
      <c r="O89" s="78">
        <f>IFERROR(N89/N327, "NA")</f>
        <v>0</v>
      </c>
      <c r="P89" s="79"/>
      <c r="Q89" s="77">
        <v>0</v>
      </c>
      <c r="R89" s="78">
        <f>IFERROR(Q89/Q327, "NA")</f>
        <v>0</v>
      </c>
      <c r="T89" s="80">
        <f t="shared" si="2"/>
        <v>1104.32</v>
      </c>
      <c r="U89" s="80">
        <f t="shared" si="3"/>
        <v>6.0676923076923073</v>
      </c>
    </row>
    <row r="90" spans="1:21" x14ac:dyDescent="0.25">
      <c r="A90" s="87" t="s">
        <v>118</v>
      </c>
      <c r="B90" s="77">
        <v>0</v>
      </c>
      <c r="C90" s="78">
        <f>IFERROR(B90/B327, "NA")</f>
        <v>0</v>
      </c>
      <c r="D90" s="79"/>
      <c r="E90" s="77">
        <v>0</v>
      </c>
      <c r="F90" s="78">
        <f>IFERROR(E90/E327, "NA")</f>
        <v>0</v>
      </c>
      <c r="G90" s="79"/>
      <c r="H90" s="77">
        <v>0</v>
      </c>
      <c r="I90" s="78">
        <f>IFERROR(H90/H327, "NA")</f>
        <v>0</v>
      </c>
      <c r="J90" s="79"/>
      <c r="K90" s="77">
        <v>0</v>
      </c>
      <c r="L90" s="78">
        <f>IFERROR(K90/K327, "NA")</f>
        <v>0</v>
      </c>
      <c r="M90" s="79"/>
      <c r="N90" s="77">
        <v>0</v>
      </c>
      <c r="O90" s="78">
        <f>IFERROR(N90/N327, "NA")</f>
        <v>0</v>
      </c>
      <c r="P90" s="79"/>
      <c r="Q90" s="77">
        <v>0</v>
      </c>
      <c r="R90" s="78">
        <f>IFERROR(Q90/Q327, "NA")</f>
        <v>0</v>
      </c>
      <c r="T90" s="80">
        <f t="shared" si="2"/>
        <v>0</v>
      </c>
      <c r="U90" s="80">
        <f t="shared" si="3"/>
        <v>0</v>
      </c>
    </row>
    <row r="91" spans="1:21" x14ac:dyDescent="0.25">
      <c r="A91" s="87" t="s">
        <v>119</v>
      </c>
      <c r="B91" s="77">
        <v>0</v>
      </c>
      <c r="C91" s="78">
        <f>IFERROR(B91/B327, "NA")</f>
        <v>0</v>
      </c>
      <c r="D91" s="79"/>
      <c r="E91" s="77">
        <v>0</v>
      </c>
      <c r="F91" s="78">
        <f>IFERROR(E91/E327, "NA")</f>
        <v>0</v>
      </c>
      <c r="G91" s="79"/>
      <c r="H91" s="77">
        <v>0</v>
      </c>
      <c r="I91" s="78">
        <f>IFERROR(H91/H327, "NA")</f>
        <v>0</v>
      </c>
      <c r="J91" s="79"/>
      <c r="K91" s="77">
        <v>0</v>
      </c>
      <c r="L91" s="78">
        <f>IFERROR(K91/K327, "NA")</f>
        <v>0</v>
      </c>
      <c r="M91" s="79"/>
      <c r="N91" s="77">
        <v>0</v>
      </c>
      <c r="O91" s="78">
        <f>IFERROR(N91/N327, "NA")</f>
        <v>0</v>
      </c>
      <c r="P91" s="79"/>
      <c r="Q91" s="77">
        <v>0</v>
      </c>
      <c r="R91" s="78">
        <f>IFERROR(Q91/Q327, "NA")</f>
        <v>0</v>
      </c>
      <c r="T91" s="80">
        <f t="shared" si="2"/>
        <v>0</v>
      </c>
      <c r="U91" s="80">
        <f t="shared" si="3"/>
        <v>0</v>
      </c>
    </row>
    <row r="92" spans="1:21" x14ac:dyDescent="0.25">
      <c r="A92" s="87" t="s">
        <v>120</v>
      </c>
      <c r="B92" s="77">
        <v>8148.4</v>
      </c>
      <c r="C92" s="78">
        <f>IFERROR(B92/B327, "NA")</f>
        <v>3.6763550077961249E-3</v>
      </c>
      <c r="D92" s="79"/>
      <c r="E92" s="77">
        <v>11032.89</v>
      </c>
      <c r="F92" s="78">
        <f>IFERROR(E92/E327, "NA")</f>
        <v>6.2707216722297301E-3</v>
      </c>
      <c r="G92" s="79"/>
      <c r="H92" s="77">
        <v>17992.900000000001</v>
      </c>
      <c r="I92" s="78">
        <f>IFERROR(H92/H327, "NA")</f>
        <v>7.3522030220586768E-3</v>
      </c>
      <c r="J92" s="79"/>
      <c r="K92" s="77">
        <v>10607.35</v>
      </c>
      <c r="L92" s="78">
        <f>IFERROR(K92/K327, "NA")</f>
        <v>7.0022664493436968E-3</v>
      </c>
      <c r="M92" s="79"/>
      <c r="N92" s="77">
        <v>10322.76</v>
      </c>
      <c r="O92" s="78">
        <f>IFERROR(N92/N327, "NA")</f>
        <v>4.8830019855874447E-3</v>
      </c>
      <c r="P92" s="79"/>
      <c r="Q92" s="77">
        <v>8951.7900000000009</v>
      </c>
      <c r="R92" s="78">
        <f>IFERROR(Q92/Q327, "NA")</f>
        <v>6.4529856993594883E-3</v>
      </c>
      <c r="T92" s="80">
        <f t="shared" si="2"/>
        <v>67056.09</v>
      </c>
      <c r="U92" s="80">
        <f t="shared" si="3"/>
        <v>368.4400549450549</v>
      </c>
    </row>
    <row r="93" spans="1:21" x14ac:dyDescent="0.25">
      <c r="A93" s="87" t="s">
        <v>121</v>
      </c>
      <c r="B93" s="77">
        <v>0</v>
      </c>
      <c r="C93" s="78">
        <f>IFERROR(B93/B327, "NA")</f>
        <v>0</v>
      </c>
      <c r="D93" s="79"/>
      <c r="E93" s="77">
        <v>0</v>
      </c>
      <c r="F93" s="78">
        <f>IFERROR(E93/E327, "NA")</f>
        <v>0</v>
      </c>
      <c r="G93" s="79"/>
      <c r="H93" s="77">
        <v>0</v>
      </c>
      <c r="I93" s="78">
        <f>IFERROR(H93/H327, "NA")</f>
        <v>0</v>
      </c>
      <c r="J93" s="79"/>
      <c r="K93" s="77">
        <v>0</v>
      </c>
      <c r="L93" s="78">
        <f>IFERROR(K93/K327, "NA")</f>
        <v>0</v>
      </c>
      <c r="M93" s="79"/>
      <c r="N93" s="77">
        <v>0</v>
      </c>
      <c r="O93" s="78">
        <f>IFERROR(N93/N327, "NA")</f>
        <v>0</v>
      </c>
      <c r="P93" s="79"/>
      <c r="Q93" s="77">
        <v>0</v>
      </c>
      <c r="R93" s="78">
        <f>IFERROR(Q93/Q327, "NA")</f>
        <v>0</v>
      </c>
      <c r="T93" s="80">
        <f t="shared" si="2"/>
        <v>0</v>
      </c>
      <c r="U93" s="80">
        <f t="shared" si="3"/>
        <v>0</v>
      </c>
    </row>
    <row r="94" spans="1:21" x14ac:dyDescent="0.25">
      <c r="A94" s="87" t="s">
        <v>122</v>
      </c>
      <c r="B94" s="77">
        <v>0</v>
      </c>
      <c r="C94" s="78">
        <f>IFERROR(B94/B327, "NA")</f>
        <v>0</v>
      </c>
      <c r="D94" s="79"/>
      <c r="E94" s="77">
        <v>0</v>
      </c>
      <c r="F94" s="78">
        <f>IFERROR(E94/E327, "NA")</f>
        <v>0</v>
      </c>
      <c r="G94" s="79"/>
      <c r="H94" s="77">
        <v>0</v>
      </c>
      <c r="I94" s="78">
        <f>IFERROR(H94/H327, "NA")</f>
        <v>0</v>
      </c>
      <c r="J94" s="79"/>
      <c r="K94" s="77">
        <v>0</v>
      </c>
      <c r="L94" s="78">
        <f>IFERROR(K94/K327, "NA")</f>
        <v>0</v>
      </c>
      <c r="M94" s="79"/>
      <c r="N94" s="77">
        <v>0</v>
      </c>
      <c r="O94" s="78">
        <f>IFERROR(N94/N327, "NA")</f>
        <v>0</v>
      </c>
      <c r="P94" s="79"/>
      <c r="Q94" s="77">
        <v>0</v>
      </c>
      <c r="R94" s="78">
        <f>IFERROR(Q94/Q327, "NA")</f>
        <v>0</v>
      </c>
      <c r="T94" s="80">
        <f t="shared" si="2"/>
        <v>0</v>
      </c>
      <c r="U94" s="80">
        <f t="shared" si="3"/>
        <v>0</v>
      </c>
    </row>
    <row r="95" spans="1:21" x14ac:dyDescent="0.25">
      <c r="A95" s="87" t="s">
        <v>123</v>
      </c>
      <c r="B95" s="77">
        <v>0</v>
      </c>
      <c r="C95" s="78">
        <f>IFERROR(B95/B327, "NA")</f>
        <v>0</v>
      </c>
      <c r="D95" s="79"/>
      <c r="E95" s="77">
        <v>0</v>
      </c>
      <c r="F95" s="78">
        <f>IFERROR(E95/E327, "NA")</f>
        <v>0</v>
      </c>
      <c r="G95" s="79"/>
      <c r="H95" s="77">
        <v>0</v>
      </c>
      <c r="I95" s="78">
        <f>IFERROR(H95/H327, "NA")</f>
        <v>0</v>
      </c>
      <c r="J95" s="79"/>
      <c r="K95" s="77">
        <v>0</v>
      </c>
      <c r="L95" s="78">
        <f>IFERROR(K95/K327, "NA")</f>
        <v>0</v>
      </c>
      <c r="M95" s="79"/>
      <c r="N95" s="77">
        <v>0</v>
      </c>
      <c r="O95" s="78">
        <f>IFERROR(N95/N327, "NA")</f>
        <v>0</v>
      </c>
      <c r="P95" s="79"/>
      <c r="Q95" s="77">
        <v>0</v>
      </c>
      <c r="R95" s="78">
        <f>IFERROR(Q95/Q327, "NA")</f>
        <v>0</v>
      </c>
      <c r="T95" s="80">
        <f t="shared" si="2"/>
        <v>0</v>
      </c>
      <c r="U95" s="80">
        <f t="shared" si="3"/>
        <v>0</v>
      </c>
    </row>
    <row r="96" spans="1:21" x14ac:dyDescent="0.25">
      <c r="A96" s="87" t="s">
        <v>124</v>
      </c>
      <c r="B96" s="77">
        <v>1120</v>
      </c>
      <c r="C96" s="78">
        <f>IFERROR(B96/B327, "NA")</f>
        <v>5.0531608766526677E-4</v>
      </c>
      <c r="D96" s="79"/>
      <c r="E96" s="77">
        <v>1120</v>
      </c>
      <c r="F96" s="78">
        <f>IFERROR(E96/E327, "NA")</f>
        <v>6.3657013465169131E-4</v>
      </c>
      <c r="G96" s="79"/>
      <c r="H96" s="77">
        <v>1400</v>
      </c>
      <c r="I96" s="78">
        <f>IFERROR(H96/H327, "NA")</f>
        <v>5.720636601594044E-4</v>
      </c>
      <c r="J96" s="79"/>
      <c r="K96" s="77">
        <v>1120</v>
      </c>
      <c r="L96" s="78">
        <f>IFERROR(K96/K327, "NA")</f>
        <v>7.393494532814454E-4</v>
      </c>
      <c r="M96" s="79"/>
      <c r="N96" s="77">
        <v>1120</v>
      </c>
      <c r="O96" s="78">
        <f>IFERROR(N96/N327, "NA")</f>
        <v>5.2979651022187259E-4</v>
      </c>
      <c r="P96" s="79"/>
      <c r="Q96" s="77">
        <v>1120</v>
      </c>
      <c r="R96" s="78">
        <f>IFERROR(Q96/Q327, "NA")</f>
        <v>8.0736299480691864E-4</v>
      </c>
      <c r="T96" s="80">
        <f t="shared" si="2"/>
        <v>7000</v>
      </c>
      <c r="U96" s="80">
        <f t="shared" si="3"/>
        <v>38.46153846153846</v>
      </c>
    </row>
    <row r="97" spans="1:21" x14ac:dyDescent="0.25">
      <c r="A97" s="87" t="s">
        <v>125</v>
      </c>
      <c r="B97" s="77">
        <v>7926.28</v>
      </c>
      <c r="C97" s="78">
        <f>IFERROR(B97/B327, "NA")</f>
        <v>3.5761399994102237E-3</v>
      </c>
      <c r="D97" s="79"/>
      <c r="E97" s="77">
        <v>5338.55</v>
      </c>
      <c r="F97" s="78">
        <f>IFERROR(E97/E327, "NA")</f>
        <v>3.0342513324507023E-3</v>
      </c>
      <c r="G97" s="79"/>
      <c r="H97" s="77">
        <v>15061.37</v>
      </c>
      <c r="I97" s="78">
        <f>IFERROR(H97/H327, "NA")</f>
        <v>6.1543303208678917E-3</v>
      </c>
      <c r="J97" s="79"/>
      <c r="K97" s="77">
        <v>8566.8700000000008</v>
      </c>
      <c r="L97" s="78">
        <f>IFERROR(K97/K327, "NA")</f>
        <v>5.6552773668153726E-3</v>
      </c>
      <c r="M97" s="79"/>
      <c r="N97" s="77">
        <v>11020.32</v>
      </c>
      <c r="O97" s="78">
        <f>IFERROR(N97/N327, "NA")</f>
        <v>5.2129706049359884E-3</v>
      </c>
      <c r="P97" s="79"/>
      <c r="Q97" s="77">
        <v>3501.89</v>
      </c>
      <c r="R97" s="78">
        <f>IFERROR(Q97/Q327, "NA")</f>
        <v>2.5243717838253576E-3</v>
      </c>
      <c r="T97" s="80">
        <f t="shared" si="2"/>
        <v>51415.28</v>
      </c>
      <c r="U97" s="80">
        <f t="shared" si="3"/>
        <v>282.50153846153847</v>
      </c>
    </row>
    <row r="98" spans="1:21" x14ac:dyDescent="0.25">
      <c r="A98" s="87" t="s">
        <v>126</v>
      </c>
      <c r="B98" s="77">
        <v>8279.1200000000008</v>
      </c>
      <c r="C98" s="78">
        <f>IFERROR(B98/B327, "NA")</f>
        <v>3.7353326140279141E-3</v>
      </c>
      <c r="D98" s="79"/>
      <c r="E98" s="77">
        <v>9646.2000000000007</v>
      </c>
      <c r="F98" s="78">
        <f>IFERROR(E98/E327, "NA")</f>
        <v>5.4825739579260225E-3</v>
      </c>
      <c r="G98" s="79"/>
      <c r="H98" s="77">
        <v>7995.24</v>
      </c>
      <c r="I98" s="78">
        <f>IFERROR(H98/H327, "NA")</f>
        <v>3.2669901844663402E-3</v>
      </c>
      <c r="J98" s="79"/>
      <c r="K98" s="77">
        <v>4733.68</v>
      </c>
      <c r="L98" s="78">
        <f>IFERROR(K98/K327, "NA")</f>
        <v>3.1248604642940291E-3</v>
      </c>
      <c r="M98" s="79"/>
      <c r="N98" s="77">
        <v>6009</v>
      </c>
      <c r="O98" s="78">
        <f>IFERROR(N98/N327, "NA")</f>
        <v>2.8424528838600291E-3</v>
      </c>
      <c r="P98" s="79"/>
      <c r="Q98" s="77">
        <v>5833</v>
      </c>
      <c r="R98" s="78">
        <f>IFERROR(Q98/Q327, "NA")</f>
        <v>4.2047753113471044E-3</v>
      </c>
      <c r="T98" s="80">
        <f t="shared" si="2"/>
        <v>42496.24</v>
      </c>
      <c r="U98" s="80">
        <f t="shared" si="3"/>
        <v>233.49582417582414</v>
      </c>
    </row>
    <row r="99" spans="1:21" x14ac:dyDescent="0.25">
      <c r="A99" s="87" t="s">
        <v>127</v>
      </c>
      <c r="B99" s="77">
        <v>0</v>
      </c>
      <c r="C99" s="78">
        <f>IFERROR(B99/B327, "NA")</f>
        <v>0</v>
      </c>
      <c r="D99" s="79"/>
      <c r="E99" s="77">
        <v>0</v>
      </c>
      <c r="F99" s="78">
        <f>IFERROR(E99/E327, "NA")</f>
        <v>0</v>
      </c>
      <c r="G99" s="79"/>
      <c r="H99" s="77">
        <v>0</v>
      </c>
      <c r="I99" s="78">
        <f>IFERROR(H99/H327, "NA")</f>
        <v>0</v>
      </c>
      <c r="J99" s="79"/>
      <c r="K99" s="77">
        <v>0</v>
      </c>
      <c r="L99" s="78">
        <f>IFERROR(K99/K327, "NA")</f>
        <v>0</v>
      </c>
      <c r="M99" s="79"/>
      <c r="N99" s="77">
        <v>0</v>
      </c>
      <c r="O99" s="78">
        <f>IFERROR(N99/N327, "NA")</f>
        <v>0</v>
      </c>
      <c r="P99" s="79"/>
      <c r="Q99" s="77">
        <v>0</v>
      </c>
      <c r="R99" s="78">
        <f>IFERROR(Q99/Q327, "NA")</f>
        <v>0</v>
      </c>
      <c r="T99" s="80">
        <f t="shared" si="2"/>
        <v>0</v>
      </c>
      <c r="U99" s="80">
        <f t="shared" si="3"/>
        <v>0</v>
      </c>
    </row>
    <row r="100" spans="1:21" x14ac:dyDescent="0.25">
      <c r="A100" s="87" t="s">
        <v>128</v>
      </c>
      <c r="B100" s="77">
        <v>0</v>
      </c>
      <c r="C100" s="78">
        <f>IFERROR(B100/B327, "NA")</f>
        <v>0</v>
      </c>
      <c r="D100" s="79"/>
      <c r="E100" s="77">
        <v>0</v>
      </c>
      <c r="F100" s="78">
        <f>IFERROR(E100/E327, "NA")</f>
        <v>0</v>
      </c>
      <c r="G100" s="79"/>
      <c r="H100" s="77">
        <v>0</v>
      </c>
      <c r="I100" s="78">
        <f>IFERROR(H100/H327, "NA")</f>
        <v>0</v>
      </c>
      <c r="J100" s="79"/>
      <c r="K100" s="77">
        <v>0</v>
      </c>
      <c r="L100" s="78">
        <f>IFERROR(K100/K327, "NA")</f>
        <v>0</v>
      </c>
      <c r="M100" s="79"/>
      <c r="N100" s="77">
        <v>0</v>
      </c>
      <c r="O100" s="78">
        <f>IFERROR(N100/N327, "NA")</f>
        <v>0</v>
      </c>
      <c r="P100" s="79"/>
      <c r="Q100" s="77">
        <v>0</v>
      </c>
      <c r="R100" s="78">
        <f>IFERROR(Q100/Q327, "NA")</f>
        <v>0</v>
      </c>
      <c r="T100" s="80">
        <f t="shared" si="2"/>
        <v>0</v>
      </c>
      <c r="U100" s="80">
        <f t="shared" si="3"/>
        <v>0</v>
      </c>
    </row>
    <row r="101" spans="1:21" x14ac:dyDescent="0.25">
      <c r="A101" s="87" t="s">
        <v>129</v>
      </c>
      <c r="B101" s="77">
        <v>0</v>
      </c>
      <c r="C101" s="78">
        <f>IFERROR(B101/B327, "NA")</f>
        <v>0</v>
      </c>
      <c r="D101" s="79"/>
      <c r="E101" s="77">
        <v>0</v>
      </c>
      <c r="F101" s="78">
        <f>IFERROR(E101/E327, "NA")</f>
        <v>0</v>
      </c>
      <c r="G101" s="79"/>
      <c r="H101" s="77">
        <v>0</v>
      </c>
      <c r="I101" s="78">
        <f>IFERROR(H101/H327, "NA")</f>
        <v>0</v>
      </c>
      <c r="J101" s="79"/>
      <c r="K101" s="77">
        <v>0</v>
      </c>
      <c r="L101" s="78">
        <f>IFERROR(K101/K327, "NA")</f>
        <v>0</v>
      </c>
      <c r="M101" s="79"/>
      <c r="N101" s="77">
        <v>0</v>
      </c>
      <c r="O101" s="78">
        <f>IFERROR(N101/N327, "NA")</f>
        <v>0</v>
      </c>
      <c r="P101" s="79"/>
      <c r="Q101" s="77">
        <v>0</v>
      </c>
      <c r="R101" s="78">
        <f>IFERROR(Q101/Q327, "NA")</f>
        <v>0</v>
      </c>
      <c r="T101" s="80">
        <f t="shared" si="2"/>
        <v>0</v>
      </c>
      <c r="U101" s="80">
        <f t="shared" si="3"/>
        <v>0</v>
      </c>
    </row>
    <row r="102" spans="1:21" x14ac:dyDescent="0.25">
      <c r="A102" s="87" t="s">
        <v>130</v>
      </c>
      <c r="B102" s="77">
        <v>0</v>
      </c>
      <c r="C102" s="78">
        <f>IFERROR(B102/B327, "NA")</f>
        <v>0</v>
      </c>
      <c r="D102" s="79"/>
      <c r="E102" s="77">
        <v>0</v>
      </c>
      <c r="F102" s="78">
        <f>IFERROR(E102/E327, "NA")</f>
        <v>0</v>
      </c>
      <c r="G102" s="79"/>
      <c r="H102" s="77">
        <v>0</v>
      </c>
      <c r="I102" s="78">
        <f>IFERROR(H102/H327, "NA")</f>
        <v>0</v>
      </c>
      <c r="J102" s="79"/>
      <c r="K102" s="77">
        <v>0</v>
      </c>
      <c r="L102" s="78">
        <f>IFERROR(K102/K327, "NA")</f>
        <v>0</v>
      </c>
      <c r="M102" s="79"/>
      <c r="N102" s="77">
        <v>0</v>
      </c>
      <c r="O102" s="78">
        <f>IFERROR(N102/N327, "NA")</f>
        <v>0</v>
      </c>
      <c r="P102" s="79"/>
      <c r="Q102" s="77">
        <v>0</v>
      </c>
      <c r="R102" s="78">
        <f>IFERROR(Q102/Q327, "NA")</f>
        <v>0</v>
      </c>
      <c r="T102" s="80">
        <f t="shared" si="2"/>
        <v>0</v>
      </c>
      <c r="U102" s="80">
        <f t="shared" si="3"/>
        <v>0</v>
      </c>
    </row>
    <row r="103" spans="1:21" x14ac:dyDescent="0.25">
      <c r="A103" s="87" t="s">
        <v>131</v>
      </c>
      <c r="B103" s="77">
        <v>0</v>
      </c>
      <c r="C103" s="78">
        <f>IFERROR(B103/B327, "NA")</f>
        <v>0</v>
      </c>
      <c r="D103" s="79"/>
      <c r="E103" s="77">
        <v>0</v>
      </c>
      <c r="F103" s="78">
        <f>IFERROR(E103/E327, "NA")</f>
        <v>0</v>
      </c>
      <c r="G103" s="79"/>
      <c r="H103" s="77">
        <v>0</v>
      </c>
      <c r="I103" s="78">
        <f>IFERROR(H103/H327, "NA")</f>
        <v>0</v>
      </c>
      <c r="J103" s="79"/>
      <c r="K103" s="77">
        <v>0</v>
      </c>
      <c r="L103" s="78">
        <f>IFERROR(K103/K327, "NA")</f>
        <v>0</v>
      </c>
      <c r="M103" s="79"/>
      <c r="N103" s="77">
        <v>0</v>
      </c>
      <c r="O103" s="78">
        <f>IFERROR(N103/N327, "NA")</f>
        <v>0</v>
      </c>
      <c r="P103" s="79"/>
      <c r="Q103" s="77">
        <v>0</v>
      </c>
      <c r="R103" s="78">
        <f>IFERROR(Q103/Q327, "NA")</f>
        <v>0</v>
      </c>
      <c r="T103" s="80">
        <f t="shared" si="2"/>
        <v>0</v>
      </c>
      <c r="U103" s="80">
        <f t="shared" si="3"/>
        <v>0</v>
      </c>
    </row>
    <row r="104" spans="1:21" x14ac:dyDescent="0.25">
      <c r="A104" s="87" t="s">
        <v>132</v>
      </c>
      <c r="B104" s="77">
        <v>0</v>
      </c>
      <c r="C104" s="78">
        <f>IFERROR(B104/B327, "NA")</f>
        <v>0</v>
      </c>
      <c r="D104" s="79"/>
      <c r="E104" s="77">
        <v>0</v>
      </c>
      <c r="F104" s="78">
        <f>IFERROR(E104/E327, "NA")</f>
        <v>0</v>
      </c>
      <c r="G104" s="79"/>
      <c r="H104" s="77">
        <v>0</v>
      </c>
      <c r="I104" s="78">
        <f>IFERROR(H104/H327, "NA")</f>
        <v>0</v>
      </c>
      <c r="J104" s="79"/>
      <c r="K104" s="77">
        <v>0</v>
      </c>
      <c r="L104" s="78">
        <f>IFERROR(K104/K327, "NA")</f>
        <v>0</v>
      </c>
      <c r="M104" s="79"/>
      <c r="N104" s="77">
        <v>0</v>
      </c>
      <c r="O104" s="78">
        <f>IFERROR(N104/N327, "NA")</f>
        <v>0</v>
      </c>
      <c r="P104" s="79"/>
      <c r="Q104" s="77">
        <v>0</v>
      </c>
      <c r="R104" s="78">
        <f>IFERROR(Q104/Q327, "NA")</f>
        <v>0</v>
      </c>
      <c r="T104" s="80">
        <f t="shared" si="2"/>
        <v>0</v>
      </c>
      <c r="U104" s="80">
        <f t="shared" si="3"/>
        <v>0</v>
      </c>
    </row>
    <row r="105" spans="1:21" x14ac:dyDescent="0.25">
      <c r="A105" s="87" t="s">
        <v>133</v>
      </c>
      <c r="B105" s="77">
        <v>0</v>
      </c>
      <c r="C105" s="78">
        <f>IFERROR(B105/B327, "NA")</f>
        <v>0</v>
      </c>
      <c r="D105" s="79"/>
      <c r="E105" s="77">
        <v>0</v>
      </c>
      <c r="F105" s="78">
        <f>IFERROR(E105/E327, "NA")</f>
        <v>0</v>
      </c>
      <c r="G105" s="79"/>
      <c r="H105" s="77">
        <v>0</v>
      </c>
      <c r="I105" s="78">
        <f>IFERROR(H105/H327, "NA")</f>
        <v>0</v>
      </c>
      <c r="J105" s="79"/>
      <c r="K105" s="77">
        <v>0</v>
      </c>
      <c r="L105" s="78">
        <f>IFERROR(K105/K327, "NA")</f>
        <v>0</v>
      </c>
      <c r="M105" s="79"/>
      <c r="N105" s="77">
        <v>0</v>
      </c>
      <c r="O105" s="78">
        <f>IFERROR(N105/N327, "NA")</f>
        <v>0</v>
      </c>
      <c r="P105" s="79"/>
      <c r="Q105" s="77">
        <v>0</v>
      </c>
      <c r="R105" s="78">
        <f>IFERROR(Q105/Q327, "NA")</f>
        <v>0</v>
      </c>
      <c r="T105" s="80">
        <f t="shared" si="2"/>
        <v>0</v>
      </c>
      <c r="U105" s="80">
        <f t="shared" si="3"/>
        <v>0</v>
      </c>
    </row>
    <row r="106" spans="1:21" x14ac:dyDescent="0.25">
      <c r="A106" s="87" t="s">
        <v>134</v>
      </c>
      <c r="B106" s="77">
        <v>0</v>
      </c>
      <c r="C106" s="78">
        <f>IFERROR(B106/B327, "NA")</f>
        <v>0</v>
      </c>
      <c r="D106" s="79"/>
      <c r="E106" s="77">
        <v>0</v>
      </c>
      <c r="F106" s="78">
        <f>IFERROR(E106/E327, "NA")</f>
        <v>0</v>
      </c>
      <c r="G106" s="79"/>
      <c r="H106" s="77">
        <v>0</v>
      </c>
      <c r="I106" s="78">
        <f>IFERROR(H106/H327, "NA")</f>
        <v>0</v>
      </c>
      <c r="J106" s="79"/>
      <c r="K106" s="77">
        <v>0</v>
      </c>
      <c r="L106" s="78">
        <f>IFERROR(K106/K327, "NA")</f>
        <v>0</v>
      </c>
      <c r="M106" s="79"/>
      <c r="N106" s="77">
        <v>0</v>
      </c>
      <c r="O106" s="78">
        <f>IFERROR(N106/N327, "NA")</f>
        <v>0</v>
      </c>
      <c r="P106" s="79"/>
      <c r="Q106" s="77">
        <v>0</v>
      </c>
      <c r="R106" s="78">
        <f>IFERROR(Q106/Q327, "NA")</f>
        <v>0</v>
      </c>
      <c r="T106" s="80">
        <f t="shared" si="2"/>
        <v>0</v>
      </c>
      <c r="U106" s="80">
        <f t="shared" si="3"/>
        <v>0</v>
      </c>
    </row>
    <row r="107" spans="1:21" x14ac:dyDescent="0.25">
      <c r="A107" s="87" t="s">
        <v>135</v>
      </c>
      <c r="B107" s="77">
        <v>0</v>
      </c>
      <c r="C107" s="78">
        <f>IFERROR(B107/B327, "NA")</f>
        <v>0</v>
      </c>
      <c r="D107" s="79"/>
      <c r="E107" s="77">
        <v>0</v>
      </c>
      <c r="F107" s="78">
        <f>IFERROR(E107/E327, "NA")</f>
        <v>0</v>
      </c>
      <c r="G107" s="79"/>
      <c r="H107" s="77">
        <v>0</v>
      </c>
      <c r="I107" s="78">
        <f>IFERROR(H107/H327, "NA")</f>
        <v>0</v>
      </c>
      <c r="J107" s="79"/>
      <c r="K107" s="77">
        <v>0</v>
      </c>
      <c r="L107" s="78">
        <f>IFERROR(K107/K327, "NA")</f>
        <v>0</v>
      </c>
      <c r="M107" s="79"/>
      <c r="N107" s="77">
        <v>0</v>
      </c>
      <c r="O107" s="78">
        <f>IFERROR(N107/N327, "NA")</f>
        <v>0</v>
      </c>
      <c r="P107" s="79"/>
      <c r="Q107" s="77">
        <v>0</v>
      </c>
      <c r="R107" s="78">
        <f>IFERROR(Q107/Q327, "NA")</f>
        <v>0</v>
      </c>
      <c r="T107" s="80">
        <f t="shared" si="2"/>
        <v>0</v>
      </c>
      <c r="U107" s="80">
        <f t="shared" si="3"/>
        <v>0</v>
      </c>
    </row>
    <row r="108" spans="1:21" x14ac:dyDescent="0.25">
      <c r="A108" s="87" t="s">
        <v>136</v>
      </c>
      <c r="B108" s="77">
        <v>0</v>
      </c>
      <c r="C108" s="78">
        <f>IFERROR(B108/B327, "NA")</f>
        <v>0</v>
      </c>
      <c r="D108" s="79"/>
      <c r="E108" s="77">
        <v>0</v>
      </c>
      <c r="F108" s="78">
        <f>IFERROR(E108/E327, "NA")</f>
        <v>0</v>
      </c>
      <c r="G108" s="79"/>
      <c r="H108" s="77">
        <v>0</v>
      </c>
      <c r="I108" s="78">
        <f>IFERROR(H108/H327, "NA")</f>
        <v>0</v>
      </c>
      <c r="J108" s="79"/>
      <c r="K108" s="77">
        <v>0</v>
      </c>
      <c r="L108" s="78">
        <f>IFERROR(K108/K327, "NA")</f>
        <v>0</v>
      </c>
      <c r="M108" s="79"/>
      <c r="N108" s="77">
        <v>0</v>
      </c>
      <c r="O108" s="78">
        <f>IFERROR(N108/N327, "NA")</f>
        <v>0</v>
      </c>
      <c r="P108" s="79"/>
      <c r="Q108" s="77">
        <v>0</v>
      </c>
      <c r="R108" s="78">
        <f>IFERROR(Q108/Q327, "NA")</f>
        <v>0</v>
      </c>
      <c r="T108" s="80">
        <f t="shared" si="2"/>
        <v>0</v>
      </c>
      <c r="U108" s="80">
        <f t="shared" si="3"/>
        <v>0</v>
      </c>
    </row>
    <row r="109" spans="1:21" x14ac:dyDescent="0.25">
      <c r="A109" s="87" t="s">
        <v>137</v>
      </c>
      <c r="B109" s="77">
        <v>0</v>
      </c>
      <c r="C109" s="78">
        <f>IFERROR(B109/B327, "NA")</f>
        <v>0</v>
      </c>
      <c r="D109" s="79"/>
      <c r="E109" s="77">
        <v>0</v>
      </c>
      <c r="F109" s="78">
        <f>IFERROR(E109/E327, "NA")</f>
        <v>0</v>
      </c>
      <c r="G109" s="79"/>
      <c r="H109" s="77">
        <v>0</v>
      </c>
      <c r="I109" s="78">
        <f>IFERROR(H109/H327, "NA")</f>
        <v>0</v>
      </c>
      <c r="J109" s="79"/>
      <c r="K109" s="77">
        <v>0</v>
      </c>
      <c r="L109" s="78">
        <f>IFERROR(K109/K327, "NA")</f>
        <v>0</v>
      </c>
      <c r="M109" s="79"/>
      <c r="N109" s="77">
        <v>0</v>
      </c>
      <c r="O109" s="78">
        <f>IFERROR(N109/N327, "NA")</f>
        <v>0</v>
      </c>
      <c r="P109" s="79"/>
      <c r="Q109" s="77">
        <v>0</v>
      </c>
      <c r="R109" s="78">
        <f>IFERROR(Q109/Q327, "NA")</f>
        <v>0</v>
      </c>
      <c r="T109" s="80">
        <f t="shared" si="2"/>
        <v>0</v>
      </c>
      <c r="U109" s="80">
        <f t="shared" si="3"/>
        <v>0</v>
      </c>
    </row>
    <row r="110" spans="1:21" x14ac:dyDescent="0.25">
      <c r="A110" s="87" t="s">
        <v>138</v>
      </c>
      <c r="B110" s="77">
        <v>12739.13</v>
      </c>
      <c r="C110" s="78">
        <f>IFERROR(B110/B327, "NA")</f>
        <v>5.7475779748743126E-3</v>
      </c>
      <c r="D110" s="79"/>
      <c r="E110" s="77">
        <v>9004.06</v>
      </c>
      <c r="F110" s="78">
        <f>IFERROR(E110/E327, "NA")</f>
        <v>5.1176032916177743E-3</v>
      </c>
      <c r="G110" s="79"/>
      <c r="H110" s="77">
        <v>10214.01</v>
      </c>
      <c r="I110" s="78">
        <f>IFERROR(H110/H327, "NA")</f>
        <v>4.1736171039319699E-3</v>
      </c>
      <c r="J110" s="79"/>
      <c r="K110" s="77">
        <v>6779.68</v>
      </c>
      <c r="L110" s="78">
        <f>IFERROR(K110/K327, "NA")</f>
        <v>4.4754934834135267E-3</v>
      </c>
      <c r="M110" s="79"/>
      <c r="N110" s="77">
        <v>9154.0499999999993</v>
      </c>
      <c r="O110" s="78">
        <f>IFERROR(N110/N327, "NA")</f>
        <v>4.330164057496904E-3</v>
      </c>
      <c r="P110" s="79"/>
      <c r="Q110" s="77">
        <v>8792.23</v>
      </c>
      <c r="R110" s="78">
        <f>IFERROR(Q110/Q327, "NA")</f>
        <v>6.3379653069921731E-3</v>
      </c>
      <c r="T110" s="80">
        <f t="shared" si="2"/>
        <v>56683.159999999989</v>
      </c>
      <c r="U110" s="80">
        <f t="shared" si="3"/>
        <v>311.44593406593401</v>
      </c>
    </row>
    <row r="111" spans="1:21" x14ac:dyDescent="0.25">
      <c r="A111" s="87" t="s">
        <v>139</v>
      </c>
      <c r="B111" s="77">
        <v>0</v>
      </c>
      <c r="C111" s="78">
        <f>IFERROR(B111/B327, "NA")</f>
        <v>0</v>
      </c>
      <c r="D111" s="79"/>
      <c r="E111" s="77">
        <v>0</v>
      </c>
      <c r="F111" s="78">
        <f>IFERROR(E111/E327, "NA")</f>
        <v>0</v>
      </c>
      <c r="G111" s="79"/>
      <c r="H111" s="77">
        <v>0</v>
      </c>
      <c r="I111" s="78">
        <f>IFERROR(H111/H327, "NA")</f>
        <v>0</v>
      </c>
      <c r="J111" s="79"/>
      <c r="K111" s="77">
        <v>0</v>
      </c>
      <c r="L111" s="78">
        <f>IFERROR(K111/K327, "NA")</f>
        <v>0</v>
      </c>
      <c r="M111" s="79"/>
      <c r="N111" s="77">
        <v>0</v>
      </c>
      <c r="O111" s="78">
        <f>IFERROR(N111/N327, "NA")</f>
        <v>0</v>
      </c>
      <c r="P111" s="79"/>
      <c r="Q111" s="77">
        <v>0</v>
      </c>
      <c r="R111" s="78">
        <f>IFERROR(Q111/Q327, "NA")</f>
        <v>0</v>
      </c>
      <c r="T111" s="80">
        <f t="shared" si="2"/>
        <v>0</v>
      </c>
      <c r="U111" s="80">
        <f t="shared" si="3"/>
        <v>0</v>
      </c>
    </row>
    <row r="112" spans="1:21" x14ac:dyDescent="0.25">
      <c r="A112" s="87" t="s">
        <v>140</v>
      </c>
      <c r="B112" s="77">
        <v>4963.6899999999996</v>
      </c>
      <c r="C112" s="78">
        <f>IFERROR(B112/B327, "NA")</f>
        <v>2.2394932242707213E-3</v>
      </c>
      <c r="D112" s="79"/>
      <c r="E112" s="77">
        <v>4574.03</v>
      </c>
      <c r="F112" s="78">
        <f>IFERROR(E112/E327, "NA")</f>
        <v>2.5997240116079246E-3</v>
      </c>
      <c r="G112" s="79"/>
      <c r="H112" s="77">
        <v>7688.73</v>
      </c>
      <c r="I112" s="78">
        <f>IFERROR(H112/H327, "NA")</f>
        <v>3.1417450184124409E-3</v>
      </c>
      <c r="J112" s="79"/>
      <c r="K112" s="77">
        <v>4949.71</v>
      </c>
      <c r="L112" s="78">
        <f>IFERROR(K112/K327, "NA")</f>
        <v>3.2674690914300921E-3</v>
      </c>
      <c r="M112" s="79"/>
      <c r="N112" s="77">
        <v>6601.8</v>
      </c>
      <c r="O112" s="78">
        <f>IFERROR(N112/N327, "NA")</f>
        <v>3.1228666081988916E-3</v>
      </c>
      <c r="P112" s="79"/>
      <c r="Q112" s="77">
        <v>5756.6</v>
      </c>
      <c r="R112" s="78">
        <f>IFERROR(Q112/Q327, "NA")</f>
        <v>4.149701621344204E-3</v>
      </c>
      <c r="T112" s="80">
        <f t="shared" si="2"/>
        <v>34534.559999999998</v>
      </c>
      <c r="U112" s="80">
        <f t="shared" si="3"/>
        <v>189.75032967032965</v>
      </c>
    </row>
    <row r="113" spans="1:21" x14ac:dyDescent="0.25">
      <c r="A113" s="87" t="s">
        <v>141</v>
      </c>
      <c r="B113" s="77">
        <v>0</v>
      </c>
      <c r="C113" s="78">
        <f>IFERROR(B113/B327, "NA")</f>
        <v>0</v>
      </c>
      <c r="D113" s="79"/>
      <c r="E113" s="77">
        <v>0</v>
      </c>
      <c r="F113" s="78">
        <f>IFERROR(E113/E327, "NA")</f>
        <v>0</v>
      </c>
      <c r="G113" s="79"/>
      <c r="H113" s="77">
        <v>0</v>
      </c>
      <c r="I113" s="78">
        <f>IFERROR(H113/H327, "NA")</f>
        <v>0</v>
      </c>
      <c r="J113" s="79"/>
      <c r="K113" s="77">
        <v>0</v>
      </c>
      <c r="L113" s="78">
        <f>IFERROR(K113/K327, "NA")</f>
        <v>0</v>
      </c>
      <c r="M113" s="79"/>
      <c r="N113" s="77">
        <v>0</v>
      </c>
      <c r="O113" s="78">
        <f>IFERROR(N113/N327, "NA")</f>
        <v>0</v>
      </c>
      <c r="P113" s="79"/>
      <c r="Q113" s="77">
        <v>0</v>
      </c>
      <c r="R113" s="78">
        <f>IFERROR(Q113/Q327, "NA")</f>
        <v>0</v>
      </c>
      <c r="T113" s="80">
        <f t="shared" si="2"/>
        <v>0</v>
      </c>
      <c r="U113" s="80">
        <f t="shared" si="3"/>
        <v>0</v>
      </c>
    </row>
    <row r="114" spans="1:21" x14ac:dyDescent="0.25">
      <c r="A114" s="87" t="s">
        <v>142</v>
      </c>
      <c r="B114" s="77">
        <v>445.35</v>
      </c>
      <c r="C114" s="78">
        <f>IFERROR(B114/B327, "NA")</f>
        <v>2.0093082110868445E-4</v>
      </c>
      <c r="D114" s="79"/>
      <c r="E114" s="77">
        <v>-193.99</v>
      </c>
      <c r="F114" s="78">
        <f>IFERROR(E114/E327, "NA")</f>
        <v>-1.1025735751882285E-4</v>
      </c>
      <c r="G114" s="79"/>
      <c r="H114" s="77">
        <v>761.77</v>
      </c>
      <c r="I114" s="78">
        <f>IFERROR(H114/H327, "NA")</f>
        <v>3.1127209599973531E-4</v>
      </c>
      <c r="J114" s="79"/>
      <c r="K114" s="77">
        <v>42</v>
      </c>
      <c r="L114" s="78">
        <f>IFERROR(K114/K327, "NA")</f>
        <v>2.7725604498054203E-5</v>
      </c>
      <c r="M114" s="79"/>
      <c r="N114" s="77">
        <v>179.92</v>
      </c>
      <c r="O114" s="78">
        <f>IFERROR(N114/N327, "NA")</f>
        <v>8.5108025106356527E-5</v>
      </c>
      <c r="P114" s="79"/>
      <c r="Q114" s="77">
        <v>311.48</v>
      </c>
      <c r="R114" s="78">
        <f>IFERROR(Q114/Q327, "NA")</f>
        <v>2.2453341573433843E-4</v>
      </c>
      <c r="T114" s="80">
        <f t="shared" si="2"/>
        <v>1546.5300000000002</v>
      </c>
      <c r="U114" s="80">
        <f t="shared" si="3"/>
        <v>8.497417582417583</v>
      </c>
    </row>
    <row r="115" spans="1:21" x14ac:dyDescent="0.25">
      <c r="A115" s="87" t="s">
        <v>143</v>
      </c>
      <c r="B115" s="77">
        <v>0</v>
      </c>
      <c r="C115" s="78">
        <f>IFERROR(B115/B327, "NA")</f>
        <v>0</v>
      </c>
      <c r="D115" s="79"/>
      <c r="E115" s="77">
        <v>0</v>
      </c>
      <c r="F115" s="78">
        <f>IFERROR(E115/E327, "NA")</f>
        <v>0</v>
      </c>
      <c r="G115" s="79"/>
      <c r="H115" s="77">
        <v>0</v>
      </c>
      <c r="I115" s="78">
        <f>IFERROR(H115/H327, "NA")</f>
        <v>0</v>
      </c>
      <c r="J115" s="79"/>
      <c r="K115" s="77">
        <v>0</v>
      </c>
      <c r="L115" s="78">
        <f>IFERROR(K115/K327, "NA")</f>
        <v>0</v>
      </c>
      <c r="M115" s="79"/>
      <c r="N115" s="77">
        <v>0</v>
      </c>
      <c r="O115" s="78">
        <f>IFERROR(N115/N327, "NA")</f>
        <v>0</v>
      </c>
      <c r="P115" s="79"/>
      <c r="Q115" s="77">
        <v>0</v>
      </c>
      <c r="R115" s="78">
        <f>IFERROR(Q115/Q327, "NA")</f>
        <v>0</v>
      </c>
      <c r="T115" s="80">
        <f t="shared" si="2"/>
        <v>0</v>
      </c>
      <c r="U115" s="80">
        <f t="shared" si="3"/>
        <v>0</v>
      </c>
    </row>
    <row r="116" spans="1:21" x14ac:dyDescent="0.25">
      <c r="A116" s="87" t="s">
        <v>144</v>
      </c>
      <c r="B116" s="77">
        <v>0</v>
      </c>
      <c r="C116" s="78">
        <f>IFERROR(B116/B327, "NA")</f>
        <v>0</v>
      </c>
      <c r="D116" s="79"/>
      <c r="E116" s="77">
        <v>0</v>
      </c>
      <c r="F116" s="78">
        <f>IFERROR(E116/E327, "NA")</f>
        <v>0</v>
      </c>
      <c r="G116" s="79"/>
      <c r="H116" s="77">
        <v>0</v>
      </c>
      <c r="I116" s="78">
        <f>IFERROR(H116/H327, "NA")</f>
        <v>0</v>
      </c>
      <c r="J116" s="79"/>
      <c r="K116" s="77">
        <v>0</v>
      </c>
      <c r="L116" s="78">
        <f>IFERROR(K116/K327, "NA")</f>
        <v>0</v>
      </c>
      <c r="M116" s="79"/>
      <c r="N116" s="77">
        <v>0</v>
      </c>
      <c r="O116" s="78">
        <f>IFERROR(N116/N327, "NA")</f>
        <v>0</v>
      </c>
      <c r="P116" s="79"/>
      <c r="Q116" s="77">
        <v>0</v>
      </c>
      <c r="R116" s="78">
        <f>IFERROR(Q116/Q327, "NA")</f>
        <v>0</v>
      </c>
      <c r="T116" s="80">
        <f t="shared" si="2"/>
        <v>0</v>
      </c>
      <c r="U116" s="80">
        <f t="shared" si="3"/>
        <v>0</v>
      </c>
    </row>
    <row r="117" spans="1:21" x14ac:dyDescent="0.25">
      <c r="A117" s="87" t="s">
        <v>145</v>
      </c>
      <c r="B117" s="77">
        <v>0</v>
      </c>
      <c r="C117" s="78">
        <f>IFERROR(B117/B327, "NA")</f>
        <v>0</v>
      </c>
      <c r="D117" s="79"/>
      <c r="E117" s="77">
        <v>0</v>
      </c>
      <c r="F117" s="78">
        <f>IFERROR(E117/E327, "NA")</f>
        <v>0</v>
      </c>
      <c r="G117" s="79"/>
      <c r="H117" s="77">
        <v>0</v>
      </c>
      <c r="I117" s="78">
        <f>IFERROR(H117/H327, "NA")</f>
        <v>0</v>
      </c>
      <c r="J117" s="79"/>
      <c r="K117" s="77">
        <v>0</v>
      </c>
      <c r="L117" s="78">
        <f>IFERROR(K117/K327, "NA")</f>
        <v>0</v>
      </c>
      <c r="M117" s="79"/>
      <c r="N117" s="77">
        <v>0</v>
      </c>
      <c r="O117" s="78">
        <f>IFERROR(N117/N327, "NA")</f>
        <v>0</v>
      </c>
      <c r="P117" s="79"/>
      <c r="Q117" s="77">
        <v>0</v>
      </c>
      <c r="R117" s="78">
        <f>IFERROR(Q117/Q327, "NA")</f>
        <v>0</v>
      </c>
      <c r="T117" s="80">
        <f t="shared" si="2"/>
        <v>0</v>
      </c>
      <c r="U117" s="80">
        <f t="shared" si="3"/>
        <v>0</v>
      </c>
    </row>
    <row r="118" spans="1:21" x14ac:dyDescent="0.25">
      <c r="A118" s="87" t="s">
        <v>146</v>
      </c>
      <c r="B118" s="77">
        <v>0</v>
      </c>
      <c r="C118" s="78">
        <f>IFERROR(B118/B327, "NA")</f>
        <v>0</v>
      </c>
      <c r="D118" s="79"/>
      <c r="E118" s="77">
        <v>0</v>
      </c>
      <c r="F118" s="78">
        <f>IFERROR(E118/E327, "NA")</f>
        <v>0</v>
      </c>
      <c r="G118" s="79"/>
      <c r="H118" s="77">
        <v>1175.55</v>
      </c>
      <c r="I118" s="78">
        <f>IFERROR(H118/H327, "NA")</f>
        <v>4.803495969288484E-4</v>
      </c>
      <c r="J118" s="79"/>
      <c r="K118" s="77">
        <v>220.16</v>
      </c>
      <c r="L118" s="78">
        <f>IFERROR(K118/K327, "NA")</f>
        <v>1.4533497824503842E-4</v>
      </c>
      <c r="M118" s="79"/>
      <c r="N118" s="77">
        <v>0</v>
      </c>
      <c r="O118" s="78">
        <f>IFERROR(N118/N327, "NA")</f>
        <v>0</v>
      </c>
      <c r="P118" s="79"/>
      <c r="Q118" s="77">
        <v>1402.24</v>
      </c>
      <c r="R118" s="78">
        <f>IFERROR(Q118/Q327, "NA")</f>
        <v>1.0108184694982622E-3</v>
      </c>
      <c r="T118" s="80">
        <f t="shared" si="2"/>
        <v>2797.95</v>
      </c>
      <c r="U118" s="80">
        <f t="shared" si="3"/>
        <v>15.373351648351647</v>
      </c>
    </row>
    <row r="119" spans="1:21" x14ac:dyDescent="0.25">
      <c r="A119" s="88" t="s">
        <v>147</v>
      </c>
      <c r="B119" s="82">
        <f>IFERROR(B84+B85+B86+B87+B88+B89+B90+B91+B92+B93+B94+B95+B96+B97+B98+B99+B100+B101+B102+B103+B104+B105+B106+B107+B108+B109+B110+B111+B112+B113+B114+B115+B116+B117+B118, "NA")</f>
        <v>96917.73000000001</v>
      </c>
      <c r="C119" s="83">
        <f>IFERROR(B119/B327, "NA")</f>
        <v>4.3726864418748804E-2</v>
      </c>
      <c r="D119" s="72"/>
      <c r="E119" s="82">
        <f>IFERROR(E84+E85+E86+E87+E88+E89+E90+E91+E92+E93+E94+E95+E96+E97+E98+E99+E100+E101+E102+E103+E104+E105+E106+E107+E108+E109+E110+E111+E112+E113+E114+E115+E116+E117+E118, "NA")</f>
        <v>97619.439999999988</v>
      </c>
      <c r="F119" s="83">
        <f>IFERROR(E119/E327, "NA")</f>
        <v>5.54835893441274E-2</v>
      </c>
      <c r="G119" s="72"/>
      <c r="H119" s="82">
        <f>IFERROR(H84+H85+H86+H87+H88+H89+H90+H91+H92+H93+H94+H95+H96+H97+H98+H99+H100+H101+H102+H103+H104+H105+H106+H107+H108+H109+H110+H111+H112+H113+H114+H115+H116+H117+H118, "NA")</f>
        <v>145916.47999999998</v>
      </c>
      <c r="I119" s="83">
        <f>IFERROR(H119/H327, "NA")</f>
        <v>5.9623939733126081E-2</v>
      </c>
      <c r="J119" s="72"/>
      <c r="K119" s="82">
        <f>IFERROR(K84+K85+K86+K87+K88+K89+K90+K91+K92+K93+K94+K95+K96+K97+K98+K99+K100+K101+K102+K103+K104+K105+K106+K107+K108+K109+K110+K111+K112+K113+K114+K115+K116+K117+K118, "NA")</f>
        <v>88357.719999999987</v>
      </c>
      <c r="L119" s="83">
        <f>IFERROR(K119/K327, "NA")</f>
        <v>5.8327885692138419E-2</v>
      </c>
      <c r="M119" s="72"/>
      <c r="N119" s="82">
        <f>IFERROR(N84+N85+N86+N87+N88+N89+N90+N91+N92+N93+N94+N95+N96+N97+N98+N99+N100+N101+N102+N103+N104+N105+N106+N107+N108+N109+N110+N111+N112+N113+N114+N115+N116+N117+N118, "NA")</f>
        <v>99807.569999999992</v>
      </c>
      <c r="O119" s="83">
        <f>IFERROR(N119/N327, "NA")</f>
        <v>4.7212234178326123E-2</v>
      </c>
      <c r="P119" s="72"/>
      <c r="Q119" s="82">
        <f>IFERROR(Q84+Q85+Q86+Q87+Q88+Q89+Q90+Q91+Q92+Q93+Q94+Q95+Q96+Q97+Q98+Q99+Q100+Q101+Q102+Q103+Q104+Q105+Q106+Q107+Q108+Q109+Q110+Q111+Q112+Q113+Q114+Q115+Q116+Q117+Q118, "NA")</f>
        <v>81865.349999999991</v>
      </c>
      <c r="R119" s="83">
        <f>IFERROR(Q119/Q327, "NA")</f>
        <v>5.9013441202604079E-2</v>
      </c>
      <c r="T119" s="80">
        <f t="shared" si="2"/>
        <v>610484.28999999992</v>
      </c>
      <c r="U119" s="80">
        <f t="shared" si="3"/>
        <v>3354.3092857142851</v>
      </c>
    </row>
    <row r="120" spans="1:21" x14ac:dyDescent="0.25">
      <c r="A120" s="81" t="s">
        <v>26</v>
      </c>
      <c r="B120" s="82">
        <f>IFERROR(B82+B84+B85+B86+B87+B88+B89+B90+B91+B92+B93+B94+B95+B96+B97+B98+B99+B100+B101+B102+B103+B104+B105+B106+B107+B108+B109+B110+B111+B112+B113+B114+B115+B116+B117+B118, "NA")</f>
        <v>96917.73000000001</v>
      </c>
      <c r="C120" s="83">
        <f>IFERROR(B120/B327, "NA")</f>
        <v>4.3726864418748804E-2</v>
      </c>
      <c r="D120" s="72"/>
      <c r="E120" s="82">
        <f>IFERROR(E82+E84+E85+E86+E87+E88+E89+E90+E91+E92+E93+E94+E95+E96+E97+E98+E99+E100+E101+E102+E103+E104+E105+E106+E107+E108+E109+E110+E111+E112+E113+E114+E115+E116+E117+E118, "NA")</f>
        <v>97619.439999999988</v>
      </c>
      <c r="F120" s="83">
        <f>IFERROR(E120/E327, "NA")</f>
        <v>5.54835893441274E-2</v>
      </c>
      <c r="G120" s="72"/>
      <c r="H120" s="82">
        <f>IFERROR(H82+H84+H85+H86+H87+H88+H89+H90+H91+H92+H93+H94+H95+H96+H97+H98+H99+H100+H101+H102+H103+H104+H105+H106+H107+H108+H109+H110+H111+H112+H113+H114+H115+H116+H117+H118, "NA")</f>
        <v>145916.47999999998</v>
      </c>
      <c r="I120" s="83">
        <f>IFERROR(H120/H327, "NA")</f>
        <v>5.9623939733126081E-2</v>
      </c>
      <c r="J120" s="72"/>
      <c r="K120" s="82">
        <f>IFERROR(K82+K84+K85+K86+K87+K88+K89+K90+K91+K92+K93+K94+K95+K96+K97+K98+K99+K100+K101+K102+K103+K104+K105+K106+K107+K108+K109+K110+K111+K112+K113+K114+K115+K116+K117+K118, "NA")</f>
        <v>88357.719999999987</v>
      </c>
      <c r="L120" s="83">
        <f>IFERROR(K120/K327, "NA")</f>
        <v>5.8327885692138419E-2</v>
      </c>
      <c r="M120" s="72"/>
      <c r="N120" s="82">
        <f>IFERROR(N82+N84+N85+N86+N87+N88+N89+N90+N91+N92+N93+N94+N95+N96+N97+N98+N99+N100+N101+N102+N103+N104+N105+N106+N107+N108+N109+N110+N111+N112+N113+N114+N115+N116+N117+N118, "NA")</f>
        <v>99807.569999999992</v>
      </c>
      <c r="O120" s="83">
        <f>IFERROR(N120/N327, "NA")</f>
        <v>4.7212234178326123E-2</v>
      </c>
      <c r="P120" s="72"/>
      <c r="Q120" s="82">
        <f>IFERROR(Q82+Q84+Q85+Q86+Q87+Q88+Q89+Q90+Q91+Q92+Q93+Q94+Q95+Q96+Q97+Q98+Q99+Q100+Q101+Q102+Q103+Q104+Q105+Q106+Q107+Q108+Q109+Q110+Q111+Q112+Q113+Q114+Q115+Q116+Q117+Q118, "NA")</f>
        <v>81865.349999999991</v>
      </c>
      <c r="R120" s="83">
        <f>IFERROR(Q120/Q327, "NA")</f>
        <v>5.9013441202604079E-2</v>
      </c>
      <c r="T120" s="80">
        <f t="shared" si="2"/>
        <v>610484.28999999992</v>
      </c>
      <c r="U120" s="80">
        <f t="shared" si="3"/>
        <v>3354.3092857142851</v>
      </c>
    </row>
    <row r="121" spans="1:21" x14ac:dyDescent="0.25">
      <c r="A121" s="75" t="s">
        <v>148</v>
      </c>
      <c r="B121" s="72"/>
      <c r="C121" s="73"/>
      <c r="D121" s="74"/>
      <c r="E121" s="72"/>
      <c r="F121" s="73"/>
      <c r="G121" s="74"/>
      <c r="H121" s="72"/>
      <c r="I121" s="73"/>
      <c r="J121" s="74"/>
      <c r="K121" s="72"/>
      <c r="L121" s="73"/>
      <c r="M121" s="74"/>
      <c r="N121" s="72"/>
      <c r="O121" s="73"/>
      <c r="P121" s="74"/>
      <c r="Q121" s="72"/>
      <c r="R121" s="73"/>
      <c r="T121" s="80">
        <f t="shared" si="2"/>
        <v>0</v>
      </c>
      <c r="U121" s="80">
        <f t="shared" si="3"/>
        <v>0</v>
      </c>
    </row>
    <row r="122" spans="1:21" x14ac:dyDescent="0.25">
      <c r="A122" s="76" t="s">
        <v>149</v>
      </c>
      <c r="B122" s="77">
        <v>0</v>
      </c>
      <c r="C122" s="78">
        <f>IFERROR(B122/B327, "NA")</f>
        <v>0</v>
      </c>
      <c r="D122" s="79"/>
      <c r="E122" s="77">
        <v>0</v>
      </c>
      <c r="F122" s="78">
        <f>IFERROR(E122/E327, "NA")</f>
        <v>0</v>
      </c>
      <c r="G122" s="79"/>
      <c r="H122" s="77">
        <v>0</v>
      </c>
      <c r="I122" s="78">
        <f>IFERROR(H122/H327, "NA")</f>
        <v>0</v>
      </c>
      <c r="J122" s="79"/>
      <c r="K122" s="77">
        <v>0</v>
      </c>
      <c r="L122" s="78">
        <f>IFERROR(K122/K327, "NA")</f>
        <v>0</v>
      </c>
      <c r="M122" s="79"/>
      <c r="N122" s="77">
        <v>0</v>
      </c>
      <c r="O122" s="78">
        <f>IFERROR(N122/N327, "NA")</f>
        <v>0</v>
      </c>
      <c r="P122" s="79"/>
      <c r="Q122" s="77">
        <v>0</v>
      </c>
      <c r="R122" s="78">
        <f>IFERROR(Q122/Q327, "NA")</f>
        <v>0</v>
      </c>
      <c r="T122" s="80">
        <f t="shared" si="2"/>
        <v>0</v>
      </c>
      <c r="U122" s="80">
        <f t="shared" si="3"/>
        <v>0</v>
      </c>
    </row>
    <row r="123" spans="1:21" x14ac:dyDescent="0.25">
      <c r="A123" s="76" t="s">
        <v>150</v>
      </c>
      <c r="B123" s="77">
        <v>14788.48</v>
      </c>
      <c r="C123" s="78">
        <f>IFERROR(B123/B327, "NA")</f>
        <v>6.6721936215321824E-3</v>
      </c>
      <c r="D123" s="79"/>
      <c r="E123" s="77">
        <v>18807.72</v>
      </c>
      <c r="F123" s="78">
        <f>IFERROR(E123/E327, "NA")</f>
        <v>1.0689672190081524E-2</v>
      </c>
      <c r="G123" s="79"/>
      <c r="H123" s="77">
        <v>20817.34</v>
      </c>
      <c r="I123" s="78">
        <f>IFERROR(H123/H327, "NA")</f>
        <v>8.5063169394162686E-3</v>
      </c>
      <c r="J123" s="79"/>
      <c r="K123" s="77">
        <v>8038.48</v>
      </c>
      <c r="L123" s="78">
        <f>IFERROR(K123/K327, "NA")</f>
        <v>5.3064694582266366E-3</v>
      </c>
      <c r="M123" s="79"/>
      <c r="N123" s="77">
        <v>4755.88</v>
      </c>
      <c r="O123" s="78">
        <f>IFERROR(N123/N327, "NA")</f>
        <v>2.2496862741374995E-3</v>
      </c>
      <c r="P123" s="79"/>
      <c r="Q123" s="77">
        <v>6739.7</v>
      </c>
      <c r="R123" s="78">
        <f>IFERROR(Q123/Q327, "NA")</f>
        <v>4.8583789072323118E-3</v>
      </c>
      <c r="T123" s="80">
        <f t="shared" si="2"/>
        <v>73947.599999999991</v>
      </c>
      <c r="U123" s="80">
        <f t="shared" si="3"/>
        <v>406.30549450549449</v>
      </c>
    </row>
    <row r="124" spans="1:21" x14ac:dyDescent="0.25">
      <c r="A124" s="76" t="s">
        <v>151</v>
      </c>
      <c r="B124" s="77">
        <v>6538.46</v>
      </c>
      <c r="C124" s="78">
        <f>IFERROR(B124/B327, "NA")</f>
        <v>2.9499902022820002E-3</v>
      </c>
      <c r="D124" s="79"/>
      <c r="E124" s="77">
        <v>6538.46</v>
      </c>
      <c r="F124" s="78">
        <f>IFERROR(E124/E327, "NA")</f>
        <v>3.7162396094774083E-3</v>
      </c>
      <c r="G124" s="79"/>
      <c r="H124" s="77">
        <v>36423.040000000001</v>
      </c>
      <c r="I124" s="78">
        <f>IFERROR(H124/H327, "NA")</f>
        <v>1.4883069697523137E-2</v>
      </c>
      <c r="J124" s="79"/>
      <c r="K124" s="77">
        <v>23307.7</v>
      </c>
      <c r="L124" s="78">
        <f>IFERROR(K124/K327, "NA")</f>
        <v>1.5386192189507096E-2</v>
      </c>
      <c r="M124" s="79"/>
      <c r="N124" s="77">
        <v>29403.84</v>
      </c>
      <c r="O124" s="78">
        <f>IFERROR(N124/N327, "NA")</f>
        <v>1.3908974838502059E-2</v>
      </c>
      <c r="P124" s="79"/>
      <c r="Q124" s="77">
        <v>39865.379999999997</v>
      </c>
      <c r="R124" s="78">
        <f>IFERROR(Q124/Q327, "NA")</f>
        <v>2.8737350523139141E-2</v>
      </c>
      <c r="T124" s="80">
        <f t="shared" si="2"/>
        <v>142076.88</v>
      </c>
      <c r="U124" s="80">
        <f t="shared" si="3"/>
        <v>780.64219780219787</v>
      </c>
    </row>
    <row r="125" spans="1:21" ht="31.5" x14ac:dyDescent="0.25">
      <c r="A125" s="76" t="s">
        <v>152</v>
      </c>
      <c r="B125" s="77">
        <v>0</v>
      </c>
      <c r="C125" s="78">
        <f>IFERROR(B125/B327, "NA")</f>
        <v>0</v>
      </c>
      <c r="D125" s="79"/>
      <c r="E125" s="77">
        <v>0</v>
      </c>
      <c r="F125" s="78">
        <f>IFERROR(E125/E327, "NA")</f>
        <v>0</v>
      </c>
      <c r="G125" s="79"/>
      <c r="H125" s="77">
        <v>0</v>
      </c>
      <c r="I125" s="78">
        <f>IFERROR(H125/H327, "NA")</f>
        <v>0</v>
      </c>
      <c r="J125" s="79"/>
      <c r="K125" s="77">
        <v>0</v>
      </c>
      <c r="L125" s="78">
        <f>IFERROR(K125/K327, "NA")</f>
        <v>0</v>
      </c>
      <c r="M125" s="79"/>
      <c r="N125" s="77">
        <v>0</v>
      </c>
      <c r="O125" s="78">
        <f>IFERROR(N125/N327, "NA")</f>
        <v>0</v>
      </c>
      <c r="P125" s="79"/>
      <c r="Q125" s="77">
        <v>0</v>
      </c>
      <c r="R125" s="78">
        <f>IFERROR(Q125/Q327, "NA")</f>
        <v>0</v>
      </c>
      <c r="T125" s="80">
        <f t="shared" si="2"/>
        <v>0</v>
      </c>
      <c r="U125" s="80">
        <f t="shared" si="3"/>
        <v>0</v>
      </c>
    </row>
    <row r="126" spans="1:21" x14ac:dyDescent="0.25">
      <c r="A126" s="76" t="s">
        <v>153</v>
      </c>
      <c r="B126" s="77">
        <v>0</v>
      </c>
      <c r="C126" s="78">
        <f>IFERROR(B126/B327, "NA")</f>
        <v>0</v>
      </c>
      <c r="D126" s="79"/>
      <c r="E126" s="77">
        <v>0</v>
      </c>
      <c r="F126" s="78">
        <f>IFERROR(E126/E327, "NA")</f>
        <v>0</v>
      </c>
      <c r="G126" s="79"/>
      <c r="H126" s="77">
        <v>0</v>
      </c>
      <c r="I126" s="78">
        <f>IFERROR(H126/H327, "NA")</f>
        <v>0</v>
      </c>
      <c r="J126" s="79"/>
      <c r="K126" s="77">
        <v>0</v>
      </c>
      <c r="L126" s="78">
        <f>IFERROR(K126/K327, "NA")</f>
        <v>0</v>
      </c>
      <c r="M126" s="79"/>
      <c r="N126" s="77">
        <v>0</v>
      </c>
      <c r="O126" s="78">
        <f>IFERROR(N126/N327, "NA")</f>
        <v>0</v>
      </c>
      <c r="P126" s="79"/>
      <c r="Q126" s="77">
        <v>0</v>
      </c>
      <c r="R126" s="78">
        <f>IFERROR(Q126/Q327, "NA")</f>
        <v>0</v>
      </c>
      <c r="T126" s="80">
        <f t="shared" si="2"/>
        <v>0</v>
      </c>
      <c r="U126" s="80">
        <f t="shared" si="3"/>
        <v>0</v>
      </c>
    </row>
    <row r="127" spans="1:21" x14ac:dyDescent="0.25">
      <c r="A127" s="76" t="s">
        <v>154</v>
      </c>
      <c r="B127" s="77">
        <v>0</v>
      </c>
      <c r="C127" s="78">
        <f>IFERROR(B127/B327, "NA")</f>
        <v>0</v>
      </c>
      <c r="D127" s="79"/>
      <c r="E127" s="77">
        <v>0</v>
      </c>
      <c r="F127" s="78">
        <f>IFERROR(E127/E327, "NA")</f>
        <v>0</v>
      </c>
      <c r="G127" s="79"/>
      <c r="H127" s="77">
        <v>0</v>
      </c>
      <c r="I127" s="78">
        <f>IFERROR(H127/H327, "NA")</f>
        <v>0</v>
      </c>
      <c r="J127" s="79"/>
      <c r="K127" s="77">
        <v>0</v>
      </c>
      <c r="L127" s="78">
        <f>IFERROR(K127/K327, "NA")</f>
        <v>0</v>
      </c>
      <c r="M127" s="79"/>
      <c r="N127" s="77">
        <v>0</v>
      </c>
      <c r="O127" s="78">
        <f>IFERROR(N127/N327, "NA")</f>
        <v>0</v>
      </c>
      <c r="P127" s="79"/>
      <c r="Q127" s="77">
        <v>0</v>
      </c>
      <c r="R127" s="78">
        <f>IFERROR(Q127/Q327, "NA")</f>
        <v>0</v>
      </c>
      <c r="T127" s="80">
        <f t="shared" si="2"/>
        <v>0</v>
      </c>
      <c r="U127" s="80">
        <f t="shared" si="3"/>
        <v>0</v>
      </c>
    </row>
    <row r="128" spans="1:21" x14ac:dyDescent="0.25">
      <c r="A128" s="76" t="s">
        <v>155</v>
      </c>
      <c r="B128" s="77">
        <v>0</v>
      </c>
      <c r="C128" s="78">
        <f>IFERROR(B128/B327, "NA")</f>
        <v>0</v>
      </c>
      <c r="D128" s="79"/>
      <c r="E128" s="77">
        <v>0</v>
      </c>
      <c r="F128" s="78">
        <f>IFERROR(E128/E327, "NA")</f>
        <v>0</v>
      </c>
      <c r="G128" s="79"/>
      <c r="H128" s="77">
        <v>0</v>
      </c>
      <c r="I128" s="78">
        <f>IFERROR(H128/H327, "NA")</f>
        <v>0</v>
      </c>
      <c r="J128" s="79"/>
      <c r="K128" s="77">
        <v>0</v>
      </c>
      <c r="L128" s="78">
        <f>IFERROR(K128/K327, "NA")</f>
        <v>0</v>
      </c>
      <c r="M128" s="79"/>
      <c r="N128" s="77">
        <v>0</v>
      </c>
      <c r="O128" s="78">
        <f>IFERROR(N128/N327, "NA")</f>
        <v>0</v>
      </c>
      <c r="P128" s="79"/>
      <c r="Q128" s="77">
        <v>0</v>
      </c>
      <c r="R128" s="78">
        <f>IFERROR(Q128/Q327, "NA")</f>
        <v>0</v>
      </c>
      <c r="T128" s="80">
        <f t="shared" si="2"/>
        <v>0</v>
      </c>
      <c r="U128" s="80">
        <f t="shared" si="3"/>
        <v>0</v>
      </c>
    </row>
    <row r="129" spans="1:21" x14ac:dyDescent="0.25">
      <c r="A129" s="76" t="s">
        <v>156</v>
      </c>
      <c r="B129" s="77">
        <v>0</v>
      </c>
      <c r="C129" s="78">
        <f>IFERROR(B129/B327, "NA")</f>
        <v>0</v>
      </c>
      <c r="D129" s="79"/>
      <c r="E129" s="77">
        <v>0</v>
      </c>
      <c r="F129" s="78">
        <f>IFERROR(E129/E327, "NA")</f>
        <v>0</v>
      </c>
      <c r="G129" s="79"/>
      <c r="H129" s="77">
        <v>0</v>
      </c>
      <c r="I129" s="78">
        <f>IFERROR(H129/H327, "NA")</f>
        <v>0</v>
      </c>
      <c r="J129" s="79"/>
      <c r="K129" s="77">
        <v>0</v>
      </c>
      <c r="L129" s="78">
        <f>IFERROR(K129/K327, "NA")</f>
        <v>0</v>
      </c>
      <c r="M129" s="79"/>
      <c r="N129" s="77">
        <v>0</v>
      </c>
      <c r="O129" s="78">
        <f>IFERROR(N129/N327, "NA")</f>
        <v>0</v>
      </c>
      <c r="P129" s="79"/>
      <c r="Q129" s="77">
        <v>0</v>
      </c>
      <c r="R129" s="78">
        <f>IFERROR(Q129/Q327, "NA")</f>
        <v>0</v>
      </c>
      <c r="T129" s="80">
        <f t="shared" si="2"/>
        <v>0</v>
      </c>
      <c r="U129" s="80">
        <f t="shared" si="3"/>
        <v>0</v>
      </c>
    </row>
    <row r="130" spans="1:21" x14ac:dyDescent="0.25">
      <c r="A130" s="76" t="s">
        <v>157</v>
      </c>
      <c r="B130" s="77">
        <v>0</v>
      </c>
      <c r="C130" s="78">
        <f>IFERROR(B130/B327, "NA")</f>
        <v>0</v>
      </c>
      <c r="D130" s="79"/>
      <c r="E130" s="77">
        <v>350.17</v>
      </c>
      <c r="F130" s="78">
        <f>IFERROR(E130/E327, "NA")</f>
        <v>1.9902478933123458E-4</v>
      </c>
      <c r="G130" s="79"/>
      <c r="H130" s="77">
        <v>-350.17</v>
      </c>
      <c r="I130" s="78">
        <f>IFERROR(H130/H327, "NA")</f>
        <v>-1.4308537991287047E-4</v>
      </c>
      <c r="J130" s="79"/>
      <c r="K130" s="77">
        <v>-8038</v>
      </c>
      <c r="L130" s="78">
        <f>IFERROR(K130/K327, "NA")</f>
        <v>-5.3061525941752305E-3</v>
      </c>
      <c r="M130" s="79"/>
      <c r="N130" s="77">
        <v>0</v>
      </c>
      <c r="O130" s="78">
        <f>IFERROR(N130/N327, "NA")</f>
        <v>0</v>
      </c>
      <c r="P130" s="79"/>
      <c r="Q130" s="77">
        <v>0</v>
      </c>
      <c r="R130" s="78">
        <f>IFERROR(Q130/Q327, "NA")</f>
        <v>0</v>
      </c>
      <c r="T130" s="80">
        <f t="shared" si="2"/>
        <v>-8038</v>
      </c>
      <c r="U130" s="80">
        <f t="shared" si="3"/>
        <v>-44.164835164835161</v>
      </c>
    </row>
    <row r="131" spans="1:21" x14ac:dyDescent="0.25">
      <c r="A131" s="76" t="s">
        <v>158</v>
      </c>
      <c r="B131" s="77">
        <v>0</v>
      </c>
      <c r="C131" s="78">
        <f>IFERROR(B131/B327, "NA")</f>
        <v>0</v>
      </c>
      <c r="D131" s="79"/>
      <c r="E131" s="77">
        <v>0</v>
      </c>
      <c r="F131" s="78">
        <f>IFERROR(E131/E327, "NA")</f>
        <v>0</v>
      </c>
      <c r="G131" s="79"/>
      <c r="H131" s="77">
        <v>0</v>
      </c>
      <c r="I131" s="78">
        <f>IFERROR(H131/H327, "NA")</f>
        <v>0</v>
      </c>
      <c r="J131" s="79"/>
      <c r="K131" s="77">
        <v>0</v>
      </c>
      <c r="L131" s="78">
        <f>IFERROR(K131/K327, "NA")</f>
        <v>0</v>
      </c>
      <c r="M131" s="79"/>
      <c r="N131" s="77">
        <v>0</v>
      </c>
      <c r="O131" s="78">
        <f>IFERROR(N131/N327, "NA")</f>
        <v>0</v>
      </c>
      <c r="P131" s="79"/>
      <c r="Q131" s="77">
        <v>0</v>
      </c>
      <c r="R131" s="78">
        <f>IFERROR(Q131/Q327, "NA")</f>
        <v>0</v>
      </c>
      <c r="T131" s="80">
        <f t="shared" si="2"/>
        <v>0</v>
      </c>
      <c r="U131" s="80">
        <f t="shared" si="3"/>
        <v>0</v>
      </c>
    </row>
    <row r="132" spans="1:21" x14ac:dyDescent="0.25">
      <c r="A132" s="76" t="s">
        <v>159</v>
      </c>
      <c r="B132" s="77">
        <v>0</v>
      </c>
      <c r="C132" s="78">
        <f>IFERROR(B132/B327, "NA")</f>
        <v>0</v>
      </c>
      <c r="D132" s="79"/>
      <c r="E132" s="77">
        <v>0</v>
      </c>
      <c r="F132" s="78">
        <f>IFERROR(E132/E327, "NA")</f>
        <v>0</v>
      </c>
      <c r="G132" s="79"/>
      <c r="H132" s="77">
        <v>0</v>
      </c>
      <c r="I132" s="78">
        <f>IFERROR(H132/H327, "NA")</f>
        <v>0</v>
      </c>
      <c r="J132" s="79"/>
      <c r="K132" s="77">
        <v>0</v>
      </c>
      <c r="L132" s="78">
        <f>IFERROR(K132/K327, "NA")</f>
        <v>0</v>
      </c>
      <c r="M132" s="79"/>
      <c r="N132" s="77">
        <v>0</v>
      </c>
      <c r="O132" s="78">
        <f>IFERROR(N132/N327, "NA")</f>
        <v>0</v>
      </c>
      <c r="P132" s="79"/>
      <c r="Q132" s="77">
        <v>0</v>
      </c>
      <c r="R132" s="78">
        <f>IFERROR(Q132/Q327, "NA")</f>
        <v>0</v>
      </c>
      <c r="T132" s="80">
        <f t="shared" si="2"/>
        <v>0</v>
      </c>
      <c r="U132" s="80">
        <f t="shared" si="3"/>
        <v>0</v>
      </c>
    </row>
    <row r="133" spans="1:21" x14ac:dyDescent="0.25">
      <c r="A133" s="76" t="s">
        <v>160</v>
      </c>
      <c r="B133" s="77">
        <v>0</v>
      </c>
      <c r="C133" s="78">
        <f>IFERROR(B133/B327, "NA")</f>
        <v>0</v>
      </c>
      <c r="D133" s="79"/>
      <c r="E133" s="77">
        <v>0</v>
      </c>
      <c r="F133" s="78">
        <f>IFERROR(E133/E327, "NA")</f>
        <v>0</v>
      </c>
      <c r="G133" s="79"/>
      <c r="H133" s="77">
        <v>0</v>
      </c>
      <c r="I133" s="78">
        <f>IFERROR(H133/H327, "NA")</f>
        <v>0</v>
      </c>
      <c r="J133" s="79"/>
      <c r="K133" s="77">
        <v>0</v>
      </c>
      <c r="L133" s="78">
        <f>IFERROR(K133/K327, "NA")</f>
        <v>0</v>
      </c>
      <c r="M133" s="79"/>
      <c r="N133" s="77">
        <v>0</v>
      </c>
      <c r="O133" s="78">
        <f>IFERROR(N133/N327, "NA")</f>
        <v>0</v>
      </c>
      <c r="P133" s="79"/>
      <c r="Q133" s="77">
        <v>0</v>
      </c>
      <c r="R133" s="78">
        <f>IFERROR(Q133/Q327, "NA")</f>
        <v>0</v>
      </c>
      <c r="T133" s="80">
        <f t="shared" si="2"/>
        <v>0</v>
      </c>
      <c r="U133" s="80">
        <f t="shared" si="3"/>
        <v>0</v>
      </c>
    </row>
    <row r="134" spans="1:21" x14ac:dyDescent="0.25">
      <c r="A134" s="76" t="s">
        <v>161</v>
      </c>
      <c r="B134" s="77">
        <v>0</v>
      </c>
      <c r="C134" s="78">
        <f>IFERROR(B134/B327, "NA")</f>
        <v>0</v>
      </c>
      <c r="D134" s="79"/>
      <c r="E134" s="77">
        <v>0</v>
      </c>
      <c r="F134" s="78">
        <f>IFERROR(E134/E327, "NA")</f>
        <v>0</v>
      </c>
      <c r="G134" s="79"/>
      <c r="H134" s="77">
        <v>0</v>
      </c>
      <c r="I134" s="78">
        <f>IFERROR(H134/H327, "NA")</f>
        <v>0</v>
      </c>
      <c r="J134" s="79"/>
      <c r="K134" s="77">
        <v>0</v>
      </c>
      <c r="L134" s="78">
        <f>IFERROR(K134/K327, "NA")</f>
        <v>0</v>
      </c>
      <c r="M134" s="79"/>
      <c r="N134" s="77">
        <v>0</v>
      </c>
      <c r="O134" s="78">
        <f>IFERROR(N134/N327, "NA")</f>
        <v>0</v>
      </c>
      <c r="P134" s="79"/>
      <c r="Q134" s="77">
        <v>0</v>
      </c>
      <c r="R134" s="78">
        <f>IFERROR(Q134/Q327, "NA")</f>
        <v>0</v>
      </c>
      <c r="T134" s="80">
        <f t="shared" si="2"/>
        <v>0</v>
      </c>
      <c r="U134" s="80">
        <f t="shared" si="3"/>
        <v>0</v>
      </c>
    </row>
    <row r="135" spans="1:21" x14ac:dyDescent="0.25">
      <c r="A135" s="76" t="s">
        <v>162</v>
      </c>
      <c r="B135" s="77">
        <v>0</v>
      </c>
      <c r="C135" s="78">
        <f>IFERROR(B135/B327, "NA")</f>
        <v>0</v>
      </c>
      <c r="D135" s="79"/>
      <c r="E135" s="77">
        <v>0</v>
      </c>
      <c r="F135" s="78">
        <f>IFERROR(E135/E327, "NA")</f>
        <v>0</v>
      </c>
      <c r="G135" s="79"/>
      <c r="H135" s="77">
        <v>0</v>
      </c>
      <c r="I135" s="78">
        <f>IFERROR(H135/H327, "NA")</f>
        <v>0</v>
      </c>
      <c r="J135" s="79"/>
      <c r="K135" s="77">
        <v>0</v>
      </c>
      <c r="L135" s="78">
        <f>IFERROR(K135/K327, "NA")</f>
        <v>0</v>
      </c>
      <c r="M135" s="79"/>
      <c r="N135" s="77">
        <v>0</v>
      </c>
      <c r="O135" s="78">
        <f>IFERROR(N135/N327, "NA")</f>
        <v>0</v>
      </c>
      <c r="P135" s="79"/>
      <c r="Q135" s="77">
        <v>0</v>
      </c>
      <c r="R135" s="78">
        <f>IFERROR(Q135/Q327, "NA")</f>
        <v>0</v>
      </c>
      <c r="T135" s="80">
        <f t="shared" si="2"/>
        <v>0</v>
      </c>
      <c r="U135" s="80">
        <f t="shared" si="3"/>
        <v>0</v>
      </c>
    </row>
    <row r="136" spans="1:21" x14ac:dyDescent="0.25">
      <c r="A136" s="76" t="s">
        <v>163</v>
      </c>
      <c r="B136" s="77">
        <v>0</v>
      </c>
      <c r="C136" s="78">
        <f>IFERROR(B136/B327, "NA")</f>
        <v>0</v>
      </c>
      <c r="D136" s="79"/>
      <c r="E136" s="77">
        <v>0</v>
      </c>
      <c r="F136" s="78">
        <f>IFERROR(E136/E327, "NA")</f>
        <v>0</v>
      </c>
      <c r="G136" s="79"/>
      <c r="H136" s="77">
        <v>0</v>
      </c>
      <c r="I136" s="78">
        <f>IFERROR(H136/H327, "NA")</f>
        <v>0</v>
      </c>
      <c r="J136" s="79"/>
      <c r="K136" s="77">
        <v>0</v>
      </c>
      <c r="L136" s="78">
        <f>IFERROR(K136/K327, "NA")</f>
        <v>0</v>
      </c>
      <c r="M136" s="79"/>
      <c r="N136" s="77">
        <v>0</v>
      </c>
      <c r="O136" s="78">
        <f>IFERROR(N136/N327, "NA")</f>
        <v>0</v>
      </c>
      <c r="P136" s="79"/>
      <c r="Q136" s="77">
        <v>0</v>
      </c>
      <c r="R136" s="78">
        <f>IFERROR(Q136/Q327, "NA")</f>
        <v>0</v>
      </c>
      <c r="T136" s="80">
        <f t="shared" si="2"/>
        <v>0</v>
      </c>
      <c r="U136" s="80">
        <f t="shared" si="3"/>
        <v>0</v>
      </c>
    </row>
    <row r="137" spans="1:21" x14ac:dyDescent="0.25">
      <c r="A137" s="76" t="s">
        <v>164</v>
      </c>
      <c r="B137" s="77">
        <v>0</v>
      </c>
      <c r="C137" s="78">
        <f>IFERROR(B137/B327, "NA")</f>
        <v>0</v>
      </c>
      <c r="D137" s="79"/>
      <c r="E137" s="77">
        <v>0</v>
      </c>
      <c r="F137" s="78">
        <f>IFERROR(E137/E327, "NA")</f>
        <v>0</v>
      </c>
      <c r="G137" s="79"/>
      <c r="H137" s="77">
        <v>0</v>
      </c>
      <c r="I137" s="78">
        <f>IFERROR(H137/H327, "NA")</f>
        <v>0</v>
      </c>
      <c r="J137" s="79"/>
      <c r="K137" s="77">
        <v>0</v>
      </c>
      <c r="L137" s="78">
        <f>IFERROR(K137/K327, "NA")</f>
        <v>0</v>
      </c>
      <c r="M137" s="79"/>
      <c r="N137" s="77">
        <v>0</v>
      </c>
      <c r="O137" s="78">
        <f>IFERROR(N137/N327, "NA")</f>
        <v>0</v>
      </c>
      <c r="P137" s="79"/>
      <c r="Q137" s="77">
        <v>0</v>
      </c>
      <c r="R137" s="78">
        <f>IFERROR(Q137/Q327, "NA")</f>
        <v>0</v>
      </c>
      <c r="T137" s="80">
        <f t="shared" ref="T137:T200" si="4">IFERROR(B137+E137+H137+K137+N137+Q137, "NA")</f>
        <v>0</v>
      </c>
      <c r="U137" s="80">
        <f t="shared" ref="U137:U200" si="5">(T137/$V$1)/7</f>
        <v>0</v>
      </c>
    </row>
    <row r="138" spans="1:21" x14ac:dyDescent="0.25">
      <c r="A138" s="76" t="s">
        <v>165</v>
      </c>
      <c r="B138" s="77">
        <v>0</v>
      </c>
      <c r="C138" s="78">
        <f>IFERROR(B138/B327, "NA")</f>
        <v>0</v>
      </c>
      <c r="D138" s="79"/>
      <c r="E138" s="77">
        <v>0</v>
      </c>
      <c r="F138" s="78">
        <f>IFERROR(E138/E327, "NA")</f>
        <v>0</v>
      </c>
      <c r="G138" s="79"/>
      <c r="H138" s="77">
        <v>0</v>
      </c>
      <c r="I138" s="78">
        <f>IFERROR(H138/H327, "NA")</f>
        <v>0</v>
      </c>
      <c r="J138" s="79"/>
      <c r="K138" s="77">
        <v>0</v>
      </c>
      <c r="L138" s="78">
        <f>IFERROR(K138/K327, "NA")</f>
        <v>0</v>
      </c>
      <c r="M138" s="79"/>
      <c r="N138" s="77">
        <v>0</v>
      </c>
      <c r="O138" s="78">
        <f>IFERROR(N138/N327, "NA")</f>
        <v>0</v>
      </c>
      <c r="P138" s="79"/>
      <c r="Q138" s="77">
        <v>0</v>
      </c>
      <c r="R138" s="78">
        <f>IFERROR(Q138/Q327, "NA")</f>
        <v>0</v>
      </c>
      <c r="T138" s="80">
        <f t="shared" si="4"/>
        <v>0</v>
      </c>
      <c r="U138" s="80">
        <f t="shared" si="5"/>
        <v>0</v>
      </c>
    </row>
    <row r="139" spans="1:21" x14ac:dyDescent="0.25">
      <c r="A139" s="76" t="s">
        <v>166</v>
      </c>
      <c r="B139" s="77">
        <v>79298</v>
      </c>
      <c r="C139" s="78">
        <f>IFERROR(B139/B327, "NA")</f>
        <v>3.5777281356857434E-2</v>
      </c>
      <c r="D139" s="79"/>
      <c r="E139" s="77">
        <v>74292.75</v>
      </c>
      <c r="F139" s="78">
        <f>IFERROR(E139/E327, "NA")</f>
        <v>4.222548738495039E-2</v>
      </c>
      <c r="G139" s="79"/>
      <c r="H139" s="77">
        <v>91613.93</v>
      </c>
      <c r="I139" s="78">
        <f>IFERROR(H139/H327, "NA")</f>
        <v>3.7435000083848181E-2</v>
      </c>
      <c r="J139" s="79"/>
      <c r="K139" s="77">
        <v>56543.14</v>
      </c>
      <c r="L139" s="78">
        <f>IFERROR(K139/K327, "NA")</f>
        <v>3.732601754090735E-2</v>
      </c>
      <c r="M139" s="79"/>
      <c r="N139" s="77">
        <v>73565.320000000007</v>
      </c>
      <c r="O139" s="78">
        <f>IFERROR(N139/N327, "NA")</f>
        <v>3.4798794472638686E-2</v>
      </c>
      <c r="P139" s="79"/>
      <c r="Q139" s="77">
        <v>65602.3</v>
      </c>
      <c r="R139" s="78">
        <f>IFERROR(Q139/Q327, "NA")</f>
        <v>4.7290061959126717E-2</v>
      </c>
      <c r="T139" s="80">
        <f t="shared" si="4"/>
        <v>440915.44</v>
      </c>
      <c r="U139" s="80">
        <f t="shared" si="5"/>
        <v>2422.6123076923077</v>
      </c>
    </row>
    <row r="140" spans="1:21" x14ac:dyDescent="0.25">
      <c r="A140" s="76" t="s">
        <v>167</v>
      </c>
      <c r="B140" s="77">
        <v>0</v>
      </c>
      <c r="C140" s="78">
        <f>IFERROR(B140/B327, "NA")</f>
        <v>0</v>
      </c>
      <c r="D140" s="79"/>
      <c r="E140" s="77">
        <v>0</v>
      </c>
      <c r="F140" s="78">
        <f>IFERROR(E140/E327, "NA")</f>
        <v>0</v>
      </c>
      <c r="G140" s="79"/>
      <c r="H140" s="77">
        <v>0</v>
      </c>
      <c r="I140" s="78">
        <f>IFERROR(H140/H327, "NA")</f>
        <v>0</v>
      </c>
      <c r="J140" s="79"/>
      <c r="K140" s="77">
        <v>0</v>
      </c>
      <c r="L140" s="78">
        <f>IFERROR(K140/K327, "NA")</f>
        <v>0</v>
      </c>
      <c r="M140" s="79"/>
      <c r="N140" s="77">
        <v>0</v>
      </c>
      <c r="O140" s="78">
        <f>IFERROR(N140/N327, "NA")</f>
        <v>0</v>
      </c>
      <c r="P140" s="79"/>
      <c r="Q140" s="77">
        <v>0</v>
      </c>
      <c r="R140" s="78">
        <f>IFERROR(Q140/Q327, "NA")</f>
        <v>0</v>
      </c>
      <c r="T140" s="80">
        <f t="shared" si="4"/>
        <v>0</v>
      </c>
      <c r="U140" s="80">
        <f t="shared" si="5"/>
        <v>0</v>
      </c>
    </row>
    <row r="141" spans="1:21" x14ac:dyDescent="0.25">
      <c r="A141" s="76" t="s">
        <v>168</v>
      </c>
      <c r="B141" s="77">
        <v>30393.32</v>
      </c>
      <c r="C141" s="78">
        <f>IFERROR(B141/B327, "NA")</f>
        <v>1.3712708529962953E-2</v>
      </c>
      <c r="D141" s="79"/>
      <c r="E141" s="77">
        <v>33869.21</v>
      </c>
      <c r="F141" s="78">
        <f>IFERROR(E141/E327, "NA")</f>
        <v>1.9250113902005723E-2</v>
      </c>
      <c r="G141" s="79"/>
      <c r="H141" s="77">
        <v>61476.3</v>
      </c>
      <c r="I141" s="78">
        <f>IFERROR(H141/H327, "NA")</f>
        <v>2.5120255136469708E-2</v>
      </c>
      <c r="J141" s="79"/>
      <c r="K141" s="77">
        <v>41233.660000000003</v>
      </c>
      <c r="L141" s="78">
        <f>IFERROR(K141/K327, "NA")</f>
        <v>2.7219717837315187E-2</v>
      </c>
      <c r="M141" s="79"/>
      <c r="N141" s="77">
        <v>43619.27</v>
      </c>
      <c r="O141" s="78">
        <f>IFERROR(N141/N327, "NA")</f>
        <v>2.0633336628951445E-2</v>
      </c>
      <c r="P141" s="79"/>
      <c r="Q141" s="77">
        <v>35722.629999999997</v>
      </c>
      <c r="R141" s="78">
        <f>IFERROR(Q141/Q327, "NA")</f>
        <v>2.575100851712453E-2</v>
      </c>
      <c r="T141" s="80">
        <f t="shared" si="4"/>
        <v>246314.38999999998</v>
      </c>
      <c r="U141" s="80">
        <f t="shared" si="5"/>
        <v>1353.3757692307693</v>
      </c>
    </row>
    <row r="142" spans="1:21" x14ac:dyDescent="0.25">
      <c r="A142" s="76" t="s">
        <v>169</v>
      </c>
      <c r="B142" s="77">
        <v>16754</v>
      </c>
      <c r="C142" s="78">
        <f>IFERROR(B142/B327, "NA")</f>
        <v>7.5589872613784637E-3</v>
      </c>
      <c r="D142" s="79"/>
      <c r="E142" s="77">
        <v>16754</v>
      </c>
      <c r="F142" s="78">
        <f>IFERROR(E142/E327, "NA")</f>
        <v>9.522407174959318E-3</v>
      </c>
      <c r="G142" s="79"/>
      <c r="H142" s="77">
        <v>20479</v>
      </c>
      <c r="I142" s="78">
        <f>IFERROR(H142/H327, "NA")</f>
        <v>8.3680654974317443E-3</v>
      </c>
      <c r="J142" s="79"/>
      <c r="K142" s="77">
        <v>15694</v>
      </c>
      <c r="L142" s="78">
        <f>IFERROR(K142/K327, "NA")</f>
        <v>1.0360134214106254E-2</v>
      </c>
      <c r="M142" s="79"/>
      <c r="N142" s="77">
        <v>16917</v>
      </c>
      <c r="O142" s="78">
        <f>IFERROR(N142/N327, "NA")</f>
        <v>8.0022924673423378E-3</v>
      </c>
      <c r="P142" s="79"/>
      <c r="Q142" s="77">
        <v>16917</v>
      </c>
      <c r="R142" s="78">
        <f>IFERROR(Q142/Q327, "NA")</f>
        <v>1.2194785520668432E-2</v>
      </c>
      <c r="T142" s="80">
        <f t="shared" si="4"/>
        <v>103515</v>
      </c>
      <c r="U142" s="80">
        <f t="shared" si="5"/>
        <v>568.76373626373629</v>
      </c>
    </row>
    <row r="143" spans="1:21" x14ac:dyDescent="0.25">
      <c r="A143" s="81" t="s">
        <v>170</v>
      </c>
      <c r="B143" s="82">
        <f>IFERROR(B122+B123+B124+B125+B126+B127+B128+B129+B130+B131+B132+B133+B134+B135+B136+B137+B138+B139+B140+B141+B142, "NA")</f>
        <v>147772.26</v>
      </c>
      <c r="C143" s="83">
        <f>IFERROR(B143/B327, "NA")</f>
        <v>6.6671160972013033E-2</v>
      </c>
      <c r="D143" s="72"/>
      <c r="E143" s="82">
        <f>IFERROR(E122+E123+E124+E125+E126+E127+E128+E129+E130+E131+E132+E133+E134+E135+E136+E137+E138+E139+E140+E141+E142, "NA")</f>
        <v>150612.31</v>
      </c>
      <c r="F143" s="83">
        <f>IFERROR(E143/E327, "NA")</f>
        <v>8.5602945050805596E-2</v>
      </c>
      <c r="G143" s="72"/>
      <c r="H143" s="82">
        <f>IFERROR(H122+H123+H124+H125+H126+H127+H128+H129+H130+H131+H132+H133+H134+H135+H136+H137+H138+H139+H140+H141+H142, "NA")</f>
        <v>230459.44</v>
      </c>
      <c r="I143" s="83">
        <f>IFERROR(H143/H327, "NA")</f>
        <v>9.4169621974776171E-2</v>
      </c>
      <c r="J143" s="72"/>
      <c r="K143" s="82">
        <f>IFERROR(K122+K123+K124+K125+K126+K127+K128+K129+K130+K131+K132+K133+K134+K135+K136+K137+K138+K139+K140+K141+K142, "NA")</f>
        <v>136778.98000000001</v>
      </c>
      <c r="L143" s="83">
        <f>IFERROR(K143/K327, "NA")</f>
        <v>9.0292378645887295E-2</v>
      </c>
      <c r="M143" s="72"/>
      <c r="N143" s="82">
        <f>IFERROR(N122+N123+N124+N125+N126+N127+N128+N129+N130+N131+N132+N133+N134+N135+N136+N137+N138+N139+N140+N141+N142, "NA")</f>
        <v>168261.31</v>
      </c>
      <c r="O143" s="83">
        <f>IFERROR(N143/N327, "NA")</f>
        <v>7.9593084681572029E-2</v>
      </c>
      <c r="P143" s="72"/>
      <c r="Q143" s="82">
        <f>IFERROR(Q122+Q123+Q124+Q125+Q126+Q127+Q128+Q129+Q130+Q131+Q132+Q133+Q134+Q135+Q136+Q137+Q138+Q139+Q140+Q141+Q142, "NA")</f>
        <v>164847.01</v>
      </c>
      <c r="R143" s="83">
        <f>IFERROR(Q143/Q327, "NA")</f>
        <v>0.11883158542729114</v>
      </c>
      <c r="T143" s="80">
        <f t="shared" si="4"/>
        <v>998731.31</v>
      </c>
      <c r="U143" s="80">
        <f t="shared" si="5"/>
        <v>5487.53467032967</v>
      </c>
    </row>
    <row r="144" spans="1:21" x14ac:dyDescent="0.25">
      <c r="A144" s="75" t="s">
        <v>171</v>
      </c>
      <c r="B144" s="72"/>
      <c r="C144" s="73"/>
      <c r="D144" s="74"/>
      <c r="E144" s="72"/>
      <c r="F144" s="73"/>
      <c r="G144" s="74"/>
      <c r="H144" s="72"/>
      <c r="I144" s="73"/>
      <c r="J144" s="74"/>
      <c r="K144" s="72"/>
      <c r="L144" s="73"/>
      <c r="M144" s="74"/>
      <c r="N144" s="72"/>
      <c r="O144" s="73"/>
      <c r="P144" s="74"/>
      <c r="Q144" s="72"/>
      <c r="R144" s="73"/>
      <c r="T144" s="80">
        <f t="shared" si="4"/>
        <v>0</v>
      </c>
      <c r="U144" s="80">
        <f t="shared" si="5"/>
        <v>0</v>
      </c>
    </row>
    <row r="145" spans="1:21" x14ac:dyDescent="0.25">
      <c r="A145" s="76" t="s">
        <v>172</v>
      </c>
      <c r="B145" s="77">
        <v>0</v>
      </c>
      <c r="C145" s="78">
        <f>IFERROR(B145/B327, "NA")</f>
        <v>0</v>
      </c>
      <c r="D145" s="79"/>
      <c r="E145" s="77">
        <v>0</v>
      </c>
      <c r="F145" s="78">
        <f>IFERROR(E145/E327, "NA")</f>
        <v>0</v>
      </c>
      <c r="G145" s="79"/>
      <c r="H145" s="77">
        <v>0</v>
      </c>
      <c r="I145" s="78">
        <f>IFERROR(H145/H327, "NA")</f>
        <v>0</v>
      </c>
      <c r="J145" s="79"/>
      <c r="K145" s="77">
        <v>0</v>
      </c>
      <c r="L145" s="78">
        <f>IFERROR(K145/K327, "NA")</f>
        <v>0</v>
      </c>
      <c r="M145" s="79"/>
      <c r="N145" s="77">
        <v>0</v>
      </c>
      <c r="O145" s="78">
        <f>IFERROR(N145/N327, "NA")</f>
        <v>0</v>
      </c>
      <c r="P145" s="79"/>
      <c r="Q145" s="77">
        <v>0</v>
      </c>
      <c r="R145" s="78">
        <f>IFERROR(Q145/Q327, "NA")</f>
        <v>0</v>
      </c>
      <c r="T145" s="80">
        <f t="shared" si="4"/>
        <v>0</v>
      </c>
      <c r="U145" s="80">
        <f t="shared" si="5"/>
        <v>0</v>
      </c>
    </row>
    <row r="146" spans="1:21" x14ac:dyDescent="0.25">
      <c r="A146" s="76" t="s">
        <v>173</v>
      </c>
      <c r="B146" s="77">
        <v>35263.160000000003</v>
      </c>
      <c r="C146" s="78">
        <f>IFERROR(B146/B327, "NA")</f>
        <v>1.5909858973137795E-2</v>
      </c>
      <c r="D146" s="79"/>
      <c r="E146" s="77">
        <v>31011.8</v>
      </c>
      <c r="F146" s="78">
        <f>IFERROR(E146/E327, "NA")</f>
        <v>1.7626058662313676E-2</v>
      </c>
      <c r="G146" s="79"/>
      <c r="H146" s="77">
        <v>40157.26</v>
      </c>
      <c r="I146" s="78">
        <f>IFERROR(H146/H327, "NA")</f>
        <v>1.6408935098266318E-2</v>
      </c>
      <c r="J146" s="79"/>
      <c r="K146" s="77">
        <v>25931.49</v>
      </c>
      <c r="L146" s="78">
        <f>IFERROR(K146/K327, "NA")</f>
        <v>1.7118243709172563E-2</v>
      </c>
      <c r="M146" s="79"/>
      <c r="N146" s="77">
        <v>36172.43</v>
      </c>
      <c r="O146" s="78">
        <f>IFERROR(N146/N327, "NA")</f>
        <v>1.7110738553790153E-2</v>
      </c>
      <c r="P146" s="79"/>
      <c r="Q146" s="77">
        <v>44232.87</v>
      </c>
      <c r="R146" s="78">
        <f>IFERROR(Q146/Q327, "NA")</f>
        <v>3.1885698564379561E-2</v>
      </c>
      <c r="T146" s="80">
        <f t="shared" si="4"/>
        <v>212769.00999999998</v>
      </c>
      <c r="U146" s="80">
        <f t="shared" si="5"/>
        <v>1169.0604945054945</v>
      </c>
    </row>
    <row r="147" spans="1:21" x14ac:dyDescent="0.25">
      <c r="A147" s="76" t="s">
        <v>174</v>
      </c>
      <c r="B147" s="77">
        <v>15708.38</v>
      </c>
      <c r="C147" s="78">
        <f>IFERROR(B147/B327, "NA")</f>
        <v>7.0872295760351098E-3</v>
      </c>
      <c r="D147" s="79"/>
      <c r="E147" s="77">
        <v>8420.31</v>
      </c>
      <c r="F147" s="78">
        <f>IFERROR(E147/E327, "NA")</f>
        <v>4.7858195272401623E-3</v>
      </c>
      <c r="G147" s="79"/>
      <c r="H147" s="77">
        <v>4645.38</v>
      </c>
      <c r="I147" s="78">
        <f>IFERROR(H147/H327, "NA")</f>
        <v>1.8981807754509244E-3</v>
      </c>
      <c r="J147" s="79"/>
      <c r="K147" s="77">
        <v>4633.07</v>
      </c>
      <c r="L147" s="78">
        <f>IFERROR(K147/K327, "NA")</f>
        <v>3.0584444388523807E-3</v>
      </c>
      <c r="M147" s="79"/>
      <c r="N147" s="77">
        <v>2080.7600000000002</v>
      </c>
      <c r="O147" s="78">
        <f>IFERROR(N147/N327, "NA")</f>
        <v>9.84267309472557E-4</v>
      </c>
      <c r="P147" s="79"/>
      <c r="Q147" s="77">
        <v>2671.77</v>
      </c>
      <c r="R147" s="78">
        <f>IFERROR(Q147/Q327, "NA")</f>
        <v>1.9259716327100723E-3</v>
      </c>
      <c r="T147" s="80">
        <f t="shared" si="4"/>
        <v>38159.67</v>
      </c>
      <c r="U147" s="80">
        <f t="shared" si="5"/>
        <v>209.66851648351647</v>
      </c>
    </row>
    <row r="148" spans="1:21" x14ac:dyDescent="0.25">
      <c r="A148" s="76" t="s">
        <v>175</v>
      </c>
      <c r="B148" s="77">
        <v>3006.15</v>
      </c>
      <c r="C148" s="78">
        <f>IFERROR(B148/B327, "NA")</f>
        <v>1.3562999615490553E-3</v>
      </c>
      <c r="D148" s="79"/>
      <c r="E148" s="77">
        <v>3240.32</v>
      </c>
      <c r="F148" s="78">
        <f>IFERROR(E148/E327, "NA")</f>
        <v>1.8416883381380076E-3</v>
      </c>
      <c r="G148" s="79"/>
      <c r="H148" s="77">
        <v>4198.7700000000004</v>
      </c>
      <c r="I148" s="78">
        <f>IFERROR(H148/H327, "NA")</f>
        <v>1.7156883816910732E-3</v>
      </c>
      <c r="J148" s="79"/>
      <c r="K148" s="77">
        <v>7729.86</v>
      </c>
      <c r="L148" s="78">
        <f>IFERROR(K148/K327, "NA")</f>
        <v>5.102739075841173E-3</v>
      </c>
      <c r="M148" s="79"/>
      <c r="N148" s="77">
        <v>4479.78</v>
      </c>
      <c r="O148" s="78">
        <f>IFERROR(N148/N327, "NA")</f>
        <v>2.1190819737158394E-3</v>
      </c>
      <c r="P148" s="79"/>
      <c r="Q148" s="77">
        <v>3777.49</v>
      </c>
      <c r="R148" s="78">
        <f>IFERROR(Q148/Q327, "NA")</f>
        <v>2.7230407493332026E-3</v>
      </c>
      <c r="T148" s="80">
        <f t="shared" si="4"/>
        <v>26432.370000000003</v>
      </c>
      <c r="U148" s="80">
        <f t="shared" si="5"/>
        <v>145.23280219780222</v>
      </c>
    </row>
    <row r="149" spans="1:21" x14ac:dyDescent="0.25">
      <c r="A149" s="76" t="s">
        <v>176</v>
      </c>
      <c r="B149" s="77">
        <v>3750.52</v>
      </c>
      <c r="C149" s="78">
        <f>IFERROR(B149/B327, "NA")</f>
        <v>1.6921411545628004E-3</v>
      </c>
      <c r="D149" s="79"/>
      <c r="E149" s="77">
        <v>6401.06</v>
      </c>
      <c r="F149" s="78">
        <f>IFERROR(E149/E327, "NA")</f>
        <v>3.6381460947442455E-3</v>
      </c>
      <c r="G149" s="79"/>
      <c r="H149" s="77">
        <v>2151.96</v>
      </c>
      <c r="I149" s="78">
        <f>IFERROR(H149/H327, "NA")</f>
        <v>8.7932722436902277E-4</v>
      </c>
      <c r="J149" s="79"/>
      <c r="K149" s="77">
        <v>1723.65</v>
      </c>
      <c r="L149" s="78">
        <f>IFERROR(K149/K327, "NA")</f>
        <v>1.1378390045969316E-3</v>
      </c>
      <c r="M149" s="79"/>
      <c r="N149" s="77">
        <v>11154.71</v>
      </c>
      <c r="O149" s="78">
        <f>IFERROR(N149/N327, "NA")</f>
        <v>5.2765414558366289E-3</v>
      </c>
      <c r="P149" s="79"/>
      <c r="Q149" s="77">
        <v>5348.1</v>
      </c>
      <c r="R149" s="78">
        <f>IFERROR(Q149/Q327, "NA")</f>
        <v>3.855230386184716E-3</v>
      </c>
      <c r="T149" s="80">
        <f t="shared" si="4"/>
        <v>30530</v>
      </c>
      <c r="U149" s="80">
        <f t="shared" si="5"/>
        <v>167.74725274725276</v>
      </c>
    </row>
    <row r="150" spans="1:21" x14ac:dyDescent="0.25">
      <c r="A150" s="76" t="s">
        <v>177</v>
      </c>
      <c r="B150" s="77">
        <v>7721</v>
      </c>
      <c r="C150" s="78">
        <f>IFERROR(B150/B327, "NA")</f>
        <v>3.4835227793424328E-3</v>
      </c>
      <c r="D150" s="79"/>
      <c r="E150" s="77">
        <v>14987.06</v>
      </c>
      <c r="F150" s="78">
        <f>IFERROR(E150/E327, "NA")</f>
        <v>8.518138216279442E-3</v>
      </c>
      <c r="G150" s="79"/>
      <c r="H150" s="77">
        <v>17401.13</v>
      </c>
      <c r="I150" s="78">
        <f>IFERROR(H150/H327, "NA")</f>
        <v>7.1103957990782977E-3</v>
      </c>
      <c r="J150" s="79"/>
      <c r="K150" s="77">
        <v>6654.68</v>
      </c>
      <c r="L150" s="78">
        <f>IFERROR(K150/K327, "NA")</f>
        <v>4.3929768033597943E-3</v>
      </c>
      <c r="M150" s="79"/>
      <c r="N150" s="77">
        <v>9719.2900000000009</v>
      </c>
      <c r="O150" s="78">
        <f>IFERROR(N150/N327, "NA")</f>
        <v>4.597541003423522E-3</v>
      </c>
      <c r="P150" s="79"/>
      <c r="Q150" s="77">
        <v>6559.85</v>
      </c>
      <c r="R150" s="78">
        <f>IFERROR(Q150/Q327, "NA")</f>
        <v>4.7287322691822904E-3</v>
      </c>
      <c r="T150" s="80">
        <f t="shared" si="4"/>
        <v>63043.01</v>
      </c>
      <c r="U150" s="80">
        <f t="shared" si="5"/>
        <v>346.39016483516485</v>
      </c>
    </row>
    <row r="151" spans="1:21" x14ac:dyDescent="0.25">
      <c r="A151" s="81" t="s">
        <v>178</v>
      </c>
      <c r="B151" s="82">
        <f>IFERROR(B145+B146+B147+B148+B149+B150, "NA")</f>
        <v>65449.21</v>
      </c>
      <c r="C151" s="83">
        <f>IFERROR(B151/B327, "NA")</f>
        <v>2.9529052444627193E-2</v>
      </c>
      <c r="D151" s="72"/>
      <c r="E151" s="82">
        <f>IFERROR(E145+E146+E147+E148+E149+E150, "NA")</f>
        <v>64060.549999999996</v>
      </c>
      <c r="F151" s="83">
        <f>IFERROR(E151/E327, "NA")</f>
        <v>3.6409850838715535E-2</v>
      </c>
      <c r="G151" s="72"/>
      <c r="H151" s="82">
        <f>IFERROR(H145+H146+H147+H148+H149+H150, "NA")</f>
        <v>68554.5</v>
      </c>
      <c r="I151" s="83">
        <f>IFERROR(H151/H327, "NA")</f>
        <v>2.8012527278855635E-2</v>
      </c>
      <c r="J151" s="72"/>
      <c r="K151" s="82">
        <f>IFERROR(K145+K146+K147+K148+K149+K150, "NA")</f>
        <v>46672.75</v>
      </c>
      <c r="L151" s="83">
        <f>IFERROR(K151/K327, "NA")</f>
        <v>3.0810243031822841E-2</v>
      </c>
      <c r="M151" s="72"/>
      <c r="N151" s="82">
        <f>IFERROR(N145+N146+N147+N148+N149+N150, "NA")</f>
        <v>63606.97</v>
      </c>
      <c r="O151" s="83">
        <f>IFERROR(N151/N327, "NA")</f>
        <v>3.0088170296238701E-2</v>
      </c>
      <c r="P151" s="72"/>
      <c r="Q151" s="82">
        <f>IFERROR(Q145+Q146+Q147+Q148+Q149+Q150, "NA")</f>
        <v>62590.079999999994</v>
      </c>
      <c r="R151" s="83">
        <f>IFERROR(Q151/Q327, "NA")</f>
        <v>4.5118673601789838E-2</v>
      </c>
      <c r="T151" s="80">
        <f t="shared" si="4"/>
        <v>370934.06</v>
      </c>
      <c r="U151" s="80">
        <f t="shared" si="5"/>
        <v>2038.0992307692306</v>
      </c>
    </row>
    <row r="152" spans="1:21" x14ac:dyDescent="0.25">
      <c r="A152" s="84" t="s">
        <v>179</v>
      </c>
      <c r="B152" s="77">
        <v>0</v>
      </c>
      <c r="C152" s="78">
        <f>IFERROR(B152/B327, "NA")</f>
        <v>0</v>
      </c>
      <c r="D152" s="79"/>
      <c r="E152" s="77">
        <v>0</v>
      </c>
      <c r="F152" s="78">
        <f>IFERROR(E152/E327, "NA")</f>
        <v>0</v>
      </c>
      <c r="G152" s="79"/>
      <c r="H152" s="77">
        <v>0</v>
      </c>
      <c r="I152" s="78">
        <f>IFERROR(H152/H327, "NA")</f>
        <v>0</v>
      </c>
      <c r="J152" s="79"/>
      <c r="K152" s="77">
        <v>0</v>
      </c>
      <c r="L152" s="78">
        <f>IFERROR(K152/K327, "NA")</f>
        <v>0</v>
      </c>
      <c r="M152" s="79"/>
      <c r="N152" s="77">
        <v>0</v>
      </c>
      <c r="O152" s="78">
        <f>IFERROR(N152/N327, "NA")</f>
        <v>0</v>
      </c>
      <c r="P152" s="79"/>
      <c r="Q152" s="77">
        <v>0</v>
      </c>
      <c r="R152" s="78">
        <f>IFERROR(Q152/Q327, "NA")</f>
        <v>0</v>
      </c>
      <c r="T152" s="80">
        <f t="shared" si="4"/>
        <v>0</v>
      </c>
      <c r="U152" s="80">
        <f t="shared" si="5"/>
        <v>0</v>
      </c>
    </row>
    <row r="153" spans="1:21" x14ac:dyDescent="0.25">
      <c r="A153" s="84" t="s">
        <v>180</v>
      </c>
      <c r="B153" s="77">
        <v>19301.650000000001</v>
      </c>
      <c r="C153" s="78">
        <f>IFERROR(B153/B327, "NA")</f>
        <v>8.7084234495395513E-3</v>
      </c>
      <c r="D153" s="79"/>
      <c r="E153" s="77">
        <v>16594.11</v>
      </c>
      <c r="F153" s="78">
        <f>IFERROR(E153/E327, "NA")</f>
        <v>9.4315311045758722E-3</v>
      </c>
      <c r="G153" s="79"/>
      <c r="H153" s="77">
        <v>4214.88</v>
      </c>
      <c r="I153" s="78">
        <f>IFERROR(H153/H327, "NA")</f>
        <v>1.7222711999519075E-3</v>
      </c>
      <c r="J153" s="79"/>
      <c r="K153" s="77">
        <v>12099.33</v>
      </c>
      <c r="L153" s="78">
        <f>IFERROR(K153/K327, "NA")</f>
        <v>7.9871723397962422E-3</v>
      </c>
      <c r="M153" s="79"/>
      <c r="N153" s="77">
        <v>13715.09</v>
      </c>
      <c r="O153" s="78">
        <f>IFERROR(N153/N327, "NA")</f>
        <v>6.4876846601597347E-3</v>
      </c>
      <c r="P153" s="79"/>
      <c r="Q153" s="77">
        <v>16349.92</v>
      </c>
      <c r="R153" s="78">
        <f>IFERROR(Q153/Q327, "NA")</f>
        <v>1.1786000335762086E-2</v>
      </c>
      <c r="T153" s="80">
        <f t="shared" si="4"/>
        <v>82274.98</v>
      </c>
      <c r="U153" s="80">
        <f t="shared" si="5"/>
        <v>452.06032967032968</v>
      </c>
    </row>
    <row r="154" spans="1:21" x14ac:dyDescent="0.25">
      <c r="A154" s="84" t="s">
        <v>181</v>
      </c>
      <c r="B154" s="77">
        <v>283.8</v>
      </c>
      <c r="C154" s="78">
        <f>IFERROR(B154/B327, "NA")</f>
        <v>1.2804348721375244E-4</v>
      </c>
      <c r="D154" s="79"/>
      <c r="E154" s="77">
        <v>440.38</v>
      </c>
      <c r="F154" s="78">
        <f>IFERROR(E154/E327, "NA")</f>
        <v>2.502971034802784E-4</v>
      </c>
      <c r="G154" s="79"/>
      <c r="H154" s="77">
        <v>273.43</v>
      </c>
      <c r="I154" s="78">
        <f>IFERROR(H154/H327, "NA")</f>
        <v>1.1172811899813281E-4</v>
      </c>
      <c r="J154" s="79"/>
      <c r="K154" s="77">
        <v>246.73</v>
      </c>
      <c r="L154" s="78">
        <f>IFERROR(K154/K327, "NA")</f>
        <v>1.6287472375725985E-4</v>
      </c>
      <c r="M154" s="79"/>
      <c r="N154" s="77">
        <v>277.45999999999998</v>
      </c>
      <c r="O154" s="78">
        <f>IFERROR(N154/N327, "NA")</f>
        <v>1.3124762475550067E-4</v>
      </c>
      <c r="P154" s="79"/>
      <c r="Q154" s="77">
        <v>266.83</v>
      </c>
      <c r="R154" s="78">
        <f>IFERROR(Q154/Q327, "NA")</f>
        <v>1.9234702491458043E-4</v>
      </c>
      <c r="T154" s="80">
        <f t="shared" si="4"/>
        <v>1788.63</v>
      </c>
      <c r="U154" s="80">
        <f t="shared" si="5"/>
        <v>9.827637362637363</v>
      </c>
    </row>
    <row r="155" spans="1:21" x14ac:dyDescent="0.25">
      <c r="A155" s="84" t="s">
        <v>182</v>
      </c>
      <c r="B155" s="77">
        <v>32.81</v>
      </c>
      <c r="C155" s="78">
        <f>IFERROR(B155/B327, "NA")</f>
        <v>1.4803054318122683E-5</v>
      </c>
      <c r="D155" s="79"/>
      <c r="E155" s="77">
        <v>50.53</v>
      </c>
      <c r="F155" s="78">
        <f>IFERROR(E155/E327, "NA")</f>
        <v>2.8719543664241038E-5</v>
      </c>
      <c r="G155" s="79"/>
      <c r="H155" s="77">
        <v>-12.41</v>
      </c>
      <c r="I155" s="78">
        <f>IFERROR(H155/H327, "NA")</f>
        <v>-5.0709357304130063E-6</v>
      </c>
      <c r="J155" s="79"/>
      <c r="K155" s="77">
        <v>-12.41</v>
      </c>
      <c r="L155" s="78">
        <f>IFERROR(K155/K327, "NA")</f>
        <v>-8.1922559957345868E-6</v>
      </c>
      <c r="M155" s="79"/>
      <c r="N155" s="77">
        <v>-12.41</v>
      </c>
      <c r="O155" s="78">
        <f>IFERROR(N155/N327, "NA")</f>
        <v>-5.8703345462977135E-6</v>
      </c>
      <c r="P155" s="79"/>
      <c r="Q155" s="77">
        <v>-12.41</v>
      </c>
      <c r="R155" s="78">
        <f>IFERROR(Q155/Q327, "NA")</f>
        <v>-8.9458703263873764E-6</v>
      </c>
      <c r="T155" s="80">
        <f t="shared" si="4"/>
        <v>33.700000000000017</v>
      </c>
      <c r="U155" s="80">
        <f t="shared" si="5"/>
        <v>0.18516483516483526</v>
      </c>
    </row>
    <row r="156" spans="1:21" x14ac:dyDescent="0.25">
      <c r="A156" s="84" t="s">
        <v>183</v>
      </c>
      <c r="B156" s="77">
        <v>0</v>
      </c>
      <c r="C156" s="78">
        <f>IFERROR(B156/B327, "NA")</f>
        <v>0</v>
      </c>
      <c r="D156" s="79"/>
      <c r="E156" s="77">
        <v>0</v>
      </c>
      <c r="F156" s="78">
        <f>IFERROR(E156/E327, "NA")</f>
        <v>0</v>
      </c>
      <c r="G156" s="79"/>
      <c r="H156" s="77">
        <v>0</v>
      </c>
      <c r="I156" s="78">
        <f>IFERROR(H156/H327, "NA")</f>
        <v>0</v>
      </c>
      <c r="J156" s="79"/>
      <c r="K156" s="77">
        <v>0</v>
      </c>
      <c r="L156" s="78">
        <f>IFERROR(K156/K327, "NA")</f>
        <v>0</v>
      </c>
      <c r="M156" s="79"/>
      <c r="N156" s="77">
        <v>0</v>
      </c>
      <c r="O156" s="78">
        <f>IFERROR(N156/N327, "NA")</f>
        <v>0</v>
      </c>
      <c r="P156" s="79"/>
      <c r="Q156" s="77">
        <v>0</v>
      </c>
      <c r="R156" s="78">
        <f>IFERROR(Q156/Q327, "NA")</f>
        <v>0</v>
      </c>
      <c r="T156" s="80">
        <f t="shared" si="4"/>
        <v>0</v>
      </c>
      <c r="U156" s="80">
        <f t="shared" si="5"/>
        <v>0</v>
      </c>
    </row>
    <row r="157" spans="1:21" x14ac:dyDescent="0.25">
      <c r="A157" s="85" t="s">
        <v>184</v>
      </c>
      <c r="B157" s="82">
        <f>IFERROR(B55+B56+B57+B58+B59+B60+B61+B62+B63+B64+B66+B68+B69+B70+B71+B72+B73+B74+B75+B78+B79+B82+B84+B85+B86+B87+B88+B89+B90+B91+B92+B93+B94+B95+B96+B97+B98+B99+B100+B101+B102+B103+B104+B105+B106+B107+B108+B109+B110+B111+B112+B113+B114+B115+B116+B117+B118+B122+B123+B124+B125+B126+B127+B128+B129+B130+B131+B132+B133+B134+B135+B136+B137+B138+B139+B140+B141+B142+B145+B146+B147+B148+B149+B150+B152+B153+B154+B155+B156, "NA")</f>
        <v>677151.15000000026</v>
      </c>
      <c r="C157" s="83">
        <f>IFERROR(B157/B327, "NA")</f>
        <v>0.30551372310360386</v>
      </c>
      <c r="D157" s="72"/>
      <c r="E157" s="82">
        <f>IFERROR(E55+E56+E57+E58+E59+E60+E61+E62+E63+E64+E66+E68+E69+E70+E71+E72+E73+E74+E75+E78+E79+E82+E84+E85+E86+E87+E88+E89+E90+E91+E92+E93+E94+E95+E96+E97+E98+E99+E100+E101+E102+E103+E104+E105+E106+E107+E108+E109+E110+E111+E112+E113+E114+E115+E116+E117+E118+E122+E123+E124+E125+E126+E127+E128+E129+E130+E131+E132+E133+E134+E135+E136+E137+E138+E139+E140+E141+E142+E145+E146+E147+E148+E149+E150+E152+E153+E154+E155+E156, "NA")</f>
        <v>638871.70000000019</v>
      </c>
      <c r="F157" s="83">
        <f>IFERROR(E157/E327, "NA")</f>
        <v>0.36311307508406698</v>
      </c>
      <c r="G157" s="72"/>
      <c r="H157" s="82">
        <f>IFERROR(H55+H56+H57+H58+H59+H60+H61+H62+H63+H64+H66+H68+H69+H70+H71+H72+H73+H74+H75+H78+H79+H82+H84+H85+H86+H87+H88+H89+H90+H91+H92+H93+H94+H95+H96+H97+H98+H99+H100+H101+H102+H103+H104+H105+H106+H107+H108+H109+H110+H111+H112+H113+H114+H115+H116+H117+H118+H122+H123+H124+H125+H126+H127+H128+H129+H130+H131+H132+H133+H134+H135+H136+H137+H138+H139+H140+H141+H142+H145+H146+H147+H148+H149+H150+H152+H153+H154+H155+H156, "NA")</f>
        <v>907088.77000000014</v>
      </c>
      <c r="I157" s="83">
        <f>IFERROR(H157/H327, "NA")</f>
        <v>0.37065180132549441</v>
      </c>
      <c r="J157" s="72"/>
      <c r="K157" s="82">
        <f>IFERROR(K55+K56+K57+K58+K59+K60+K61+K62+K63+K64+K66+K68+K69+K70+K71+K72+K73+K74+K75+K78+K79+K82+K84+K85+K86+K87+K88+K89+K90+K91+K92+K93+K94+K95+K96+K97+K98+K99+K100+K101+K102+K103+K104+K105+K106+K107+K108+K109+K110+K111+K112+K113+K114+K115+K116+K117+K118+K122+K123+K124+K125+K126+K127+K128+K129+K130+K131+K132+K133+K134+K135+K136+K137+K138+K139+K140+K141+K142+K145+K146+K147+K148+K149+K150+K152+K153+K154+K155+K156, "NA")</f>
        <v>548280.90999999992</v>
      </c>
      <c r="L157" s="83">
        <f>IFERROR(K157/K327, "NA")</f>
        <v>0.3619385634403155</v>
      </c>
      <c r="M157" s="72"/>
      <c r="N157" s="82">
        <f>IFERROR(N55+N56+N57+N58+N59+N60+N61+N62+N63+N64+N66+N68+N69+N70+N71+N72+N73+N74+N75+N78+N79+N82+N84+N85+N86+N87+N88+N89+N90+N91+N92+N93+N94+N95+N96+N97+N98+N99+N100+N101+N102+N103+N104+N105+N106+N107+N108+N109+N110+N111+N112+N113+N114+N115+N116+N117+N118+N122+N123+N124+N125+N126+N127+N128+N129+N130+N131+N132+N133+N134+N135+N136+N137+N138+N139+N140+N141+N142+N145+N146+N147+N148+N149+N150+N152+N153+N154+N155+N156, "NA")</f>
        <v>668718.41</v>
      </c>
      <c r="O157" s="83">
        <f>IFERROR(N157/N327, "NA")</f>
        <v>0.31632560708849949</v>
      </c>
      <c r="P157" s="72"/>
      <c r="Q157" s="82">
        <f>IFERROR(Q55+Q56+Q57+Q58+Q59+Q60+Q61+Q62+Q63+Q64+Q66+Q68+Q69+Q70+Q71+Q72+Q73+Q74+Q75+Q78+Q79+Q82+Q84+Q85+Q86+Q87+Q88+Q89+Q90+Q91+Q92+Q93+Q94+Q95+Q96+Q97+Q98+Q99+Q100+Q101+Q102+Q103+Q104+Q105+Q106+Q107+Q108+Q109+Q110+Q111+Q112+Q113+Q114+Q115+Q116+Q117+Q118+Q122+Q123+Q124+Q125+Q126+Q127+Q128+Q129+Q130+Q131+Q132+Q133+Q134+Q135+Q136+Q137+Q138+Q139+Q140+Q141+Q142+Q145+Q146+Q147+Q148+Q149+Q150+Q152+Q153+Q154+Q155+Q156, "NA")</f>
        <v>541979.80999999982</v>
      </c>
      <c r="R157" s="83">
        <f>IFERROR(Q157/Q327, "NA")</f>
        <v>0.39069146654150411</v>
      </c>
      <c r="T157" s="80">
        <f t="shared" si="4"/>
        <v>3982090.75</v>
      </c>
      <c r="U157" s="80">
        <f t="shared" si="5"/>
        <v>21879.619505494506</v>
      </c>
    </row>
    <row r="158" spans="1:21" x14ac:dyDescent="0.25">
      <c r="A158" s="71" t="s">
        <v>185</v>
      </c>
      <c r="B158" s="72"/>
      <c r="C158" s="73"/>
      <c r="D158" s="74"/>
      <c r="E158" s="72"/>
      <c r="F158" s="73"/>
      <c r="G158" s="74"/>
      <c r="H158" s="72"/>
      <c r="I158" s="73"/>
      <c r="J158" s="74"/>
      <c r="K158" s="72"/>
      <c r="L158" s="73"/>
      <c r="M158" s="74"/>
      <c r="N158" s="72"/>
      <c r="O158" s="73"/>
      <c r="P158" s="74"/>
      <c r="Q158" s="72"/>
      <c r="R158" s="73"/>
      <c r="T158" s="80">
        <f t="shared" si="4"/>
        <v>0</v>
      </c>
      <c r="U158" s="80">
        <f t="shared" si="5"/>
        <v>0</v>
      </c>
    </row>
    <row r="159" spans="1:21" x14ac:dyDescent="0.25">
      <c r="A159" s="75" t="s">
        <v>186</v>
      </c>
      <c r="B159" s="72"/>
      <c r="C159" s="73"/>
      <c r="D159" s="74"/>
      <c r="E159" s="72"/>
      <c r="F159" s="73"/>
      <c r="G159" s="74"/>
      <c r="H159" s="72"/>
      <c r="I159" s="73"/>
      <c r="J159" s="74"/>
      <c r="K159" s="72"/>
      <c r="L159" s="73"/>
      <c r="M159" s="74"/>
      <c r="N159" s="72"/>
      <c r="O159" s="73"/>
      <c r="P159" s="74"/>
      <c r="Q159" s="72"/>
      <c r="R159" s="73"/>
      <c r="T159" s="80">
        <f t="shared" si="4"/>
        <v>0</v>
      </c>
      <c r="U159" s="80">
        <f t="shared" si="5"/>
        <v>0</v>
      </c>
    </row>
    <row r="160" spans="1:21" x14ac:dyDescent="0.25">
      <c r="A160" s="76" t="s">
        <v>187</v>
      </c>
      <c r="B160" s="77">
        <v>0</v>
      </c>
      <c r="C160" s="78">
        <f>IFERROR(B160/B327, "NA")</f>
        <v>0</v>
      </c>
      <c r="D160" s="79"/>
      <c r="E160" s="77">
        <v>0</v>
      </c>
      <c r="F160" s="78">
        <f>IFERROR(E160/E327, "NA")</f>
        <v>0</v>
      </c>
      <c r="G160" s="79"/>
      <c r="H160" s="77">
        <v>0</v>
      </c>
      <c r="I160" s="78">
        <f>IFERROR(H160/H327, "NA")</f>
        <v>0</v>
      </c>
      <c r="J160" s="79"/>
      <c r="K160" s="77">
        <v>0</v>
      </c>
      <c r="L160" s="78">
        <f>IFERROR(K160/K327, "NA")</f>
        <v>0</v>
      </c>
      <c r="M160" s="79"/>
      <c r="N160" s="77">
        <v>0</v>
      </c>
      <c r="O160" s="78">
        <f>IFERROR(N160/N327, "NA")</f>
        <v>0</v>
      </c>
      <c r="P160" s="79"/>
      <c r="Q160" s="77">
        <v>0</v>
      </c>
      <c r="R160" s="78">
        <f>IFERROR(Q160/Q327, "NA")</f>
        <v>0</v>
      </c>
      <c r="T160" s="80">
        <f t="shared" si="4"/>
        <v>0</v>
      </c>
      <c r="U160" s="80">
        <f t="shared" si="5"/>
        <v>0</v>
      </c>
    </row>
    <row r="161" spans="1:21" x14ac:dyDescent="0.25">
      <c r="A161" s="76" t="s">
        <v>188</v>
      </c>
      <c r="B161" s="77">
        <v>0</v>
      </c>
      <c r="C161" s="78">
        <f>IFERROR(B161/B327, "NA")</f>
        <v>0</v>
      </c>
      <c r="D161" s="79"/>
      <c r="E161" s="77">
        <v>0</v>
      </c>
      <c r="F161" s="78">
        <f>IFERROR(E161/E327, "NA")</f>
        <v>0</v>
      </c>
      <c r="G161" s="79"/>
      <c r="H161" s="77">
        <v>0</v>
      </c>
      <c r="I161" s="78">
        <f>IFERROR(H161/H327, "NA")</f>
        <v>0</v>
      </c>
      <c r="J161" s="79"/>
      <c r="K161" s="77">
        <v>20.36</v>
      </c>
      <c r="L161" s="78">
        <f>IFERROR(K161/K327, "NA")</f>
        <v>1.344031684715199E-5</v>
      </c>
      <c r="M161" s="79"/>
      <c r="N161" s="77">
        <v>6.41</v>
      </c>
      <c r="O161" s="78">
        <f>IFERROR(N161/N327, "NA")</f>
        <v>3.0321389558233958E-6</v>
      </c>
      <c r="P161" s="79"/>
      <c r="Q161" s="77">
        <v>1.31</v>
      </c>
      <c r="R161" s="78">
        <f>IFERROR(Q161/Q327, "NA")</f>
        <v>9.4432635999737813E-7</v>
      </c>
      <c r="T161" s="80">
        <f t="shared" si="4"/>
        <v>28.08</v>
      </c>
      <c r="U161" s="80">
        <f t="shared" si="5"/>
        <v>0.15428571428571428</v>
      </c>
    </row>
    <row r="162" spans="1:21" x14ac:dyDescent="0.25">
      <c r="A162" s="76" t="s">
        <v>189</v>
      </c>
      <c r="B162" s="77">
        <v>0</v>
      </c>
      <c r="C162" s="78">
        <f>IFERROR(B162/B327, "NA")</f>
        <v>0</v>
      </c>
      <c r="D162" s="79"/>
      <c r="E162" s="77">
        <v>0</v>
      </c>
      <c r="F162" s="78">
        <f>IFERROR(E162/E327, "NA")</f>
        <v>0</v>
      </c>
      <c r="G162" s="79"/>
      <c r="H162" s="77">
        <v>760.73</v>
      </c>
      <c r="I162" s="78">
        <f>IFERROR(H162/H327, "NA")</f>
        <v>3.1084713442361693E-4</v>
      </c>
      <c r="J162" s="79"/>
      <c r="K162" s="77">
        <v>-2462</v>
      </c>
      <c r="L162" s="78">
        <f>IFERROR(K162/K327, "NA")</f>
        <v>-1.6252485303383203E-3</v>
      </c>
      <c r="M162" s="79"/>
      <c r="N162" s="77">
        <v>17397</v>
      </c>
      <c r="O162" s="78">
        <f>IFERROR(N162/N327, "NA")</f>
        <v>8.2293481145802837E-3</v>
      </c>
      <c r="P162" s="79"/>
      <c r="Q162" s="77">
        <v>165.59</v>
      </c>
      <c r="R162" s="78">
        <f>IFERROR(Q162/Q327, "NA")</f>
        <v>1.1936717706256934E-4</v>
      </c>
      <c r="T162" s="80">
        <f t="shared" si="4"/>
        <v>15861.32</v>
      </c>
      <c r="U162" s="80">
        <f t="shared" si="5"/>
        <v>87.150109890109889</v>
      </c>
    </row>
    <row r="163" spans="1:21" x14ac:dyDescent="0.25">
      <c r="A163" s="76" t="s">
        <v>190</v>
      </c>
      <c r="B163" s="77">
        <v>2438</v>
      </c>
      <c r="C163" s="78">
        <f>IFERROR(B163/B327, "NA")</f>
        <v>1.0999648408285003E-3</v>
      </c>
      <c r="D163" s="79"/>
      <c r="E163" s="77">
        <v>2419</v>
      </c>
      <c r="F163" s="78">
        <f>IFERROR(E163/E327, "NA")</f>
        <v>1.3748778176093225E-3</v>
      </c>
      <c r="G163" s="79"/>
      <c r="H163" s="77">
        <v>10319.98</v>
      </c>
      <c r="I163" s="78">
        <f>IFERROR(H163/H327, "NA")</f>
        <v>4.2169182368370353E-3</v>
      </c>
      <c r="J163" s="79"/>
      <c r="K163" s="77">
        <v>10063.549999999999</v>
      </c>
      <c r="L163" s="78">
        <f>IFERROR(K163/K327, "NA")</f>
        <v>6.6432858844379375E-3</v>
      </c>
      <c r="M163" s="79"/>
      <c r="N163" s="77">
        <v>305.88</v>
      </c>
      <c r="O163" s="78">
        <f>IFERROR(N163/N327, "NA")</f>
        <v>1.4469121120238071E-4</v>
      </c>
      <c r="P163" s="79"/>
      <c r="Q163" s="77">
        <v>0</v>
      </c>
      <c r="R163" s="78">
        <f>IFERROR(Q163/Q327, "NA")</f>
        <v>0</v>
      </c>
      <c r="T163" s="80">
        <f t="shared" si="4"/>
        <v>25546.41</v>
      </c>
      <c r="U163" s="80">
        <f t="shared" si="5"/>
        <v>140.36489010989013</v>
      </c>
    </row>
    <row r="164" spans="1:21" x14ac:dyDescent="0.25">
      <c r="A164" s="76" t="s">
        <v>191</v>
      </c>
      <c r="B164" s="77">
        <v>1532</v>
      </c>
      <c r="C164" s="78">
        <f>IFERROR(B164/B327, "NA")</f>
        <v>6.9120021991356132E-4</v>
      </c>
      <c r="D164" s="79"/>
      <c r="E164" s="77">
        <v>1520</v>
      </c>
      <c r="F164" s="78">
        <f>IFERROR(E164/E327, "NA")</f>
        <v>8.639166113130096E-4</v>
      </c>
      <c r="G164" s="79"/>
      <c r="H164" s="77">
        <v>948.52</v>
      </c>
      <c r="I164" s="78">
        <f>IFERROR(H164/H327, "NA")</f>
        <v>3.8758130209599873E-4</v>
      </c>
      <c r="J164" s="79"/>
      <c r="K164" s="77">
        <v>0</v>
      </c>
      <c r="L164" s="78">
        <f>IFERROR(K164/K327, "NA")</f>
        <v>0</v>
      </c>
      <c r="M164" s="79"/>
      <c r="N164" s="77">
        <v>0</v>
      </c>
      <c r="O164" s="78">
        <f>IFERROR(N164/N327, "NA")</f>
        <v>0</v>
      </c>
      <c r="P164" s="79"/>
      <c r="Q164" s="77">
        <v>0</v>
      </c>
      <c r="R164" s="78">
        <f>IFERROR(Q164/Q327, "NA")</f>
        <v>0</v>
      </c>
      <c r="T164" s="80">
        <f t="shared" si="4"/>
        <v>4000.52</v>
      </c>
      <c r="U164" s="80">
        <f t="shared" si="5"/>
        <v>21.98087912087912</v>
      </c>
    </row>
    <row r="165" spans="1:21" x14ac:dyDescent="0.25">
      <c r="A165" s="76" t="s">
        <v>192</v>
      </c>
      <c r="B165" s="77">
        <v>771.01</v>
      </c>
      <c r="C165" s="78">
        <f>IFERROR(B165/B327, "NA")</f>
        <v>3.4786049709892622E-4</v>
      </c>
      <c r="D165" s="79"/>
      <c r="E165" s="77">
        <v>504.38</v>
      </c>
      <c r="F165" s="78">
        <f>IFERROR(E165/E327, "NA")</f>
        <v>2.8667253974608932E-4</v>
      </c>
      <c r="G165" s="79"/>
      <c r="H165" s="77">
        <v>1797.59</v>
      </c>
      <c r="I165" s="78">
        <f>IFERROR(H165/H327, "NA")</f>
        <v>7.3452565347567405E-4</v>
      </c>
      <c r="J165" s="79"/>
      <c r="K165" s="77">
        <v>596.28</v>
      </c>
      <c r="L165" s="78">
        <f>IFERROR(K165/K327, "NA")</f>
        <v>3.936243678595181E-4</v>
      </c>
      <c r="M165" s="79"/>
      <c r="N165" s="77">
        <v>603.22</v>
      </c>
      <c r="O165" s="78">
        <f>IFERROR(N165/N327, "NA")</f>
        <v>2.8534272401431964E-4</v>
      </c>
      <c r="P165" s="79"/>
      <c r="Q165" s="77">
        <v>9.6199999999999992</v>
      </c>
      <c r="R165" s="78">
        <f>IFERROR(Q165/Q327, "NA")</f>
        <v>6.9346714375379975E-6</v>
      </c>
      <c r="T165" s="80">
        <f t="shared" si="4"/>
        <v>4282.0999999999995</v>
      </c>
      <c r="U165" s="80">
        <f t="shared" si="5"/>
        <v>23.528021978021975</v>
      </c>
    </row>
    <row r="166" spans="1:21" x14ac:dyDescent="0.25">
      <c r="A166" s="76" t="s">
        <v>193</v>
      </c>
      <c r="B166" s="77">
        <v>3867.57</v>
      </c>
      <c r="C166" s="78">
        <f>IFERROR(B166/B327, "NA")</f>
        <v>1.7449511974746035E-3</v>
      </c>
      <c r="D166" s="79"/>
      <c r="E166" s="77">
        <v>2663.28</v>
      </c>
      <c r="F166" s="78">
        <f>IFERROR(E166/E327, "NA")</f>
        <v>1.5137183109063897E-3</v>
      </c>
      <c r="G166" s="79"/>
      <c r="H166" s="77">
        <v>6874.28</v>
      </c>
      <c r="I166" s="78">
        <f>IFERROR(H166/H327, "NA")</f>
        <v>2.8089469841147074E-3</v>
      </c>
      <c r="J166" s="79"/>
      <c r="K166" s="77">
        <v>2911.86</v>
      </c>
      <c r="L166" s="78">
        <f>IFERROR(K166/K327, "NA")</f>
        <v>1.922216159850098E-3</v>
      </c>
      <c r="M166" s="79"/>
      <c r="N166" s="77">
        <v>3205.87</v>
      </c>
      <c r="O166" s="78">
        <f>IFERROR(N166/N327, "NA")</f>
        <v>1.5164810162723167E-3</v>
      </c>
      <c r="P166" s="79"/>
      <c r="Q166" s="77">
        <v>4469.08</v>
      </c>
      <c r="R166" s="78">
        <f>IFERROR(Q166/Q327, "NA")</f>
        <v>3.2215801900283073E-3</v>
      </c>
      <c r="T166" s="80">
        <f t="shared" si="4"/>
        <v>23991.940000000002</v>
      </c>
      <c r="U166" s="80">
        <f t="shared" si="5"/>
        <v>131.82384615384618</v>
      </c>
    </row>
    <row r="167" spans="1:21" x14ac:dyDescent="0.25">
      <c r="A167" s="76" t="s">
        <v>194</v>
      </c>
      <c r="B167" s="77">
        <v>2429.75</v>
      </c>
      <c r="C167" s="78">
        <f>IFERROR(B167/B327, "NA")</f>
        <v>1.0962426464327518E-3</v>
      </c>
      <c r="D167" s="79"/>
      <c r="E167" s="77">
        <v>1722.46</v>
      </c>
      <c r="F167" s="78">
        <f>IFERROR(E167/E327, "NA")</f>
        <v>9.7898803047513595E-4</v>
      </c>
      <c r="G167" s="79"/>
      <c r="H167" s="77">
        <v>4619.26</v>
      </c>
      <c r="I167" s="78">
        <f>IFERROR(H167/H327, "NA")</f>
        <v>1.8875077020199503E-3</v>
      </c>
      <c r="J167" s="79"/>
      <c r="K167" s="77">
        <v>3269.59</v>
      </c>
      <c r="L167" s="78">
        <f>IFERROR(K167/K327, "NA")</f>
        <v>2.1583656954950728E-3</v>
      </c>
      <c r="M167" s="79"/>
      <c r="N167" s="77">
        <v>2754.41</v>
      </c>
      <c r="O167" s="78">
        <f>IFERROR(N167/N327, "NA")</f>
        <v>1.3029257193930607E-3</v>
      </c>
      <c r="P167" s="79"/>
      <c r="Q167" s="77">
        <v>3198.26</v>
      </c>
      <c r="R167" s="78">
        <f>IFERROR(Q167/Q327, "NA")</f>
        <v>2.3054971176528355E-3</v>
      </c>
      <c r="T167" s="80">
        <f t="shared" si="4"/>
        <v>17993.730000000003</v>
      </c>
      <c r="U167" s="80">
        <f t="shared" si="5"/>
        <v>98.866648351648365</v>
      </c>
    </row>
    <row r="168" spans="1:21" x14ac:dyDescent="0.25">
      <c r="A168" s="76" t="s">
        <v>195</v>
      </c>
      <c r="B168" s="77">
        <v>10472.34</v>
      </c>
      <c r="C168" s="78">
        <f>IFERROR(B168/B327, "NA")</f>
        <v>4.7248588191968572E-3</v>
      </c>
      <c r="D168" s="79"/>
      <c r="E168" s="77">
        <v>11026.32</v>
      </c>
      <c r="F168" s="78">
        <f>IFERROR(E168/E327, "NA")</f>
        <v>6.2669875063505682E-3</v>
      </c>
      <c r="G168" s="79"/>
      <c r="H168" s="77">
        <v>20195.86</v>
      </c>
      <c r="I168" s="78">
        <f>IFERROR(H168/H327, "NA")</f>
        <v>8.2523697083335072E-3</v>
      </c>
      <c r="J168" s="79"/>
      <c r="K168" s="77">
        <v>12726.77</v>
      </c>
      <c r="L168" s="78">
        <f>IFERROR(K168/K327, "NA")</f>
        <v>8.4013664656595547E-3</v>
      </c>
      <c r="M168" s="79"/>
      <c r="N168" s="77">
        <v>9875.6200000000008</v>
      </c>
      <c r="O168" s="78">
        <f>IFERROR(N168/N327, "NA")</f>
        <v>4.6714901895333304E-3</v>
      </c>
      <c r="P168" s="79"/>
      <c r="Q168" s="77">
        <v>9403.0300000000007</v>
      </c>
      <c r="R168" s="78">
        <f>IFERROR(Q168/Q327, "NA")</f>
        <v>6.7782664830886618E-3</v>
      </c>
      <c r="T168" s="80">
        <f t="shared" si="4"/>
        <v>73699.940000000017</v>
      </c>
      <c r="U168" s="80">
        <f t="shared" si="5"/>
        <v>404.94472527472539</v>
      </c>
    </row>
    <row r="169" spans="1:21" x14ac:dyDescent="0.25">
      <c r="A169" s="76" t="s">
        <v>196</v>
      </c>
      <c r="B169" s="77">
        <v>0</v>
      </c>
      <c r="C169" s="78">
        <f>IFERROR(B169/B327, "NA")</f>
        <v>0</v>
      </c>
      <c r="D169" s="79"/>
      <c r="E169" s="77">
        <v>0</v>
      </c>
      <c r="F169" s="78">
        <f>IFERROR(E169/E327, "NA")</f>
        <v>0</v>
      </c>
      <c r="G169" s="79"/>
      <c r="H169" s="77">
        <v>3233.73</v>
      </c>
      <c r="I169" s="78">
        <f>IFERROR(H169/H327, "NA")</f>
        <v>1.3213567284051935E-3</v>
      </c>
      <c r="J169" s="79"/>
      <c r="K169" s="77">
        <v>0</v>
      </c>
      <c r="L169" s="78">
        <f>IFERROR(K169/K327, "NA")</f>
        <v>0</v>
      </c>
      <c r="M169" s="79"/>
      <c r="N169" s="77">
        <v>0</v>
      </c>
      <c r="O169" s="78">
        <f>IFERROR(N169/N327, "NA")</f>
        <v>0</v>
      </c>
      <c r="P169" s="79"/>
      <c r="Q169" s="77">
        <v>509.15</v>
      </c>
      <c r="R169" s="78">
        <f>IFERROR(Q169/Q327, "NA")</f>
        <v>3.6702577571959163E-4</v>
      </c>
      <c r="T169" s="80">
        <f t="shared" si="4"/>
        <v>3742.88</v>
      </c>
      <c r="U169" s="80">
        <f t="shared" si="5"/>
        <v>20.565274725274726</v>
      </c>
    </row>
    <row r="170" spans="1:21" x14ac:dyDescent="0.25">
      <c r="A170" s="76" t="s">
        <v>197</v>
      </c>
      <c r="B170" s="77">
        <v>3419.55</v>
      </c>
      <c r="C170" s="78">
        <f>IFERROR(B170/B327, "NA")</f>
        <v>1.5428157389069314E-3</v>
      </c>
      <c r="D170" s="79"/>
      <c r="E170" s="77">
        <v>3496.6</v>
      </c>
      <c r="F170" s="78">
        <f>IFERROR(E170/E327, "NA")</f>
        <v>1.9873492257349141E-3</v>
      </c>
      <c r="G170" s="79"/>
      <c r="H170" s="77">
        <v>7746.34</v>
      </c>
      <c r="I170" s="78">
        <f>IFERROR(H170/H327, "NA")</f>
        <v>3.1652854380280005E-3</v>
      </c>
      <c r="J170" s="79"/>
      <c r="K170" s="77">
        <v>3865.52</v>
      </c>
      <c r="L170" s="78">
        <f>IFERROR(K170/K327, "NA")</f>
        <v>2.5517590166504399E-3</v>
      </c>
      <c r="M170" s="79"/>
      <c r="N170" s="77">
        <v>4038.81</v>
      </c>
      <c r="O170" s="78">
        <f>IFERROR(N170/N327, "NA")</f>
        <v>1.9104887887939296E-3</v>
      </c>
      <c r="P170" s="79"/>
      <c r="Q170" s="77">
        <v>3705.84</v>
      </c>
      <c r="R170" s="78">
        <f>IFERROR(Q170/Q327, "NA")</f>
        <v>2.6713911434600641E-3</v>
      </c>
      <c r="T170" s="80">
        <f t="shared" si="4"/>
        <v>26272.66</v>
      </c>
      <c r="U170" s="80">
        <f t="shared" si="5"/>
        <v>144.35527472527471</v>
      </c>
    </row>
    <row r="171" spans="1:21" x14ac:dyDescent="0.25">
      <c r="A171" s="76" t="s">
        <v>198</v>
      </c>
      <c r="B171" s="77">
        <v>3956.99</v>
      </c>
      <c r="C171" s="78">
        <f>IFERROR(B171/B327, "NA")</f>
        <v>1.7852952729737357E-3</v>
      </c>
      <c r="D171" s="79"/>
      <c r="E171" s="77">
        <v>4991.6499999999996</v>
      </c>
      <c r="F171" s="78">
        <f>IFERROR(E171/E327, "NA")</f>
        <v>2.8370851005661735E-3</v>
      </c>
      <c r="G171" s="79"/>
      <c r="H171" s="77">
        <v>8176.51</v>
      </c>
      <c r="I171" s="78">
        <f>IFERROR(H171/H327, "NA")</f>
        <v>3.3410601699499797E-3</v>
      </c>
      <c r="J171" s="79"/>
      <c r="K171" s="77">
        <v>3284.45</v>
      </c>
      <c r="L171" s="78">
        <f>IFERROR(K171/K327, "NA")</f>
        <v>2.1681752784198601E-3</v>
      </c>
      <c r="M171" s="79"/>
      <c r="N171" s="77">
        <v>7121.83</v>
      </c>
      <c r="O171" s="78">
        <f>IFERROR(N171/N327, "NA")</f>
        <v>3.3688577503512849E-3</v>
      </c>
      <c r="P171" s="79"/>
      <c r="Q171" s="77">
        <v>1522.72</v>
      </c>
      <c r="R171" s="78">
        <f>IFERROR(Q171/Q327, "NA")</f>
        <v>1.0976676602253493E-3</v>
      </c>
      <c r="T171" s="80">
        <f t="shared" si="4"/>
        <v>29054.15</v>
      </c>
      <c r="U171" s="80">
        <f t="shared" si="5"/>
        <v>159.63818681318682</v>
      </c>
    </row>
    <row r="172" spans="1:21" x14ac:dyDescent="0.25">
      <c r="A172" s="76" t="s">
        <v>199</v>
      </c>
      <c r="B172" s="77">
        <v>0</v>
      </c>
      <c r="C172" s="78">
        <f>IFERROR(B172/B327, "NA")</f>
        <v>0</v>
      </c>
      <c r="D172" s="79"/>
      <c r="E172" s="77">
        <v>0</v>
      </c>
      <c r="F172" s="78">
        <f>IFERROR(E172/E327, "NA")</f>
        <v>0</v>
      </c>
      <c r="G172" s="79"/>
      <c r="H172" s="77">
        <v>0</v>
      </c>
      <c r="I172" s="78">
        <f>IFERROR(H172/H327, "NA")</f>
        <v>0</v>
      </c>
      <c r="J172" s="79"/>
      <c r="K172" s="77">
        <v>0</v>
      </c>
      <c r="L172" s="78">
        <f>IFERROR(K172/K327, "NA")</f>
        <v>0</v>
      </c>
      <c r="M172" s="79"/>
      <c r="N172" s="77">
        <v>0</v>
      </c>
      <c r="O172" s="78">
        <f>IFERROR(N172/N327, "NA")</f>
        <v>0</v>
      </c>
      <c r="P172" s="79"/>
      <c r="Q172" s="77">
        <v>0</v>
      </c>
      <c r="R172" s="78">
        <f>IFERROR(Q172/Q327, "NA")</f>
        <v>0</v>
      </c>
      <c r="T172" s="80">
        <f t="shared" si="4"/>
        <v>0</v>
      </c>
      <c r="U172" s="80">
        <f t="shared" si="5"/>
        <v>0</v>
      </c>
    </row>
    <row r="173" spans="1:21" x14ac:dyDescent="0.25">
      <c r="A173" s="76" t="s">
        <v>200</v>
      </c>
      <c r="B173" s="77">
        <v>0</v>
      </c>
      <c r="C173" s="78">
        <f>IFERROR(B173/B327, "NA")</f>
        <v>0</v>
      </c>
      <c r="D173" s="79"/>
      <c r="E173" s="77">
        <v>0</v>
      </c>
      <c r="F173" s="78">
        <f>IFERROR(E173/E327, "NA")</f>
        <v>0</v>
      </c>
      <c r="G173" s="79"/>
      <c r="H173" s="77">
        <v>0</v>
      </c>
      <c r="I173" s="78">
        <f>IFERROR(H173/H327, "NA")</f>
        <v>0</v>
      </c>
      <c r="J173" s="79"/>
      <c r="K173" s="77">
        <v>0</v>
      </c>
      <c r="L173" s="78">
        <f>IFERROR(K173/K327, "NA")</f>
        <v>0</v>
      </c>
      <c r="M173" s="79"/>
      <c r="N173" s="77">
        <v>0</v>
      </c>
      <c r="O173" s="78">
        <f>IFERROR(N173/N327, "NA")</f>
        <v>0</v>
      </c>
      <c r="P173" s="79"/>
      <c r="Q173" s="77">
        <v>0</v>
      </c>
      <c r="R173" s="78">
        <f>IFERROR(Q173/Q327, "NA")</f>
        <v>0</v>
      </c>
      <c r="T173" s="80">
        <f t="shared" si="4"/>
        <v>0</v>
      </c>
      <c r="U173" s="80">
        <f t="shared" si="5"/>
        <v>0</v>
      </c>
    </row>
    <row r="174" spans="1:21" x14ac:dyDescent="0.25">
      <c r="A174" s="76" t="s">
        <v>201</v>
      </c>
      <c r="B174" s="77">
        <v>0</v>
      </c>
      <c r="C174" s="78">
        <f>IFERROR(B174/B327, "NA")</f>
        <v>0</v>
      </c>
      <c r="D174" s="79"/>
      <c r="E174" s="77">
        <v>0</v>
      </c>
      <c r="F174" s="78">
        <f>IFERROR(E174/E327, "NA")</f>
        <v>0</v>
      </c>
      <c r="G174" s="79"/>
      <c r="H174" s="77">
        <v>0</v>
      </c>
      <c r="I174" s="78">
        <f>IFERROR(H174/H327, "NA")</f>
        <v>0</v>
      </c>
      <c r="J174" s="79"/>
      <c r="K174" s="77">
        <v>0</v>
      </c>
      <c r="L174" s="78">
        <f>IFERROR(K174/K327, "NA")</f>
        <v>0</v>
      </c>
      <c r="M174" s="79"/>
      <c r="N174" s="77">
        <v>0</v>
      </c>
      <c r="O174" s="78">
        <f>IFERROR(N174/N327, "NA")</f>
        <v>0</v>
      </c>
      <c r="P174" s="79"/>
      <c r="Q174" s="77">
        <v>0</v>
      </c>
      <c r="R174" s="78">
        <f>IFERROR(Q174/Q327, "NA")</f>
        <v>0</v>
      </c>
      <c r="T174" s="80">
        <f t="shared" si="4"/>
        <v>0</v>
      </c>
      <c r="U174" s="80">
        <f t="shared" si="5"/>
        <v>0</v>
      </c>
    </row>
    <row r="175" spans="1:21" x14ac:dyDescent="0.25">
      <c r="A175" s="76" t="s">
        <v>202</v>
      </c>
      <c r="B175" s="77">
        <v>4581.17</v>
      </c>
      <c r="C175" s="78">
        <f>IFERROR(B175/B327, "NA")</f>
        <v>2.066909733329902E-3</v>
      </c>
      <c r="D175" s="79"/>
      <c r="E175" s="77">
        <v>4165.26</v>
      </c>
      <c r="F175" s="78">
        <f>IFERROR(E175/E327, "NA")</f>
        <v>2.3673929634458069E-3</v>
      </c>
      <c r="G175" s="79"/>
      <c r="H175" s="77">
        <v>6225.1</v>
      </c>
      <c r="I175" s="78">
        <f>IFERROR(H175/H327, "NA")</f>
        <v>2.5436810648987915E-3</v>
      </c>
      <c r="J175" s="79"/>
      <c r="K175" s="77">
        <v>4128.6899999999996</v>
      </c>
      <c r="L175" s="78">
        <f>IFERROR(K175/K327, "NA")</f>
        <v>2.7254863341683666E-3</v>
      </c>
      <c r="M175" s="79"/>
      <c r="N175" s="77">
        <v>4210.38</v>
      </c>
      <c r="O175" s="78">
        <f>IFERROR(N175/N327, "NA")</f>
        <v>1.9916469917035428E-3</v>
      </c>
      <c r="P175" s="79"/>
      <c r="Q175" s="77">
        <v>4791.7299999999996</v>
      </c>
      <c r="R175" s="78">
        <f>IFERROR(Q175/Q327, "NA")</f>
        <v>3.4541656099162108E-3</v>
      </c>
      <c r="T175" s="80">
        <f t="shared" si="4"/>
        <v>28102.33</v>
      </c>
      <c r="U175" s="80">
        <f t="shared" si="5"/>
        <v>154.4084065934066</v>
      </c>
    </row>
    <row r="176" spans="1:21" x14ac:dyDescent="0.25">
      <c r="A176" s="76" t="s">
        <v>203</v>
      </c>
      <c r="B176" s="77">
        <v>4198.96</v>
      </c>
      <c r="C176" s="78">
        <f>IFERROR(B176/B327, "NA")</f>
        <v>1.894466106663347E-3</v>
      </c>
      <c r="D176" s="79"/>
      <c r="E176" s="77">
        <v>3981.82</v>
      </c>
      <c r="F176" s="78">
        <f>IFERROR(E176/E327, "NA")</f>
        <v>2.2631318692489261E-3</v>
      </c>
      <c r="G176" s="79"/>
      <c r="H176" s="77">
        <v>5791.26</v>
      </c>
      <c r="I176" s="78">
        <f>IFERROR(H176/H327, "NA")</f>
        <v>2.3664067089533944E-3</v>
      </c>
      <c r="J176" s="79"/>
      <c r="K176" s="77">
        <v>4322.1099999999997</v>
      </c>
      <c r="L176" s="78">
        <f>IFERROR(K176/K327, "NA")</f>
        <v>2.8531693442163104E-3</v>
      </c>
      <c r="M176" s="79"/>
      <c r="N176" s="77">
        <v>3721.55</v>
      </c>
      <c r="O176" s="78">
        <f>IFERROR(N176/N327, "NA")</f>
        <v>1.7604144666216162E-3</v>
      </c>
      <c r="P176" s="79"/>
      <c r="Q176" s="77">
        <v>4904.7</v>
      </c>
      <c r="R176" s="78">
        <f>IFERROR(Q176/Q327, "NA")</f>
        <v>3.5356011434191908E-3</v>
      </c>
      <c r="T176" s="80">
        <f t="shared" si="4"/>
        <v>26920.400000000001</v>
      </c>
      <c r="U176" s="80">
        <f t="shared" si="5"/>
        <v>147.91428571428574</v>
      </c>
    </row>
    <row r="177" spans="1:21" x14ac:dyDescent="0.25">
      <c r="A177" s="76" t="s">
        <v>204</v>
      </c>
      <c r="B177" s="77">
        <v>4368</v>
      </c>
      <c r="C177" s="78">
        <f>IFERROR(B177/B327, "NA")</f>
        <v>1.9707327418945404E-3</v>
      </c>
      <c r="D177" s="79"/>
      <c r="E177" s="77">
        <v>4333</v>
      </c>
      <c r="F177" s="78">
        <f>IFERROR(E177/E327, "NA")</f>
        <v>2.4627307084337307E-3</v>
      </c>
      <c r="G177" s="79"/>
      <c r="H177" s="77">
        <v>-847.92</v>
      </c>
      <c r="I177" s="78">
        <f>IFERROR(H177/H327, "NA")</f>
        <v>-3.4647444194454437E-4</v>
      </c>
      <c r="J177" s="79"/>
      <c r="K177" s="77">
        <v>3856.87</v>
      </c>
      <c r="L177" s="78">
        <f>IFERROR(K177/K327, "NA")</f>
        <v>2.5460488623907217E-3</v>
      </c>
      <c r="M177" s="79"/>
      <c r="N177" s="77">
        <v>4745.01</v>
      </c>
      <c r="O177" s="78">
        <f>IFERROR(N177/N327, "NA")</f>
        <v>2.2445444097927568E-3</v>
      </c>
      <c r="P177" s="79"/>
      <c r="Q177" s="77">
        <v>5274.44</v>
      </c>
      <c r="R177" s="78">
        <f>IFERROR(Q177/Q327, "NA")</f>
        <v>3.8021318520798249E-3</v>
      </c>
      <c r="T177" s="80">
        <f t="shared" si="4"/>
        <v>21729.399999999998</v>
      </c>
      <c r="U177" s="80">
        <f t="shared" si="5"/>
        <v>119.39230769230768</v>
      </c>
    </row>
    <row r="178" spans="1:21" x14ac:dyDescent="0.25">
      <c r="A178" s="76" t="s">
        <v>205</v>
      </c>
      <c r="B178" s="77">
        <v>3983.25</v>
      </c>
      <c r="C178" s="78">
        <f>IFERROR(B178/B327, "NA")</f>
        <v>1.7971431305291732E-3</v>
      </c>
      <c r="D178" s="79"/>
      <c r="E178" s="77">
        <v>3951</v>
      </c>
      <c r="F178" s="78">
        <f>IFERROR(E178/E327, "NA")</f>
        <v>2.2456148232221718E-3</v>
      </c>
      <c r="G178" s="79"/>
      <c r="H178" s="77">
        <v>30832.080000000002</v>
      </c>
      <c r="I178" s="78">
        <f>IFERROR(H178/H327, "NA")</f>
        <v>1.259850895366255E-2</v>
      </c>
      <c r="J178" s="79"/>
      <c r="K178" s="77">
        <v>-7743</v>
      </c>
      <c r="L178" s="78">
        <f>IFERROR(K178/K327, "NA")</f>
        <v>-5.1114132292484219E-3</v>
      </c>
      <c r="M178" s="79"/>
      <c r="N178" s="77">
        <v>-572.26</v>
      </c>
      <c r="O178" s="78">
        <f>IFERROR(N178/N327, "NA")</f>
        <v>-2.7069763476747212E-4</v>
      </c>
      <c r="P178" s="79"/>
      <c r="Q178" s="77">
        <v>448.24</v>
      </c>
      <c r="R178" s="78">
        <f>IFERROR(Q178/Q327, "NA")</f>
        <v>3.2311820427879755E-4</v>
      </c>
      <c r="T178" s="80">
        <f t="shared" si="4"/>
        <v>30899.310000000005</v>
      </c>
      <c r="U178" s="80">
        <f t="shared" si="5"/>
        <v>169.7764285714286</v>
      </c>
    </row>
    <row r="179" spans="1:21" x14ac:dyDescent="0.25">
      <c r="A179" s="76" t="s">
        <v>206</v>
      </c>
      <c r="B179" s="77">
        <v>1488.14</v>
      </c>
      <c r="C179" s="78">
        <f>IFERROR(B179/B327, "NA")</f>
        <v>6.7141168098052697E-4</v>
      </c>
      <c r="D179" s="79"/>
      <c r="E179" s="77">
        <v>550.55999999999995</v>
      </c>
      <c r="F179" s="78">
        <f>IFERROR(E179/E327, "NA")</f>
        <v>3.1291969047663847E-4</v>
      </c>
      <c r="G179" s="79"/>
      <c r="H179" s="77">
        <v>3022.16</v>
      </c>
      <c r="I179" s="78">
        <f>IFERROR(H179/H327, "NA")</f>
        <v>1.2349056508481038E-3</v>
      </c>
      <c r="J179" s="79"/>
      <c r="K179" s="77">
        <v>1457.06</v>
      </c>
      <c r="L179" s="78">
        <f>IFERROR(K179/K327, "NA")</f>
        <v>9.6185403071273471E-4</v>
      </c>
      <c r="M179" s="79"/>
      <c r="N179" s="77">
        <v>1891.83</v>
      </c>
      <c r="O179" s="78">
        <f>IFERROR(N179/N327, "NA")</f>
        <v>8.9489726065450467E-4</v>
      </c>
      <c r="P179" s="79"/>
      <c r="Q179" s="77">
        <v>1945.83</v>
      </c>
      <c r="R179" s="78">
        <f>IFERROR(Q179/Q327, "NA")</f>
        <v>1.4026706573081664E-3</v>
      </c>
      <c r="T179" s="80">
        <f t="shared" si="4"/>
        <v>10355.58</v>
      </c>
      <c r="U179" s="80">
        <f t="shared" si="5"/>
        <v>56.898791208791202</v>
      </c>
    </row>
    <row r="180" spans="1:21" x14ac:dyDescent="0.25">
      <c r="A180" s="76" t="s">
        <v>207</v>
      </c>
      <c r="B180" s="77">
        <v>12230.67</v>
      </c>
      <c r="C180" s="78">
        <f>IFERROR(B180/B327, "NA")</f>
        <v>5.5181734945758468E-3</v>
      </c>
      <c r="D180" s="79"/>
      <c r="E180" s="77">
        <v>8377.1</v>
      </c>
      <c r="F180" s="78">
        <f>IFERROR(E180/E327, "NA")</f>
        <v>4.7612604240988244E-3</v>
      </c>
      <c r="G180" s="79"/>
      <c r="H180" s="77">
        <v>2778.4</v>
      </c>
      <c r="I180" s="78">
        <f>IFERROR(H180/H327, "NA")</f>
        <v>1.1353011952763494E-3</v>
      </c>
      <c r="J180" s="79"/>
      <c r="K180" s="77">
        <v>11427.7</v>
      </c>
      <c r="L180" s="78">
        <f>IFERROR(K180/K327, "NA")</f>
        <v>7.5438069172003349E-3</v>
      </c>
      <c r="M180" s="79"/>
      <c r="N180" s="77">
        <v>11562.72</v>
      </c>
      <c r="O180" s="78">
        <f>IFERROR(N180/N327, "NA")</f>
        <v>5.4695434863148663E-3</v>
      </c>
      <c r="P180" s="79"/>
      <c r="Q180" s="77">
        <v>8085.4</v>
      </c>
      <c r="R180" s="78">
        <f>IFERROR(Q180/Q327, "NA")</f>
        <v>5.8284399626891605E-3</v>
      </c>
      <c r="T180" s="80">
        <f t="shared" si="4"/>
        <v>54461.990000000005</v>
      </c>
      <c r="U180" s="80">
        <f t="shared" si="5"/>
        <v>299.24170329670329</v>
      </c>
    </row>
    <row r="181" spans="1:21" x14ac:dyDescent="0.25">
      <c r="A181" s="76" t="s">
        <v>208</v>
      </c>
      <c r="B181" s="77">
        <v>0</v>
      </c>
      <c r="C181" s="78">
        <f>IFERROR(B181/B327, "NA")</f>
        <v>0</v>
      </c>
      <c r="D181" s="79"/>
      <c r="E181" s="77">
        <v>0</v>
      </c>
      <c r="F181" s="78">
        <f>IFERROR(E181/E327, "NA")</f>
        <v>0</v>
      </c>
      <c r="G181" s="79"/>
      <c r="H181" s="77">
        <v>0</v>
      </c>
      <c r="I181" s="78">
        <f>IFERROR(H181/H327, "NA")</f>
        <v>0</v>
      </c>
      <c r="J181" s="79"/>
      <c r="K181" s="77">
        <v>0</v>
      </c>
      <c r="L181" s="78">
        <f>IFERROR(K181/K327, "NA")</f>
        <v>0</v>
      </c>
      <c r="M181" s="79"/>
      <c r="N181" s="77">
        <v>0</v>
      </c>
      <c r="O181" s="78">
        <f>IFERROR(N181/N327, "NA")</f>
        <v>0</v>
      </c>
      <c r="P181" s="79"/>
      <c r="Q181" s="77">
        <v>0</v>
      </c>
      <c r="R181" s="78">
        <f>IFERROR(Q181/Q327, "NA")</f>
        <v>0</v>
      </c>
      <c r="T181" s="80">
        <f t="shared" si="4"/>
        <v>0</v>
      </c>
      <c r="U181" s="80">
        <f t="shared" si="5"/>
        <v>0</v>
      </c>
    </row>
    <row r="182" spans="1:21" x14ac:dyDescent="0.25">
      <c r="A182" s="76" t="s">
        <v>209</v>
      </c>
      <c r="B182" s="77">
        <v>0</v>
      </c>
      <c r="C182" s="78">
        <f>IFERROR(B182/B327, "NA")</f>
        <v>0</v>
      </c>
      <c r="D182" s="79"/>
      <c r="E182" s="77">
        <v>102.32</v>
      </c>
      <c r="F182" s="78">
        <f>IFERROR(E182/E327, "NA")</f>
        <v>5.815522872996522E-5</v>
      </c>
      <c r="G182" s="79"/>
      <c r="H182" s="77">
        <v>102.32</v>
      </c>
      <c r="I182" s="78">
        <f>IFERROR(H182/H327, "NA")</f>
        <v>4.180968121965018E-5</v>
      </c>
      <c r="J182" s="79"/>
      <c r="K182" s="77">
        <v>52.86</v>
      </c>
      <c r="L182" s="78">
        <f>IFERROR(K182/K327, "NA")</f>
        <v>3.4894653661122505E-5</v>
      </c>
      <c r="M182" s="79"/>
      <c r="N182" s="77">
        <v>52.86</v>
      </c>
      <c r="O182" s="78">
        <f>IFERROR(N182/N327, "NA")</f>
        <v>2.5004503152078737E-5</v>
      </c>
      <c r="P182" s="79"/>
      <c r="Q182" s="77">
        <v>89.13</v>
      </c>
      <c r="R182" s="78">
        <f>IFERROR(Q182/Q327, "NA")</f>
        <v>6.4250235470661297E-5</v>
      </c>
      <c r="T182" s="80">
        <f t="shared" si="4"/>
        <v>399.49</v>
      </c>
      <c r="U182" s="80">
        <f t="shared" si="5"/>
        <v>2.1949999999999998</v>
      </c>
    </row>
    <row r="183" spans="1:21" x14ac:dyDescent="0.25">
      <c r="A183" s="76" t="s">
        <v>210</v>
      </c>
      <c r="B183" s="77">
        <v>13.28</v>
      </c>
      <c r="C183" s="78">
        <f>IFERROR(B183/B327, "NA")</f>
        <v>5.9916050394595913E-6</v>
      </c>
      <c r="D183" s="79"/>
      <c r="E183" s="77">
        <v>13.28</v>
      </c>
      <c r="F183" s="78">
        <f>IFERROR(E183/E327, "NA")</f>
        <v>7.5479030251557673E-6</v>
      </c>
      <c r="G183" s="79"/>
      <c r="H183" s="77">
        <v>7695.28</v>
      </c>
      <c r="I183" s="78">
        <f>IFERROR(H183/H327, "NA")</f>
        <v>3.1444214591081865E-3</v>
      </c>
      <c r="J183" s="79"/>
      <c r="K183" s="77">
        <v>2321.4299999999998</v>
      </c>
      <c r="L183" s="78">
        <f>IFERROR(K183/K327, "NA")</f>
        <v>1.5324535726170944E-3</v>
      </c>
      <c r="M183" s="79"/>
      <c r="N183" s="77">
        <v>2583</v>
      </c>
      <c r="O183" s="78">
        <f>IFERROR(N183/N327, "NA")</f>
        <v>1.2218432016991936E-3</v>
      </c>
      <c r="P183" s="79"/>
      <c r="Q183" s="77">
        <v>2611.46</v>
      </c>
      <c r="R183" s="78">
        <f>IFERROR(Q183/Q327, "NA")</f>
        <v>1.8824965771593535E-3</v>
      </c>
      <c r="T183" s="80">
        <f t="shared" si="4"/>
        <v>15237.73</v>
      </c>
      <c r="U183" s="80">
        <f t="shared" si="5"/>
        <v>83.723791208791212</v>
      </c>
    </row>
    <row r="184" spans="1:21" x14ac:dyDescent="0.25">
      <c r="A184" s="76" t="s">
        <v>211</v>
      </c>
      <c r="B184" s="77">
        <v>189.22</v>
      </c>
      <c r="C184" s="78">
        <f>IFERROR(B184/B327, "NA")</f>
        <v>8.5371348310733737E-5</v>
      </c>
      <c r="D184" s="79"/>
      <c r="E184" s="77">
        <v>1735.11</v>
      </c>
      <c r="F184" s="78">
        <f>IFERROR(E184/E327, "NA")</f>
        <v>9.861778627995501E-4</v>
      </c>
      <c r="G184" s="79"/>
      <c r="H184" s="77">
        <v>1181.69</v>
      </c>
      <c r="I184" s="78">
        <f>IFERROR(H184/H327, "NA")</f>
        <v>4.8285850469554758E-4</v>
      </c>
      <c r="J184" s="79"/>
      <c r="K184" s="77">
        <v>1305.06</v>
      </c>
      <c r="L184" s="78">
        <f>IFERROR(K184/K327, "NA")</f>
        <v>8.615137477673957E-4</v>
      </c>
      <c r="M184" s="79"/>
      <c r="N184" s="77">
        <v>357.16</v>
      </c>
      <c r="O184" s="78">
        <f>IFERROR(N184/N327, "NA")</f>
        <v>1.6894832284896789E-4</v>
      </c>
      <c r="P184" s="79"/>
      <c r="Q184" s="77">
        <v>538.09</v>
      </c>
      <c r="R184" s="78">
        <f>IFERROR(Q184/Q327, "NA")</f>
        <v>3.8788745881754901E-4</v>
      </c>
      <c r="T184" s="80">
        <f t="shared" si="4"/>
        <v>5306.33</v>
      </c>
      <c r="U184" s="80">
        <f t="shared" si="5"/>
        <v>29.155659340659337</v>
      </c>
    </row>
    <row r="185" spans="1:21" x14ac:dyDescent="0.25">
      <c r="A185" s="76" t="s">
        <v>212</v>
      </c>
      <c r="B185" s="77">
        <v>0</v>
      </c>
      <c r="C185" s="78">
        <f>IFERROR(B185/B327, "NA")</f>
        <v>0</v>
      </c>
      <c r="D185" s="79"/>
      <c r="E185" s="77">
        <v>0</v>
      </c>
      <c r="F185" s="78">
        <f>IFERROR(E185/E327, "NA")</f>
        <v>0</v>
      </c>
      <c r="G185" s="79"/>
      <c r="H185" s="77">
        <v>0</v>
      </c>
      <c r="I185" s="78">
        <f>IFERROR(H185/H327, "NA")</f>
        <v>0</v>
      </c>
      <c r="J185" s="79"/>
      <c r="K185" s="77">
        <v>0</v>
      </c>
      <c r="L185" s="78">
        <f>IFERROR(K185/K327, "NA")</f>
        <v>0</v>
      </c>
      <c r="M185" s="79"/>
      <c r="N185" s="77">
        <v>0</v>
      </c>
      <c r="O185" s="78">
        <f>IFERROR(N185/N327, "NA")</f>
        <v>0</v>
      </c>
      <c r="P185" s="79"/>
      <c r="Q185" s="77">
        <v>0</v>
      </c>
      <c r="R185" s="78">
        <f>IFERROR(Q185/Q327, "NA")</f>
        <v>0</v>
      </c>
      <c r="T185" s="80">
        <f t="shared" si="4"/>
        <v>0</v>
      </c>
      <c r="U185" s="80">
        <f t="shared" si="5"/>
        <v>0</v>
      </c>
    </row>
    <row r="186" spans="1:21" x14ac:dyDescent="0.25">
      <c r="A186" s="76" t="s">
        <v>213</v>
      </c>
      <c r="B186" s="77">
        <v>0</v>
      </c>
      <c r="C186" s="78">
        <f>IFERROR(B186/B327, "NA")</f>
        <v>0</v>
      </c>
      <c r="D186" s="79"/>
      <c r="E186" s="77">
        <v>0</v>
      </c>
      <c r="F186" s="78">
        <f>IFERROR(E186/E327, "NA")</f>
        <v>0</v>
      </c>
      <c r="G186" s="79"/>
      <c r="H186" s="77">
        <v>0</v>
      </c>
      <c r="I186" s="78">
        <f>IFERROR(H186/H327, "NA")</f>
        <v>0</v>
      </c>
      <c r="J186" s="79"/>
      <c r="K186" s="77">
        <v>0</v>
      </c>
      <c r="L186" s="78">
        <f>IFERROR(K186/K327, "NA")</f>
        <v>0</v>
      </c>
      <c r="M186" s="79"/>
      <c r="N186" s="77">
        <v>0</v>
      </c>
      <c r="O186" s="78">
        <f>IFERROR(N186/N327, "NA")</f>
        <v>0</v>
      </c>
      <c r="P186" s="79"/>
      <c r="Q186" s="77">
        <v>0</v>
      </c>
      <c r="R186" s="78">
        <f>IFERROR(Q186/Q327, "NA")</f>
        <v>0</v>
      </c>
      <c r="T186" s="80">
        <f t="shared" si="4"/>
        <v>0</v>
      </c>
      <c r="U186" s="80">
        <f t="shared" si="5"/>
        <v>0</v>
      </c>
    </row>
    <row r="187" spans="1:21" x14ac:dyDescent="0.25">
      <c r="A187" s="76" t="s">
        <v>214</v>
      </c>
      <c r="B187" s="77">
        <v>0</v>
      </c>
      <c r="C187" s="78">
        <f>IFERROR(B187/B327, "NA")</f>
        <v>0</v>
      </c>
      <c r="D187" s="79"/>
      <c r="E187" s="77">
        <v>0</v>
      </c>
      <c r="F187" s="78">
        <f>IFERROR(E187/E327, "NA")</f>
        <v>0</v>
      </c>
      <c r="G187" s="79"/>
      <c r="H187" s="77">
        <v>513.89</v>
      </c>
      <c r="I187" s="78">
        <f>IFERROR(H187/H327, "NA")</f>
        <v>2.0998413879951165E-4</v>
      </c>
      <c r="J187" s="79"/>
      <c r="K187" s="77">
        <v>1353.68</v>
      </c>
      <c r="L187" s="78">
        <f>IFERROR(K187/K327, "NA")</f>
        <v>8.9360943564109564E-4</v>
      </c>
      <c r="M187" s="79"/>
      <c r="N187" s="77">
        <v>0</v>
      </c>
      <c r="O187" s="78">
        <f>IFERROR(N187/N327, "NA")</f>
        <v>0</v>
      </c>
      <c r="P187" s="79"/>
      <c r="Q187" s="77">
        <v>316.14</v>
      </c>
      <c r="R187" s="78">
        <f>IFERROR(Q187/Q327, "NA")</f>
        <v>2.2789262248058863E-4</v>
      </c>
      <c r="T187" s="80">
        <f t="shared" si="4"/>
        <v>2183.71</v>
      </c>
      <c r="U187" s="80">
        <f t="shared" si="5"/>
        <v>11.998406593406594</v>
      </c>
    </row>
    <row r="188" spans="1:21" x14ac:dyDescent="0.25">
      <c r="A188" s="76" t="s">
        <v>215</v>
      </c>
      <c r="B188" s="77">
        <v>698.12</v>
      </c>
      <c r="C188" s="78">
        <f>IFERROR(B188/B327, "NA")</f>
        <v>3.1497434564363934E-4</v>
      </c>
      <c r="D188" s="79"/>
      <c r="E188" s="77">
        <v>2930.04</v>
      </c>
      <c r="F188" s="78">
        <f>IFERROR(E188/E327, "NA")</f>
        <v>1.6653356761918228E-3</v>
      </c>
      <c r="G188" s="79"/>
      <c r="H188" s="77">
        <v>5040.87</v>
      </c>
      <c r="I188" s="78">
        <f>IFERROR(H188/H327, "NA")</f>
        <v>2.0597846732769549E-3</v>
      </c>
      <c r="J188" s="79"/>
      <c r="K188" s="77">
        <v>3835.09</v>
      </c>
      <c r="L188" s="78">
        <f>IFERROR(K188/K327, "NA")</f>
        <v>2.5316711560581595E-3</v>
      </c>
      <c r="M188" s="79"/>
      <c r="N188" s="77">
        <v>3447.79</v>
      </c>
      <c r="O188" s="78">
        <f>IFERROR(N188/N327, "NA")</f>
        <v>1.6309170624802412E-3</v>
      </c>
      <c r="P188" s="79"/>
      <c r="Q188" s="77">
        <v>2670.8</v>
      </c>
      <c r="R188" s="78">
        <f>IFERROR(Q188/Q327, "NA")</f>
        <v>1.9252723986877844E-3</v>
      </c>
      <c r="T188" s="80">
        <f t="shared" si="4"/>
        <v>18622.71</v>
      </c>
      <c r="U188" s="80">
        <f t="shared" si="5"/>
        <v>102.32258241758242</v>
      </c>
    </row>
    <row r="189" spans="1:21" x14ac:dyDescent="0.25">
      <c r="A189" s="76" t="s">
        <v>216</v>
      </c>
      <c r="B189" s="77">
        <v>3720.21</v>
      </c>
      <c r="C189" s="78">
        <f>IFERROR(B189/B327, "NA")</f>
        <v>1.6784660379403592E-3</v>
      </c>
      <c r="D189" s="79"/>
      <c r="E189" s="77">
        <v>9753.77</v>
      </c>
      <c r="F189" s="78">
        <f>IFERROR(E189/E327, "NA")</f>
        <v>5.5437131091621667E-3</v>
      </c>
      <c r="G189" s="79"/>
      <c r="H189" s="77">
        <v>-397.6</v>
      </c>
      <c r="I189" s="78">
        <f>IFERROR(H189/H327, "NA")</f>
        <v>-1.6246607948527085E-4</v>
      </c>
      <c r="J189" s="79"/>
      <c r="K189" s="77">
        <v>6401.57</v>
      </c>
      <c r="L189" s="78">
        <f>IFERROR(K189/K327, "NA")</f>
        <v>4.2258904282525918E-3</v>
      </c>
      <c r="M189" s="79"/>
      <c r="N189" s="77">
        <v>6539.04</v>
      </c>
      <c r="O189" s="78">
        <f>IFERROR(N189/N327, "NA")</f>
        <v>3.09317908232253E-3</v>
      </c>
      <c r="P189" s="79"/>
      <c r="Q189" s="77">
        <v>5021.25</v>
      </c>
      <c r="R189" s="78">
        <f>IFERROR(Q189/Q327, "NA")</f>
        <v>3.6196173550662862E-3</v>
      </c>
      <c r="T189" s="80">
        <f t="shared" si="4"/>
        <v>31038.239999999998</v>
      </c>
      <c r="U189" s="80">
        <f t="shared" si="5"/>
        <v>170.5397802197802</v>
      </c>
    </row>
    <row r="190" spans="1:21" x14ac:dyDescent="0.25">
      <c r="A190" s="76" t="s">
        <v>217</v>
      </c>
      <c r="B190" s="77">
        <v>0</v>
      </c>
      <c r="C190" s="78">
        <f>IFERROR(B190/B327, "NA")</f>
        <v>0</v>
      </c>
      <c r="D190" s="79"/>
      <c r="E190" s="77">
        <v>0</v>
      </c>
      <c r="F190" s="78">
        <f>IFERROR(E190/E327, "NA")</f>
        <v>0</v>
      </c>
      <c r="G190" s="79"/>
      <c r="H190" s="77">
        <v>0</v>
      </c>
      <c r="I190" s="78">
        <f>IFERROR(H190/H327, "NA")</f>
        <v>0</v>
      </c>
      <c r="J190" s="79"/>
      <c r="K190" s="77">
        <v>1243.45</v>
      </c>
      <c r="L190" s="78">
        <f>IFERROR(K190/K327, "NA")</f>
        <v>8.2084292650251198E-4</v>
      </c>
      <c r="M190" s="79"/>
      <c r="N190" s="77">
        <v>0</v>
      </c>
      <c r="O190" s="78">
        <f>IFERROR(N190/N327, "NA")</f>
        <v>0</v>
      </c>
      <c r="P190" s="79"/>
      <c r="Q190" s="77">
        <v>0</v>
      </c>
      <c r="R190" s="78">
        <f>IFERROR(Q190/Q327, "NA")</f>
        <v>0</v>
      </c>
      <c r="T190" s="80">
        <f t="shared" si="4"/>
        <v>1243.45</v>
      </c>
      <c r="U190" s="80">
        <f t="shared" si="5"/>
        <v>6.8321428571428573</v>
      </c>
    </row>
    <row r="191" spans="1:21" x14ac:dyDescent="0.25">
      <c r="A191" s="76" t="s">
        <v>218</v>
      </c>
      <c r="B191" s="77">
        <v>0</v>
      </c>
      <c r="C191" s="78">
        <f>IFERROR(B191/B327, "NA")</f>
        <v>0</v>
      </c>
      <c r="D191" s="79"/>
      <c r="E191" s="77">
        <v>0</v>
      </c>
      <c r="F191" s="78">
        <f>IFERROR(E191/E327, "NA")</f>
        <v>0</v>
      </c>
      <c r="G191" s="79"/>
      <c r="H191" s="77">
        <v>0</v>
      </c>
      <c r="I191" s="78">
        <f>IFERROR(H191/H327, "NA")</f>
        <v>0</v>
      </c>
      <c r="J191" s="79"/>
      <c r="K191" s="77">
        <v>0</v>
      </c>
      <c r="L191" s="78">
        <f>IFERROR(K191/K327, "NA")</f>
        <v>0</v>
      </c>
      <c r="M191" s="79"/>
      <c r="N191" s="77">
        <v>0</v>
      </c>
      <c r="O191" s="78">
        <f>IFERROR(N191/N327, "NA")</f>
        <v>0</v>
      </c>
      <c r="P191" s="79"/>
      <c r="Q191" s="77">
        <v>0</v>
      </c>
      <c r="R191" s="78">
        <f>IFERROR(Q191/Q327, "NA")</f>
        <v>0</v>
      </c>
      <c r="T191" s="80">
        <f t="shared" si="4"/>
        <v>0</v>
      </c>
      <c r="U191" s="80">
        <f t="shared" si="5"/>
        <v>0</v>
      </c>
    </row>
    <row r="192" spans="1:21" x14ac:dyDescent="0.25">
      <c r="A192" s="76" t="s">
        <v>219</v>
      </c>
      <c r="B192" s="77">
        <v>2289.9899999999998</v>
      </c>
      <c r="C192" s="78">
        <f>IFERROR(B192/B327, "NA")</f>
        <v>1.0331864174933788E-3</v>
      </c>
      <c r="D192" s="79"/>
      <c r="E192" s="77">
        <v>2736.3</v>
      </c>
      <c r="F192" s="78">
        <f>IFERROR(E192/E327, "NA")</f>
        <v>1.5552204102209134E-3</v>
      </c>
      <c r="G192" s="79"/>
      <c r="H192" s="77">
        <v>2488</v>
      </c>
      <c r="I192" s="78">
        <f>IFERROR(H192/H327, "NA")</f>
        <v>1.0166388474832843E-3</v>
      </c>
      <c r="J192" s="79"/>
      <c r="K192" s="77">
        <v>3665.16</v>
      </c>
      <c r="L192" s="78">
        <f>IFERROR(K192/K327, "NA")</f>
        <v>2.4194946805259129E-3</v>
      </c>
      <c r="M192" s="79"/>
      <c r="N192" s="77">
        <v>4353.68</v>
      </c>
      <c r="O192" s="78">
        <f>IFERROR(N192/N327, "NA")</f>
        <v>2.0594325630560379E-3</v>
      </c>
      <c r="P192" s="79"/>
      <c r="Q192" s="77">
        <v>2120.16</v>
      </c>
      <c r="R192" s="78">
        <f>IFERROR(Q192/Q327, "NA")</f>
        <v>1.5283381491694968E-3</v>
      </c>
      <c r="T192" s="80">
        <f t="shared" si="4"/>
        <v>17653.29</v>
      </c>
      <c r="U192" s="80">
        <f t="shared" si="5"/>
        <v>96.996098901098904</v>
      </c>
    </row>
    <row r="193" spans="1:21" x14ac:dyDescent="0.25">
      <c r="A193" s="76" t="s">
        <v>220</v>
      </c>
      <c r="B193" s="77">
        <v>21973.9</v>
      </c>
      <c r="C193" s="78">
        <f>IFERROR(B193/B327, "NA")</f>
        <v>9.9140760524533984E-3</v>
      </c>
      <c r="D193" s="79"/>
      <c r="E193" s="77">
        <v>21973.67</v>
      </c>
      <c r="F193" s="78">
        <f>IFERROR(E193/E327, "NA")</f>
        <v>1.2489091134546274E-2</v>
      </c>
      <c r="G193" s="79"/>
      <c r="H193" s="77">
        <v>21459</v>
      </c>
      <c r="I193" s="78">
        <f>IFERROR(H193/H327, "NA")</f>
        <v>8.7685100595433271E-3</v>
      </c>
      <c r="J193" s="79"/>
      <c r="K193" s="77">
        <v>22421.65</v>
      </c>
      <c r="L193" s="78">
        <f>IFERROR(K193/K327, "NA")</f>
        <v>1.4801280954614216E-2</v>
      </c>
      <c r="M193" s="79"/>
      <c r="N193" s="77">
        <v>20573.05</v>
      </c>
      <c r="O193" s="78">
        <f>IFERROR(N193/N327, "NA")</f>
        <v>9.7317232987679421E-3</v>
      </c>
      <c r="P193" s="79"/>
      <c r="Q193" s="77">
        <v>20675.259999999998</v>
      </c>
      <c r="R193" s="78">
        <f>IFERROR(Q193/Q327, "NA")</f>
        <v>1.4903964135724725E-2</v>
      </c>
      <c r="T193" s="80">
        <f t="shared" si="4"/>
        <v>129076.53</v>
      </c>
      <c r="U193" s="80">
        <f t="shared" si="5"/>
        <v>709.21170329670326</v>
      </c>
    </row>
    <row r="194" spans="1:21" x14ac:dyDescent="0.25">
      <c r="A194" s="76" t="s">
        <v>221</v>
      </c>
      <c r="B194" s="77">
        <v>6889.69</v>
      </c>
      <c r="C194" s="78">
        <f>IFERROR(B194/B327, "NA")</f>
        <v>3.1084564250236711E-3</v>
      </c>
      <c r="D194" s="79"/>
      <c r="E194" s="77">
        <v>4776.2299999999996</v>
      </c>
      <c r="F194" s="78">
        <f>IFERROR(E194/E327, "NA")</f>
        <v>2.7146476555602208E-3</v>
      </c>
      <c r="G194" s="79"/>
      <c r="H194" s="77">
        <v>16285.85</v>
      </c>
      <c r="I194" s="78">
        <f>IFERROR(H194/H327, "NA")</f>
        <v>6.6546735427193112E-3</v>
      </c>
      <c r="J194" s="79"/>
      <c r="K194" s="77">
        <v>11956.82</v>
      </c>
      <c r="L194" s="78">
        <f>IFERROR(K194/K327, "NA")</f>
        <v>7.8930967232005832E-3</v>
      </c>
      <c r="M194" s="79"/>
      <c r="N194" s="77">
        <v>8653.5400000000009</v>
      </c>
      <c r="O194" s="78">
        <f>IFERROR(N194/N327, "NA")</f>
        <v>4.0934065116655215E-3</v>
      </c>
      <c r="P194" s="79"/>
      <c r="Q194" s="77">
        <v>13595.18</v>
      </c>
      <c r="R194" s="78">
        <f>IFERROR(Q194/Q327, "NA")</f>
        <v>9.8002189640527902E-3</v>
      </c>
      <c r="T194" s="80">
        <f t="shared" si="4"/>
        <v>62157.31</v>
      </c>
      <c r="U194" s="80">
        <f t="shared" si="5"/>
        <v>341.52368131868127</v>
      </c>
    </row>
    <row r="195" spans="1:21" x14ac:dyDescent="0.25">
      <c r="A195" s="76" t="s">
        <v>222</v>
      </c>
      <c r="B195" s="77">
        <v>686.28</v>
      </c>
      <c r="C195" s="78">
        <f>IFERROR(B195/B327, "NA")</f>
        <v>3.0963243271689222E-4</v>
      </c>
      <c r="D195" s="79"/>
      <c r="E195" s="77">
        <v>2198.89</v>
      </c>
      <c r="F195" s="78">
        <f>IFERROR(E195/E327, "NA")</f>
        <v>1.2497747351645156E-3</v>
      </c>
      <c r="G195" s="79"/>
      <c r="H195" s="77">
        <v>2335.7800000000002</v>
      </c>
      <c r="I195" s="78">
        <f>IFERROR(H195/H327, "NA")</f>
        <v>9.5443918294795265E-4</v>
      </c>
      <c r="J195" s="79"/>
      <c r="K195" s="77">
        <v>686.28</v>
      </c>
      <c r="L195" s="78">
        <f>IFERROR(K195/K327, "NA")</f>
        <v>4.5303637749820569E-4</v>
      </c>
      <c r="M195" s="79"/>
      <c r="N195" s="77">
        <v>686.28</v>
      </c>
      <c r="O195" s="78">
        <f>IFERROR(N195/N327, "NA")</f>
        <v>3.246328116384524E-4</v>
      </c>
      <c r="P195" s="79"/>
      <c r="Q195" s="77">
        <v>1146.27</v>
      </c>
      <c r="R195" s="78">
        <f>IFERROR(Q195/Q327, "NA")</f>
        <v>8.2629998219404166E-4</v>
      </c>
      <c r="T195" s="80">
        <f t="shared" si="4"/>
        <v>7739.7800000000007</v>
      </c>
      <c r="U195" s="80">
        <f t="shared" si="5"/>
        <v>42.526263736263736</v>
      </c>
    </row>
    <row r="196" spans="1:21" x14ac:dyDescent="0.25">
      <c r="A196" s="76" t="s">
        <v>223</v>
      </c>
      <c r="B196" s="77">
        <v>214408.65</v>
      </c>
      <c r="C196" s="78">
        <f>IFERROR(B196/B327, "NA")</f>
        <v>9.6735839446063843E-2</v>
      </c>
      <c r="D196" s="79"/>
      <c r="E196" s="77">
        <v>133400.73000000001</v>
      </c>
      <c r="F196" s="78">
        <f>IFERROR(E196/E327, "NA")</f>
        <v>7.5820464873869564E-2</v>
      </c>
      <c r="G196" s="79"/>
      <c r="H196" s="77">
        <v>153918.74</v>
      </c>
      <c r="I196" s="78">
        <f>IFERROR(H196/H327, "NA")</f>
        <v>6.2893798408231227E-2</v>
      </c>
      <c r="J196" s="79"/>
      <c r="K196" s="77">
        <v>101061.67</v>
      </c>
      <c r="L196" s="78">
        <f>IFERROR(K196/K327, "NA")</f>
        <v>6.6714187912687364E-2</v>
      </c>
      <c r="M196" s="79"/>
      <c r="N196" s="77">
        <v>197496.84</v>
      </c>
      <c r="O196" s="78">
        <f>IFERROR(N196/N327, "NA")</f>
        <v>9.3422443403435293E-2</v>
      </c>
      <c r="P196" s="79"/>
      <c r="Q196" s="77">
        <v>135121.57999999999</v>
      </c>
      <c r="R196" s="78">
        <f>IFERROR(Q196/Q327, "NA")</f>
        <v>9.7403717403430928E-2</v>
      </c>
      <c r="T196" s="80">
        <f t="shared" si="4"/>
        <v>935408.21</v>
      </c>
      <c r="U196" s="80">
        <f t="shared" si="5"/>
        <v>5139.605549450549</v>
      </c>
    </row>
    <row r="197" spans="1:21" x14ac:dyDescent="0.25">
      <c r="A197" s="76" t="s">
        <v>224</v>
      </c>
      <c r="B197" s="77">
        <v>2295.52</v>
      </c>
      <c r="C197" s="78">
        <f>IFERROR(B197/B327, "NA")</f>
        <v>1.0356814156762262E-3</v>
      </c>
      <c r="D197" s="79"/>
      <c r="E197" s="77">
        <v>406</v>
      </c>
      <c r="F197" s="78">
        <f>IFERROR(E197/E327, "NA")</f>
        <v>2.307566738112381E-4</v>
      </c>
      <c r="G197" s="79"/>
      <c r="H197" s="77">
        <v>0</v>
      </c>
      <c r="I197" s="78">
        <f>IFERROR(H197/H327, "NA")</f>
        <v>0</v>
      </c>
      <c r="J197" s="79"/>
      <c r="K197" s="77">
        <v>0</v>
      </c>
      <c r="L197" s="78">
        <f>IFERROR(K197/K327, "NA")</f>
        <v>0</v>
      </c>
      <c r="M197" s="79"/>
      <c r="N197" s="77">
        <v>0</v>
      </c>
      <c r="O197" s="78">
        <f>IFERROR(N197/N327, "NA")</f>
        <v>0</v>
      </c>
      <c r="P197" s="79"/>
      <c r="Q197" s="77">
        <v>293.76</v>
      </c>
      <c r="R197" s="78">
        <f>IFERROR(Q197/Q327, "NA")</f>
        <v>2.1175977978078609E-4</v>
      </c>
      <c r="T197" s="80">
        <f t="shared" si="4"/>
        <v>2995.2799999999997</v>
      </c>
      <c r="U197" s="80">
        <f t="shared" si="5"/>
        <v>16.457582417582415</v>
      </c>
    </row>
    <row r="198" spans="1:21" x14ac:dyDescent="0.25">
      <c r="A198" s="76" t="s">
        <v>225</v>
      </c>
      <c r="B198" s="77">
        <v>0</v>
      </c>
      <c r="C198" s="78">
        <f>IFERROR(B198/B327, "NA")</f>
        <v>0</v>
      </c>
      <c r="D198" s="79"/>
      <c r="E198" s="77">
        <v>0</v>
      </c>
      <c r="F198" s="78">
        <f>IFERROR(E198/E327, "NA")</f>
        <v>0</v>
      </c>
      <c r="G198" s="79"/>
      <c r="H198" s="77">
        <v>0</v>
      </c>
      <c r="I198" s="78">
        <f>IFERROR(H198/H327, "NA")</f>
        <v>0</v>
      </c>
      <c r="J198" s="79"/>
      <c r="K198" s="77">
        <v>0</v>
      </c>
      <c r="L198" s="78">
        <f>IFERROR(K198/K327, "NA")</f>
        <v>0</v>
      </c>
      <c r="M198" s="79"/>
      <c r="N198" s="77">
        <v>0</v>
      </c>
      <c r="O198" s="78">
        <f>IFERROR(N198/N327, "NA")</f>
        <v>0</v>
      </c>
      <c r="P198" s="79"/>
      <c r="Q198" s="77">
        <v>0</v>
      </c>
      <c r="R198" s="78">
        <f>IFERROR(Q198/Q327, "NA")</f>
        <v>0</v>
      </c>
      <c r="T198" s="80">
        <f t="shared" si="4"/>
        <v>0</v>
      </c>
      <c r="U198" s="80">
        <f t="shared" si="5"/>
        <v>0</v>
      </c>
    </row>
    <row r="199" spans="1:21" x14ac:dyDescent="0.25">
      <c r="A199" s="76" t="s">
        <v>226</v>
      </c>
      <c r="B199" s="77">
        <v>0</v>
      </c>
      <c r="C199" s="78">
        <f>IFERROR(B199/B327, "NA")</f>
        <v>0</v>
      </c>
      <c r="D199" s="79"/>
      <c r="E199" s="77">
        <v>0</v>
      </c>
      <c r="F199" s="78">
        <f>IFERROR(E199/E327, "NA")</f>
        <v>0</v>
      </c>
      <c r="G199" s="79"/>
      <c r="H199" s="77">
        <v>0</v>
      </c>
      <c r="I199" s="78">
        <f>IFERROR(H199/H327, "NA")</f>
        <v>0</v>
      </c>
      <c r="J199" s="79"/>
      <c r="K199" s="77">
        <v>0</v>
      </c>
      <c r="L199" s="78">
        <f>IFERROR(K199/K327, "NA")</f>
        <v>0</v>
      </c>
      <c r="M199" s="79"/>
      <c r="N199" s="77">
        <v>0</v>
      </c>
      <c r="O199" s="78">
        <f>IFERROR(N199/N327, "NA")</f>
        <v>0</v>
      </c>
      <c r="P199" s="79"/>
      <c r="Q199" s="77">
        <v>0</v>
      </c>
      <c r="R199" s="78">
        <f>IFERROR(Q199/Q327, "NA")</f>
        <v>0</v>
      </c>
      <c r="T199" s="80">
        <f t="shared" si="4"/>
        <v>0</v>
      </c>
      <c r="U199" s="80">
        <f t="shared" si="5"/>
        <v>0</v>
      </c>
    </row>
    <row r="200" spans="1:21" x14ac:dyDescent="0.25">
      <c r="A200" s="76" t="s">
        <v>227</v>
      </c>
      <c r="B200" s="77">
        <v>0</v>
      </c>
      <c r="C200" s="78">
        <f>IFERROR(B200/B327, "NA")</f>
        <v>0</v>
      </c>
      <c r="D200" s="79"/>
      <c r="E200" s="77">
        <v>0</v>
      </c>
      <c r="F200" s="78">
        <f>IFERROR(E200/E327, "NA")</f>
        <v>0</v>
      </c>
      <c r="G200" s="79"/>
      <c r="H200" s="77">
        <v>0</v>
      </c>
      <c r="I200" s="78">
        <f>IFERROR(H200/H327, "NA")</f>
        <v>0</v>
      </c>
      <c r="J200" s="79"/>
      <c r="K200" s="77">
        <v>0</v>
      </c>
      <c r="L200" s="78">
        <f>IFERROR(K200/K327, "NA")</f>
        <v>0</v>
      </c>
      <c r="M200" s="79"/>
      <c r="N200" s="77">
        <v>0</v>
      </c>
      <c r="O200" s="78">
        <f>IFERROR(N200/N327, "NA")</f>
        <v>0</v>
      </c>
      <c r="P200" s="79"/>
      <c r="Q200" s="77">
        <v>0</v>
      </c>
      <c r="R200" s="78">
        <f>IFERROR(Q200/Q327, "NA")</f>
        <v>0</v>
      </c>
      <c r="T200" s="80">
        <f t="shared" si="4"/>
        <v>0</v>
      </c>
      <c r="U200" s="80">
        <f t="shared" si="5"/>
        <v>0</v>
      </c>
    </row>
    <row r="201" spans="1:21" x14ac:dyDescent="0.25">
      <c r="A201" s="76" t="s">
        <v>228</v>
      </c>
      <c r="B201" s="77">
        <v>-74.930000000000007</v>
      </c>
      <c r="C201" s="78">
        <f>IFERROR(B201/B327, "NA")</f>
        <v>-3.3806548614962895E-5</v>
      </c>
      <c r="D201" s="79"/>
      <c r="E201" s="77">
        <v>399.9</v>
      </c>
      <c r="F201" s="78">
        <f>IFERROR(E201/E327, "NA")</f>
        <v>2.2728964004215297E-4</v>
      </c>
      <c r="G201" s="79"/>
      <c r="H201" s="77">
        <v>163.16</v>
      </c>
      <c r="I201" s="78">
        <f>IFERROR(H201/H327, "NA")</f>
        <v>6.666993342257744E-5</v>
      </c>
      <c r="J201" s="79"/>
      <c r="K201" s="77">
        <v>626</v>
      </c>
      <c r="L201" s="78">
        <f>IFERROR(K201/K327, "NA")</f>
        <v>4.1324353370909362E-4</v>
      </c>
      <c r="M201" s="79"/>
      <c r="N201" s="77">
        <v>999.37</v>
      </c>
      <c r="O201" s="78">
        <f>IFERROR(N201/N327, "NA")</f>
        <v>4.7273458787538644E-4</v>
      </c>
      <c r="P201" s="79"/>
      <c r="Q201" s="77">
        <v>697.16</v>
      </c>
      <c r="R201" s="78">
        <f>IFERROR(Q201/Q327, "NA")</f>
        <v>5.025546298746352E-4</v>
      </c>
      <c r="T201" s="80">
        <f t="shared" ref="T201:T264" si="6">IFERROR(B201+E201+H201+K201+N201+Q201, "NA")</f>
        <v>2810.66</v>
      </c>
      <c r="U201" s="80">
        <f t="shared" ref="U201:U264" si="7">(T201/$V$1)/7</f>
        <v>15.443186813186813</v>
      </c>
    </row>
    <row r="202" spans="1:21" x14ac:dyDescent="0.25">
      <c r="A202" s="76" t="s">
        <v>229</v>
      </c>
      <c r="B202" s="77">
        <v>0</v>
      </c>
      <c r="C202" s="78">
        <f>IFERROR(B202/B327, "NA")</f>
        <v>0</v>
      </c>
      <c r="D202" s="79"/>
      <c r="E202" s="77">
        <v>0</v>
      </c>
      <c r="F202" s="78">
        <f>IFERROR(E202/E327, "NA")</f>
        <v>0</v>
      </c>
      <c r="G202" s="79"/>
      <c r="H202" s="77">
        <v>0</v>
      </c>
      <c r="I202" s="78">
        <f>IFERROR(H202/H327, "NA")</f>
        <v>0</v>
      </c>
      <c r="J202" s="79"/>
      <c r="K202" s="77">
        <v>0</v>
      </c>
      <c r="L202" s="78">
        <f>IFERROR(K202/K327, "NA")</f>
        <v>0</v>
      </c>
      <c r="M202" s="79"/>
      <c r="N202" s="77">
        <v>0</v>
      </c>
      <c r="O202" s="78">
        <f>IFERROR(N202/N327, "NA")</f>
        <v>0</v>
      </c>
      <c r="P202" s="79"/>
      <c r="Q202" s="77">
        <v>0</v>
      </c>
      <c r="R202" s="78">
        <f>IFERROR(Q202/Q327, "NA")</f>
        <v>0</v>
      </c>
      <c r="T202" s="80">
        <f t="shared" si="6"/>
        <v>0</v>
      </c>
      <c r="U202" s="80">
        <f t="shared" si="7"/>
        <v>0</v>
      </c>
    </row>
    <row r="203" spans="1:21" x14ac:dyDescent="0.25">
      <c r="A203" s="76" t="s">
        <v>230</v>
      </c>
      <c r="B203" s="77">
        <v>0</v>
      </c>
      <c r="C203" s="78">
        <f>IFERROR(B203/B327, "NA")</f>
        <v>0</v>
      </c>
      <c r="D203" s="79"/>
      <c r="E203" s="77">
        <v>0</v>
      </c>
      <c r="F203" s="78">
        <f>IFERROR(E203/E327, "NA")</f>
        <v>0</v>
      </c>
      <c r="G203" s="79"/>
      <c r="H203" s="77">
        <v>0</v>
      </c>
      <c r="I203" s="78">
        <f>IFERROR(H203/H327, "NA")</f>
        <v>0</v>
      </c>
      <c r="J203" s="79"/>
      <c r="K203" s="77">
        <v>0</v>
      </c>
      <c r="L203" s="78">
        <f>IFERROR(K203/K327, "NA")</f>
        <v>0</v>
      </c>
      <c r="M203" s="79"/>
      <c r="N203" s="77">
        <v>0</v>
      </c>
      <c r="O203" s="78">
        <f>IFERROR(N203/N327, "NA")</f>
        <v>0</v>
      </c>
      <c r="P203" s="79"/>
      <c r="Q203" s="77">
        <v>0</v>
      </c>
      <c r="R203" s="78">
        <f>IFERROR(Q203/Q327, "NA")</f>
        <v>0</v>
      </c>
      <c r="T203" s="80">
        <f t="shared" si="6"/>
        <v>0</v>
      </c>
      <c r="U203" s="80">
        <f t="shared" si="7"/>
        <v>0</v>
      </c>
    </row>
    <row r="204" spans="1:21" x14ac:dyDescent="0.25">
      <c r="A204" s="76" t="s">
        <v>231</v>
      </c>
      <c r="B204" s="77">
        <v>0</v>
      </c>
      <c r="C204" s="78">
        <f>IFERROR(B204/B327, "NA")</f>
        <v>0</v>
      </c>
      <c r="D204" s="79"/>
      <c r="E204" s="77">
        <v>0</v>
      </c>
      <c r="F204" s="78">
        <f>IFERROR(E204/E327, "NA")</f>
        <v>0</v>
      </c>
      <c r="G204" s="79"/>
      <c r="H204" s="77">
        <v>0</v>
      </c>
      <c r="I204" s="78">
        <f>IFERROR(H204/H327, "NA")</f>
        <v>0</v>
      </c>
      <c r="J204" s="79"/>
      <c r="K204" s="77">
        <v>0</v>
      </c>
      <c r="L204" s="78">
        <f>IFERROR(K204/K327, "NA")</f>
        <v>0</v>
      </c>
      <c r="M204" s="79"/>
      <c r="N204" s="77">
        <v>0</v>
      </c>
      <c r="O204" s="78">
        <f>IFERROR(N204/N327, "NA")</f>
        <v>0</v>
      </c>
      <c r="P204" s="79"/>
      <c r="Q204" s="77">
        <v>0</v>
      </c>
      <c r="R204" s="78">
        <f>IFERROR(Q204/Q327, "NA")</f>
        <v>0</v>
      </c>
      <c r="T204" s="80">
        <f t="shared" si="6"/>
        <v>0</v>
      </c>
      <c r="U204" s="80">
        <f t="shared" si="7"/>
        <v>0</v>
      </c>
    </row>
    <row r="205" spans="1:21" x14ac:dyDescent="0.25">
      <c r="A205" s="76" t="s">
        <v>232</v>
      </c>
      <c r="B205" s="77">
        <v>0</v>
      </c>
      <c r="C205" s="78">
        <f>IFERROR(B205/B327, "NA")</f>
        <v>0</v>
      </c>
      <c r="D205" s="79"/>
      <c r="E205" s="77">
        <v>0</v>
      </c>
      <c r="F205" s="78">
        <f>IFERROR(E205/E327, "NA")</f>
        <v>0</v>
      </c>
      <c r="G205" s="79"/>
      <c r="H205" s="77">
        <v>0</v>
      </c>
      <c r="I205" s="78">
        <f>IFERROR(H205/H327, "NA")</f>
        <v>0</v>
      </c>
      <c r="J205" s="79"/>
      <c r="K205" s="77">
        <v>0</v>
      </c>
      <c r="L205" s="78">
        <f>IFERROR(K205/K327, "NA")</f>
        <v>0</v>
      </c>
      <c r="M205" s="79"/>
      <c r="N205" s="77">
        <v>0</v>
      </c>
      <c r="O205" s="78">
        <f>IFERROR(N205/N327, "NA")</f>
        <v>0</v>
      </c>
      <c r="P205" s="79"/>
      <c r="Q205" s="77">
        <v>0</v>
      </c>
      <c r="R205" s="78">
        <f>IFERROR(Q205/Q327, "NA")</f>
        <v>0</v>
      </c>
      <c r="T205" s="80">
        <f t="shared" si="6"/>
        <v>0</v>
      </c>
      <c r="U205" s="80">
        <f t="shared" si="7"/>
        <v>0</v>
      </c>
    </row>
    <row r="206" spans="1:21" x14ac:dyDescent="0.25">
      <c r="A206" s="76" t="s">
        <v>233</v>
      </c>
      <c r="B206" s="77">
        <v>0</v>
      </c>
      <c r="C206" s="78">
        <f>IFERROR(B206/B327, "NA")</f>
        <v>0</v>
      </c>
      <c r="D206" s="79"/>
      <c r="E206" s="77">
        <v>0</v>
      </c>
      <c r="F206" s="78">
        <f>IFERROR(E206/E327, "NA")</f>
        <v>0</v>
      </c>
      <c r="G206" s="79"/>
      <c r="H206" s="77">
        <v>0</v>
      </c>
      <c r="I206" s="78">
        <f>IFERROR(H206/H327, "NA")</f>
        <v>0</v>
      </c>
      <c r="J206" s="79"/>
      <c r="K206" s="77">
        <v>0</v>
      </c>
      <c r="L206" s="78">
        <f>IFERROR(K206/K327, "NA")</f>
        <v>0</v>
      </c>
      <c r="M206" s="79"/>
      <c r="N206" s="77">
        <v>0</v>
      </c>
      <c r="O206" s="78">
        <f>IFERROR(N206/N327, "NA")</f>
        <v>0</v>
      </c>
      <c r="P206" s="79"/>
      <c r="Q206" s="77">
        <v>0</v>
      </c>
      <c r="R206" s="78">
        <f>IFERROR(Q206/Q327, "NA")</f>
        <v>0</v>
      </c>
      <c r="T206" s="80">
        <f t="shared" si="6"/>
        <v>0</v>
      </c>
      <c r="U206" s="80">
        <f t="shared" si="7"/>
        <v>0</v>
      </c>
    </row>
    <row r="207" spans="1:21" x14ac:dyDescent="0.25">
      <c r="A207" s="76" t="s">
        <v>234</v>
      </c>
      <c r="B207" s="77">
        <v>0</v>
      </c>
      <c r="C207" s="78">
        <f>IFERROR(B207/B327, "NA")</f>
        <v>0</v>
      </c>
      <c r="D207" s="79"/>
      <c r="E207" s="77">
        <v>0</v>
      </c>
      <c r="F207" s="78">
        <f>IFERROR(E207/E327, "NA")</f>
        <v>0</v>
      </c>
      <c r="G207" s="79"/>
      <c r="H207" s="77">
        <v>0</v>
      </c>
      <c r="I207" s="78">
        <f>IFERROR(H207/H327, "NA")</f>
        <v>0</v>
      </c>
      <c r="J207" s="79"/>
      <c r="K207" s="77">
        <v>0</v>
      </c>
      <c r="L207" s="78">
        <f>IFERROR(K207/K327, "NA")</f>
        <v>0</v>
      </c>
      <c r="M207" s="79"/>
      <c r="N207" s="77">
        <v>0</v>
      </c>
      <c r="O207" s="78">
        <f>IFERROR(N207/N327, "NA")</f>
        <v>0</v>
      </c>
      <c r="P207" s="79"/>
      <c r="Q207" s="77">
        <v>0</v>
      </c>
      <c r="R207" s="78">
        <f>IFERROR(Q207/Q327, "NA")</f>
        <v>0</v>
      </c>
      <c r="T207" s="80">
        <f t="shared" si="6"/>
        <v>0</v>
      </c>
      <c r="U207" s="80">
        <f t="shared" si="7"/>
        <v>0</v>
      </c>
    </row>
    <row r="208" spans="1:21" x14ac:dyDescent="0.25">
      <c r="A208" s="76" t="s">
        <v>235</v>
      </c>
      <c r="B208" s="77">
        <v>0</v>
      </c>
      <c r="C208" s="78">
        <f>IFERROR(B208/B327, "NA")</f>
        <v>0</v>
      </c>
      <c r="D208" s="79"/>
      <c r="E208" s="77">
        <v>0</v>
      </c>
      <c r="F208" s="78">
        <f>IFERROR(E208/E327, "NA")</f>
        <v>0</v>
      </c>
      <c r="G208" s="79"/>
      <c r="H208" s="77">
        <v>0</v>
      </c>
      <c r="I208" s="78">
        <f>IFERROR(H208/H327, "NA")</f>
        <v>0</v>
      </c>
      <c r="J208" s="79"/>
      <c r="K208" s="77">
        <v>0</v>
      </c>
      <c r="L208" s="78">
        <f>IFERROR(K208/K327, "NA")</f>
        <v>0</v>
      </c>
      <c r="M208" s="79"/>
      <c r="N208" s="77">
        <v>0</v>
      </c>
      <c r="O208" s="78">
        <f>IFERROR(N208/N327, "NA")</f>
        <v>0</v>
      </c>
      <c r="P208" s="79"/>
      <c r="Q208" s="77">
        <v>0</v>
      </c>
      <c r="R208" s="78">
        <f>IFERROR(Q208/Q327, "NA")</f>
        <v>0</v>
      </c>
      <c r="T208" s="80">
        <f t="shared" si="6"/>
        <v>0</v>
      </c>
      <c r="U208" s="80">
        <f t="shared" si="7"/>
        <v>0</v>
      </c>
    </row>
    <row r="209" spans="1:21" x14ac:dyDescent="0.25">
      <c r="A209" s="81" t="s">
        <v>236</v>
      </c>
      <c r="B209" s="82">
        <f>IFERROR(B160+B161+B162+B163+B164+B165+B166+B167+B168+B169+B170+B171+B172+B173+B174+B175+B176+B177+B178+B179+B180+B181+B182+B183+B184+B185+B186+B187+B188+B189+B190+B191+B192+B193+B194+B195+B196+B197+B198+B199+B200+B201+B202+B203+B204+B205+B206+B207+B208, "NA")</f>
        <v>312827.33</v>
      </c>
      <c r="C209" s="83">
        <f>IFERROR(B209/B327, "NA")</f>
        <v>0.14113989509854585</v>
      </c>
      <c r="D209" s="72"/>
      <c r="E209" s="82">
        <f>IFERROR(E160+E161+E162+E163+E164+E165+E166+E167+E168+E169+E170+E171+E172+E173+E174+E175+E176+E177+E178+E179+E180+E181+E182+E183+E184+E185+E186+E187+E188+E189+E190+E191+E192+E193+E194+E195+E196+E197+E198+E199+E200+E201+E202+E203+E204+E205+E206+E207+E208, "NA")</f>
        <v>234128.67</v>
      </c>
      <c r="F209" s="83">
        <f>IFERROR(E209/E327, "NA")</f>
        <v>0.13307082052475125</v>
      </c>
      <c r="G209" s="72"/>
      <c r="H209" s="82">
        <f>IFERROR(H160+H161+H162+H163+H164+H165+H166+H167+H168+H169+H170+H171+H172+H173+H174+H175+H176+H177+H178+H179+H180+H181+H182+H183+H184+H185+H186+H187+H188+H189+H190+H191+H192+H193+H194+H195+H196+H197+H198+H199+H200+H201+H202+H203+H204+H205+H206+H207+H208, "NA")</f>
        <v>323260.86</v>
      </c>
      <c r="I209" s="83">
        <f>IFERROR(H209/H327, "NA")</f>
        <v>0.13208985054134056</v>
      </c>
      <c r="J209" s="72"/>
      <c r="K209" s="82">
        <f>IFERROR(K160+K161+K162+K163+K164+K165+K166+K167+K168+K169+K170+K171+K172+K173+K174+K175+K176+K177+K178+K179+K180+K181+K182+K183+K184+K185+K186+K187+K188+K189+K190+K191+K192+K193+K194+K195+K196+K197+K198+K199+K200+K201+K202+K203+K204+K205+K206+K207+K208, "NA")</f>
        <v>208656.53000000003</v>
      </c>
      <c r="L209" s="83">
        <f>IFERROR(K209/K327, "NA")</f>
        <v>0.13774115301705672</v>
      </c>
      <c r="M209" s="72"/>
      <c r="N209" s="82">
        <f>IFERROR(N160+N161+N162+N163+N164+N165+N166+N167+N168+N169+N170+N171+N172+N173+N174+N175+N176+N177+N178+N179+N180+N181+N182+N183+N184+N185+N186+N187+N188+N189+N190+N191+N192+N193+N194+N195+N196+N197+N198+N199+N200+N201+N202+N203+N204+N205+N206+N207+N208, "NA")</f>
        <v>316610.89</v>
      </c>
      <c r="O209" s="83">
        <f>IFERROR(N209/N327, "NA")</f>
        <v>0.1497672719823582</v>
      </c>
      <c r="P209" s="72"/>
      <c r="Q209" s="82">
        <f>IFERROR(Q160+Q161+Q162+Q163+Q164+Q165+Q166+Q167+Q168+Q169+Q170+Q171+Q172+Q173+Q174+Q175+Q176+Q177+Q178+Q179+Q180+Q181+Q182+Q183+Q184+Q185+Q186+Q187+Q188+Q189+Q190+Q191+Q192+Q193+Q194+Q195+Q196+Q197+Q198+Q199+Q200+Q201+Q202+Q203+Q204+Q205+Q206+Q207+Q208, "NA")</f>
        <v>233331.18000000002</v>
      </c>
      <c r="R209" s="83">
        <f>IFERROR(Q209/Q327, "NA")</f>
        <v>0.16819907166663592</v>
      </c>
      <c r="T209" s="80">
        <f t="shared" si="6"/>
        <v>1628815.4600000002</v>
      </c>
      <c r="U209" s="80">
        <f t="shared" si="7"/>
        <v>8949.5354945054951</v>
      </c>
    </row>
    <row r="210" spans="1:21" x14ac:dyDescent="0.25">
      <c r="A210" s="84" t="s">
        <v>237</v>
      </c>
      <c r="B210" s="77">
        <v>0</v>
      </c>
      <c r="C210" s="78">
        <f>IFERROR(B210/B327, "NA")</f>
        <v>0</v>
      </c>
      <c r="D210" s="79"/>
      <c r="E210" s="77">
        <v>0</v>
      </c>
      <c r="F210" s="78">
        <f>IFERROR(E210/E327, "NA")</f>
        <v>0</v>
      </c>
      <c r="G210" s="79"/>
      <c r="H210" s="77">
        <v>0</v>
      </c>
      <c r="I210" s="78">
        <f>IFERROR(H210/H327, "NA")</f>
        <v>0</v>
      </c>
      <c r="J210" s="79"/>
      <c r="K210" s="77">
        <v>0</v>
      </c>
      <c r="L210" s="78">
        <f>IFERROR(K210/K327, "NA")</f>
        <v>0</v>
      </c>
      <c r="M210" s="79"/>
      <c r="N210" s="77">
        <v>0</v>
      </c>
      <c r="O210" s="78">
        <f>IFERROR(N210/N327, "NA")</f>
        <v>0</v>
      </c>
      <c r="P210" s="79"/>
      <c r="Q210" s="77">
        <v>0</v>
      </c>
      <c r="R210" s="78">
        <f>IFERROR(Q210/Q327, "NA")</f>
        <v>0</v>
      </c>
      <c r="T210" s="80">
        <f t="shared" si="6"/>
        <v>0</v>
      </c>
      <c r="U210" s="80">
        <f t="shared" si="7"/>
        <v>0</v>
      </c>
    </row>
    <row r="211" spans="1:21" x14ac:dyDescent="0.25">
      <c r="A211" s="85" t="s">
        <v>238</v>
      </c>
      <c r="B211" s="82">
        <f>IFERROR(B160+B161+B162+B163+B164+B165+B166+B167+B168+B169+B170+B171+B172+B173+B174+B175+B176+B177+B178+B179+B180+B181+B182+B183+B184+B185+B186+B187+B188+B189+B190+B191+B192+B193+B194+B195+B196+B197+B198+B199+B200+B201+B202+B203+B204+B205+B206+B207+B208+B210, "NA")</f>
        <v>312827.33</v>
      </c>
      <c r="C211" s="83">
        <f>IFERROR(B211/B327, "NA")</f>
        <v>0.14113989509854585</v>
      </c>
      <c r="D211" s="72"/>
      <c r="E211" s="82">
        <f>IFERROR(E160+E161+E162+E163+E164+E165+E166+E167+E168+E169+E170+E171+E172+E173+E174+E175+E176+E177+E178+E179+E180+E181+E182+E183+E184+E185+E186+E187+E188+E189+E190+E191+E192+E193+E194+E195+E196+E197+E198+E199+E200+E201+E202+E203+E204+E205+E206+E207+E208+E210, "NA")</f>
        <v>234128.67</v>
      </c>
      <c r="F211" s="83">
        <f>IFERROR(E211/E327, "NA")</f>
        <v>0.13307082052475125</v>
      </c>
      <c r="G211" s="72"/>
      <c r="H211" s="82">
        <f>IFERROR(H160+H161+H162+H163+H164+H165+H166+H167+H168+H169+H170+H171+H172+H173+H174+H175+H176+H177+H178+H179+H180+H181+H182+H183+H184+H185+H186+H187+H188+H189+H190+H191+H192+H193+H194+H195+H196+H197+H198+H199+H200+H201+H202+H203+H204+H205+H206+H207+H208+H210, "NA")</f>
        <v>323260.86</v>
      </c>
      <c r="I211" s="83">
        <f>IFERROR(H211/H327, "NA")</f>
        <v>0.13208985054134056</v>
      </c>
      <c r="J211" s="72"/>
      <c r="K211" s="82">
        <f>IFERROR(K160+K161+K162+K163+K164+K165+K166+K167+K168+K169+K170+K171+K172+K173+K174+K175+K176+K177+K178+K179+K180+K181+K182+K183+K184+K185+K186+K187+K188+K189+K190+K191+K192+K193+K194+K195+K196+K197+K198+K199+K200+K201+K202+K203+K204+K205+K206+K207+K208+K210, "NA")</f>
        <v>208656.53000000003</v>
      </c>
      <c r="L211" s="83">
        <f>IFERROR(K211/K327, "NA")</f>
        <v>0.13774115301705672</v>
      </c>
      <c r="M211" s="72"/>
      <c r="N211" s="82">
        <f>IFERROR(N160+N161+N162+N163+N164+N165+N166+N167+N168+N169+N170+N171+N172+N173+N174+N175+N176+N177+N178+N179+N180+N181+N182+N183+N184+N185+N186+N187+N188+N189+N190+N191+N192+N193+N194+N195+N196+N197+N198+N199+N200+N201+N202+N203+N204+N205+N206+N207+N208+N210, "NA")</f>
        <v>316610.89</v>
      </c>
      <c r="O211" s="83">
        <f>IFERROR(N211/N327, "NA")</f>
        <v>0.1497672719823582</v>
      </c>
      <c r="P211" s="72"/>
      <c r="Q211" s="82">
        <f>IFERROR(Q160+Q161+Q162+Q163+Q164+Q165+Q166+Q167+Q168+Q169+Q170+Q171+Q172+Q173+Q174+Q175+Q176+Q177+Q178+Q179+Q180+Q181+Q182+Q183+Q184+Q185+Q186+Q187+Q188+Q189+Q190+Q191+Q192+Q193+Q194+Q195+Q196+Q197+Q198+Q199+Q200+Q201+Q202+Q203+Q204+Q205+Q206+Q207+Q208+Q210, "NA")</f>
        <v>233331.18000000002</v>
      </c>
      <c r="R211" s="83">
        <f>IFERROR(Q211/Q327, "NA")</f>
        <v>0.16819907166663592</v>
      </c>
      <c r="T211" s="80">
        <f t="shared" si="6"/>
        <v>1628815.4600000002</v>
      </c>
      <c r="U211" s="80">
        <f t="shared" si="7"/>
        <v>8949.5354945054951</v>
      </c>
    </row>
    <row r="212" spans="1:21" x14ac:dyDescent="0.25">
      <c r="A212" s="71" t="s">
        <v>239</v>
      </c>
      <c r="B212" s="72"/>
      <c r="C212" s="73"/>
      <c r="D212" s="74"/>
      <c r="E212" s="72"/>
      <c r="F212" s="73"/>
      <c r="G212" s="74"/>
      <c r="H212" s="72"/>
      <c r="I212" s="73"/>
      <c r="J212" s="74"/>
      <c r="K212" s="72"/>
      <c r="L212" s="73"/>
      <c r="M212" s="74"/>
      <c r="N212" s="72"/>
      <c r="O212" s="73"/>
      <c r="P212" s="74"/>
      <c r="Q212" s="72"/>
      <c r="R212" s="73"/>
      <c r="T212" s="80">
        <f t="shared" si="6"/>
        <v>0</v>
      </c>
      <c r="U212" s="80">
        <f t="shared" si="7"/>
        <v>0</v>
      </c>
    </row>
    <row r="213" spans="1:21" x14ac:dyDescent="0.25">
      <c r="A213" s="75" t="s">
        <v>240</v>
      </c>
      <c r="B213" s="72"/>
      <c r="C213" s="73"/>
      <c r="D213" s="74"/>
      <c r="E213" s="72"/>
      <c r="F213" s="73"/>
      <c r="G213" s="74"/>
      <c r="H213" s="72"/>
      <c r="I213" s="73"/>
      <c r="J213" s="74"/>
      <c r="K213" s="72"/>
      <c r="L213" s="73"/>
      <c r="M213" s="74"/>
      <c r="N213" s="72"/>
      <c r="O213" s="73"/>
      <c r="P213" s="74"/>
      <c r="Q213" s="72"/>
      <c r="R213" s="73"/>
      <c r="T213" s="80">
        <f t="shared" si="6"/>
        <v>0</v>
      </c>
      <c r="U213" s="80">
        <f t="shared" si="7"/>
        <v>0</v>
      </c>
    </row>
    <row r="214" spans="1:21" x14ac:dyDescent="0.25">
      <c r="A214" s="76" t="s">
        <v>241</v>
      </c>
      <c r="B214" s="77">
        <v>0</v>
      </c>
      <c r="C214" s="78">
        <f>IFERROR(B214/B327, "NA")</f>
        <v>0</v>
      </c>
      <c r="D214" s="79"/>
      <c r="E214" s="77">
        <v>0</v>
      </c>
      <c r="F214" s="78">
        <f>IFERROR(E214/E327, "NA")</f>
        <v>0</v>
      </c>
      <c r="G214" s="79"/>
      <c r="H214" s="77">
        <v>0</v>
      </c>
      <c r="I214" s="78">
        <f>IFERROR(H214/H327, "NA")</f>
        <v>0</v>
      </c>
      <c r="J214" s="79"/>
      <c r="K214" s="77">
        <v>0</v>
      </c>
      <c r="L214" s="78">
        <f>IFERROR(K214/K327, "NA")</f>
        <v>0</v>
      </c>
      <c r="M214" s="79"/>
      <c r="N214" s="77">
        <v>0</v>
      </c>
      <c r="O214" s="78">
        <f>IFERROR(N214/N327, "NA")</f>
        <v>0</v>
      </c>
      <c r="P214" s="79"/>
      <c r="Q214" s="77">
        <v>0</v>
      </c>
      <c r="R214" s="78">
        <f>IFERROR(Q214/Q327, "NA")</f>
        <v>0</v>
      </c>
      <c r="T214" s="80">
        <f t="shared" si="6"/>
        <v>0</v>
      </c>
      <c r="U214" s="80">
        <f t="shared" si="7"/>
        <v>0</v>
      </c>
    </row>
    <row r="215" spans="1:21" x14ac:dyDescent="0.25">
      <c r="A215" s="76" t="s">
        <v>242</v>
      </c>
      <c r="B215" s="77">
        <v>40556.69</v>
      </c>
      <c r="C215" s="78">
        <f>IFERROR(B215/B327, "NA")</f>
        <v>1.8298167785225937E-2</v>
      </c>
      <c r="D215" s="79"/>
      <c r="E215" s="77">
        <v>49938.34</v>
      </c>
      <c r="F215" s="78">
        <f>IFERROR(E215/E327, "NA")</f>
        <v>2.8383264123287445E-2</v>
      </c>
      <c r="G215" s="79"/>
      <c r="H215" s="77">
        <v>78120.23</v>
      </c>
      <c r="I215" s="78">
        <f>IFERROR(H215/H327, "NA")</f>
        <v>3.1921246218781792E-2</v>
      </c>
      <c r="J215" s="79"/>
      <c r="K215" s="77">
        <v>84261.24</v>
      </c>
      <c r="L215" s="78">
        <f>IFERROR(K215/K327, "NA")</f>
        <v>5.5623662256086309E-2</v>
      </c>
      <c r="M215" s="79"/>
      <c r="N215" s="77">
        <v>58675.53</v>
      </c>
      <c r="O215" s="78">
        <f>IFERROR(N215/N327, "NA")</f>
        <v>2.775543841912392E-2</v>
      </c>
      <c r="P215" s="79"/>
      <c r="Q215" s="77">
        <v>42042.48</v>
      </c>
      <c r="R215" s="78">
        <f>IFERROR(Q215/Q327, "NA")</f>
        <v>3.0306734430276771E-2</v>
      </c>
      <c r="T215" s="80">
        <f t="shared" si="6"/>
        <v>353594.51</v>
      </c>
      <c r="U215" s="80">
        <f t="shared" si="7"/>
        <v>1942.826978021978</v>
      </c>
    </row>
    <row r="216" spans="1:21" x14ac:dyDescent="0.25">
      <c r="A216" s="76" t="s">
        <v>243</v>
      </c>
      <c r="B216" s="77">
        <v>2695</v>
      </c>
      <c r="C216" s="78">
        <f>IFERROR(B216/B327, "NA")</f>
        <v>1.2159168359445482E-3</v>
      </c>
      <c r="D216" s="79"/>
      <c r="E216" s="77">
        <v>2673</v>
      </c>
      <c r="F216" s="78">
        <f>IFERROR(E216/E327, "NA")</f>
        <v>1.5192428302892597E-3</v>
      </c>
      <c r="G216" s="79"/>
      <c r="H216" s="77">
        <v>0</v>
      </c>
      <c r="I216" s="78">
        <f>IFERROR(H216/H327, "NA")</f>
        <v>0</v>
      </c>
      <c r="J216" s="79"/>
      <c r="K216" s="77">
        <v>-1636</v>
      </c>
      <c r="L216" s="78">
        <f>IFERROR(K216/K327, "NA")</f>
        <v>-1.0799783085432542E-3</v>
      </c>
      <c r="M216" s="79"/>
      <c r="N216" s="77">
        <v>923</v>
      </c>
      <c r="O216" s="78">
        <f>IFERROR(N216/N327, "NA")</f>
        <v>4.3660908833463249E-4</v>
      </c>
      <c r="P216" s="79"/>
      <c r="Q216" s="77">
        <v>449</v>
      </c>
      <c r="R216" s="78">
        <f>IFERROR(Q216/Q327, "NA")</f>
        <v>3.2366605773955935E-4</v>
      </c>
      <c r="T216" s="80">
        <f t="shared" si="6"/>
        <v>5104</v>
      </c>
      <c r="U216" s="80">
        <f t="shared" si="7"/>
        <v>28.043956043956047</v>
      </c>
    </row>
    <row r="217" spans="1:21" x14ac:dyDescent="0.25">
      <c r="A217" s="76" t="s">
        <v>244</v>
      </c>
      <c r="B217" s="77">
        <v>8759.7000000000007</v>
      </c>
      <c r="C217" s="78">
        <f>IFERROR(B217/B327, "NA")</f>
        <v>3.9521583331441406E-3</v>
      </c>
      <c r="D217" s="79"/>
      <c r="E217" s="77">
        <v>11647.08</v>
      </c>
      <c r="F217" s="78">
        <f>IFERROR(E217/E327, "NA")</f>
        <v>6.6198065034812686E-3</v>
      </c>
      <c r="G217" s="79"/>
      <c r="H217" s="77">
        <v>10486.46</v>
      </c>
      <c r="I217" s="78">
        <f>IFERROR(H217/H327, "NA")</f>
        <v>4.2849447783679905E-3</v>
      </c>
      <c r="J217" s="79"/>
      <c r="K217" s="77">
        <v>11993.44</v>
      </c>
      <c r="L217" s="78">
        <f>IFERROR(K217/K327, "NA")</f>
        <v>7.9172708097891252E-3</v>
      </c>
      <c r="M217" s="79"/>
      <c r="N217" s="77">
        <v>9657.8700000000008</v>
      </c>
      <c r="O217" s="78">
        <f>IFERROR(N217/N327, "NA")</f>
        <v>4.5684873412290333E-3</v>
      </c>
      <c r="P217" s="79"/>
      <c r="Q217" s="77">
        <v>25094.880000000001</v>
      </c>
      <c r="R217" s="78">
        <f>IFERROR(Q217/Q327, "NA")</f>
        <v>1.8089890599214505E-2</v>
      </c>
      <c r="T217" s="80">
        <f t="shared" si="6"/>
        <v>77639.430000000008</v>
      </c>
      <c r="U217" s="80">
        <f t="shared" si="7"/>
        <v>426.59027472527475</v>
      </c>
    </row>
    <row r="218" spans="1:21" x14ac:dyDescent="0.25">
      <c r="A218" s="76" t="s">
        <v>245</v>
      </c>
      <c r="B218" s="77">
        <v>0</v>
      </c>
      <c r="C218" s="78">
        <f>IFERROR(B218/B327, "NA")</f>
        <v>0</v>
      </c>
      <c r="D218" s="79"/>
      <c r="E218" s="77">
        <v>0</v>
      </c>
      <c r="F218" s="78">
        <f>IFERROR(E218/E327, "NA")</f>
        <v>0</v>
      </c>
      <c r="G218" s="79"/>
      <c r="H218" s="77">
        <v>0</v>
      </c>
      <c r="I218" s="78">
        <f>IFERROR(H218/H327, "NA")</f>
        <v>0</v>
      </c>
      <c r="J218" s="79"/>
      <c r="K218" s="77">
        <v>4500</v>
      </c>
      <c r="L218" s="78">
        <f>IFERROR(K218/K327, "NA")</f>
        <v>2.970600481934379E-3</v>
      </c>
      <c r="M218" s="79"/>
      <c r="N218" s="77">
        <v>1761.46</v>
      </c>
      <c r="O218" s="78">
        <f>IFERROR(N218/N327, "NA")</f>
        <v>8.3322800079948189E-4</v>
      </c>
      <c r="P218" s="79"/>
      <c r="Q218" s="77">
        <v>-26.62</v>
      </c>
      <c r="R218" s="78">
        <f>IFERROR(Q218/Q327, "NA")</f>
        <v>-1.9189288323000158E-5</v>
      </c>
      <c r="T218" s="80">
        <f t="shared" si="6"/>
        <v>6234.84</v>
      </c>
      <c r="U218" s="80">
        <f t="shared" si="7"/>
        <v>34.25736263736264</v>
      </c>
    </row>
    <row r="219" spans="1:21" x14ac:dyDescent="0.25">
      <c r="A219" s="76" t="s">
        <v>246</v>
      </c>
      <c r="B219" s="77">
        <v>27727.02</v>
      </c>
      <c r="C219" s="78">
        <f>IFERROR(B219/B327, "NA")</f>
        <v>1.2509740418764827E-2</v>
      </c>
      <c r="D219" s="79"/>
      <c r="E219" s="77">
        <v>20518.439999999999</v>
      </c>
      <c r="F219" s="78">
        <f>IFERROR(E219/E327, "NA")</f>
        <v>1.1661987601466649E-2</v>
      </c>
      <c r="G219" s="79"/>
      <c r="H219" s="77">
        <v>23103.39</v>
      </c>
      <c r="I219" s="78">
        <f>IFERROR(H219/H327, "NA")</f>
        <v>9.4404356039215574E-3</v>
      </c>
      <c r="J219" s="79"/>
      <c r="K219" s="77">
        <v>16611.04</v>
      </c>
      <c r="L219" s="78">
        <f>IFERROR(K219/K327, "NA")</f>
        <v>1.0965502984318056E-2</v>
      </c>
      <c r="M219" s="79"/>
      <c r="N219" s="77">
        <v>24162.400000000001</v>
      </c>
      <c r="O219" s="78">
        <f>IFERROR(N219/N327, "NA")</f>
        <v>1.1429602855879442E-2</v>
      </c>
      <c r="P219" s="79"/>
      <c r="Q219" s="77">
        <v>32508.09</v>
      </c>
      <c r="R219" s="78">
        <f>IFERROR(Q219/Q327, "NA")</f>
        <v>2.3433775801654327E-2</v>
      </c>
      <c r="T219" s="80">
        <f t="shared" si="6"/>
        <v>144630.38</v>
      </c>
      <c r="U219" s="80">
        <f t="shared" si="7"/>
        <v>794.67241758241755</v>
      </c>
    </row>
    <row r="220" spans="1:21" x14ac:dyDescent="0.25">
      <c r="A220" s="76" t="s">
        <v>247</v>
      </c>
      <c r="B220" s="77">
        <v>358.57</v>
      </c>
      <c r="C220" s="78">
        <f>IFERROR(B220/B327, "NA")</f>
        <v>1.617778478161917E-4</v>
      </c>
      <c r="D220" s="79"/>
      <c r="E220" s="77">
        <v>941.79</v>
      </c>
      <c r="F220" s="78">
        <f>IFERROR(E220/E327, "NA")</f>
        <v>5.3528159563715741E-4</v>
      </c>
      <c r="G220" s="79"/>
      <c r="H220" s="77">
        <v>1401.49</v>
      </c>
      <c r="I220" s="78">
        <f>IFERROR(H220/H327, "NA")</f>
        <v>5.7267249934057408E-4</v>
      </c>
      <c r="J220" s="79"/>
      <c r="K220" s="77">
        <v>344.54</v>
      </c>
      <c r="L220" s="78">
        <f>IFERROR(K220/K327, "NA")</f>
        <v>2.2744237556570466E-4</v>
      </c>
      <c r="M220" s="79"/>
      <c r="N220" s="77">
        <v>212.27</v>
      </c>
      <c r="O220" s="78">
        <f>IFERROR(N220/N327, "NA")</f>
        <v>1.0041062966499724E-4</v>
      </c>
      <c r="P220" s="79"/>
      <c r="Q220" s="77">
        <v>85.26</v>
      </c>
      <c r="R220" s="78">
        <f>IFERROR(Q220/Q327, "NA")</f>
        <v>6.1460507979676685E-5</v>
      </c>
      <c r="T220" s="80">
        <f t="shared" si="6"/>
        <v>3343.92</v>
      </c>
      <c r="U220" s="80">
        <f t="shared" si="7"/>
        <v>18.373186813186813</v>
      </c>
    </row>
    <row r="221" spans="1:21" x14ac:dyDescent="0.25">
      <c r="A221" s="76" t="s">
        <v>248</v>
      </c>
      <c r="B221" s="77">
        <v>0</v>
      </c>
      <c r="C221" s="78">
        <f>IFERROR(B221/B327, "NA")</f>
        <v>0</v>
      </c>
      <c r="D221" s="79"/>
      <c r="E221" s="77">
        <v>0</v>
      </c>
      <c r="F221" s="78">
        <f>IFERROR(E221/E327, "NA")</f>
        <v>0</v>
      </c>
      <c r="G221" s="79"/>
      <c r="H221" s="77">
        <v>0</v>
      </c>
      <c r="I221" s="78">
        <f>IFERROR(H221/H327, "NA")</f>
        <v>0</v>
      </c>
      <c r="J221" s="79"/>
      <c r="K221" s="77">
        <v>0</v>
      </c>
      <c r="L221" s="78">
        <f>IFERROR(K221/K327, "NA")</f>
        <v>0</v>
      </c>
      <c r="M221" s="79"/>
      <c r="N221" s="77">
        <v>0</v>
      </c>
      <c r="O221" s="78">
        <f>IFERROR(N221/N327, "NA")</f>
        <v>0</v>
      </c>
      <c r="P221" s="79"/>
      <c r="Q221" s="77">
        <v>0</v>
      </c>
      <c r="R221" s="78">
        <f>IFERROR(Q221/Q327, "NA")</f>
        <v>0</v>
      </c>
      <c r="T221" s="80">
        <f t="shared" si="6"/>
        <v>0</v>
      </c>
      <c r="U221" s="80">
        <f t="shared" si="7"/>
        <v>0</v>
      </c>
    </row>
    <row r="222" spans="1:21" x14ac:dyDescent="0.25">
      <c r="A222" s="76" t="s">
        <v>249</v>
      </c>
      <c r="B222" s="77">
        <v>355.76</v>
      </c>
      <c r="C222" s="78">
        <f>IFERROR(B222/B327, "NA")</f>
        <v>1.6051004584624582E-4</v>
      </c>
      <c r="D222" s="79"/>
      <c r="E222" s="77">
        <v>692.97</v>
      </c>
      <c r="F222" s="78">
        <f>IFERROR(E222/E327, "NA")</f>
        <v>3.9386071982998441E-4</v>
      </c>
      <c r="G222" s="79"/>
      <c r="H222" s="77">
        <v>348.57</v>
      </c>
      <c r="I222" s="78">
        <f>IFERROR(H222/H327, "NA")</f>
        <v>1.4243159287268827E-4</v>
      </c>
      <c r="J222" s="79"/>
      <c r="K222" s="77">
        <v>2.77</v>
      </c>
      <c r="L222" s="78">
        <f>IFERROR(K222/K327, "NA")</f>
        <v>1.8285696299907177E-6</v>
      </c>
      <c r="M222" s="79"/>
      <c r="N222" s="77">
        <v>201.06</v>
      </c>
      <c r="O222" s="78">
        <f>IFERROR(N222/N327, "NA")</f>
        <v>9.510793423679438E-5</v>
      </c>
      <c r="P222" s="79"/>
      <c r="Q222" s="77">
        <v>0</v>
      </c>
      <c r="R222" s="78">
        <f>IFERROR(Q222/Q327, "NA")</f>
        <v>0</v>
      </c>
      <c r="T222" s="80">
        <f t="shared" si="6"/>
        <v>1601.1299999999999</v>
      </c>
      <c r="U222" s="80">
        <f t="shared" si="7"/>
        <v>8.797417582417582</v>
      </c>
    </row>
    <row r="223" spans="1:21" x14ac:dyDescent="0.25">
      <c r="A223" s="76" t="s">
        <v>250</v>
      </c>
      <c r="B223" s="77">
        <v>0</v>
      </c>
      <c r="C223" s="78">
        <f>IFERROR(B223/B327, "NA")</f>
        <v>0</v>
      </c>
      <c r="D223" s="79"/>
      <c r="E223" s="77">
        <v>0</v>
      </c>
      <c r="F223" s="78">
        <f>IFERROR(E223/E327, "NA")</f>
        <v>0</v>
      </c>
      <c r="G223" s="79"/>
      <c r="H223" s="77">
        <v>0</v>
      </c>
      <c r="I223" s="78">
        <f>IFERROR(H223/H327, "NA")</f>
        <v>0</v>
      </c>
      <c r="J223" s="79"/>
      <c r="K223" s="77">
        <v>0</v>
      </c>
      <c r="L223" s="78">
        <f>IFERROR(K223/K327, "NA")</f>
        <v>0</v>
      </c>
      <c r="M223" s="79"/>
      <c r="N223" s="77">
        <v>0</v>
      </c>
      <c r="O223" s="78">
        <f>IFERROR(N223/N327, "NA")</f>
        <v>0</v>
      </c>
      <c r="P223" s="79"/>
      <c r="Q223" s="77">
        <v>7.43</v>
      </c>
      <c r="R223" s="78">
        <f>IFERROR(Q223/Q327, "NA")</f>
        <v>5.355988438763755E-6</v>
      </c>
      <c r="T223" s="80">
        <f t="shared" si="6"/>
        <v>7.43</v>
      </c>
      <c r="U223" s="80">
        <f t="shared" si="7"/>
        <v>4.0824175824175822E-2</v>
      </c>
    </row>
    <row r="224" spans="1:21" x14ac:dyDescent="0.25">
      <c r="A224" s="76" t="s">
        <v>251</v>
      </c>
      <c r="B224" s="77">
        <v>0</v>
      </c>
      <c r="C224" s="78">
        <f>IFERROR(B224/B327, "NA")</f>
        <v>0</v>
      </c>
      <c r="D224" s="79"/>
      <c r="E224" s="77">
        <v>0</v>
      </c>
      <c r="F224" s="78">
        <f>IFERROR(E224/E327, "NA")</f>
        <v>0</v>
      </c>
      <c r="G224" s="79"/>
      <c r="H224" s="77">
        <v>223.51</v>
      </c>
      <c r="I224" s="78">
        <f>IFERROR(H224/H327, "NA")</f>
        <v>9.1329963344448909E-5</v>
      </c>
      <c r="J224" s="79"/>
      <c r="K224" s="77">
        <v>215</v>
      </c>
      <c r="L224" s="78">
        <f>IFERROR(K224/K327, "NA")</f>
        <v>1.4192868969242032E-4</v>
      </c>
      <c r="M224" s="79"/>
      <c r="N224" s="77">
        <v>111.75</v>
      </c>
      <c r="O224" s="78">
        <f>IFERROR(N224/N327, "NA")</f>
        <v>5.2861392872584164E-5</v>
      </c>
      <c r="P224" s="79"/>
      <c r="Q224" s="77">
        <v>142.44999999999999</v>
      </c>
      <c r="R224" s="78">
        <f>IFERROR(Q224/Q327, "NA")</f>
        <v>1.0268648090200496E-4</v>
      </c>
      <c r="T224" s="80">
        <f t="shared" si="6"/>
        <v>692.71</v>
      </c>
      <c r="U224" s="80">
        <f t="shared" si="7"/>
        <v>3.8060989010989013</v>
      </c>
    </row>
    <row r="225" spans="1:21" x14ac:dyDescent="0.25">
      <c r="A225" s="76" t="s">
        <v>252</v>
      </c>
      <c r="B225" s="77">
        <v>0</v>
      </c>
      <c r="C225" s="78">
        <f>IFERROR(B225/B327, "NA")</f>
        <v>0</v>
      </c>
      <c r="D225" s="79"/>
      <c r="E225" s="77">
        <v>0</v>
      </c>
      <c r="F225" s="78">
        <f>IFERROR(E225/E327, "NA")</f>
        <v>0</v>
      </c>
      <c r="G225" s="79"/>
      <c r="H225" s="77">
        <v>0</v>
      </c>
      <c r="I225" s="78">
        <f>IFERROR(H225/H327, "NA")</f>
        <v>0</v>
      </c>
      <c r="J225" s="79"/>
      <c r="K225" s="77">
        <v>0</v>
      </c>
      <c r="L225" s="78">
        <f>IFERROR(K225/K327, "NA")</f>
        <v>0</v>
      </c>
      <c r="M225" s="79"/>
      <c r="N225" s="77">
        <v>0</v>
      </c>
      <c r="O225" s="78">
        <f>IFERROR(N225/N327, "NA")</f>
        <v>0</v>
      </c>
      <c r="P225" s="79"/>
      <c r="Q225" s="77">
        <v>0</v>
      </c>
      <c r="R225" s="78">
        <f>IFERROR(Q225/Q327, "NA")</f>
        <v>0</v>
      </c>
      <c r="T225" s="80">
        <f t="shared" si="6"/>
        <v>0</v>
      </c>
      <c r="U225" s="80">
        <f t="shared" si="7"/>
        <v>0</v>
      </c>
    </row>
    <row r="226" spans="1:21" x14ac:dyDescent="0.25">
      <c r="A226" s="76" t="s">
        <v>253</v>
      </c>
      <c r="B226" s="77">
        <v>173.5</v>
      </c>
      <c r="C226" s="78">
        <f>IFERROR(B226/B327, "NA")</f>
        <v>7.8278876080289096E-5</v>
      </c>
      <c r="D226" s="79"/>
      <c r="E226" s="77">
        <v>-227.18</v>
      </c>
      <c r="F226" s="78">
        <f>IFERROR(E226/E327, "NA")</f>
        <v>-1.2912143141979575E-4</v>
      </c>
      <c r="G226" s="79"/>
      <c r="H226" s="77">
        <v>-44.61</v>
      </c>
      <c r="I226" s="78">
        <f>IFERROR(H226/H327, "NA")</f>
        <v>-1.8228399914079305E-5</v>
      </c>
      <c r="J226" s="79"/>
      <c r="K226" s="77">
        <v>-7.47</v>
      </c>
      <c r="L226" s="78">
        <f>IFERROR(K226/K327, "NA")</f>
        <v>-4.9311968000110688E-6</v>
      </c>
      <c r="M226" s="79"/>
      <c r="N226" s="77">
        <v>-1.24</v>
      </c>
      <c r="O226" s="78">
        <f>IFERROR(N226/N327, "NA")</f>
        <v>-5.8656042203135899E-7</v>
      </c>
      <c r="P226" s="79"/>
      <c r="Q226" s="77">
        <v>-29.44</v>
      </c>
      <c r="R226" s="78">
        <f>IFERROR(Q226/Q327, "NA")</f>
        <v>-2.1222113006353293E-5</v>
      </c>
      <c r="T226" s="80">
        <f t="shared" si="6"/>
        <v>-136.44</v>
      </c>
      <c r="U226" s="80">
        <f t="shared" si="7"/>
        <v>-0.74967032967032965</v>
      </c>
    </row>
    <row r="227" spans="1:21" x14ac:dyDescent="0.25">
      <c r="A227" s="76" t="s">
        <v>254</v>
      </c>
      <c r="B227" s="77">
        <v>7356.86</v>
      </c>
      <c r="C227" s="78">
        <f>IFERROR(B227/B327, "NA")</f>
        <v>3.3192318863402631E-3</v>
      </c>
      <c r="D227" s="79"/>
      <c r="E227" s="77">
        <v>4092.02</v>
      </c>
      <c r="F227" s="78">
        <f>IFERROR(E227/E327, "NA")</f>
        <v>2.3257658235691192E-3</v>
      </c>
      <c r="G227" s="79"/>
      <c r="H227" s="77">
        <v>2824.26</v>
      </c>
      <c r="I227" s="78">
        <f>IFERROR(H227/H327, "NA")</f>
        <v>1.154040366315571E-3</v>
      </c>
      <c r="J227" s="79"/>
      <c r="K227" s="77">
        <v>1834.49</v>
      </c>
      <c r="L227" s="78">
        <f>IFERROR(K227/K327, "NA")</f>
        <v>1.2110081951341774E-3</v>
      </c>
      <c r="M227" s="79"/>
      <c r="N227" s="77">
        <v>2841.07</v>
      </c>
      <c r="O227" s="78">
        <f>IFERROR(N227/N327, "NA")</f>
        <v>1.3439187243714783E-3</v>
      </c>
      <c r="P227" s="79"/>
      <c r="Q227" s="77">
        <v>2635.03</v>
      </c>
      <c r="R227" s="78">
        <f>IFERROR(Q227/Q327, "NA")</f>
        <v>1.8994872430411385E-3</v>
      </c>
      <c r="T227" s="80">
        <f t="shared" si="6"/>
        <v>21583.73</v>
      </c>
      <c r="U227" s="80">
        <f t="shared" si="7"/>
        <v>118.59192307692308</v>
      </c>
    </row>
    <row r="228" spans="1:21" x14ac:dyDescent="0.25">
      <c r="A228" s="76" t="s">
        <v>255</v>
      </c>
      <c r="B228" s="77">
        <v>659</v>
      </c>
      <c r="C228" s="78">
        <f>IFERROR(B228/B327, "NA")</f>
        <v>2.9732437658161682E-4</v>
      </c>
      <c r="D228" s="79"/>
      <c r="E228" s="77">
        <v>157.88999999999999</v>
      </c>
      <c r="F228" s="78">
        <f>IFERROR(E228/E327, "NA")</f>
        <v>8.9739338000138866E-5</v>
      </c>
      <c r="G228" s="79"/>
      <c r="H228" s="77">
        <v>1231.8800000000001</v>
      </c>
      <c r="I228" s="78">
        <f>IFERROR(H228/H327, "NA")</f>
        <v>5.0336698691226219E-4</v>
      </c>
      <c r="J228" s="79"/>
      <c r="K228" s="77">
        <v>1428.21</v>
      </c>
      <c r="L228" s="78">
        <f>IFERROR(K228/K327, "NA")</f>
        <v>9.4280918095633322E-4</v>
      </c>
      <c r="M228" s="79"/>
      <c r="N228" s="77">
        <v>0</v>
      </c>
      <c r="O228" s="78">
        <f>IFERROR(N228/N327, "NA")</f>
        <v>0</v>
      </c>
      <c r="P228" s="79"/>
      <c r="Q228" s="77">
        <v>947.15</v>
      </c>
      <c r="R228" s="78">
        <f>IFERROR(Q228/Q327, "NA")</f>
        <v>6.8276237547444012E-4</v>
      </c>
      <c r="T228" s="80">
        <f t="shared" si="6"/>
        <v>4424.13</v>
      </c>
      <c r="U228" s="80">
        <f t="shared" si="7"/>
        <v>24.308406593406595</v>
      </c>
    </row>
    <row r="229" spans="1:21" x14ac:dyDescent="0.25">
      <c r="A229" s="76" t="s">
        <v>256</v>
      </c>
      <c r="B229" s="77">
        <v>0</v>
      </c>
      <c r="C229" s="78">
        <f>IFERROR(B229/B327, "NA")</f>
        <v>0</v>
      </c>
      <c r="D229" s="79"/>
      <c r="E229" s="77">
        <v>0</v>
      </c>
      <c r="F229" s="78">
        <f>IFERROR(E229/E327, "NA")</f>
        <v>0</v>
      </c>
      <c r="G229" s="79"/>
      <c r="H229" s="77">
        <v>0</v>
      </c>
      <c r="I229" s="78">
        <f>IFERROR(H229/H327, "NA")</f>
        <v>0</v>
      </c>
      <c r="J229" s="79"/>
      <c r="K229" s="77">
        <v>111</v>
      </c>
      <c r="L229" s="78">
        <f>IFERROR(K229/K327, "NA")</f>
        <v>7.3274811887714681E-5</v>
      </c>
      <c r="M229" s="79"/>
      <c r="N229" s="77">
        <v>0</v>
      </c>
      <c r="O229" s="78">
        <f>IFERROR(N229/N327, "NA")</f>
        <v>0</v>
      </c>
      <c r="P229" s="79"/>
      <c r="Q229" s="77">
        <v>0</v>
      </c>
      <c r="R229" s="78">
        <f>IFERROR(Q229/Q327, "NA")</f>
        <v>0</v>
      </c>
      <c r="T229" s="80">
        <f t="shared" si="6"/>
        <v>111</v>
      </c>
      <c r="U229" s="80">
        <f t="shared" si="7"/>
        <v>0.60989010989010983</v>
      </c>
    </row>
    <row r="230" spans="1:21" x14ac:dyDescent="0.25">
      <c r="A230" s="76" t="s">
        <v>257</v>
      </c>
      <c r="B230" s="77">
        <v>0</v>
      </c>
      <c r="C230" s="78">
        <f>IFERROR(B230/B327, "NA")</f>
        <v>0</v>
      </c>
      <c r="D230" s="79"/>
      <c r="E230" s="77">
        <v>0</v>
      </c>
      <c r="F230" s="78">
        <f>IFERROR(E230/E327, "NA")</f>
        <v>0</v>
      </c>
      <c r="G230" s="79"/>
      <c r="H230" s="77">
        <v>9911.7999999999993</v>
      </c>
      <c r="I230" s="78">
        <f>IFERROR(H230/H327, "NA")</f>
        <v>4.0501289905485599E-3</v>
      </c>
      <c r="J230" s="79"/>
      <c r="K230" s="77">
        <v>0</v>
      </c>
      <c r="L230" s="78">
        <f>IFERROR(K230/K327, "NA")</f>
        <v>0</v>
      </c>
      <c r="M230" s="79"/>
      <c r="N230" s="77">
        <v>0</v>
      </c>
      <c r="O230" s="78">
        <f>IFERROR(N230/N327, "NA")</f>
        <v>0</v>
      </c>
      <c r="P230" s="79"/>
      <c r="Q230" s="77">
        <v>5000</v>
      </c>
      <c r="R230" s="78">
        <f>IFERROR(Q230/Q327, "NA")</f>
        <v>3.6042990839594584E-3</v>
      </c>
      <c r="T230" s="80">
        <f t="shared" si="6"/>
        <v>14911.8</v>
      </c>
      <c r="U230" s="80">
        <f t="shared" si="7"/>
        <v>81.932967032967028</v>
      </c>
    </row>
    <row r="231" spans="1:21" x14ac:dyDescent="0.25">
      <c r="A231" s="76" t="s">
        <v>258</v>
      </c>
      <c r="B231" s="77">
        <v>0</v>
      </c>
      <c r="C231" s="78">
        <f>IFERROR(B231/B327, "NA")</f>
        <v>0</v>
      </c>
      <c r="D231" s="79"/>
      <c r="E231" s="77">
        <v>0</v>
      </c>
      <c r="F231" s="78">
        <f>IFERROR(E231/E327, "NA")</f>
        <v>0</v>
      </c>
      <c r="G231" s="79"/>
      <c r="H231" s="77">
        <v>0</v>
      </c>
      <c r="I231" s="78">
        <f>IFERROR(H231/H327, "NA")</f>
        <v>0</v>
      </c>
      <c r="J231" s="79"/>
      <c r="K231" s="77">
        <v>0</v>
      </c>
      <c r="L231" s="78">
        <f>IFERROR(K231/K327, "NA")</f>
        <v>0</v>
      </c>
      <c r="M231" s="79"/>
      <c r="N231" s="77">
        <v>0</v>
      </c>
      <c r="O231" s="78">
        <f>IFERROR(N231/N327, "NA")</f>
        <v>0</v>
      </c>
      <c r="P231" s="79"/>
      <c r="Q231" s="77">
        <v>0</v>
      </c>
      <c r="R231" s="78">
        <f>IFERROR(Q231/Q327, "NA")</f>
        <v>0</v>
      </c>
      <c r="T231" s="80">
        <f t="shared" si="6"/>
        <v>0</v>
      </c>
      <c r="U231" s="80">
        <f t="shared" si="7"/>
        <v>0</v>
      </c>
    </row>
    <row r="232" spans="1:21" x14ac:dyDescent="0.25">
      <c r="A232" s="76" t="s">
        <v>259</v>
      </c>
      <c r="B232" s="77">
        <v>0</v>
      </c>
      <c r="C232" s="78">
        <f>IFERROR(B232/B327, "NA")</f>
        <v>0</v>
      </c>
      <c r="D232" s="79"/>
      <c r="E232" s="77">
        <v>0</v>
      </c>
      <c r="F232" s="78">
        <f>IFERROR(E232/E327, "NA")</f>
        <v>0</v>
      </c>
      <c r="G232" s="79"/>
      <c r="H232" s="77">
        <v>500</v>
      </c>
      <c r="I232" s="78">
        <f>IFERROR(H232/H327, "NA")</f>
        <v>2.0430845005693014E-4</v>
      </c>
      <c r="J232" s="79"/>
      <c r="K232" s="77">
        <v>0</v>
      </c>
      <c r="L232" s="78">
        <f>IFERROR(K232/K327, "NA")</f>
        <v>0</v>
      </c>
      <c r="M232" s="79"/>
      <c r="N232" s="77">
        <v>0</v>
      </c>
      <c r="O232" s="78">
        <f>IFERROR(N232/N327, "NA")</f>
        <v>0</v>
      </c>
      <c r="P232" s="79"/>
      <c r="Q232" s="77">
        <v>0</v>
      </c>
      <c r="R232" s="78">
        <f>IFERROR(Q232/Q327, "NA")</f>
        <v>0</v>
      </c>
      <c r="T232" s="80">
        <f t="shared" si="6"/>
        <v>500</v>
      </c>
      <c r="U232" s="80">
        <f t="shared" si="7"/>
        <v>2.7472527472527473</v>
      </c>
    </row>
    <row r="233" spans="1:21" x14ac:dyDescent="0.25">
      <c r="A233" s="76" t="s">
        <v>260</v>
      </c>
      <c r="B233" s="77">
        <v>0</v>
      </c>
      <c r="C233" s="78">
        <f>IFERROR(B233/B327, "NA")</f>
        <v>0</v>
      </c>
      <c r="D233" s="79"/>
      <c r="E233" s="77">
        <v>0</v>
      </c>
      <c r="F233" s="78">
        <f>IFERROR(E233/E327, "NA")</f>
        <v>0</v>
      </c>
      <c r="G233" s="79"/>
      <c r="H233" s="77">
        <v>0</v>
      </c>
      <c r="I233" s="78">
        <f>IFERROR(H233/H327, "NA")</f>
        <v>0</v>
      </c>
      <c r="J233" s="79"/>
      <c r="K233" s="77">
        <v>0</v>
      </c>
      <c r="L233" s="78">
        <f>IFERROR(K233/K327, "NA")</f>
        <v>0</v>
      </c>
      <c r="M233" s="79"/>
      <c r="N233" s="77">
        <v>0</v>
      </c>
      <c r="O233" s="78">
        <f>IFERROR(N233/N327, "NA")</f>
        <v>0</v>
      </c>
      <c r="P233" s="79"/>
      <c r="Q233" s="77">
        <v>91.42</v>
      </c>
      <c r="R233" s="78">
        <f>IFERROR(Q233/Q327, "NA")</f>
        <v>6.5901004451114734E-5</v>
      </c>
      <c r="T233" s="80">
        <f t="shared" si="6"/>
        <v>91.42</v>
      </c>
      <c r="U233" s="80">
        <f t="shared" si="7"/>
        <v>0.50230769230769234</v>
      </c>
    </row>
    <row r="234" spans="1:21" x14ac:dyDescent="0.25">
      <c r="A234" s="76" t="s">
        <v>261</v>
      </c>
      <c r="B234" s="77">
        <v>9.4700000000000006</v>
      </c>
      <c r="C234" s="78">
        <f>IFERROR(B234/B327, "NA")</f>
        <v>4.2726279912411401E-6</v>
      </c>
      <c r="D234" s="79"/>
      <c r="E234" s="77">
        <v>116.95</v>
      </c>
      <c r="F234" s="78">
        <f>IFERROR(E234/E327, "NA")</f>
        <v>6.6470426113852949E-5</v>
      </c>
      <c r="G234" s="79"/>
      <c r="H234" s="77">
        <v>52.68</v>
      </c>
      <c r="I234" s="78">
        <f>IFERROR(H234/H327, "NA")</f>
        <v>2.1525938297998158E-5</v>
      </c>
      <c r="J234" s="79"/>
      <c r="K234" s="77">
        <v>68.930000000000007</v>
      </c>
      <c r="L234" s="78">
        <f>IFERROR(K234/K327, "NA")</f>
        <v>4.5502998048830395E-5</v>
      </c>
      <c r="M234" s="79"/>
      <c r="N234" s="77">
        <v>98.43</v>
      </c>
      <c r="O234" s="78">
        <f>IFERROR(N234/N327, "NA")</f>
        <v>4.6560598661731179E-5</v>
      </c>
      <c r="P234" s="79"/>
      <c r="Q234" s="77">
        <v>445.07</v>
      </c>
      <c r="R234" s="78">
        <f>IFERROR(Q234/Q327, "NA")</f>
        <v>3.2083307865956722E-4</v>
      </c>
      <c r="T234" s="80">
        <f t="shared" si="6"/>
        <v>791.53</v>
      </c>
      <c r="U234" s="80">
        <f t="shared" si="7"/>
        <v>4.3490659340659343</v>
      </c>
    </row>
    <row r="235" spans="1:21" x14ac:dyDescent="0.25">
      <c r="A235" s="76" t="s">
        <v>262</v>
      </c>
      <c r="B235" s="77">
        <v>933.04</v>
      </c>
      <c r="C235" s="78">
        <f>IFERROR(B235/B327, "NA")</f>
        <v>4.2096439503142903E-4</v>
      </c>
      <c r="D235" s="79"/>
      <c r="E235" s="77">
        <v>1327.24</v>
      </c>
      <c r="F235" s="78">
        <f>IFERROR(E235/E327, "NA")</f>
        <v>7.5435834420992034E-4</v>
      </c>
      <c r="G235" s="79"/>
      <c r="H235" s="77">
        <v>2267.41</v>
      </c>
      <c r="I235" s="78">
        <f>IFERROR(H235/H327, "NA")</f>
        <v>9.2650204548716791E-4</v>
      </c>
      <c r="J235" s="79"/>
      <c r="K235" s="77">
        <v>384.56</v>
      </c>
      <c r="L235" s="78">
        <f>IFERROR(K235/K327, "NA")</f>
        <v>2.5386091585170774E-4</v>
      </c>
      <c r="M235" s="79"/>
      <c r="N235" s="77">
        <v>1488.27</v>
      </c>
      <c r="O235" s="78">
        <f>IFERROR(N235/N327, "NA")</f>
        <v>7.0400022523920205E-4</v>
      </c>
      <c r="P235" s="79"/>
      <c r="Q235" s="77">
        <v>140.19</v>
      </c>
      <c r="R235" s="78">
        <f>IFERROR(Q235/Q327, "NA")</f>
        <v>1.0105733771605529E-4</v>
      </c>
      <c r="T235" s="80">
        <f t="shared" si="6"/>
        <v>6540.71</v>
      </c>
      <c r="U235" s="80">
        <f t="shared" si="7"/>
        <v>35.93796703296703</v>
      </c>
    </row>
    <row r="236" spans="1:21" x14ac:dyDescent="0.25">
      <c r="A236" s="76" t="s">
        <v>263</v>
      </c>
      <c r="B236" s="77">
        <v>37408.32</v>
      </c>
      <c r="C236" s="78">
        <f>IFERROR(B236/B327, "NA")</f>
        <v>1.6877701704044956E-2</v>
      </c>
      <c r="D236" s="79"/>
      <c r="E236" s="77">
        <v>37408.32</v>
      </c>
      <c r="F236" s="78">
        <f>IFERROR(E236/E327, "NA")</f>
        <v>2.1261624374547816E-2</v>
      </c>
      <c r="G236" s="79"/>
      <c r="H236" s="77">
        <v>36130.74</v>
      </c>
      <c r="I236" s="78">
        <f>IFERROR(H236/H327, "NA")</f>
        <v>1.4763630977619855E-2</v>
      </c>
      <c r="J236" s="79"/>
      <c r="K236" s="77">
        <v>30544.5</v>
      </c>
      <c r="L236" s="78">
        <f>IFERROR(K236/K327, "NA")</f>
        <v>2.0163445871209919E-2</v>
      </c>
      <c r="M236" s="79"/>
      <c r="N236" s="77">
        <v>30544.5</v>
      </c>
      <c r="O236" s="78">
        <f>IFERROR(N236/N327, "NA")</f>
        <v>1.4448544202207132E-2</v>
      </c>
      <c r="P236" s="79"/>
      <c r="Q236" s="77">
        <v>32742.85</v>
      </c>
      <c r="R236" s="78">
        <f>IFERROR(Q236/Q327, "NA")</f>
        <v>2.360300485224439E-2</v>
      </c>
      <c r="T236" s="80">
        <f t="shared" si="6"/>
        <v>204779.23</v>
      </c>
      <c r="U236" s="80">
        <f t="shared" si="7"/>
        <v>1125.1606043956044</v>
      </c>
    </row>
    <row r="237" spans="1:21" x14ac:dyDescent="0.25">
      <c r="A237" s="76" t="s">
        <v>264</v>
      </c>
      <c r="B237" s="77">
        <v>2350.02</v>
      </c>
      <c r="C237" s="78">
        <f>IFERROR(B237/B327, "NA")</f>
        <v>1.0602704574420806E-3</v>
      </c>
      <c r="D237" s="79"/>
      <c r="E237" s="77">
        <v>1533.41</v>
      </c>
      <c r="F237" s="78">
        <f>IFERROR(E237/E327, "NA")</f>
        <v>8.7153840194308032E-4</v>
      </c>
      <c r="G237" s="79"/>
      <c r="H237" s="77">
        <v>4701.57</v>
      </c>
      <c r="I237" s="78">
        <f>IFERROR(H237/H327, "NA")</f>
        <v>1.9211409590683219E-3</v>
      </c>
      <c r="J237" s="79"/>
      <c r="K237" s="77">
        <v>3759.49</v>
      </c>
      <c r="L237" s="78">
        <f>IFERROR(K237/K327, "NA")</f>
        <v>2.4817650679616618E-3</v>
      </c>
      <c r="M237" s="79"/>
      <c r="N237" s="77">
        <v>1912.27</v>
      </c>
      <c r="O237" s="78">
        <f>IFERROR(N237/N327, "NA")</f>
        <v>9.0456604696605386E-4</v>
      </c>
      <c r="P237" s="79"/>
      <c r="Q237" s="77">
        <v>545.70000000000005</v>
      </c>
      <c r="R237" s="78">
        <f>IFERROR(Q237/Q327, "NA")</f>
        <v>3.9337320202333532E-4</v>
      </c>
      <c r="T237" s="80">
        <f t="shared" si="6"/>
        <v>14802.460000000001</v>
      </c>
      <c r="U237" s="80">
        <f t="shared" si="7"/>
        <v>81.332197802197811</v>
      </c>
    </row>
    <row r="238" spans="1:21" x14ac:dyDescent="0.25">
      <c r="A238" s="76" t="s">
        <v>265</v>
      </c>
      <c r="B238" s="77">
        <v>27.27</v>
      </c>
      <c r="C238" s="78">
        <f>IFERROR(B238/B327, "NA")</f>
        <v>1.2303544384492701E-5</v>
      </c>
      <c r="D238" s="79"/>
      <c r="E238" s="77">
        <v>43.12</v>
      </c>
      <c r="F238" s="78">
        <f>IFERROR(E238/E327, "NA")</f>
        <v>2.4507950184090112E-5</v>
      </c>
      <c r="G238" s="79"/>
      <c r="H238" s="77">
        <v>15.41</v>
      </c>
      <c r="I238" s="78">
        <f>IFERROR(H238/H327, "NA")</f>
        <v>6.2967864307545866E-6</v>
      </c>
      <c r="J238" s="79"/>
      <c r="K238" s="77">
        <v>1224.57</v>
      </c>
      <c r="L238" s="78">
        <f>IFERROR(K238/K327, "NA")</f>
        <v>8.0837960714719604E-4</v>
      </c>
      <c r="M238" s="79"/>
      <c r="N238" s="77">
        <v>830.44</v>
      </c>
      <c r="O238" s="78">
        <f>IFERROR(N238/N327, "NA")</f>
        <v>3.9282519102558204E-4</v>
      </c>
      <c r="P238" s="79"/>
      <c r="Q238" s="77">
        <v>15.98</v>
      </c>
      <c r="R238" s="78">
        <f>IFERROR(Q238/Q327, "NA")</f>
        <v>1.151933987233443E-5</v>
      </c>
      <c r="T238" s="80">
        <f t="shared" si="6"/>
        <v>2156.79</v>
      </c>
      <c r="U238" s="80">
        <f t="shared" si="7"/>
        <v>11.850494505494506</v>
      </c>
    </row>
    <row r="239" spans="1:21" x14ac:dyDescent="0.25">
      <c r="A239" s="76" t="s">
        <v>266</v>
      </c>
      <c r="B239" s="77">
        <v>0</v>
      </c>
      <c r="C239" s="78">
        <f>IFERROR(B239/B327, "NA")</f>
        <v>0</v>
      </c>
      <c r="D239" s="79"/>
      <c r="E239" s="77">
        <v>0</v>
      </c>
      <c r="F239" s="78">
        <f>IFERROR(E239/E327, "NA")</f>
        <v>0</v>
      </c>
      <c r="G239" s="79"/>
      <c r="H239" s="77">
        <v>0</v>
      </c>
      <c r="I239" s="78">
        <f>IFERROR(H239/H327, "NA")</f>
        <v>0</v>
      </c>
      <c r="J239" s="79"/>
      <c r="K239" s="77">
        <v>0</v>
      </c>
      <c r="L239" s="78">
        <f>IFERROR(K239/K327, "NA")</f>
        <v>0</v>
      </c>
      <c r="M239" s="79"/>
      <c r="N239" s="77">
        <v>0</v>
      </c>
      <c r="O239" s="78">
        <f>IFERROR(N239/N327, "NA")</f>
        <v>0</v>
      </c>
      <c r="P239" s="79"/>
      <c r="Q239" s="77">
        <v>0</v>
      </c>
      <c r="R239" s="78">
        <f>IFERROR(Q239/Q327, "NA")</f>
        <v>0</v>
      </c>
      <c r="T239" s="80">
        <f t="shared" si="6"/>
        <v>0</v>
      </c>
      <c r="U239" s="80">
        <f t="shared" si="7"/>
        <v>0</v>
      </c>
    </row>
    <row r="240" spans="1:21" ht="31.5" x14ac:dyDescent="0.25">
      <c r="A240" s="76" t="s">
        <v>267</v>
      </c>
      <c r="B240" s="77">
        <v>0</v>
      </c>
      <c r="C240" s="78">
        <f>IFERROR(B240/B327, "NA")</f>
        <v>0</v>
      </c>
      <c r="D240" s="79"/>
      <c r="E240" s="77">
        <v>0</v>
      </c>
      <c r="F240" s="78">
        <f>IFERROR(E240/E327, "NA")</f>
        <v>0</v>
      </c>
      <c r="G240" s="79"/>
      <c r="H240" s="77">
        <v>0</v>
      </c>
      <c r="I240" s="78">
        <f>IFERROR(H240/H327, "NA")</f>
        <v>0</v>
      </c>
      <c r="J240" s="79"/>
      <c r="K240" s="77">
        <v>0</v>
      </c>
      <c r="L240" s="78">
        <f>IFERROR(K240/K327, "NA")</f>
        <v>0</v>
      </c>
      <c r="M240" s="79"/>
      <c r="N240" s="77">
        <v>0</v>
      </c>
      <c r="O240" s="78">
        <f>IFERROR(N240/N327, "NA")</f>
        <v>0</v>
      </c>
      <c r="P240" s="79"/>
      <c r="Q240" s="77">
        <v>0</v>
      </c>
      <c r="R240" s="78">
        <f>IFERROR(Q240/Q327, "NA")</f>
        <v>0</v>
      </c>
      <c r="T240" s="80">
        <f t="shared" si="6"/>
        <v>0</v>
      </c>
      <c r="U240" s="80">
        <f t="shared" si="7"/>
        <v>0</v>
      </c>
    </row>
    <row r="241" spans="1:21" x14ac:dyDescent="0.25">
      <c r="A241" s="81" t="s">
        <v>268</v>
      </c>
      <c r="B241" s="82">
        <f>IFERROR(B214+B215+B216+B217+B218+B219+B220+B221+B222+B223+B224+B225+B226+B227+B228+B229+B230+B231+B232+B233+B234+B235+B236+B237+B238+B239+B240, "NA")</f>
        <v>129370.22</v>
      </c>
      <c r="C241" s="83">
        <f>IFERROR(B241/B327, "NA")</f>
        <v>5.8368619134638262E-2</v>
      </c>
      <c r="D241" s="72"/>
      <c r="E241" s="82">
        <f>IFERROR(E214+E215+E216+E217+E218+E219+E220+E221+E222+E223+E224+E225+E226+E227+E228+E229+E230+E231+E232+E233+E234+E235+E236+E237+E238+E239+E240, "NA")</f>
        <v>130863.39000000001</v>
      </c>
      <c r="F241" s="83">
        <f>IFERROR(E241/E327, "NA")</f>
        <v>7.4378326601139994E-2</v>
      </c>
      <c r="G241" s="72"/>
      <c r="H241" s="82">
        <f>IFERROR(H214+H215+H216+H217+H218+H219+H220+H221+H222+H223+H224+H225+H226+H227+H228+H229+H230+H231+H232+H233+H234+H235+H236+H237+H238+H239+H240, "NA")</f>
        <v>171274.79</v>
      </c>
      <c r="I241" s="83">
        <f>IFERROR(H241/H327, "NA")</f>
        <v>6.9985773757452394E-2</v>
      </c>
      <c r="J241" s="72"/>
      <c r="K241" s="82">
        <f>IFERROR(K214+K215+K216+K217+K218+K219+K220+K221+K222+K223+K224+K225+K226+K227+K228+K229+K230+K231+K232+K233+K234+K235+K236+K237+K238+K239+K240, "NA")</f>
        <v>155640.31</v>
      </c>
      <c r="L241" s="83">
        <f>IFERROR(K241/K327, "NA")</f>
        <v>0.10274337330987025</v>
      </c>
      <c r="M241" s="72"/>
      <c r="N241" s="82">
        <f>IFERROR(N214+N215+N216+N217+N218+N219+N220+N221+N222+N223+N224+N225+N226+N227+N228+N229+N230+N231+N232+N233+N234+N235+N236+N237+N238+N239+N240, "NA")</f>
        <v>133419.08000000002</v>
      </c>
      <c r="O241" s="83">
        <f>IFERROR(N241/N327, "NA")</f>
        <v>6.311157409019004E-2</v>
      </c>
      <c r="P241" s="72"/>
      <c r="Q241" s="82">
        <f>IFERROR(Q214+Q215+Q216+Q217+Q218+Q219+Q220+Q221+Q222+Q223+Q224+Q225+Q226+Q227+Q228+Q229+Q230+Q231+Q232+Q233+Q234+Q235+Q236+Q237+Q238+Q239+Q240, "NA")</f>
        <v>142836.92000000001</v>
      </c>
      <c r="R241" s="83">
        <f>IFERROR(Q241/Q327, "NA")</f>
        <v>0.10296539598231809</v>
      </c>
      <c r="T241" s="80">
        <f t="shared" si="6"/>
        <v>863404.71000000008</v>
      </c>
      <c r="U241" s="80">
        <f t="shared" si="7"/>
        <v>4743.9819230769235</v>
      </c>
    </row>
    <row r="242" spans="1:21" x14ac:dyDescent="0.25">
      <c r="A242" s="75" t="s">
        <v>269</v>
      </c>
      <c r="B242" s="72"/>
      <c r="C242" s="73"/>
      <c r="D242" s="74"/>
      <c r="E242" s="72"/>
      <c r="F242" s="73"/>
      <c r="G242" s="74"/>
      <c r="H242" s="72"/>
      <c r="I242" s="73"/>
      <c r="J242" s="74"/>
      <c r="K242" s="72"/>
      <c r="L242" s="73"/>
      <c r="M242" s="74"/>
      <c r="N242" s="72"/>
      <c r="O242" s="73"/>
      <c r="P242" s="74"/>
      <c r="Q242" s="72"/>
      <c r="R242" s="73"/>
      <c r="T242" s="80">
        <f t="shared" si="6"/>
        <v>0</v>
      </c>
      <c r="U242" s="80">
        <f t="shared" si="7"/>
        <v>0</v>
      </c>
    </row>
    <row r="243" spans="1:21" x14ac:dyDescent="0.25">
      <c r="A243" s="76" t="s">
        <v>270</v>
      </c>
      <c r="B243" s="77">
        <v>0</v>
      </c>
      <c r="C243" s="78">
        <f>IFERROR(B243/B327, "NA")</f>
        <v>0</v>
      </c>
      <c r="D243" s="79"/>
      <c r="E243" s="77">
        <v>0</v>
      </c>
      <c r="F243" s="78">
        <f>IFERROR(E243/E327, "NA")</f>
        <v>0</v>
      </c>
      <c r="G243" s="79"/>
      <c r="H243" s="77">
        <v>0</v>
      </c>
      <c r="I243" s="78">
        <f>IFERROR(H243/H327, "NA")</f>
        <v>0</v>
      </c>
      <c r="J243" s="79"/>
      <c r="K243" s="77">
        <v>0</v>
      </c>
      <c r="L243" s="78">
        <f>IFERROR(K243/K327, "NA")</f>
        <v>0</v>
      </c>
      <c r="M243" s="79"/>
      <c r="N243" s="77">
        <v>0</v>
      </c>
      <c r="O243" s="78">
        <f>IFERROR(N243/N327, "NA")</f>
        <v>0</v>
      </c>
      <c r="P243" s="79"/>
      <c r="Q243" s="77">
        <v>0</v>
      </c>
      <c r="R243" s="78">
        <f>IFERROR(Q243/Q327, "NA")</f>
        <v>0</v>
      </c>
      <c r="T243" s="80">
        <f t="shared" si="6"/>
        <v>0</v>
      </c>
      <c r="U243" s="80">
        <f t="shared" si="7"/>
        <v>0</v>
      </c>
    </row>
    <row r="244" spans="1:21" x14ac:dyDescent="0.25">
      <c r="A244" s="76" t="s">
        <v>271</v>
      </c>
      <c r="B244" s="77">
        <v>918.99</v>
      </c>
      <c r="C244" s="78">
        <f>IFERROR(B244/B327, "NA")</f>
        <v>4.1462538518169959E-4</v>
      </c>
      <c r="D244" s="79"/>
      <c r="E244" s="77">
        <v>754.81</v>
      </c>
      <c r="F244" s="78">
        <f>IFERROR(E244/E327, "NA")</f>
        <v>4.2900848512182415E-4</v>
      </c>
      <c r="G244" s="79"/>
      <c r="H244" s="77">
        <v>789.86</v>
      </c>
      <c r="I244" s="78">
        <f>IFERROR(H244/H327, "NA")</f>
        <v>3.227501447239337E-4</v>
      </c>
      <c r="J244" s="79"/>
      <c r="K244" s="77">
        <v>470</v>
      </c>
      <c r="L244" s="78">
        <f>IFERROR(K244/K327, "NA")</f>
        <v>3.1026271700203512E-4</v>
      </c>
      <c r="M244" s="79"/>
      <c r="N244" s="77">
        <v>407</v>
      </c>
      <c r="O244" s="78">
        <f>IFERROR(N244/N327, "NA")</f>
        <v>1.9252426755384121E-4</v>
      </c>
      <c r="P244" s="79"/>
      <c r="Q244" s="77">
        <v>473.93</v>
      </c>
      <c r="R244" s="78">
        <f>IFERROR(Q244/Q327, "NA")</f>
        <v>3.4163709297218122E-4</v>
      </c>
      <c r="T244" s="80">
        <f t="shared" si="6"/>
        <v>3814.5899999999997</v>
      </c>
      <c r="U244" s="80">
        <f t="shared" si="7"/>
        <v>20.959285714285709</v>
      </c>
    </row>
    <row r="245" spans="1:21" x14ac:dyDescent="0.25">
      <c r="A245" s="76" t="s">
        <v>272</v>
      </c>
      <c r="B245" s="77">
        <v>432</v>
      </c>
      <c r="C245" s="78">
        <f>IFERROR(B245/B327, "NA")</f>
        <v>1.9490763381374576E-4</v>
      </c>
      <c r="D245" s="79"/>
      <c r="E245" s="77">
        <v>-113.71</v>
      </c>
      <c r="F245" s="78">
        <f>IFERROR(E245/E327, "NA")</f>
        <v>-6.4628919652896254E-5</v>
      </c>
      <c r="G245" s="79"/>
      <c r="H245" s="77">
        <v>944.11</v>
      </c>
      <c r="I245" s="78">
        <f>IFERROR(H245/H327, "NA")</f>
        <v>3.8577930156649665E-4</v>
      </c>
      <c r="J245" s="79"/>
      <c r="K245" s="77">
        <v>390</v>
      </c>
      <c r="L245" s="78">
        <f>IFERROR(K245/K327, "NA")</f>
        <v>2.5745204176764617E-4</v>
      </c>
      <c r="M245" s="79"/>
      <c r="N245" s="77">
        <v>392.14</v>
      </c>
      <c r="O245" s="78">
        <f>IFERROR(N245/N327, "NA")</f>
        <v>1.8549500314143314E-4</v>
      </c>
      <c r="P245" s="79"/>
      <c r="Q245" s="77">
        <v>690.03</v>
      </c>
      <c r="R245" s="78">
        <f>IFERROR(Q245/Q327, "NA")</f>
        <v>4.97414899380909E-4</v>
      </c>
      <c r="T245" s="80">
        <f t="shared" si="6"/>
        <v>2734.5699999999997</v>
      </c>
      <c r="U245" s="80">
        <f t="shared" si="7"/>
        <v>15.025109890109889</v>
      </c>
    </row>
    <row r="246" spans="1:21" x14ac:dyDescent="0.25">
      <c r="A246" s="76" t="s">
        <v>273</v>
      </c>
      <c r="B246" s="77">
        <v>0</v>
      </c>
      <c r="C246" s="78">
        <f>IFERROR(B246/B327, "NA")</f>
        <v>0</v>
      </c>
      <c r="D246" s="79"/>
      <c r="E246" s="77">
        <v>0</v>
      </c>
      <c r="F246" s="78">
        <f>IFERROR(E246/E327, "NA")</f>
        <v>0</v>
      </c>
      <c r="G246" s="79"/>
      <c r="H246" s="77">
        <v>0</v>
      </c>
      <c r="I246" s="78">
        <f>IFERROR(H246/H327, "NA")</f>
        <v>0</v>
      </c>
      <c r="J246" s="79"/>
      <c r="K246" s="77">
        <v>0</v>
      </c>
      <c r="L246" s="78">
        <f>IFERROR(K246/K327, "NA")</f>
        <v>0</v>
      </c>
      <c r="M246" s="79"/>
      <c r="N246" s="77">
        <v>0</v>
      </c>
      <c r="O246" s="78">
        <f>IFERROR(N246/N327, "NA")</f>
        <v>0</v>
      </c>
      <c r="P246" s="79"/>
      <c r="Q246" s="77">
        <v>0</v>
      </c>
      <c r="R246" s="78">
        <f>IFERROR(Q246/Q327, "NA")</f>
        <v>0</v>
      </c>
      <c r="T246" s="80">
        <f t="shared" si="6"/>
        <v>0</v>
      </c>
      <c r="U246" s="80">
        <f t="shared" si="7"/>
        <v>0</v>
      </c>
    </row>
    <row r="247" spans="1:21" x14ac:dyDescent="0.25">
      <c r="A247" s="76" t="s">
        <v>274</v>
      </c>
      <c r="B247" s="77">
        <v>3718</v>
      </c>
      <c r="C247" s="78">
        <f>IFERROR(B247/B327, "NA")</f>
        <v>1.6774689410173768E-3</v>
      </c>
      <c r="D247" s="79"/>
      <c r="E247" s="77">
        <v>3718.1</v>
      </c>
      <c r="F247" s="78">
        <f>IFERROR(E247/E327, "NA")</f>
        <v>2.1132423371861189E-3</v>
      </c>
      <c r="G247" s="79"/>
      <c r="H247" s="77">
        <v>6017.36</v>
      </c>
      <c r="I247" s="78">
        <f>IFERROR(H247/H327, "NA")</f>
        <v>2.458794990069138E-3</v>
      </c>
      <c r="J247" s="79"/>
      <c r="K247" s="77">
        <v>3419</v>
      </c>
      <c r="L247" s="78">
        <f>IFERROR(K247/K327, "NA")</f>
        <v>2.2569962328296981E-3</v>
      </c>
      <c r="M247" s="79"/>
      <c r="N247" s="77">
        <v>4560.76</v>
      </c>
      <c r="O247" s="78">
        <f>IFERROR(N247/N327, "NA")</f>
        <v>2.1573881535352749E-3</v>
      </c>
      <c r="P247" s="79"/>
      <c r="Q247" s="77">
        <v>4921.1000000000004</v>
      </c>
      <c r="R247" s="78">
        <f>IFERROR(Q247/Q327, "NA")</f>
        <v>3.5474232444145785E-3</v>
      </c>
      <c r="T247" s="80">
        <f t="shared" si="6"/>
        <v>26354.32</v>
      </c>
      <c r="U247" s="80">
        <f t="shared" si="7"/>
        <v>144.80395604395605</v>
      </c>
    </row>
    <row r="248" spans="1:21" x14ac:dyDescent="0.25">
      <c r="A248" s="76" t="s">
        <v>275</v>
      </c>
      <c r="B248" s="77">
        <v>288</v>
      </c>
      <c r="C248" s="78">
        <f>IFERROR(B248/B327, "NA")</f>
        <v>1.2993842254249718E-4</v>
      </c>
      <c r="D248" s="79"/>
      <c r="E248" s="77">
        <v>737.23</v>
      </c>
      <c r="F248" s="78">
        <f>IFERROR(E248/E327, "NA")</f>
        <v>4.1901660747255926E-4</v>
      </c>
      <c r="G248" s="79"/>
      <c r="H248" s="77">
        <v>1613.46</v>
      </c>
      <c r="I248" s="78">
        <f>IFERROR(H248/H327, "NA")</f>
        <v>6.5928702365770898E-4</v>
      </c>
      <c r="J248" s="79"/>
      <c r="K248" s="77">
        <v>0</v>
      </c>
      <c r="L248" s="78">
        <f>IFERROR(K248/K327, "NA")</f>
        <v>0</v>
      </c>
      <c r="M248" s="79"/>
      <c r="N248" s="77">
        <v>1029.69</v>
      </c>
      <c r="O248" s="78">
        <f>IFERROR(N248/N327, "NA")</f>
        <v>4.8707693625925E-4</v>
      </c>
      <c r="P248" s="79"/>
      <c r="Q248" s="77">
        <v>856.22</v>
      </c>
      <c r="R248" s="78">
        <f>IFERROR(Q248/Q327, "NA")</f>
        <v>6.1721459233355345E-4</v>
      </c>
      <c r="T248" s="80">
        <f t="shared" si="6"/>
        <v>4524.6000000000004</v>
      </c>
      <c r="U248" s="80">
        <f t="shared" si="7"/>
        <v>24.860439560439563</v>
      </c>
    </row>
    <row r="249" spans="1:21" x14ac:dyDescent="0.25">
      <c r="A249" s="76" t="s">
        <v>276</v>
      </c>
      <c r="B249" s="77">
        <v>0</v>
      </c>
      <c r="C249" s="78">
        <f>IFERROR(B249/B327, "NA")</f>
        <v>0</v>
      </c>
      <c r="D249" s="79"/>
      <c r="E249" s="77">
        <v>4504.75</v>
      </c>
      <c r="F249" s="78">
        <f>IFERROR(E249/E327, "NA")</f>
        <v>2.560347601850184E-3</v>
      </c>
      <c r="G249" s="79"/>
      <c r="H249" s="77">
        <v>11248</v>
      </c>
      <c r="I249" s="78">
        <f>IFERROR(H249/H327, "NA")</f>
        <v>4.5961228924807007E-3</v>
      </c>
      <c r="J249" s="79"/>
      <c r="K249" s="77">
        <v>4125.5</v>
      </c>
      <c r="L249" s="78">
        <f>IFERROR(K249/K327, "NA")</f>
        <v>2.7233805084933959E-3</v>
      </c>
      <c r="M249" s="79"/>
      <c r="N249" s="77">
        <v>4014.5</v>
      </c>
      <c r="O249" s="78">
        <f>IFERROR(N249/N327, "NA")</f>
        <v>1.8989893663265245E-3</v>
      </c>
      <c r="P249" s="79"/>
      <c r="Q249" s="77">
        <v>4403</v>
      </c>
      <c r="R249" s="78">
        <f>IFERROR(Q249/Q327, "NA")</f>
        <v>3.1739457733346989E-3</v>
      </c>
      <c r="T249" s="80">
        <f t="shared" si="6"/>
        <v>28295.75</v>
      </c>
      <c r="U249" s="80">
        <f t="shared" si="7"/>
        <v>155.47115384615384</v>
      </c>
    </row>
    <row r="250" spans="1:21" x14ac:dyDescent="0.25">
      <c r="A250" s="76" t="s">
        <v>277</v>
      </c>
      <c r="B250" s="77">
        <v>3164</v>
      </c>
      <c r="C250" s="78">
        <f>IFERROR(B250/B327, "NA")</f>
        <v>1.4275179476543787E-3</v>
      </c>
      <c r="D250" s="79"/>
      <c r="E250" s="77">
        <v>-1164</v>
      </c>
      <c r="F250" s="78">
        <f>IFERROR(E250/E327, "NA")</f>
        <v>-6.6157824708443626E-4</v>
      </c>
      <c r="G250" s="79"/>
      <c r="H250" s="77">
        <v>-2000</v>
      </c>
      <c r="I250" s="78">
        <f>IFERROR(H250/H327, "NA")</f>
        <v>-8.1723380022772057E-4</v>
      </c>
      <c r="J250" s="79"/>
      <c r="K250" s="77">
        <v>0</v>
      </c>
      <c r="L250" s="78">
        <f>IFERROR(K250/K327, "NA")</f>
        <v>0</v>
      </c>
      <c r="M250" s="79"/>
      <c r="N250" s="77">
        <v>0</v>
      </c>
      <c r="O250" s="78">
        <f>IFERROR(N250/N327, "NA")</f>
        <v>0</v>
      </c>
      <c r="P250" s="79"/>
      <c r="Q250" s="77">
        <v>0</v>
      </c>
      <c r="R250" s="78">
        <f>IFERROR(Q250/Q327, "NA")</f>
        <v>0</v>
      </c>
      <c r="T250" s="80">
        <f t="shared" si="6"/>
        <v>0</v>
      </c>
      <c r="U250" s="80">
        <f t="shared" si="7"/>
        <v>0</v>
      </c>
    </row>
    <row r="251" spans="1:21" x14ac:dyDescent="0.25">
      <c r="A251" s="76" t="s">
        <v>278</v>
      </c>
      <c r="B251" s="77">
        <v>0</v>
      </c>
      <c r="C251" s="78">
        <f>IFERROR(B251/B327, "NA")</f>
        <v>0</v>
      </c>
      <c r="D251" s="79"/>
      <c r="E251" s="77">
        <v>0</v>
      </c>
      <c r="F251" s="78">
        <f>IFERROR(E251/E327, "NA")</f>
        <v>0</v>
      </c>
      <c r="G251" s="79"/>
      <c r="H251" s="77">
        <v>0</v>
      </c>
      <c r="I251" s="78">
        <f>IFERROR(H251/H327, "NA")</f>
        <v>0</v>
      </c>
      <c r="J251" s="79"/>
      <c r="K251" s="77">
        <v>0</v>
      </c>
      <c r="L251" s="78">
        <f>IFERROR(K251/K327, "NA")</f>
        <v>0</v>
      </c>
      <c r="M251" s="79"/>
      <c r="N251" s="77">
        <v>0</v>
      </c>
      <c r="O251" s="78">
        <f>IFERROR(N251/N327, "NA")</f>
        <v>0</v>
      </c>
      <c r="P251" s="79"/>
      <c r="Q251" s="77">
        <v>0</v>
      </c>
      <c r="R251" s="78">
        <f>IFERROR(Q251/Q327, "NA")</f>
        <v>0</v>
      </c>
      <c r="T251" s="80">
        <f t="shared" si="6"/>
        <v>0</v>
      </c>
      <c r="U251" s="80">
        <f t="shared" si="7"/>
        <v>0</v>
      </c>
    </row>
    <row r="252" spans="1:21" x14ac:dyDescent="0.25">
      <c r="A252" s="81" t="s">
        <v>279</v>
      </c>
      <c r="B252" s="82">
        <f>IFERROR(B243+B244+B245+B246+B247+B248+B249+B250+B251, "NA")</f>
        <v>8520.99</v>
      </c>
      <c r="C252" s="83">
        <f>IFERROR(B252/B327, "NA")</f>
        <v>3.8444583302096979E-3</v>
      </c>
      <c r="D252" s="72"/>
      <c r="E252" s="82">
        <f>IFERROR(E243+E244+E245+E246+E247+E248+E249+E250+E251, "NA")</f>
        <v>8437.18</v>
      </c>
      <c r="F252" s="83">
        <f>IFERROR(E252/E327, "NA")</f>
        <v>4.7954078648933546E-3</v>
      </c>
      <c r="G252" s="72"/>
      <c r="H252" s="82">
        <f>IFERROR(H243+H244+H245+H246+H247+H248+H249+H250+H251, "NA")</f>
        <v>18612.79</v>
      </c>
      <c r="I252" s="83">
        <f>IFERROR(H252/H327, "NA")</f>
        <v>7.6055005522702576E-3</v>
      </c>
      <c r="J252" s="72"/>
      <c r="K252" s="82">
        <f>IFERROR(K243+K244+K245+K246+K247+K248+K249+K250+K251, "NA")</f>
        <v>8404.5</v>
      </c>
      <c r="L252" s="83">
        <f>IFERROR(K252/K327, "NA")</f>
        <v>5.5480915000927751E-3</v>
      </c>
      <c r="M252" s="72"/>
      <c r="N252" s="82">
        <f>IFERROR(N243+N244+N245+N246+N247+N248+N249+N250+N251, "NA")</f>
        <v>10404.09</v>
      </c>
      <c r="O252" s="83">
        <f>IFERROR(N252/N327, "NA")</f>
        <v>4.9214737268163233E-3</v>
      </c>
      <c r="P252" s="72"/>
      <c r="Q252" s="82">
        <f>IFERROR(Q243+Q244+Q245+Q246+Q247+Q248+Q249+Q250+Q251, "NA")</f>
        <v>11344.28</v>
      </c>
      <c r="R252" s="83">
        <f>IFERROR(Q252/Q327, "NA")</f>
        <v>8.1776356024359214E-3</v>
      </c>
      <c r="T252" s="80">
        <f t="shared" si="6"/>
        <v>65723.83</v>
      </c>
      <c r="U252" s="80">
        <f t="shared" si="7"/>
        <v>361.11994505494511</v>
      </c>
    </row>
    <row r="253" spans="1:21" x14ac:dyDescent="0.25">
      <c r="A253" s="75" t="s">
        <v>280</v>
      </c>
      <c r="B253" s="72"/>
      <c r="C253" s="73"/>
      <c r="D253" s="74"/>
      <c r="E253" s="72"/>
      <c r="F253" s="73"/>
      <c r="G253" s="74"/>
      <c r="H253" s="72"/>
      <c r="I253" s="73"/>
      <c r="J253" s="74"/>
      <c r="K253" s="72"/>
      <c r="L253" s="73"/>
      <c r="M253" s="74"/>
      <c r="N253" s="72"/>
      <c r="O253" s="73"/>
      <c r="P253" s="74"/>
      <c r="Q253" s="72"/>
      <c r="R253" s="73"/>
      <c r="T253" s="80">
        <f t="shared" si="6"/>
        <v>0</v>
      </c>
      <c r="U253" s="80">
        <f t="shared" si="7"/>
        <v>0</v>
      </c>
    </row>
    <row r="254" spans="1:21" x14ac:dyDescent="0.25">
      <c r="A254" s="76" t="s">
        <v>281</v>
      </c>
      <c r="B254" s="77">
        <v>0</v>
      </c>
      <c r="C254" s="78">
        <f>IFERROR(B254/B327, "NA")</f>
        <v>0</v>
      </c>
      <c r="D254" s="79"/>
      <c r="E254" s="77">
        <v>0</v>
      </c>
      <c r="F254" s="78">
        <f>IFERROR(E254/E327, "NA")</f>
        <v>0</v>
      </c>
      <c r="G254" s="79"/>
      <c r="H254" s="77">
        <v>0</v>
      </c>
      <c r="I254" s="78">
        <f>IFERROR(H254/H327, "NA")</f>
        <v>0</v>
      </c>
      <c r="J254" s="79"/>
      <c r="K254" s="77">
        <v>0</v>
      </c>
      <c r="L254" s="78">
        <f>IFERROR(K254/K327, "NA")</f>
        <v>0</v>
      </c>
      <c r="M254" s="79"/>
      <c r="N254" s="77">
        <v>0</v>
      </c>
      <c r="O254" s="78">
        <f>IFERROR(N254/N327, "NA")</f>
        <v>0</v>
      </c>
      <c r="P254" s="79"/>
      <c r="Q254" s="77">
        <v>0</v>
      </c>
      <c r="R254" s="78">
        <f>IFERROR(Q254/Q327, "NA")</f>
        <v>0</v>
      </c>
      <c r="T254" s="80">
        <f t="shared" si="6"/>
        <v>0</v>
      </c>
      <c r="U254" s="80">
        <f t="shared" si="7"/>
        <v>0</v>
      </c>
    </row>
    <row r="255" spans="1:21" x14ac:dyDescent="0.25">
      <c r="A255" s="76" t="s">
        <v>282</v>
      </c>
      <c r="B255" s="77">
        <v>0</v>
      </c>
      <c r="C255" s="78">
        <f>IFERROR(B255/B327, "NA")</f>
        <v>0</v>
      </c>
      <c r="D255" s="79"/>
      <c r="E255" s="77">
        <v>0</v>
      </c>
      <c r="F255" s="78">
        <f>IFERROR(E255/E327, "NA")</f>
        <v>0</v>
      </c>
      <c r="G255" s="79"/>
      <c r="H255" s="77">
        <v>0</v>
      </c>
      <c r="I255" s="78">
        <f>IFERROR(H255/H327, "NA")</f>
        <v>0</v>
      </c>
      <c r="J255" s="79"/>
      <c r="K255" s="77">
        <v>0</v>
      </c>
      <c r="L255" s="78">
        <f>IFERROR(K255/K327, "NA")</f>
        <v>0</v>
      </c>
      <c r="M255" s="79"/>
      <c r="N255" s="77">
        <v>0</v>
      </c>
      <c r="O255" s="78">
        <f>IFERROR(N255/N327, "NA")</f>
        <v>0</v>
      </c>
      <c r="P255" s="79"/>
      <c r="Q255" s="77">
        <v>0</v>
      </c>
      <c r="R255" s="78">
        <f>IFERROR(Q255/Q327, "NA")</f>
        <v>0</v>
      </c>
      <c r="T255" s="80">
        <f t="shared" si="6"/>
        <v>0</v>
      </c>
      <c r="U255" s="80">
        <f t="shared" si="7"/>
        <v>0</v>
      </c>
    </row>
    <row r="256" spans="1:21" x14ac:dyDescent="0.25">
      <c r="A256" s="76" t="s">
        <v>283</v>
      </c>
      <c r="B256" s="77">
        <v>31899.82</v>
      </c>
      <c r="C256" s="78">
        <f>IFERROR(B256/B327, "NA")</f>
        <v>1.4392403785380562E-2</v>
      </c>
      <c r="D256" s="79"/>
      <c r="E256" s="77">
        <v>112400.19</v>
      </c>
      <c r="F256" s="78">
        <f>IFERROR(E256/E327, "NA")</f>
        <v>6.3884467931406855E-2</v>
      </c>
      <c r="G256" s="79"/>
      <c r="H256" s="77">
        <v>98155.38</v>
      </c>
      <c r="I256" s="78">
        <f>IFERROR(H256/H327, "NA")</f>
        <v>4.0107947105097998E-2</v>
      </c>
      <c r="J256" s="79"/>
      <c r="K256" s="77">
        <v>67110.100000000006</v>
      </c>
      <c r="L256" s="78">
        <f>IFERROR(K256/K327, "NA")</f>
        <v>4.4301621200592084E-2</v>
      </c>
      <c r="M256" s="79"/>
      <c r="N256" s="77">
        <v>78862.06</v>
      </c>
      <c r="O256" s="78">
        <f>IFERROR(N256/N327, "NA")</f>
        <v>3.7304325157953511E-2</v>
      </c>
      <c r="P256" s="79"/>
      <c r="Q256" s="77">
        <v>68062.490000000005</v>
      </c>
      <c r="R256" s="78">
        <f>IFERROR(Q256/Q327, "NA")</f>
        <v>4.9063514071799964E-2</v>
      </c>
      <c r="T256" s="80">
        <f t="shared" si="6"/>
        <v>456490.04</v>
      </c>
      <c r="U256" s="80">
        <f t="shared" si="7"/>
        <v>2508.1870329670332</v>
      </c>
    </row>
    <row r="257" spans="1:21" x14ac:dyDescent="0.25">
      <c r="A257" s="76" t="s">
        <v>284</v>
      </c>
      <c r="B257" s="77">
        <v>0</v>
      </c>
      <c r="C257" s="78">
        <f>IFERROR(B257/B327, "NA")</f>
        <v>0</v>
      </c>
      <c r="D257" s="79"/>
      <c r="E257" s="77">
        <v>0</v>
      </c>
      <c r="F257" s="78">
        <f>IFERROR(E257/E327, "NA")</f>
        <v>0</v>
      </c>
      <c r="G257" s="79"/>
      <c r="H257" s="77">
        <v>0</v>
      </c>
      <c r="I257" s="78">
        <f>IFERROR(H257/H327, "NA")</f>
        <v>0</v>
      </c>
      <c r="J257" s="79"/>
      <c r="K257" s="77">
        <v>0</v>
      </c>
      <c r="L257" s="78">
        <f>IFERROR(K257/K327, "NA")</f>
        <v>0</v>
      </c>
      <c r="M257" s="79"/>
      <c r="N257" s="77">
        <v>0</v>
      </c>
      <c r="O257" s="78">
        <f>IFERROR(N257/N327, "NA")</f>
        <v>0</v>
      </c>
      <c r="P257" s="79"/>
      <c r="Q257" s="77">
        <v>0</v>
      </c>
      <c r="R257" s="78">
        <f>IFERROR(Q257/Q327, "NA")</f>
        <v>0</v>
      </c>
      <c r="T257" s="80">
        <f t="shared" si="6"/>
        <v>0</v>
      </c>
      <c r="U257" s="80">
        <f t="shared" si="7"/>
        <v>0</v>
      </c>
    </row>
    <row r="258" spans="1:21" x14ac:dyDescent="0.25">
      <c r="A258" s="76" t="s">
        <v>285</v>
      </c>
      <c r="B258" s="77">
        <v>0</v>
      </c>
      <c r="C258" s="78">
        <f>IFERROR(B258/B327, "NA")</f>
        <v>0</v>
      </c>
      <c r="D258" s="79"/>
      <c r="E258" s="77">
        <v>0</v>
      </c>
      <c r="F258" s="78">
        <f>IFERROR(E258/E327, "NA")</f>
        <v>0</v>
      </c>
      <c r="G258" s="79"/>
      <c r="H258" s="77">
        <v>0</v>
      </c>
      <c r="I258" s="78">
        <f>IFERROR(H258/H327, "NA")</f>
        <v>0</v>
      </c>
      <c r="J258" s="79"/>
      <c r="K258" s="77">
        <v>0</v>
      </c>
      <c r="L258" s="78">
        <f>IFERROR(K258/K327, "NA")</f>
        <v>0</v>
      </c>
      <c r="M258" s="79"/>
      <c r="N258" s="77">
        <v>14893.38</v>
      </c>
      <c r="O258" s="78">
        <f>IFERROR(N258/N327, "NA")</f>
        <v>7.0450542405430649E-3</v>
      </c>
      <c r="P258" s="79"/>
      <c r="Q258" s="77">
        <v>8050.48</v>
      </c>
      <c r="R258" s="78">
        <f>IFERROR(Q258/Q327, "NA")</f>
        <v>5.803267537886788E-3</v>
      </c>
      <c r="T258" s="80">
        <f t="shared" si="6"/>
        <v>22943.86</v>
      </c>
      <c r="U258" s="80">
        <f t="shared" si="7"/>
        <v>126.06516483516484</v>
      </c>
    </row>
    <row r="259" spans="1:21" x14ac:dyDescent="0.25">
      <c r="A259" s="76" t="s">
        <v>286</v>
      </c>
      <c r="B259" s="77">
        <v>0</v>
      </c>
      <c r="C259" s="78">
        <f>IFERROR(B259/B327, "NA")</f>
        <v>0</v>
      </c>
      <c r="D259" s="79"/>
      <c r="E259" s="77">
        <v>0</v>
      </c>
      <c r="F259" s="78">
        <f>IFERROR(E259/E327, "NA")</f>
        <v>0</v>
      </c>
      <c r="G259" s="79"/>
      <c r="H259" s="77">
        <v>0</v>
      </c>
      <c r="I259" s="78">
        <f>IFERROR(H259/H327, "NA")</f>
        <v>0</v>
      </c>
      <c r="J259" s="79"/>
      <c r="K259" s="77">
        <v>0</v>
      </c>
      <c r="L259" s="78">
        <f>IFERROR(K259/K327, "NA")</f>
        <v>0</v>
      </c>
      <c r="M259" s="79"/>
      <c r="N259" s="77">
        <v>0</v>
      </c>
      <c r="O259" s="78">
        <f>IFERROR(N259/N327, "NA")</f>
        <v>0</v>
      </c>
      <c r="P259" s="79"/>
      <c r="Q259" s="77">
        <v>0</v>
      </c>
      <c r="R259" s="78">
        <f>IFERROR(Q259/Q327, "NA")</f>
        <v>0</v>
      </c>
      <c r="T259" s="80">
        <f t="shared" si="6"/>
        <v>0</v>
      </c>
      <c r="U259" s="80">
        <f t="shared" si="7"/>
        <v>0</v>
      </c>
    </row>
    <row r="260" spans="1:21" x14ac:dyDescent="0.25">
      <c r="A260" s="76" t="s">
        <v>287</v>
      </c>
      <c r="B260" s="77">
        <v>0</v>
      </c>
      <c r="C260" s="78">
        <f>IFERROR(B260/B327, "NA")</f>
        <v>0</v>
      </c>
      <c r="D260" s="79"/>
      <c r="E260" s="77">
        <v>0</v>
      </c>
      <c r="F260" s="78">
        <f>IFERROR(E260/E327, "NA")</f>
        <v>0</v>
      </c>
      <c r="G260" s="79"/>
      <c r="H260" s="77">
        <v>0</v>
      </c>
      <c r="I260" s="78">
        <f>IFERROR(H260/H327, "NA")</f>
        <v>0</v>
      </c>
      <c r="J260" s="79"/>
      <c r="K260" s="77">
        <v>0</v>
      </c>
      <c r="L260" s="78">
        <f>IFERROR(K260/K327, "NA")</f>
        <v>0</v>
      </c>
      <c r="M260" s="79"/>
      <c r="N260" s="77">
        <v>0</v>
      </c>
      <c r="O260" s="78">
        <f>IFERROR(N260/N327, "NA")</f>
        <v>0</v>
      </c>
      <c r="P260" s="79"/>
      <c r="Q260" s="77">
        <v>0</v>
      </c>
      <c r="R260" s="78">
        <f>IFERROR(Q260/Q327, "NA")</f>
        <v>0</v>
      </c>
      <c r="T260" s="80">
        <f t="shared" si="6"/>
        <v>0</v>
      </c>
      <c r="U260" s="80">
        <f t="shared" si="7"/>
        <v>0</v>
      </c>
    </row>
    <row r="261" spans="1:21" x14ac:dyDescent="0.25">
      <c r="A261" s="76" t="s">
        <v>288</v>
      </c>
      <c r="B261" s="77">
        <v>24995.83</v>
      </c>
      <c r="C261" s="78">
        <f>IFERROR(B261/B327, "NA")</f>
        <v>1.1277495556737595E-2</v>
      </c>
      <c r="D261" s="79"/>
      <c r="E261" s="77">
        <v>25089.68</v>
      </c>
      <c r="F261" s="78">
        <f>IFERROR(E261/E327, "NA")</f>
        <v>1.4260125871399862E-2</v>
      </c>
      <c r="G261" s="79"/>
      <c r="H261" s="77">
        <v>25183.84</v>
      </c>
      <c r="I261" s="78">
        <f>IFERROR(H261/H327, "NA")</f>
        <v>1.0290542633763439E-2</v>
      </c>
      <c r="J261" s="79"/>
      <c r="K261" s="77">
        <v>25278.3</v>
      </c>
      <c r="L261" s="78">
        <f>IFERROR(K261/K327, "NA")</f>
        <v>1.668705114721818E-2</v>
      </c>
      <c r="M261" s="79"/>
      <c r="N261" s="77">
        <v>25373.06</v>
      </c>
      <c r="O261" s="78">
        <f>IFERROR(N261/N327, "NA")</f>
        <v>1.2002284501473382E-2</v>
      </c>
      <c r="P261" s="79"/>
      <c r="Q261" s="77">
        <v>25468.12</v>
      </c>
      <c r="R261" s="78">
        <f>IFERROR(Q261/Q327, "NA")</f>
        <v>1.8358944317233911E-2</v>
      </c>
      <c r="T261" s="80">
        <f t="shared" si="6"/>
        <v>151388.83000000002</v>
      </c>
      <c r="U261" s="80">
        <f t="shared" si="7"/>
        <v>831.8067582417583</v>
      </c>
    </row>
    <row r="262" spans="1:21" x14ac:dyDescent="0.25">
      <c r="A262" s="76" t="s">
        <v>289</v>
      </c>
      <c r="B262" s="77">
        <v>9607.83</v>
      </c>
      <c r="C262" s="78">
        <f>IFERROR(B262/B327, "NA")</f>
        <v>4.3348134522794464E-3</v>
      </c>
      <c r="D262" s="79"/>
      <c r="E262" s="77">
        <v>9513.9699999999993</v>
      </c>
      <c r="F262" s="78">
        <f>IFERROR(E262/E327, "NA")</f>
        <v>5.4074188964037062E-3</v>
      </c>
      <c r="G262" s="79"/>
      <c r="H262" s="77">
        <v>9419.82</v>
      </c>
      <c r="I262" s="78">
        <f>IFERROR(H262/H327, "NA")</f>
        <v>3.849097648030543E-3</v>
      </c>
      <c r="J262" s="79"/>
      <c r="K262" s="77">
        <v>9325.36</v>
      </c>
      <c r="L262" s="78">
        <f>IFERROR(K262/K327, "NA")</f>
        <v>6.155981980047018E-3</v>
      </c>
      <c r="M262" s="79"/>
      <c r="N262" s="77">
        <v>9230.6</v>
      </c>
      <c r="O262" s="78">
        <f>IFERROR(N262/N327, "NA")</f>
        <v>4.3663747029053729E-3</v>
      </c>
      <c r="P262" s="79"/>
      <c r="Q262" s="77">
        <v>9135.5400000000009</v>
      </c>
      <c r="R262" s="78">
        <f>IFERROR(Q262/Q327, "NA")</f>
        <v>6.5854436906949984E-3</v>
      </c>
      <c r="T262" s="80">
        <f t="shared" si="6"/>
        <v>56233.119999999995</v>
      </c>
      <c r="U262" s="80">
        <f t="shared" si="7"/>
        <v>308.97318681318677</v>
      </c>
    </row>
    <row r="263" spans="1:21" x14ac:dyDescent="0.25">
      <c r="A263" s="81" t="s">
        <v>290</v>
      </c>
      <c r="B263" s="82">
        <f>IFERROR(B254+B255+B256+B257+B258+B259+B260+B261+B262, "NA")</f>
        <v>66503.48</v>
      </c>
      <c r="C263" s="83">
        <f>IFERROR(B263/B327, "NA")</f>
        <v>3.0004712794397603E-2</v>
      </c>
      <c r="D263" s="72"/>
      <c r="E263" s="82">
        <f>IFERROR(E254+E255+E256+E257+E258+E259+E260+E261+E262, "NA")</f>
        <v>147003.84</v>
      </c>
      <c r="F263" s="83">
        <f>IFERROR(E263/E327, "NA")</f>
        <v>8.3552012699210421E-2</v>
      </c>
      <c r="G263" s="72"/>
      <c r="H263" s="82">
        <f>IFERROR(H254+H255+H256+H257+H258+H259+H260+H261+H262, "NA")</f>
        <v>132759.04000000001</v>
      </c>
      <c r="I263" s="83">
        <f>IFERROR(H263/H327, "NA")</f>
        <v>5.4247587386891984E-2</v>
      </c>
      <c r="J263" s="72"/>
      <c r="K263" s="82">
        <f>IFERROR(K254+K255+K256+K257+K258+K259+K260+K261+K262, "NA")</f>
        <v>101713.76000000001</v>
      </c>
      <c r="L263" s="83">
        <f>IFERROR(K263/K327, "NA")</f>
        <v>6.7144654327857281E-2</v>
      </c>
      <c r="M263" s="72"/>
      <c r="N263" s="82">
        <f>IFERROR(N254+N255+N256+N257+N258+N259+N260+N261+N262, "NA")</f>
        <v>128359.1</v>
      </c>
      <c r="O263" s="83">
        <f>IFERROR(N263/N327, "NA")</f>
        <v>6.0718038602875328E-2</v>
      </c>
      <c r="P263" s="72"/>
      <c r="Q263" s="82">
        <f>IFERROR(Q254+Q255+Q256+Q257+Q258+Q259+Q260+Q261+Q262, "NA")</f>
        <v>110716.63</v>
      </c>
      <c r="R263" s="83">
        <f>IFERROR(Q263/Q327, "NA")</f>
        <v>7.9811169617615654E-2</v>
      </c>
      <c r="T263" s="80">
        <f t="shared" si="6"/>
        <v>687055.85</v>
      </c>
      <c r="U263" s="80">
        <f t="shared" si="7"/>
        <v>3775.0321428571428</v>
      </c>
    </row>
    <row r="264" spans="1:21" x14ac:dyDescent="0.25">
      <c r="A264" s="75" t="s">
        <v>291</v>
      </c>
      <c r="B264" s="72"/>
      <c r="C264" s="73"/>
      <c r="D264" s="74"/>
      <c r="E264" s="72"/>
      <c r="F264" s="73"/>
      <c r="G264" s="74"/>
      <c r="H264" s="72"/>
      <c r="I264" s="73"/>
      <c r="J264" s="74"/>
      <c r="K264" s="72"/>
      <c r="L264" s="73"/>
      <c r="M264" s="74"/>
      <c r="N264" s="72"/>
      <c r="O264" s="73"/>
      <c r="P264" s="74"/>
      <c r="Q264" s="72"/>
      <c r="R264" s="73"/>
      <c r="T264" s="80">
        <f t="shared" si="6"/>
        <v>0</v>
      </c>
      <c r="U264" s="80">
        <f t="shared" si="7"/>
        <v>0</v>
      </c>
    </row>
    <row r="265" spans="1:21" x14ac:dyDescent="0.25">
      <c r="A265" s="76" t="s">
        <v>292</v>
      </c>
      <c r="B265" s="77">
        <v>0</v>
      </c>
      <c r="C265" s="78">
        <f>IFERROR(B265/B327, "NA")</f>
        <v>0</v>
      </c>
      <c r="D265" s="79"/>
      <c r="E265" s="77">
        <v>0</v>
      </c>
      <c r="F265" s="78">
        <f>IFERROR(E265/E327, "NA")</f>
        <v>0</v>
      </c>
      <c r="G265" s="79"/>
      <c r="H265" s="77">
        <v>0</v>
      </c>
      <c r="I265" s="78">
        <f>IFERROR(H265/H327, "NA")</f>
        <v>0</v>
      </c>
      <c r="J265" s="79"/>
      <c r="K265" s="77">
        <v>0</v>
      </c>
      <c r="L265" s="78">
        <f>IFERROR(K265/K327, "NA")</f>
        <v>0</v>
      </c>
      <c r="M265" s="79"/>
      <c r="N265" s="77">
        <v>0</v>
      </c>
      <c r="O265" s="78">
        <f>IFERROR(N265/N327, "NA")</f>
        <v>0</v>
      </c>
      <c r="P265" s="79"/>
      <c r="Q265" s="77">
        <v>0</v>
      </c>
      <c r="R265" s="78">
        <f>IFERROR(Q265/Q327, "NA")</f>
        <v>0</v>
      </c>
      <c r="T265" s="80">
        <f t="shared" ref="T265:T327" si="8">IFERROR(B265+E265+H265+K265+N265+Q265, "NA")</f>
        <v>0</v>
      </c>
      <c r="U265" s="80">
        <f t="shared" ref="U265:U327" si="9">(T265/$V$1)/7</f>
        <v>0</v>
      </c>
    </row>
    <row r="266" spans="1:21" x14ac:dyDescent="0.25">
      <c r="A266" s="76" t="s">
        <v>293</v>
      </c>
      <c r="B266" s="77">
        <v>0</v>
      </c>
      <c r="C266" s="78">
        <f>IFERROR(B266/B327, "NA")</f>
        <v>0</v>
      </c>
      <c r="D266" s="79"/>
      <c r="E266" s="77">
        <v>0</v>
      </c>
      <c r="F266" s="78">
        <f>IFERROR(E266/E327, "NA")</f>
        <v>0</v>
      </c>
      <c r="G266" s="79"/>
      <c r="H266" s="77">
        <v>0</v>
      </c>
      <c r="I266" s="78">
        <f>IFERROR(H266/H327, "NA")</f>
        <v>0</v>
      </c>
      <c r="J266" s="79"/>
      <c r="K266" s="77">
        <v>0</v>
      </c>
      <c r="L266" s="78">
        <f>IFERROR(K266/K327, "NA")</f>
        <v>0</v>
      </c>
      <c r="M266" s="79"/>
      <c r="N266" s="77">
        <v>0</v>
      </c>
      <c r="O266" s="78">
        <f>IFERROR(N266/N327, "NA")</f>
        <v>0</v>
      </c>
      <c r="P266" s="79"/>
      <c r="Q266" s="77">
        <v>0</v>
      </c>
      <c r="R266" s="78">
        <f>IFERROR(Q266/Q327, "NA")</f>
        <v>0</v>
      </c>
      <c r="T266" s="80">
        <f t="shared" si="8"/>
        <v>0</v>
      </c>
      <c r="U266" s="80">
        <f t="shared" si="9"/>
        <v>0</v>
      </c>
    </row>
    <row r="267" spans="1:21" ht="31.5" x14ac:dyDescent="0.25">
      <c r="A267" s="76" t="s">
        <v>294</v>
      </c>
      <c r="B267" s="77">
        <v>0</v>
      </c>
      <c r="C267" s="78">
        <f>IFERROR(B267/B327, "NA")</f>
        <v>0</v>
      </c>
      <c r="D267" s="79"/>
      <c r="E267" s="77">
        <v>0</v>
      </c>
      <c r="F267" s="78">
        <f>IFERROR(E267/E327, "NA")</f>
        <v>0</v>
      </c>
      <c r="G267" s="79"/>
      <c r="H267" s="77">
        <v>0</v>
      </c>
      <c r="I267" s="78">
        <f>IFERROR(H267/H327, "NA")</f>
        <v>0</v>
      </c>
      <c r="J267" s="79"/>
      <c r="K267" s="77">
        <v>0</v>
      </c>
      <c r="L267" s="78">
        <f>IFERROR(K267/K327, "NA")</f>
        <v>0</v>
      </c>
      <c r="M267" s="79"/>
      <c r="N267" s="77">
        <v>0</v>
      </c>
      <c r="O267" s="78">
        <f>IFERROR(N267/N327, "NA")</f>
        <v>0</v>
      </c>
      <c r="P267" s="79"/>
      <c r="Q267" s="77">
        <v>0</v>
      </c>
      <c r="R267" s="78">
        <f>IFERROR(Q267/Q327, "NA")</f>
        <v>0</v>
      </c>
      <c r="T267" s="80">
        <f t="shared" si="8"/>
        <v>0</v>
      </c>
      <c r="U267" s="80">
        <f t="shared" si="9"/>
        <v>0</v>
      </c>
    </row>
    <row r="268" spans="1:21" x14ac:dyDescent="0.25">
      <c r="A268" s="76" t="s">
        <v>295</v>
      </c>
      <c r="B268" s="77">
        <v>-3.86</v>
      </c>
      <c r="C268" s="78">
        <f>IFERROR(B268/B327, "NA")</f>
        <v>-1.7415358021320802E-6</v>
      </c>
      <c r="D268" s="79"/>
      <c r="E268" s="77">
        <v>-3.82</v>
      </c>
      <c r="F268" s="78">
        <f>IFERROR(E268/E327, "NA")</f>
        <v>-2.1711588521155898E-6</v>
      </c>
      <c r="G268" s="79"/>
      <c r="H268" s="77">
        <v>0</v>
      </c>
      <c r="I268" s="78">
        <f>IFERROR(H268/H327, "NA")</f>
        <v>0</v>
      </c>
      <c r="J268" s="79"/>
      <c r="K268" s="77">
        <v>0</v>
      </c>
      <c r="L268" s="78">
        <f>IFERROR(K268/K327, "NA")</f>
        <v>0</v>
      </c>
      <c r="M268" s="79"/>
      <c r="N268" s="77">
        <v>-15.2</v>
      </c>
      <c r="O268" s="78">
        <f>IFERROR(N268/N327, "NA")</f>
        <v>-7.1900954958682709E-6</v>
      </c>
      <c r="P268" s="79"/>
      <c r="Q268" s="77">
        <v>-10.199999999999999</v>
      </c>
      <c r="R268" s="78">
        <f>IFERROR(Q268/Q327, "NA")</f>
        <v>-7.3527701312772943E-6</v>
      </c>
      <c r="T268" s="80">
        <f t="shared" si="8"/>
        <v>-33.08</v>
      </c>
      <c r="U268" s="80">
        <f t="shared" si="9"/>
        <v>-0.18175824175824173</v>
      </c>
    </row>
    <row r="269" spans="1:21" x14ac:dyDescent="0.25">
      <c r="A269" s="76" t="s">
        <v>296</v>
      </c>
      <c r="B269" s="77">
        <v>0</v>
      </c>
      <c r="C269" s="78">
        <f>IFERROR(B269/B327, "NA")</f>
        <v>0</v>
      </c>
      <c r="D269" s="79"/>
      <c r="E269" s="77">
        <v>0</v>
      </c>
      <c r="F269" s="78">
        <f>IFERROR(E269/E327, "NA")</f>
        <v>0</v>
      </c>
      <c r="G269" s="79"/>
      <c r="H269" s="77">
        <v>0</v>
      </c>
      <c r="I269" s="78">
        <f>IFERROR(H269/H327, "NA")</f>
        <v>0</v>
      </c>
      <c r="J269" s="79"/>
      <c r="K269" s="77">
        <v>0</v>
      </c>
      <c r="L269" s="78">
        <f>IFERROR(K269/K327, "NA")</f>
        <v>0</v>
      </c>
      <c r="M269" s="79"/>
      <c r="N269" s="77">
        <v>0</v>
      </c>
      <c r="O269" s="78">
        <f>IFERROR(N269/N327, "NA")</f>
        <v>0</v>
      </c>
      <c r="P269" s="79"/>
      <c r="Q269" s="77">
        <v>0</v>
      </c>
      <c r="R269" s="78">
        <f>IFERROR(Q269/Q327, "NA")</f>
        <v>0</v>
      </c>
      <c r="T269" s="80">
        <f t="shared" si="8"/>
        <v>0</v>
      </c>
      <c r="U269" s="80">
        <f t="shared" si="9"/>
        <v>0</v>
      </c>
    </row>
    <row r="270" spans="1:21" x14ac:dyDescent="0.25">
      <c r="A270" s="76" t="s">
        <v>297</v>
      </c>
      <c r="B270" s="77">
        <v>0</v>
      </c>
      <c r="C270" s="78">
        <f>IFERROR(B270/B327, "NA")</f>
        <v>0</v>
      </c>
      <c r="D270" s="79"/>
      <c r="E270" s="77">
        <v>0</v>
      </c>
      <c r="F270" s="78">
        <f>IFERROR(E270/E327, "NA")</f>
        <v>0</v>
      </c>
      <c r="G270" s="79"/>
      <c r="H270" s="77">
        <v>0</v>
      </c>
      <c r="I270" s="78">
        <f>IFERROR(H270/H327, "NA")</f>
        <v>0</v>
      </c>
      <c r="J270" s="79"/>
      <c r="K270" s="77">
        <v>0</v>
      </c>
      <c r="L270" s="78">
        <f>IFERROR(K270/K327, "NA")</f>
        <v>0</v>
      </c>
      <c r="M270" s="79"/>
      <c r="N270" s="77">
        <v>0</v>
      </c>
      <c r="O270" s="78">
        <f>IFERROR(N270/N327, "NA")</f>
        <v>0</v>
      </c>
      <c r="P270" s="79"/>
      <c r="Q270" s="77">
        <v>0</v>
      </c>
      <c r="R270" s="78">
        <f>IFERROR(Q270/Q327, "NA")</f>
        <v>0</v>
      </c>
      <c r="T270" s="80">
        <f t="shared" si="8"/>
        <v>0</v>
      </c>
      <c r="U270" s="80">
        <f t="shared" si="9"/>
        <v>0</v>
      </c>
    </row>
    <row r="271" spans="1:21" x14ac:dyDescent="0.25">
      <c r="A271" s="76" t="s">
        <v>298</v>
      </c>
      <c r="B271" s="77">
        <v>0</v>
      </c>
      <c r="C271" s="78">
        <f>IFERROR(B271/B327, "NA")</f>
        <v>0</v>
      </c>
      <c r="D271" s="79"/>
      <c r="E271" s="77">
        <v>0</v>
      </c>
      <c r="F271" s="78">
        <f>IFERROR(E271/E327, "NA")</f>
        <v>0</v>
      </c>
      <c r="G271" s="79"/>
      <c r="H271" s="77">
        <v>0</v>
      </c>
      <c r="I271" s="78">
        <f>IFERROR(H271/H327, "NA")</f>
        <v>0</v>
      </c>
      <c r="J271" s="79"/>
      <c r="K271" s="77">
        <v>0</v>
      </c>
      <c r="L271" s="78">
        <f>IFERROR(K271/K327, "NA")</f>
        <v>0</v>
      </c>
      <c r="M271" s="79"/>
      <c r="N271" s="77">
        <v>0</v>
      </c>
      <c r="O271" s="78">
        <f>IFERROR(N271/N327, "NA")</f>
        <v>0</v>
      </c>
      <c r="P271" s="79"/>
      <c r="Q271" s="77">
        <v>0</v>
      </c>
      <c r="R271" s="78">
        <f>IFERROR(Q271/Q327, "NA")</f>
        <v>0</v>
      </c>
      <c r="T271" s="80">
        <f t="shared" si="8"/>
        <v>0</v>
      </c>
      <c r="U271" s="80">
        <f t="shared" si="9"/>
        <v>0</v>
      </c>
    </row>
    <row r="272" spans="1:21" x14ac:dyDescent="0.25">
      <c r="A272" s="76" t="s">
        <v>299</v>
      </c>
      <c r="B272" s="77">
        <v>0</v>
      </c>
      <c r="C272" s="78">
        <f>IFERROR(B272/B327, "NA")</f>
        <v>0</v>
      </c>
      <c r="D272" s="79"/>
      <c r="E272" s="77">
        <v>0</v>
      </c>
      <c r="F272" s="78">
        <f>IFERROR(E272/E327, "NA")</f>
        <v>0</v>
      </c>
      <c r="G272" s="79"/>
      <c r="H272" s="77">
        <v>0</v>
      </c>
      <c r="I272" s="78">
        <f>IFERROR(H272/H327, "NA")</f>
        <v>0</v>
      </c>
      <c r="J272" s="79"/>
      <c r="K272" s="77">
        <v>0</v>
      </c>
      <c r="L272" s="78">
        <f>IFERROR(K272/K327, "NA")</f>
        <v>0</v>
      </c>
      <c r="M272" s="79"/>
      <c r="N272" s="77">
        <v>0</v>
      </c>
      <c r="O272" s="78">
        <f>IFERROR(N272/N327, "NA")</f>
        <v>0</v>
      </c>
      <c r="P272" s="79"/>
      <c r="Q272" s="77">
        <v>0</v>
      </c>
      <c r="R272" s="78">
        <f>IFERROR(Q272/Q327, "NA")</f>
        <v>0</v>
      </c>
      <c r="T272" s="80">
        <f t="shared" si="8"/>
        <v>0</v>
      </c>
      <c r="U272" s="80">
        <f t="shared" si="9"/>
        <v>0</v>
      </c>
    </row>
    <row r="273" spans="1:21" x14ac:dyDescent="0.25">
      <c r="A273" s="76" t="s">
        <v>300</v>
      </c>
      <c r="B273" s="77">
        <v>0</v>
      </c>
      <c r="C273" s="78">
        <f>IFERROR(B273/B327, "NA")</f>
        <v>0</v>
      </c>
      <c r="D273" s="79"/>
      <c r="E273" s="77">
        <v>0</v>
      </c>
      <c r="F273" s="78">
        <f>IFERROR(E273/E327, "NA")</f>
        <v>0</v>
      </c>
      <c r="G273" s="79"/>
      <c r="H273" s="77">
        <v>0</v>
      </c>
      <c r="I273" s="78">
        <f>IFERROR(H273/H327, "NA")</f>
        <v>0</v>
      </c>
      <c r="J273" s="79"/>
      <c r="K273" s="77">
        <v>0</v>
      </c>
      <c r="L273" s="78">
        <f>IFERROR(K273/K327, "NA")</f>
        <v>0</v>
      </c>
      <c r="M273" s="79"/>
      <c r="N273" s="77">
        <v>0</v>
      </c>
      <c r="O273" s="78">
        <f>IFERROR(N273/N327, "NA")</f>
        <v>0</v>
      </c>
      <c r="P273" s="79"/>
      <c r="Q273" s="77">
        <v>0</v>
      </c>
      <c r="R273" s="78">
        <f>IFERROR(Q273/Q327, "NA")</f>
        <v>0</v>
      </c>
      <c r="T273" s="80">
        <f t="shared" si="8"/>
        <v>0</v>
      </c>
      <c r="U273" s="80">
        <f t="shared" si="9"/>
        <v>0</v>
      </c>
    </row>
    <row r="274" spans="1:21" x14ac:dyDescent="0.25">
      <c r="A274" s="76" t="s">
        <v>301</v>
      </c>
      <c r="B274" s="77">
        <v>0</v>
      </c>
      <c r="C274" s="78">
        <f>IFERROR(B274/B327, "NA")</f>
        <v>0</v>
      </c>
      <c r="D274" s="79"/>
      <c r="E274" s="77">
        <v>0</v>
      </c>
      <c r="F274" s="78">
        <f>IFERROR(E274/E327, "NA")</f>
        <v>0</v>
      </c>
      <c r="G274" s="79"/>
      <c r="H274" s="77">
        <v>0</v>
      </c>
      <c r="I274" s="78">
        <f>IFERROR(H274/H327, "NA")</f>
        <v>0</v>
      </c>
      <c r="J274" s="79"/>
      <c r="K274" s="77">
        <v>0</v>
      </c>
      <c r="L274" s="78">
        <f>IFERROR(K274/K327, "NA")</f>
        <v>0</v>
      </c>
      <c r="M274" s="79"/>
      <c r="N274" s="77">
        <v>0</v>
      </c>
      <c r="O274" s="78">
        <f>IFERROR(N274/N327, "NA")</f>
        <v>0</v>
      </c>
      <c r="P274" s="79"/>
      <c r="Q274" s="77">
        <v>0</v>
      </c>
      <c r="R274" s="78">
        <f>IFERROR(Q274/Q327, "NA")</f>
        <v>0</v>
      </c>
      <c r="T274" s="80">
        <f t="shared" si="8"/>
        <v>0</v>
      </c>
      <c r="U274" s="80">
        <f t="shared" si="9"/>
        <v>0</v>
      </c>
    </row>
    <row r="275" spans="1:21" x14ac:dyDescent="0.25">
      <c r="A275" s="76" t="s">
        <v>302</v>
      </c>
      <c r="B275" s="77">
        <v>0</v>
      </c>
      <c r="C275" s="78">
        <f>IFERROR(B275/B327, "NA")</f>
        <v>0</v>
      </c>
      <c r="D275" s="79"/>
      <c r="E275" s="77">
        <v>0</v>
      </c>
      <c r="F275" s="78">
        <f>IFERROR(E275/E327, "NA")</f>
        <v>0</v>
      </c>
      <c r="G275" s="79"/>
      <c r="H275" s="77">
        <v>0</v>
      </c>
      <c r="I275" s="78">
        <f>IFERROR(H275/H327, "NA")</f>
        <v>0</v>
      </c>
      <c r="J275" s="79"/>
      <c r="K275" s="77">
        <v>0</v>
      </c>
      <c r="L275" s="78">
        <f>IFERROR(K275/K327, "NA")</f>
        <v>0</v>
      </c>
      <c r="M275" s="79"/>
      <c r="N275" s="77">
        <v>0</v>
      </c>
      <c r="O275" s="78">
        <f>IFERROR(N275/N327, "NA")</f>
        <v>0</v>
      </c>
      <c r="P275" s="79"/>
      <c r="Q275" s="77">
        <v>0</v>
      </c>
      <c r="R275" s="78">
        <f>IFERROR(Q275/Q327, "NA")</f>
        <v>0</v>
      </c>
      <c r="T275" s="80">
        <f t="shared" si="8"/>
        <v>0</v>
      </c>
      <c r="U275" s="80">
        <f t="shared" si="9"/>
        <v>0</v>
      </c>
    </row>
    <row r="276" spans="1:21" x14ac:dyDescent="0.25">
      <c r="A276" s="76" t="s">
        <v>303</v>
      </c>
      <c r="B276" s="77">
        <v>0</v>
      </c>
      <c r="C276" s="78">
        <f>IFERROR(B276/B327, "NA")</f>
        <v>0</v>
      </c>
      <c r="D276" s="79"/>
      <c r="E276" s="77">
        <v>0</v>
      </c>
      <c r="F276" s="78">
        <f>IFERROR(E276/E327, "NA")</f>
        <v>0</v>
      </c>
      <c r="G276" s="79"/>
      <c r="H276" s="77">
        <v>0</v>
      </c>
      <c r="I276" s="78">
        <f>IFERROR(H276/H327, "NA")</f>
        <v>0</v>
      </c>
      <c r="J276" s="79"/>
      <c r="K276" s="77">
        <v>0</v>
      </c>
      <c r="L276" s="78">
        <f>IFERROR(K276/K327, "NA")</f>
        <v>0</v>
      </c>
      <c r="M276" s="79"/>
      <c r="N276" s="77">
        <v>0</v>
      </c>
      <c r="O276" s="78">
        <f>IFERROR(N276/N327, "NA")</f>
        <v>0</v>
      </c>
      <c r="P276" s="79"/>
      <c r="Q276" s="77">
        <v>0</v>
      </c>
      <c r="R276" s="78">
        <f>IFERROR(Q276/Q327, "NA")</f>
        <v>0</v>
      </c>
      <c r="T276" s="80">
        <f t="shared" si="8"/>
        <v>0</v>
      </c>
      <c r="U276" s="80">
        <f t="shared" si="9"/>
        <v>0</v>
      </c>
    </row>
    <row r="277" spans="1:21" x14ac:dyDescent="0.25">
      <c r="A277" s="76" t="s">
        <v>304</v>
      </c>
      <c r="B277" s="77">
        <v>0</v>
      </c>
      <c r="C277" s="78">
        <f>IFERROR(B277/B327, "NA")</f>
        <v>0</v>
      </c>
      <c r="D277" s="79"/>
      <c r="E277" s="77">
        <v>0</v>
      </c>
      <c r="F277" s="78">
        <f>IFERROR(E277/E327, "NA")</f>
        <v>0</v>
      </c>
      <c r="G277" s="79"/>
      <c r="H277" s="77">
        <v>0</v>
      </c>
      <c r="I277" s="78">
        <f>IFERROR(H277/H327, "NA")</f>
        <v>0</v>
      </c>
      <c r="J277" s="79"/>
      <c r="K277" s="77">
        <v>0</v>
      </c>
      <c r="L277" s="78">
        <f>IFERROR(K277/K327, "NA")</f>
        <v>0</v>
      </c>
      <c r="M277" s="79"/>
      <c r="N277" s="77">
        <v>0</v>
      </c>
      <c r="O277" s="78">
        <f>IFERROR(N277/N327, "NA")</f>
        <v>0</v>
      </c>
      <c r="P277" s="79"/>
      <c r="Q277" s="77">
        <v>0</v>
      </c>
      <c r="R277" s="78">
        <f>IFERROR(Q277/Q327, "NA")</f>
        <v>0</v>
      </c>
      <c r="T277" s="80">
        <f t="shared" si="8"/>
        <v>0</v>
      </c>
      <c r="U277" s="80">
        <f t="shared" si="9"/>
        <v>0</v>
      </c>
    </row>
    <row r="278" spans="1:21" x14ac:dyDescent="0.25">
      <c r="A278" s="76" t="s">
        <v>305</v>
      </c>
      <c r="B278" s="77">
        <v>-76905.59</v>
      </c>
      <c r="C278" s="78">
        <f>IFERROR(B278/B327, "NA")</f>
        <v>-3.469788558784738E-2</v>
      </c>
      <c r="D278" s="79"/>
      <c r="E278" s="77">
        <v>-62761.33</v>
      </c>
      <c r="F278" s="78">
        <f>IFERROR(E278/E327, "NA")</f>
        <v>-3.5671418115195745E-2</v>
      </c>
      <c r="G278" s="79"/>
      <c r="H278" s="77">
        <v>-93174.03</v>
      </c>
      <c r="I278" s="78">
        <f>IFERROR(H278/H327, "NA")</f>
        <v>-3.807248330971582E-2</v>
      </c>
      <c r="J278" s="79"/>
      <c r="K278" s="77">
        <v>-56388.18</v>
      </c>
      <c r="L278" s="78">
        <f>IFERROR(K278/K327, "NA")</f>
        <v>-3.7223723262978334E-2</v>
      </c>
      <c r="M278" s="79"/>
      <c r="N278" s="77">
        <v>-75960.94</v>
      </c>
      <c r="O278" s="78">
        <f>IFERROR(N278/N327, "NA")</f>
        <v>-3.5932000826047368E-2</v>
      </c>
      <c r="P278" s="79"/>
      <c r="Q278" s="77">
        <v>-50658.21</v>
      </c>
      <c r="R278" s="78">
        <f>IFERROR(Q278/Q327, "NA")</f>
        <v>-3.6517467979605173E-2</v>
      </c>
      <c r="T278" s="80">
        <f t="shared" si="8"/>
        <v>-415848.28</v>
      </c>
      <c r="U278" s="80">
        <f t="shared" si="9"/>
        <v>-2284.8806593406593</v>
      </c>
    </row>
    <row r="279" spans="1:21" x14ac:dyDescent="0.25">
      <c r="A279" s="76" t="s">
        <v>306</v>
      </c>
      <c r="B279" s="77">
        <v>0</v>
      </c>
      <c r="C279" s="78">
        <f>IFERROR(B279/B327, "NA")</f>
        <v>0</v>
      </c>
      <c r="D279" s="79"/>
      <c r="E279" s="77">
        <v>0</v>
      </c>
      <c r="F279" s="78">
        <f>IFERROR(E279/E327, "NA")</f>
        <v>0</v>
      </c>
      <c r="G279" s="79"/>
      <c r="H279" s="77">
        <v>0</v>
      </c>
      <c r="I279" s="78">
        <f>IFERROR(H279/H327, "NA")</f>
        <v>0</v>
      </c>
      <c r="J279" s="79"/>
      <c r="K279" s="77">
        <v>0</v>
      </c>
      <c r="L279" s="78">
        <f>IFERROR(K279/K327, "NA")</f>
        <v>0</v>
      </c>
      <c r="M279" s="79"/>
      <c r="N279" s="77">
        <v>0</v>
      </c>
      <c r="O279" s="78">
        <f>IFERROR(N279/N327, "NA")</f>
        <v>0</v>
      </c>
      <c r="P279" s="79"/>
      <c r="Q279" s="77">
        <v>0</v>
      </c>
      <c r="R279" s="78">
        <f>IFERROR(Q279/Q327, "NA")</f>
        <v>0</v>
      </c>
      <c r="T279" s="80">
        <f t="shared" si="8"/>
        <v>0</v>
      </c>
      <c r="U279" s="80">
        <f t="shared" si="9"/>
        <v>0</v>
      </c>
    </row>
    <row r="280" spans="1:21" x14ac:dyDescent="0.25">
      <c r="A280" s="76" t="s">
        <v>307</v>
      </c>
      <c r="B280" s="77">
        <v>0</v>
      </c>
      <c r="C280" s="78">
        <f>IFERROR(B280/B327, "NA")</f>
        <v>0</v>
      </c>
      <c r="D280" s="79"/>
      <c r="E280" s="77">
        <v>0</v>
      </c>
      <c r="F280" s="78">
        <f>IFERROR(E280/E327, "NA")</f>
        <v>0</v>
      </c>
      <c r="G280" s="79"/>
      <c r="H280" s="77">
        <v>0</v>
      </c>
      <c r="I280" s="78">
        <f>IFERROR(H280/H327, "NA")</f>
        <v>0</v>
      </c>
      <c r="J280" s="79"/>
      <c r="K280" s="77">
        <v>0</v>
      </c>
      <c r="L280" s="78">
        <f>IFERROR(K280/K327, "NA")</f>
        <v>0</v>
      </c>
      <c r="M280" s="79"/>
      <c r="N280" s="77">
        <v>0</v>
      </c>
      <c r="O280" s="78">
        <f>IFERROR(N280/N327, "NA")</f>
        <v>0</v>
      </c>
      <c r="P280" s="79"/>
      <c r="Q280" s="77">
        <v>0</v>
      </c>
      <c r="R280" s="78">
        <f>IFERROR(Q280/Q327, "NA")</f>
        <v>0</v>
      </c>
      <c r="T280" s="80">
        <f t="shared" si="8"/>
        <v>0</v>
      </c>
      <c r="U280" s="80">
        <f t="shared" si="9"/>
        <v>0</v>
      </c>
    </row>
    <row r="281" spans="1:21" x14ac:dyDescent="0.25">
      <c r="A281" s="76" t="s">
        <v>308</v>
      </c>
      <c r="B281" s="77">
        <v>0</v>
      </c>
      <c r="C281" s="78">
        <f>IFERROR(B281/B327, "NA")</f>
        <v>0</v>
      </c>
      <c r="D281" s="79"/>
      <c r="E281" s="77">
        <v>0</v>
      </c>
      <c r="F281" s="78">
        <f>IFERROR(E281/E327, "NA")</f>
        <v>0</v>
      </c>
      <c r="G281" s="79"/>
      <c r="H281" s="77">
        <v>0</v>
      </c>
      <c r="I281" s="78">
        <f>IFERROR(H281/H327, "NA")</f>
        <v>0</v>
      </c>
      <c r="J281" s="79"/>
      <c r="K281" s="77">
        <v>0</v>
      </c>
      <c r="L281" s="78">
        <f>IFERROR(K281/K327, "NA")</f>
        <v>0</v>
      </c>
      <c r="M281" s="79"/>
      <c r="N281" s="77">
        <v>0</v>
      </c>
      <c r="O281" s="78">
        <f>IFERROR(N281/N327, "NA")</f>
        <v>0</v>
      </c>
      <c r="P281" s="79"/>
      <c r="Q281" s="77">
        <v>0</v>
      </c>
      <c r="R281" s="78">
        <f>IFERROR(Q281/Q327, "NA")</f>
        <v>0</v>
      </c>
      <c r="T281" s="80">
        <f t="shared" si="8"/>
        <v>0</v>
      </c>
      <c r="U281" s="80">
        <f t="shared" si="9"/>
        <v>0</v>
      </c>
    </row>
    <row r="282" spans="1:21" x14ac:dyDescent="0.25">
      <c r="A282" s="76" t="s">
        <v>309</v>
      </c>
      <c r="B282" s="77">
        <v>0</v>
      </c>
      <c r="C282" s="78">
        <f>IFERROR(B282/B327, "NA")</f>
        <v>0</v>
      </c>
      <c r="D282" s="79"/>
      <c r="E282" s="77">
        <v>0</v>
      </c>
      <c r="F282" s="78">
        <f>IFERROR(E282/E327, "NA")</f>
        <v>0</v>
      </c>
      <c r="G282" s="79"/>
      <c r="H282" s="77">
        <v>0</v>
      </c>
      <c r="I282" s="78">
        <f>IFERROR(H282/H327, "NA")</f>
        <v>0</v>
      </c>
      <c r="J282" s="79"/>
      <c r="K282" s="77">
        <v>0</v>
      </c>
      <c r="L282" s="78">
        <f>IFERROR(K282/K327, "NA")</f>
        <v>0</v>
      </c>
      <c r="M282" s="79"/>
      <c r="N282" s="77">
        <v>0</v>
      </c>
      <c r="O282" s="78">
        <f>IFERROR(N282/N327, "NA")</f>
        <v>0</v>
      </c>
      <c r="P282" s="79"/>
      <c r="Q282" s="77">
        <v>0</v>
      </c>
      <c r="R282" s="78">
        <f>IFERROR(Q282/Q327, "NA")</f>
        <v>0</v>
      </c>
      <c r="T282" s="80">
        <f t="shared" si="8"/>
        <v>0</v>
      </c>
      <c r="U282" s="80">
        <f t="shared" si="9"/>
        <v>0</v>
      </c>
    </row>
    <row r="283" spans="1:21" x14ac:dyDescent="0.25">
      <c r="A283" s="81" t="s">
        <v>310</v>
      </c>
      <c r="B283" s="82">
        <f>IFERROR(B265+B266+B267+B268+B269+B270+B271+B272+B273+B274+B275+B276+B277+B278+B279+B280+B281+B282, "NA")</f>
        <v>-76909.45</v>
      </c>
      <c r="C283" s="83">
        <f>IFERROR(B283/B327, "NA")</f>
        <v>-3.4699627123649511E-2</v>
      </c>
      <c r="D283" s="72"/>
      <c r="E283" s="82">
        <f>IFERROR(E265+E266+E267+E268+E269+E270+E271+E272+E273+E274+E275+E276+E277+E278+E279+E280+E281+E282, "NA")</f>
        <v>-62765.15</v>
      </c>
      <c r="F283" s="83">
        <f>IFERROR(E283/E327, "NA")</f>
        <v>-3.5673589274047859E-2</v>
      </c>
      <c r="G283" s="72"/>
      <c r="H283" s="82">
        <f>IFERROR(H265+H266+H267+H268+H269+H270+H271+H272+H273+H274+H275+H276+H277+H278+H279+H280+H281+H282, "NA")</f>
        <v>-93174.03</v>
      </c>
      <c r="I283" s="83">
        <f>IFERROR(H283/H327, "NA")</f>
        <v>-3.807248330971582E-2</v>
      </c>
      <c r="J283" s="72"/>
      <c r="K283" s="82">
        <f>IFERROR(K265+K266+K267+K268+K269+K270+K271+K272+K273+K274+K275+K276+K277+K278+K279+K280+K281+K282, "NA")</f>
        <v>-56388.18</v>
      </c>
      <c r="L283" s="83">
        <f>IFERROR(K283/K327, "NA")</f>
        <v>-3.7223723262978334E-2</v>
      </c>
      <c r="M283" s="72"/>
      <c r="N283" s="82">
        <f>IFERROR(N265+N266+N267+N268+N269+N270+N271+N272+N273+N274+N275+N276+N277+N278+N279+N280+N281+N282, "NA")</f>
        <v>-75976.14</v>
      </c>
      <c r="O283" s="83">
        <f>IFERROR(N283/N327, "NA")</f>
        <v>-3.5939190921543233E-2</v>
      </c>
      <c r="P283" s="72"/>
      <c r="Q283" s="82">
        <f>IFERROR(Q265+Q266+Q267+Q268+Q269+Q270+Q271+Q272+Q273+Q274+Q275+Q276+Q277+Q278+Q279+Q280+Q281+Q282, "NA")</f>
        <v>-50668.409999999996</v>
      </c>
      <c r="R283" s="83">
        <f>IFERROR(Q283/Q327, "NA")</f>
        <v>-3.6524820749736446E-2</v>
      </c>
      <c r="T283" s="80">
        <f t="shared" si="8"/>
        <v>-415881.36</v>
      </c>
      <c r="U283" s="80">
        <f t="shared" si="9"/>
        <v>-2285.0624175824173</v>
      </c>
    </row>
    <row r="284" spans="1:21" x14ac:dyDescent="0.25">
      <c r="A284" s="85" t="s">
        <v>311</v>
      </c>
      <c r="B284" s="82">
        <f>IFERROR(B214+B215+B216+B217+B218+B219+B220+B221+B222+B223+B224+B225+B226+B227+B228+B229+B230+B231+B232+B233+B234+B235+B236+B237+B238+B239+B240+B243+B244+B245+B246+B247+B248+B249+B250+B251+B254+B255+B256+B257+B258+B259+B260+B261+B262+B265+B266+B267+B268+B269+B270+B271+B272+B273+B274+B275+B276+B277+B278+B279+B280+B281+B282, "NA")</f>
        <v>127485.24000000005</v>
      </c>
      <c r="C284" s="83">
        <f>IFERROR(B284/B327, "NA")</f>
        <v>5.7518163135596073E-2</v>
      </c>
      <c r="D284" s="72"/>
      <c r="E284" s="82">
        <f>IFERROR(E214+E215+E216+E217+E218+E219+E220+E221+E222+E223+E224+E225+E226+E227+E228+E229+E230+E231+E232+E233+E234+E235+E236+E237+E238+E239+E240+E243+E244+E245+E246+E247+E248+E249+E250+E251+E254+E255+E256+E257+E258+E259+E260+E261+E262+E265+E266+E267+E268+E269+E270+E271+E272+E273+E274+E275+E276+E277+E278+E279+E280+E281+E282, "NA")</f>
        <v>223539.26</v>
      </c>
      <c r="F284" s="83">
        <f>IFERROR(E284/E327, "NA")</f>
        <v>0.12705215789119592</v>
      </c>
      <c r="G284" s="72"/>
      <c r="H284" s="82">
        <f>IFERROR(H214+H215+H216+H217+H218+H219+H220+H221+H222+H223+H224+H225+H226+H227+H228+H229+H230+H231+H232+H233+H234+H235+H236+H237+H238+H239+H240+H243+H244+H245+H246+H247+H248+H249+H250+H251+H254+H255+H256+H257+H258+H259+H260+H261+H262+H265+H266+H267+H268+H269+H270+H271+H272+H273+H274+H275+H276+H277+H278+H279+H280+H281+H282, "NA")</f>
        <v>229472.59</v>
      </c>
      <c r="I284" s="83">
        <f>IFERROR(H284/H327, "NA")</f>
        <v>9.3766378386898816E-2</v>
      </c>
      <c r="J284" s="72"/>
      <c r="K284" s="82">
        <f>IFERROR(K214+K215+K216+K217+K218+K219+K220+K221+K222+K223+K224+K225+K226+K227+K228+K229+K230+K231+K232+K233+K234+K235+K236+K237+K238+K239+K240+K243+K244+K245+K246+K247+K248+K249+K250+K251+K254+K255+K256+K257+K258+K259+K260+K261+K262+K265+K266+K267+K268+K269+K270+K271+K272+K273+K274+K275+K276+K277+K278+K279+K280+K281+K282, "NA")</f>
        <v>209370.39</v>
      </c>
      <c r="L284" s="83">
        <f>IFERROR(K284/K327, "NA")</f>
        <v>0.13821239587484199</v>
      </c>
      <c r="M284" s="72"/>
      <c r="N284" s="82">
        <f>IFERROR(N214+N215+N216+N217+N218+N219+N220+N221+N222+N223+N224+N225+N226+N227+N228+N229+N230+N231+N232+N233+N234+N235+N236+N237+N238+N239+N240+N243+N244+N245+N246+N247+N248+N249+N250+N251+N254+N255+N256+N257+N258+N259+N260+N261+N262+N265+N266+N267+N268+N269+N270+N271+N272+N273+N274+N275+N276+N277+N278+N279+N280+N281+N282, "NA")</f>
        <v>196206.13</v>
      </c>
      <c r="O284" s="83">
        <f>IFERROR(N284/N327, "NA")</f>
        <v>9.2811895498338445E-2</v>
      </c>
      <c r="P284" s="72"/>
      <c r="Q284" s="82">
        <f>IFERROR(Q214+Q215+Q216+Q217+Q218+Q219+Q220+Q221+Q222+Q223+Q224+Q225+Q226+Q227+Q228+Q229+Q230+Q231+Q232+Q233+Q234+Q235+Q236+Q237+Q238+Q239+Q240+Q243+Q244+Q245+Q246+Q247+Q248+Q249+Q250+Q251+Q254+Q255+Q256+Q257+Q258+Q259+Q260+Q261+Q262+Q265+Q266+Q267+Q268+Q269+Q270+Q271+Q272+Q273+Q274+Q275+Q276+Q277+Q278+Q279+Q280+Q281+Q282, "NA")</f>
        <v>214229.42</v>
      </c>
      <c r="R284" s="83">
        <f>IFERROR(Q284/Q327, "NA")</f>
        <v>0.15442938045263321</v>
      </c>
      <c r="T284" s="80">
        <f t="shared" si="8"/>
        <v>1200303.03</v>
      </c>
      <c r="U284" s="80">
        <f t="shared" si="9"/>
        <v>6595.0715934065938</v>
      </c>
    </row>
    <row r="285" spans="1:21" x14ac:dyDescent="0.25">
      <c r="A285" s="71" t="s">
        <v>312</v>
      </c>
      <c r="B285" s="72"/>
      <c r="C285" s="73"/>
      <c r="D285" s="74"/>
      <c r="E285" s="72"/>
      <c r="F285" s="73"/>
      <c r="G285" s="74"/>
      <c r="H285" s="72"/>
      <c r="I285" s="73"/>
      <c r="J285" s="74"/>
      <c r="K285" s="72"/>
      <c r="L285" s="73"/>
      <c r="M285" s="74"/>
      <c r="N285" s="72"/>
      <c r="O285" s="73"/>
      <c r="P285" s="74"/>
      <c r="Q285" s="72"/>
      <c r="R285" s="73"/>
      <c r="T285" s="80">
        <f t="shared" si="8"/>
        <v>0</v>
      </c>
      <c r="U285" s="80">
        <f t="shared" si="9"/>
        <v>0</v>
      </c>
    </row>
    <row r="286" spans="1:21" x14ac:dyDescent="0.25">
      <c r="A286" s="75" t="s">
        <v>313</v>
      </c>
      <c r="B286" s="72"/>
      <c r="C286" s="73"/>
      <c r="D286" s="74"/>
      <c r="E286" s="72"/>
      <c r="F286" s="73"/>
      <c r="G286" s="74"/>
      <c r="H286" s="72"/>
      <c r="I286" s="73"/>
      <c r="J286" s="74"/>
      <c r="K286" s="72"/>
      <c r="L286" s="73"/>
      <c r="M286" s="74"/>
      <c r="N286" s="72"/>
      <c r="O286" s="73"/>
      <c r="P286" s="74"/>
      <c r="Q286" s="72"/>
      <c r="R286" s="73"/>
      <c r="T286" s="80">
        <f t="shared" si="8"/>
        <v>0</v>
      </c>
      <c r="U286" s="80">
        <f t="shared" si="9"/>
        <v>0</v>
      </c>
    </row>
    <row r="287" spans="1:21" x14ac:dyDescent="0.25">
      <c r="A287" s="76" t="s">
        <v>314</v>
      </c>
      <c r="B287" s="77">
        <v>0</v>
      </c>
      <c r="C287" s="78">
        <f>IFERROR(B287/B327, "NA")</f>
        <v>0</v>
      </c>
      <c r="D287" s="79"/>
      <c r="E287" s="77">
        <v>0</v>
      </c>
      <c r="F287" s="78">
        <f>IFERROR(E287/E327, "NA")</f>
        <v>0</v>
      </c>
      <c r="G287" s="79"/>
      <c r="H287" s="77">
        <v>0</v>
      </c>
      <c r="I287" s="78">
        <f>IFERROR(H287/H327, "NA")</f>
        <v>0</v>
      </c>
      <c r="J287" s="79"/>
      <c r="K287" s="77">
        <v>0</v>
      </c>
      <c r="L287" s="78">
        <f>IFERROR(K287/K327, "NA")</f>
        <v>0</v>
      </c>
      <c r="M287" s="79"/>
      <c r="N287" s="77">
        <v>0</v>
      </c>
      <c r="O287" s="78">
        <f>IFERROR(N287/N327, "NA")</f>
        <v>0</v>
      </c>
      <c r="P287" s="79"/>
      <c r="Q287" s="77">
        <v>0</v>
      </c>
      <c r="R287" s="78">
        <f>IFERROR(Q287/Q327, "NA")</f>
        <v>0</v>
      </c>
      <c r="T287" s="80">
        <f t="shared" si="8"/>
        <v>0</v>
      </c>
      <c r="U287" s="80">
        <f t="shared" si="9"/>
        <v>0</v>
      </c>
    </row>
    <row r="288" spans="1:21" x14ac:dyDescent="0.25">
      <c r="A288" s="76" t="s">
        <v>315</v>
      </c>
      <c r="B288" s="77">
        <v>0</v>
      </c>
      <c r="C288" s="78">
        <f>IFERROR(B288/B327, "NA")</f>
        <v>0</v>
      </c>
      <c r="D288" s="79"/>
      <c r="E288" s="77">
        <v>0</v>
      </c>
      <c r="F288" s="78">
        <f>IFERROR(E288/E327, "NA")</f>
        <v>0</v>
      </c>
      <c r="G288" s="79"/>
      <c r="H288" s="77">
        <v>0</v>
      </c>
      <c r="I288" s="78">
        <f>IFERROR(H288/H327, "NA")</f>
        <v>0</v>
      </c>
      <c r="J288" s="79"/>
      <c r="K288" s="77">
        <v>0</v>
      </c>
      <c r="L288" s="78">
        <f>IFERROR(K288/K327, "NA")</f>
        <v>0</v>
      </c>
      <c r="M288" s="79"/>
      <c r="N288" s="77">
        <v>0</v>
      </c>
      <c r="O288" s="78">
        <f>IFERROR(N288/N327, "NA")</f>
        <v>0</v>
      </c>
      <c r="P288" s="79"/>
      <c r="Q288" s="77">
        <v>0</v>
      </c>
      <c r="R288" s="78">
        <f>IFERROR(Q288/Q327, "NA")</f>
        <v>0</v>
      </c>
      <c r="T288" s="80">
        <f t="shared" si="8"/>
        <v>0</v>
      </c>
      <c r="U288" s="80">
        <f t="shared" si="9"/>
        <v>0</v>
      </c>
    </row>
    <row r="289" spans="1:21" x14ac:dyDescent="0.25">
      <c r="A289" s="76" t="s">
        <v>316</v>
      </c>
      <c r="B289" s="77">
        <v>8391.94</v>
      </c>
      <c r="C289" s="78">
        <f>IFERROR(B289/B327, "NA")</f>
        <v>3.7862341863586241E-3</v>
      </c>
      <c r="D289" s="79"/>
      <c r="E289" s="77">
        <v>21964.41</v>
      </c>
      <c r="F289" s="78">
        <f>IFERROR(E289/E327, "NA")</f>
        <v>1.2483828063611566E-2</v>
      </c>
      <c r="G289" s="79"/>
      <c r="H289" s="77">
        <v>13887.92</v>
      </c>
      <c r="I289" s="78">
        <f>IFERROR(H289/H327, "NA")</f>
        <v>5.674838819429282E-3</v>
      </c>
      <c r="J289" s="79"/>
      <c r="K289" s="77">
        <v>9149.33</v>
      </c>
      <c r="L289" s="78">
        <f>IFERROR(K289/K327, "NA")</f>
        <v>6.0397786905281494E-3</v>
      </c>
      <c r="M289" s="79"/>
      <c r="N289" s="77">
        <v>8613.7800000000007</v>
      </c>
      <c r="O289" s="78">
        <f>IFERROR(N289/N327, "NA")</f>
        <v>4.0745987355526444E-3</v>
      </c>
      <c r="P289" s="79"/>
      <c r="Q289" s="77">
        <v>6661.74</v>
      </c>
      <c r="R289" s="78">
        <f>IFERROR(Q289/Q327, "NA")</f>
        <v>4.8021806759152158E-3</v>
      </c>
      <c r="T289" s="80">
        <f t="shared" si="8"/>
        <v>68669.119999999995</v>
      </c>
      <c r="U289" s="80">
        <f t="shared" si="9"/>
        <v>377.30285714285714</v>
      </c>
    </row>
    <row r="290" spans="1:21" x14ac:dyDescent="0.25">
      <c r="A290" s="76" t="s">
        <v>317</v>
      </c>
      <c r="B290" s="77">
        <v>113523.2</v>
      </c>
      <c r="C290" s="78">
        <f>IFERROR(B290/B327, "NA")</f>
        <v>5.1218838645751441E-2</v>
      </c>
      <c r="D290" s="79"/>
      <c r="E290" s="77">
        <v>90951.43</v>
      </c>
      <c r="F290" s="78">
        <f>IFERROR(E290/E327, "NA")</f>
        <v>5.1693717894521311E-2</v>
      </c>
      <c r="G290" s="79"/>
      <c r="H290" s="77">
        <v>126947.35</v>
      </c>
      <c r="I290" s="78">
        <f>IFERROR(H290/H327, "NA")</f>
        <v>5.1872832634669262E-2</v>
      </c>
      <c r="J290" s="79"/>
      <c r="K290" s="77">
        <v>78449.460000000006</v>
      </c>
      <c r="L290" s="78">
        <f>IFERROR(K290/K327, "NA")</f>
        <v>5.1787111929664849E-2</v>
      </c>
      <c r="M290" s="79"/>
      <c r="N290" s="77">
        <v>108627.46</v>
      </c>
      <c r="O290" s="78">
        <f>IFERROR(N290/N327, "NA")</f>
        <v>5.1384329662737552E-2</v>
      </c>
      <c r="P290" s="79"/>
      <c r="Q290" s="77">
        <v>72437.009999999995</v>
      </c>
      <c r="R290" s="78">
        <f>IFERROR(Q290/Q327, "NA")</f>
        <v>5.2216929757552419E-2</v>
      </c>
      <c r="T290" s="80">
        <f t="shared" si="8"/>
        <v>590935.91</v>
      </c>
      <c r="U290" s="80">
        <f>(T290/$V$1)/7</f>
        <v>3246.9006043956042</v>
      </c>
    </row>
    <row r="291" spans="1:21" x14ac:dyDescent="0.25">
      <c r="A291" s="76" t="s">
        <v>318</v>
      </c>
      <c r="B291" s="77">
        <v>74</v>
      </c>
      <c r="C291" s="78">
        <f>IFERROR(B291/B327, "NA")</f>
        <v>3.3386955792169411E-5</v>
      </c>
      <c r="D291" s="79"/>
      <c r="E291" s="77">
        <v>0</v>
      </c>
      <c r="F291" s="78">
        <f>IFERROR(E291/E327, "NA")</f>
        <v>0</v>
      </c>
      <c r="G291" s="79"/>
      <c r="H291" s="77">
        <v>0</v>
      </c>
      <c r="I291" s="78">
        <f>IFERROR(H291/H327, "NA")</f>
        <v>0</v>
      </c>
      <c r="J291" s="79"/>
      <c r="K291" s="77">
        <v>0</v>
      </c>
      <c r="L291" s="78">
        <f>IFERROR(K291/K327, "NA")</f>
        <v>0</v>
      </c>
      <c r="M291" s="79"/>
      <c r="N291" s="77">
        <v>0</v>
      </c>
      <c r="O291" s="78">
        <f>IFERROR(N291/N327, "NA")</f>
        <v>0</v>
      </c>
      <c r="P291" s="79"/>
      <c r="Q291" s="77">
        <v>0</v>
      </c>
      <c r="R291" s="78">
        <f>IFERROR(Q291/Q327, "NA")</f>
        <v>0</v>
      </c>
      <c r="T291" s="80">
        <f t="shared" si="8"/>
        <v>74</v>
      </c>
      <c r="U291" s="80">
        <f t="shared" si="9"/>
        <v>0.40659340659340659</v>
      </c>
    </row>
    <row r="292" spans="1:21" x14ac:dyDescent="0.25">
      <c r="A292" s="76" t="s">
        <v>319</v>
      </c>
      <c r="B292" s="77">
        <v>2709</v>
      </c>
      <c r="C292" s="78">
        <f>IFERROR(B292/B327, "NA")</f>
        <v>1.222233287040364E-3</v>
      </c>
      <c r="D292" s="79"/>
      <c r="E292" s="77">
        <v>2687</v>
      </c>
      <c r="F292" s="78">
        <f>IFERROR(E292/E327, "NA")</f>
        <v>1.5271999569724058E-3</v>
      </c>
      <c r="G292" s="79"/>
      <c r="H292" s="77">
        <v>2611</v>
      </c>
      <c r="I292" s="78">
        <f>IFERROR(H292/H327, "NA")</f>
        <v>1.0668987261972891E-3</v>
      </c>
      <c r="J292" s="79"/>
      <c r="K292" s="77">
        <v>2960</v>
      </c>
      <c r="L292" s="78">
        <f>IFERROR(K292/K327, "NA")</f>
        <v>1.9539949836723915E-3</v>
      </c>
      <c r="M292" s="79"/>
      <c r="N292" s="77">
        <v>2775</v>
      </c>
      <c r="O292" s="78">
        <f>IFERROR(N292/N327, "NA")</f>
        <v>1.3126654605943719E-3</v>
      </c>
      <c r="P292" s="79"/>
      <c r="Q292" s="77">
        <v>2000</v>
      </c>
      <c r="R292" s="78">
        <f>IFERROR(Q292/Q327, "NA")</f>
        <v>1.4417196335837833E-3</v>
      </c>
      <c r="T292" s="80">
        <f t="shared" si="8"/>
        <v>15742</v>
      </c>
      <c r="U292" s="80">
        <f t="shared" si="9"/>
        <v>86.494505494505489</v>
      </c>
    </row>
    <row r="293" spans="1:21" x14ac:dyDescent="0.25">
      <c r="A293" s="76" t="s">
        <v>320</v>
      </c>
      <c r="B293" s="77">
        <v>0</v>
      </c>
      <c r="C293" s="78">
        <f>IFERROR(B293/B327, "NA")</f>
        <v>0</v>
      </c>
      <c r="D293" s="79"/>
      <c r="E293" s="77">
        <v>0</v>
      </c>
      <c r="F293" s="78">
        <f>IFERROR(E293/E327, "NA")</f>
        <v>0</v>
      </c>
      <c r="G293" s="79"/>
      <c r="H293" s="77">
        <v>785.34</v>
      </c>
      <c r="I293" s="78">
        <f>IFERROR(H293/H327, "NA")</f>
        <v>3.2090319633541905E-4</v>
      </c>
      <c r="J293" s="79"/>
      <c r="K293" s="77">
        <v>111.51</v>
      </c>
      <c r="L293" s="78">
        <f>IFERROR(K293/K327, "NA")</f>
        <v>7.3611479942333919E-5</v>
      </c>
      <c r="M293" s="79"/>
      <c r="N293" s="77">
        <v>0</v>
      </c>
      <c r="O293" s="78">
        <f>IFERROR(N293/N327, "NA")</f>
        <v>0</v>
      </c>
      <c r="P293" s="79"/>
      <c r="Q293" s="77">
        <v>625.67999999999995</v>
      </c>
      <c r="R293" s="78">
        <f>IFERROR(Q293/Q327, "NA")</f>
        <v>4.5102757017035072E-4</v>
      </c>
      <c r="T293" s="80">
        <f t="shared" si="8"/>
        <v>1522.53</v>
      </c>
      <c r="U293" s="80">
        <f t="shared" si="9"/>
        <v>8.3655494505494499</v>
      </c>
    </row>
    <row r="294" spans="1:21" x14ac:dyDescent="0.25">
      <c r="A294" s="76" t="s">
        <v>321</v>
      </c>
      <c r="B294" s="77">
        <v>6085.84</v>
      </c>
      <c r="C294" s="78">
        <f>IFERROR(B294/B327, "NA")</f>
        <v>2.7457793383542746E-3</v>
      </c>
      <c r="D294" s="79"/>
      <c r="E294" s="77">
        <v>815.17</v>
      </c>
      <c r="F294" s="78">
        <f>IFERROR(E294/E327, "NA")</f>
        <v>4.6331506845001709E-4</v>
      </c>
      <c r="G294" s="79"/>
      <c r="H294" s="77">
        <v>11323.06</v>
      </c>
      <c r="I294" s="78">
        <f>IFERROR(H294/H327, "NA")</f>
        <v>4.6267936770032466E-3</v>
      </c>
      <c r="J294" s="79"/>
      <c r="K294" s="77">
        <v>11830.21</v>
      </c>
      <c r="L294" s="78">
        <f>IFERROR(K294/K327, "NA")</f>
        <v>7.8095172283077574E-3</v>
      </c>
      <c r="M294" s="79"/>
      <c r="N294" s="77">
        <v>6476.67</v>
      </c>
      <c r="O294" s="78">
        <f>IFERROR(N294/N327, "NA")</f>
        <v>3.0636760391595497E-3</v>
      </c>
      <c r="P294" s="79"/>
      <c r="Q294" s="77">
        <v>3163.49</v>
      </c>
      <c r="R294" s="78">
        <f>IFERROR(Q294/Q327, "NA")</f>
        <v>2.2804328218229814E-3</v>
      </c>
      <c r="T294" s="80">
        <f t="shared" si="8"/>
        <v>39694.439999999995</v>
      </c>
      <c r="U294" s="80">
        <f t="shared" si="9"/>
        <v>218.10131868131865</v>
      </c>
    </row>
    <row r="295" spans="1:21" x14ac:dyDescent="0.25">
      <c r="A295" s="76" t="s">
        <v>322</v>
      </c>
      <c r="B295" s="77">
        <v>0</v>
      </c>
      <c r="C295" s="78">
        <f>IFERROR(B295/B327, "NA")</f>
        <v>0</v>
      </c>
      <c r="D295" s="79"/>
      <c r="E295" s="77">
        <v>0</v>
      </c>
      <c r="F295" s="78">
        <f>IFERROR(E295/E327, "NA")</f>
        <v>0</v>
      </c>
      <c r="G295" s="79"/>
      <c r="H295" s="77">
        <v>0</v>
      </c>
      <c r="I295" s="78">
        <f>IFERROR(H295/H327, "NA")</f>
        <v>0</v>
      </c>
      <c r="J295" s="79"/>
      <c r="K295" s="77">
        <v>0</v>
      </c>
      <c r="L295" s="78">
        <f>IFERROR(K295/K327, "NA")</f>
        <v>0</v>
      </c>
      <c r="M295" s="79"/>
      <c r="N295" s="77">
        <v>0</v>
      </c>
      <c r="O295" s="78">
        <f>IFERROR(N295/N327, "NA")</f>
        <v>0</v>
      </c>
      <c r="P295" s="79"/>
      <c r="Q295" s="77">
        <v>0</v>
      </c>
      <c r="R295" s="78">
        <f>IFERROR(Q295/Q327, "NA")</f>
        <v>0</v>
      </c>
      <c r="T295" s="80">
        <f t="shared" si="8"/>
        <v>0</v>
      </c>
      <c r="U295" s="80">
        <f t="shared" si="9"/>
        <v>0</v>
      </c>
    </row>
    <row r="296" spans="1:21" x14ac:dyDescent="0.25">
      <c r="A296" s="76" t="s">
        <v>323</v>
      </c>
      <c r="B296" s="77">
        <v>0</v>
      </c>
      <c r="C296" s="78">
        <f>IFERROR(B296/B327, "NA")</f>
        <v>0</v>
      </c>
      <c r="D296" s="79"/>
      <c r="E296" s="77">
        <v>0</v>
      </c>
      <c r="F296" s="78">
        <f>IFERROR(E296/E327, "NA")</f>
        <v>0</v>
      </c>
      <c r="G296" s="79"/>
      <c r="H296" s="77">
        <v>0</v>
      </c>
      <c r="I296" s="78">
        <f>IFERROR(H296/H327, "NA")</f>
        <v>0</v>
      </c>
      <c r="J296" s="79"/>
      <c r="K296" s="77">
        <v>0</v>
      </c>
      <c r="L296" s="78">
        <f>IFERROR(K296/K327, "NA")</f>
        <v>0</v>
      </c>
      <c r="M296" s="79"/>
      <c r="N296" s="77">
        <v>0</v>
      </c>
      <c r="O296" s="78">
        <f>IFERROR(N296/N327, "NA")</f>
        <v>0</v>
      </c>
      <c r="P296" s="79"/>
      <c r="Q296" s="77">
        <v>0</v>
      </c>
      <c r="R296" s="78">
        <f>IFERROR(Q296/Q327, "NA")</f>
        <v>0</v>
      </c>
      <c r="T296" s="80">
        <f t="shared" si="8"/>
        <v>0</v>
      </c>
      <c r="U296" s="80">
        <f t="shared" si="9"/>
        <v>0</v>
      </c>
    </row>
    <row r="297" spans="1:21" x14ac:dyDescent="0.25">
      <c r="A297" s="76" t="s">
        <v>324</v>
      </c>
      <c r="B297" s="77">
        <v>0</v>
      </c>
      <c r="C297" s="78">
        <f>IFERROR(B297/B327, "NA")</f>
        <v>0</v>
      </c>
      <c r="D297" s="79"/>
      <c r="E297" s="77">
        <v>0</v>
      </c>
      <c r="F297" s="78">
        <f>IFERROR(E297/E327, "NA")</f>
        <v>0</v>
      </c>
      <c r="G297" s="79"/>
      <c r="H297" s="77">
        <v>0</v>
      </c>
      <c r="I297" s="78">
        <f>IFERROR(H297/H327, "NA")</f>
        <v>0</v>
      </c>
      <c r="J297" s="79"/>
      <c r="K297" s="77">
        <v>482.48</v>
      </c>
      <c r="L297" s="78">
        <f>IFERROR(K297/K327, "NA")</f>
        <v>3.1850118233859985E-4</v>
      </c>
      <c r="M297" s="79"/>
      <c r="N297" s="77">
        <v>0</v>
      </c>
      <c r="O297" s="78">
        <f>IFERROR(N297/N327, "NA")</f>
        <v>0</v>
      </c>
      <c r="P297" s="79"/>
      <c r="Q297" s="77">
        <v>0</v>
      </c>
      <c r="R297" s="78">
        <f>IFERROR(Q297/Q327, "NA")</f>
        <v>0</v>
      </c>
      <c r="T297" s="80">
        <f t="shared" si="8"/>
        <v>482.48</v>
      </c>
      <c r="U297" s="80">
        <f t="shared" si="9"/>
        <v>2.6509890109890111</v>
      </c>
    </row>
    <row r="298" spans="1:21" x14ac:dyDescent="0.25">
      <c r="A298" s="76" t="s">
        <v>325</v>
      </c>
      <c r="B298" s="77">
        <v>0</v>
      </c>
      <c r="C298" s="78">
        <f>IFERROR(B298/B327, "NA")</f>
        <v>0</v>
      </c>
      <c r="D298" s="79"/>
      <c r="E298" s="77">
        <v>0</v>
      </c>
      <c r="F298" s="78">
        <f>IFERROR(E298/E327, "NA")</f>
        <v>0</v>
      </c>
      <c r="G298" s="79"/>
      <c r="H298" s="77">
        <v>0</v>
      </c>
      <c r="I298" s="78">
        <f>IFERROR(H298/H327, "NA")</f>
        <v>0</v>
      </c>
      <c r="J298" s="79"/>
      <c r="K298" s="77">
        <v>0</v>
      </c>
      <c r="L298" s="78">
        <f>IFERROR(K298/K327, "NA")</f>
        <v>0</v>
      </c>
      <c r="M298" s="79"/>
      <c r="N298" s="77">
        <v>0</v>
      </c>
      <c r="O298" s="78">
        <f>IFERROR(N298/N327, "NA")</f>
        <v>0</v>
      </c>
      <c r="P298" s="79"/>
      <c r="Q298" s="77">
        <v>0</v>
      </c>
      <c r="R298" s="78">
        <f>IFERROR(Q298/Q327, "NA")</f>
        <v>0</v>
      </c>
      <c r="T298" s="80">
        <f t="shared" si="8"/>
        <v>0</v>
      </c>
      <c r="U298" s="80">
        <f t="shared" si="9"/>
        <v>0</v>
      </c>
    </row>
    <row r="299" spans="1:21" x14ac:dyDescent="0.25">
      <c r="A299" s="76" t="s">
        <v>326</v>
      </c>
      <c r="B299" s="77">
        <v>0</v>
      </c>
      <c r="C299" s="78">
        <f>IFERROR(B299/B327, "NA")</f>
        <v>0</v>
      </c>
      <c r="D299" s="79"/>
      <c r="E299" s="77">
        <v>0</v>
      </c>
      <c r="F299" s="78">
        <f>IFERROR(E299/E327, "NA")</f>
        <v>0</v>
      </c>
      <c r="G299" s="79"/>
      <c r="H299" s="77">
        <v>0</v>
      </c>
      <c r="I299" s="78">
        <f>IFERROR(H299/H327, "NA")</f>
        <v>0</v>
      </c>
      <c r="J299" s="79"/>
      <c r="K299" s="77">
        <v>0</v>
      </c>
      <c r="L299" s="78">
        <f>IFERROR(K299/K327, "NA")</f>
        <v>0</v>
      </c>
      <c r="M299" s="79"/>
      <c r="N299" s="77">
        <v>0</v>
      </c>
      <c r="O299" s="78">
        <f>IFERROR(N299/N327, "NA")</f>
        <v>0</v>
      </c>
      <c r="P299" s="79"/>
      <c r="Q299" s="77">
        <v>0</v>
      </c>
      <c r="R299" s="78">
        <f>IFERROR(Q299/Q327, "NA")</f>
        <v>0</v>
      </c>
      <c r="T299" s="80">
        <f t="shared" si="8"/>
        <v>0</v>
      </c>
      <c r="U299" s="80">
        <f t="shared" si="9"/>
        <v>0</v>
      </c>
    </row>
    <row r="300" spans="1:21" x14ac:dyDescent="0.25">
      <c r="A300" s="76" t="s">
        <v>327</v>
      </c>
      <c r="B300" s="77">
        <v>0</v>
      </c>
      <c r="C300" s="78">
        <f>IFERROR(B300/B327, "NA")</f>
        <v>0</v>
      </c>
      <c r="D300" s="79"/>
      <c r="E300" s="77">
        <v>0</v>
      </c>
      <c r="F300" s="78">
        <f>IFERROR(E300/E327, "NA")</f>
        <v>0</v>
      </c>
      <c r="G300" s="79"/>
      <c r="H300" s="77">
        <v>0</v>
      </c>
      <c r="I300" s="78">
        <f>IFERROR(H300/H327, "NA")</f>
        <v>0</v>
      </c>
      <c r="J300" s="79"/>
      <c r="K300" s="77">
        <v>0</v>
      </c>
      <c r="L300" s="78">
        <f>IFERROR(K300/K327, "NA")</f>
        <v>0</v>
      </c>
      <c r="M300" s="79"/>
      <c r="N300" s="77">
        <v>0</v>
      </c>
      <c r="O300" s="78">
        <f>IFERROR(N300/N327, "NA")</f>
        <v>0</v>
      </c>
      <c r="P300" s="79"/>
      <c r="Q300" s="77">
        <v>0</v>
      </c>
      <c r="R300" s="78">
        <f>IFERROR(Q300/Q327, "NA")</f>
        <v>0</v>
      </c>
      <c r="T300" s="80">
        <f t="shared" si="8"/>
        <v>0</v>
      </c>
      <c r="U300" s="80">
        <f t="shared" si="9"/>
        <v>0</v>
      </c>
    </row>
    <row r="301" spans="1:21" x14ac:dyDescent="0.25">
      <c r="A301" s="76" t="s">
        <v>328</v>
      </c>
      <c r="B301" s="77">
        <v>0</v>
      </c>
      <c r="C301" s="78">
        <f>IFERROR(B301/B327, "NA")</f>
        <v>0</v>
      </c>
      <c r="D301" s="79"/>
      <c r="E301" s="77">
        <v>0</v>
      </c>
      <c r="F301" s="78">
        <f>IFERROR(E301/E327, "NA")</f>
        <v>0</v>
      </c>
      <c r="G301" s="79"/>
      <c r="H301" s="77">
        <v>0</v>
      </c>
      <c r="I301" s="78">
        <f>IFERROR(H301/H327, "NA")</f>
        <v>0</v>
      </c>
      <c r="J301" s="79"/>
      <c r="K301" s="77">
        <v>0</v>
      </c>
      <c r="L301" s="78">
        <f>IFERROR(K301/K327, "NA")</f>
        <v>0</v>
      </c>
      <c r="M301" s="79"/>
      <c r="N301" s="77">
        <v>0</v>
      </c>
      <c r="O301" s="78">
        <f>IFERROR(N301/N327, "NA")</f>
        <v>0</v>
      </c>
      <c r="P301" s="79"/>
      <c r="Q301" s="77">
        <v>0</v>
      </c>
      <c r="R301" s="78">
        <f>IFERROR(Q301/Q327, "NA")</f>
        <v>0</v>
      </c>
      <c r="T301" s="80">
        <f t="shared" si="8"/>
        <v>0</v>
      </c>
      <c r="U301" s="80">
        <f t="shared" si="9"/>
        <v>0</v>
      </c>
    </row>
    <row r="302" spans="1:21" x14ac:dyDescent="0.25">
      <c r="A302" s="76" t="s">
        <v>329</v>
      </c>
      <c r="B302" s="77">
        <v>0</v>
      </c>
      <c r="C302" s="78">
        <f>IFERROR(B302/B327, "NA")</f>
        <v>0</v>
      </c>
      <c r="D302" s="79"/>
      <c r="E302" s="77">
        <v>0</v>
      </c>
      <c r="F302" s="78">
        <f>IFERROR(E302/E327, "NA")</f>
        <v>0</v>
      </c>
      <c r="G302" s="79"/>
      <c r="H302" s="77">
        <v>0</v>
      </c>
      <c r="I302" s="78">
        <f>IFERROR(H302/H327, "NA")</f>
        <v>0</v>
      </c>
      <c r="J302" s="79"/>
      <c r="K302" s="77">
        <v>0</v>
      </c>
      <c r="L302" s="78">
        <f>IFERROR(K302/K327, "NA")</f>
        <v>0</v>
      </c>
      <c r="M302" s="79"/>
      <c r="N302" s="77">
        <v>0</v>
      </c>
      <c r="O302" s="78">
        <f>IFERROR(N302/N327, "NA")</f>
        <v>0</v>
      </c>
      <c r="P302" s="79"/>
      <c r="Q302" s="77">
        <v>0</v>
      </c>
      <c r="R302" s="78">
        <f>IFERROR(Q302/Q327, "NA")</f>
        <v>0</v>
      </c>
      <c r="T302" s="80">
        <f t="shared" si="8"/>
        <v>0</v>
      </c>
      <c r="U302" s="80">
        <f t="shared" si="9"/>
        <v>0</v>
      </c>
    </row>
    <row r="303" spans="1:21" x14ac:dyDescent="0.25">
      <c r="A303" s="76" t="s">
        <v>330</v>
      </c>
      <c r="B303" s="77">
        <v>0</v>
      </c>
      <c r="C303" s="78">
        <f>IFERROR(B303/B327, "NA")</f>
        <v>0</v>
      </c>
      <c r="D303" s="79"/>
      <c r="E303" s="77">
        <v>0</v>
      </c>
      <c r="F303" s="78">
        <f>IFERROR(E303/E327, "NA")</f>
        <v>0</v>
      </c>
      <c r="G303" s="79"/>
      <c r="H303" s="77">
        <v>0</v>
      </c>
      <c r="I303" s="78">
        <f>IFERROR(H303/H327, "NA")</f>
        <v>0</v>
      </c>
      <c r="J303" s="79"/>
      <c r="K303" s="77">
        <v>0</v>
      </c>
      <c r="L303" s="78">
        <f>IFERROR(K303/K327, "NA")</f>
        <v>0</v>
      </c>
      <c r="M303" s="79"/>
      <c r="N303" s="77">
        <v>0</v>
      </c>
      <c r="O303" s="78">
        <f>IFERROR(N303/N327, "NA")</f>
        <v>0</v>
      </c>
      <c r="P303" s="79"/>
      <c r="Q303" s="77">
        <v>0</v>
      </c>
      <c r="R303" s="78">
        <f>IFERROR(Q303/Q327, "NA")</f>
        <v>0</v>
      </c>
      <c r="T303" s="80">
        <f t="shared" si="8"/>
        <v>0</v>
      </c>
      <c r="U303" s="80">
        <f t="shared" si="9"/>
        <v>0</v>
      </c>
    </row>
    <row r="304" spans="1:21" x14ac:dyDescent="0.25">
      <c r="A304" s="76" t="s">
        <v>331</v>
      </c>
      <c r="B304" s="77">
        <v>0</v>
      </c>
      <c r="C304" s="78">
        <f>IFERROR(B304/B327, "NA")</f>
        <v>0</v>
      </c>
      <c r="D304" s="79"/>
      <c r="E304" s="77">
        <v>0</v>
      </c>
      <c r="F304" s="78">
        <f>IFERROR(E304/E327, "NA")</f>
        <v>0</v>
      </c>
      <c r="G304" s="79"/>
      <c r="H304" s="77">
        <v>0</v>
      </c>
      <c r="I304" s="78">
        <f>IFERROR(H304/H327, "NA")</f>
        <v>0</v>
      </c>
      <c r="J304" s="79"/>
      <c r="K304" s="77">
        <v>0</v>
      </c>
      <c r="L304" s="78">
        <f>IFERROR(K304/K327, "NA")</f>
        <v>0</v>
      </c>
      <c r="M304" s="79"/>
      <c r="N304" s="77">
        <v>0</v>
      </c>
      <c r="O304" s="78">
        <f>IFERROR(N304/N327, "NA")</f>
        <v>0</v>
      </c>
      <c r="P304" s="79"/>
      <c r="Q304" s="77">
        <v>0</v>
      </c>
      <c r="R304" s="78">
        <f>IFERROR(Q304/Q327, "NA")</f>
        <v>0</v>
      </c>
      <c r="T304" s="80">
        <f t="shared" si="8"/>
        <v>0</v>
      </c>
      <c r="U304" s="80">
        <f t="shared" si="9"/>
        <v>0</v>
      </c>
    </row>
    <row r="305" spans="1:21" x14ac:dyDescent="0.25">
      <c r="A305" s="76" t="s">
        <v>332</v>
      </c>
      <c r="B305" s="77">
        <v>0</v>
      </c>
      <c r="C305" s="78">
        <f>IFERROR(B305/B327, "NA")</f>
        <v>0</v>
      </c>
      <c r="D305" s="79"/>
      <c r="E305" s="77">
        <v>0</v>
      </c>
      <c r="F305" s="78">
        <f>IFERROR(E305/E327, "NA")</f>
        <v>0</v>
      </c>
      <c r="G305" s="79"/>
      <c r="H305" s="77">
        <v>0</v>
      </c>
      <c r="I305" s="78">
        <f>IFERROR(H305/H327, "NA")</f>
        <v>0</v>
      </c>
      <c r="J305" s="79"/>
      <c r="K305" s="77">
        <v>0</v>
      </c>
      <c r="L305" s="78">
        <f>IFERROR(K305/K327, "NA")</f>
        <v>0</v>
      </c>
      <c r="M305" s="79"/>
      <c r="N305" s="77">
        <v>0</v>
      </c>
      <c r="O305" s="78">
        <f>IFERROR(N305/N327, "NA")</f>
        <v>0</v>
      </c>
      <c r="P305" s="79"/>
      <c r="Q305" s="77">
        <v>0</v>
      </c>
      <c r="R305" s="78">
        <f>IFERROR(Q305/Q327, "NA")</f>
        <v>0</v>
      </c>
      <c r="T305" s="80">
        <f t="shared" si="8"/>
        <v>0</v>
      </c>
      <c r="U305" s="80">
        <f t="shared" si="9"/>
        <v>0</v>
      </c>
    </row>
    <row r="306" spans="1:21" x14ac:dyDescent="0.25">
      <c r="A306" s="76" t="s">
        <v>333</v>
      </c>
      <c r="B306" s="77">
        <v>0</v>
      </c>
      <c r="C306" s="78">
        <f>IFERROR(B306/B327, "NA")</f>
        <v>0</v>
      </c>
      <c r="D306" s="79"/>
      <c r="E306" s="77">
        <v>0</v>
      </c>
      <c r="F306" s="78">
        <f>IFERROR(E306/E327, "NA")</f>
        <v>0</v>
      </c>
      <c r="G306" s="79"/>
      <c r="H306" s="77">
        <v>0</v>
      </c>
      <c r="I306" s="78">
        <f>IFERROR(H306/H327, "NA")</f>
        <v>0</v>
      </c>
      <c r="J306" s="79"/>
      <c r="K306" s="77">
        <v>0</v>
      </c>
      <c r="L306" s="78">
        <f>IFERROR(K306/K327, "NA")</f>
        <v>0</v>
      </c>
      <c r="M306" s="79"/>
      <c r="N306" s="77">
        <v>0</v>
      </c>
      <c r="O306" s="78">
        <f>IFERROR(N306/N327, "NA")</f>
        <v>0</v>
      </c>
      <c r="P306" s="79"/>
      <c r="Q306" s="77">
        <v>0</v>
      </c>
      <c r="R306" s="78">
        <f>IFERROR(Q306/Q327, "NA")</f>
        <v>0</v>
      </c>
      <c r="T306" s="80">
        <f t="shared" si="8"/>
        <v>0</v>
      </c>
      <c r="U306" s="80">
        <f t="shared" si="9"/>
        <v>0</v>
      </c>
    </row>
    <row r="307" spans="1:21" x14ac:dyDescent="0.25">
      <c r="A307" s="76" t="s">
        <v>334</v>
      </c>
      <c r="B307" s="77">
        <v>0</v>
      </c>
      <c r="C307" s="78">
        <f>IFERROR(B307/B327, "NA")</f>
        <v>0</v>
      </c>
      <c r="D307" s="79"/>
      <c r="E307" s="77">
        <v>0</v>
      </c>
      <c r="F307" s="78">
        <f>IFERROR(E307/E327, "NA")</f>
        <v>0</v>
      </c>
      <c r="G307" s="79"/>
      <c r="H307" s="77">
        <v>0</v>
      </c>
      <c r="I307" s="78">
        <f>IFERROR(H307/H327, "NA")</f>
        <v>0</v>
      </c>
      <c r="J307" s="79"/>
      <c r="K307" s="77">
        <v>0</v>
      </c>
      <c r="L307" s="78">
        <f>IFERROR(K307/K327, "NA")</f>
        <v>0</v>
      </c>
      <c r="M307" s="79"/>
      <c r="N307" s="77">
        <v>0</v>
      </c>
      <c r="O307" s="78">
        <f>IFERROR(N307/N327, "NA")</f>
        <v>0</v>
      </c>
      <c r="P307" s="79"/>
      <c r="Q307" s="77">
        <v>0</v>
      </c>
      <c r="R307" s="78">
        <f>IFERROR(Q307/Q327, "NA")</f>
        <v>0</v>
      </c>
      <c r="T307" s="80">
        <f t="shared" si="8"/>
        <v>0</v>
      </c>
      <c r="U307" s="80">
        <f t="shared" si="9"/>
        <v>0</v>
      </c>
    </row>
    <row r="308" spans="1:21" x14ac:dyDescent="0.25">
      <c r="A308" s="76" t="s">
        <v>335</v>
      </c>
      <c r="B308" s="77">
        <v>0</v>
      </c>
      <c r="C308" s="78">
        <f>IFERROR(B308/B327, "NA")</f>
        <v>0</v>
      </c>
      <c r="D308" s="79"/>
      <c r="E308" s="77">
        <v>0</v>
      </c>
      <c r="F308" s="78">
        <f>IFERROR(E308/E327, "NA")</f>
        <v>0</v>
      </c>
      <c r="G308" s="79"/>
      <c r="H308" s="77">
        <v>0</v>
      </c>
      <c r="I308" s="78">
        <f>IFERROR(H308/H327, "NA")</f>
        <v>0</v>
      </c>
      <c r="J308" s="79"/>
      <c r="K308" s="77">
        <v>0</v>
      </c>
      <c r="L308" s="78">
        <f>IFERROR(K308/K327, "NA")</f>
        <v>0</v>
      </c>
      <c r="M308" s="79"/>
      <c r="N308" s="77">
        <v>0</v>
      </c>
      <c r="O308" s="78">
        <f>IFERROR(N308/N327, "NA")</f>
        <v>0</v>
      </c>
      <c r="P308" s="79"/>
      <c r="Q308" s="77">
        <v>0</v>
      </c>
      <c r="R308" s="78">
        <f>IFERROR(Q308/Q327, "NA")</f>
        <v>0</v>
      </c>
      <c r="T308" s="80">
        <f t="shared" si="8"/>
        <v>0</v>
      </c>
      <c r="U308" s="80">
        <f t="shared" si="9"/>
        <v>0</v>
      </c>
    </row>
    <row r="309" spans="1:21" x14ac:dyDescent="0.25">
      <c r="A309" s="76" t="s">
        <v>336</v>
      </c>
      <c r="B309" s="77">
        <v>0</v>
      </c>
      <c r="C309" s="78">
        <f>IFERROR(B309/B327, "NA")</f>
        <v>0</v>
      </c>
      <c r="D309" s="79"/>
      <c r="E309" s="77">
        <v>0</v>
      </c>
      <c r="F309" s="78">
        <f>IFERROR(E309/E327, "NA")</f>
        <v>0</v>
      </c>
      <c r="G309" s="79"/>
      <c r="H309" s="77">
        <v>0</v>
      </c>
      <c r="I309" s="78">
        <f>IFERROR(H309/H327, "NA")</f>
        <v>0</v>
      </c>
      <c r="J309" s="79"/>
      <c r="K309" s="77">
        <v>0</v>
      </c>
      <c r="L309" s="78">
        <f>IFERROR(K309/K327, "NA")</f>
        <v>0</v>
      </c>
      <c r="M309" s="79"/>
      <c r="N309" s="77">
        <v>0</v>
      </c>
      <c r="O309" s="78">
        <f>IFERROR(N309/N327, "NA")</f>
        <v>0</v>
      </c>
      <c r="P309" s="79"/>
      <c r="Q309" s="77">
        <v>0</v>
      </c>
      <c r="R309" s="78">
        <f>IFERROR(Q309/Q327, "NA")</f>
        <v>0</v>
      </c>
      <c r="T309" s="80">
        <f t="shared" si="8"/>
        <v>0</v>
      </c>
      <c r="U309" s="80">
        <f t="shared" si="9"/>
        <v>0</v>
      </c>
    </row>
    <row r="310" spans="1:21" x14ac:dyDescent="0.25">
      <c r="A310" s="76" t="s">
        <v>337</v>
      </c>
      <c r="B310" s="77">
        <v>0</v>
      </c>
      <c r="C310" s="78">
        <f>IFERROR(B310/B327, "NA")</f>
        <v>0</v>
      </c>
      <c r="D310" s="79"/>
      <c r="E310" s="77">
        <v>0</v>
      </c>
      <c r="F310" s="78">
        <f>IFERROR(E310/E327, "NA")</f>
        <v>0</v>
      </c>
      <c r="G310" s="79"/>
      <c r="H310" s="77">
        <v>0</v>
      </c>
      <c r="I310" s="78">
        <f>IFERROR(H310/H327, "NA")</f>
        <v>0</v>
      </c>
      <c r="J310" s="79"/>
      <c r="K310" s="77">
        <v>0</v>
      </c>
      <c r="L310" s="78">
        <f>IFERROR(K310/K327, "NA")</f>
        <v>0</v>
      </c>
      <c r="M310" s="79"/>
      <c r="N310" s="77">
        <v>0</v>
      </c>
      <c r="O310" s="78">
        <f>IFERROR(N310/N327, "NA")</f>
        <v>0</v>
      </c>
      <c r="P310" s="79"/>
      <c r="Q310" s="77">
        <v>0</v>
      </c>
      <c r="R310" s="78">
        <f>IFERROR(Q310/Q327, "NA")</f>
        <v>0</v>
      </c>
      <c r="T310" s="80">
        <f t="shared" si="8"/>
        <v>0</v>
      </c>
      <c r="U310" s="80">
        <f t="shared" si="9"/>
        <v>0</v>
      </c>
    </row>
    <row r="311" spans="1:21" x14ac:dyDescent="0.25">
      <c r="A311" s="76" t="s">
        <v>338</v>
      </c>
      <c r="B311" s="77">
        <v>0</v>
      </c>
      <c r="C311" s="78">
        <f>IFERROR(B311/B327, "NA")</f>
        <v>0</v>
      </c>
      <c r="D311" s="79"/>
      <c r="E311" s="77">
        <v>0</v>
      </c>
      <c r="F311" s="78">
        <f>IFERROR(E311/E327, "NA")</f>
        <v>0</v>
      </c>
      <c r="G311" s="79"/>
      <c r="H311" s="77">
        <v>0</v>
      </c>
      <c r="I311" s="78">
        <f>IFERROR(H311/H327, "NA")</f>
        <v>0</v>
      </c>
      <c r="J311" s="79"/>
      <c r="K311" s="77">
        <v>0</v>
      </c>
      <c r="L311" s="78">
        <f>IFERROR(K311/K327, "NA")</f>
        <v>0</v>
      </c>
      <c r="M311" s="79"/>
      <c r="N311" s="77">
        <v>0</v>
      </c>
      <c r="O311" s="78">
        <f>IFERROR(N311/N327, "NA")</f>
        <v>0</v>
      </c>
      <c r="P311" s="79"/>
      <c r="Q311" s="77">
        <v>0</v>
      </c>
      <c r="R311" s="78">
        <f>IFERROR(Q311/Q327, "NA")</f>
        <v>0</v>
      </c>
      <c r="T311" s="80">
        <f t="shared" si="8"/>
        <v>0</v>
      </c>
      <c r="U311" s="80">
        <f t="shared" si="9"/>
        <v>0</v>
      </c>
    </row>
    <row r="312" spans="1:21" x14ac:dyDescent="0.25">
      <c r="A312" s="76" t="s">
        <v>339</v>
      </c>
      <c r="B312" s="77">
        <v>0</v>
      </c>
      <c r="C312" s="78">
        <f>IFERROR(B312/B327, "NA")</f>
        <v>0</v>
      </c>
      <c r="D312" s="79"/>
      <c r="E312" s="77">
        <v>0</v>
      </c>
      <c r="F312" s="78">
        <f>IFERROR(E312/E327, "NA")</f>
        <v>0</v>
      </c>
      <c r="G312" s="79"/>
      <c r="H312" s="77">
        <v>0</v>
      </c>
      <c r="I312" s="78">
        <f>IFERROR(H312/H327, "NA")</f>
        <v>0</v>
      </c>
      <c r="J312" s="79"/>
      <c r="K312" s="77">
        <v>0</v>
      </c>
      <c r="L312" s="78">
        <f>IFERROR(K312/K327, "NA")</f>
        <v>0</v>
      </c>
      <c r="M312" s="79"/>
      <c r="N312" s="77">
        <v>0</v>
      </c>
      <c r="O312" s="78">
        <f>IFERROR(N312/N327, "NA")</f>
        <v>0</v>
      </c>
      <c r="P312" s="79"/>
      <c r="Q312" s="77">
        <v>0</v>
      </c>
      <c r="R312" s="78">
        <f>IFERROR(Q312/Q327, "NA")</f>
        <v>0</v>
      </c>
      <c r="T312" s="80">
        <f t="shared" si="8"/>
        <v>0</v>
      </c>
      <c r="U312" s="80">
        <f t="shared" si="9"/>
        <v>0</v>
      </c>
    </row>
    <row r="313" spans="1:21" x14ac:dyDescent="0.25">
      <c r="A313" s="76" t="s">
        <v>340</v>
      </c>
      <c r="B313" s="77">
        <v>0</v>
      </c>
      <c r="C313" s="78">
        <f>IFERROR(B313/B327, "NA")</f>
        <v>0</v>
      </c>
      <c r="D313" s="79"/>
      <c r="E313" s="77">
        <v>0</v>
      </c>
      <c r="F313" s="78">
        <f>IFERROR(E313/E327, "NA")</f>
        <v>0</v>
      </c>
      <c r="G313" s="79"/>
      <c r="H313" s="77">
        <v>0</v>
      </c>
      <c r="I313" s="78">
        <f>IFERROR(H313/H327, "NA")</f>
        <v>0</v>
      </c>
      <c r="J313" s="79"/>
      <c r="K313" s="77">
        <v>0</v>
      </c>
      <c r="L313" s="78">
        <f>IFERROR(K313/K327, "NA")</f>
        <v>0</v>
      </c>
      <c r="M313" s="79"/>
      <c r="N313" s="77">
        <v>0</v>
      </c>
      <c r="O313" s="78">
        <f>IFERROR(N313/N327, "NA")</f>
        <v>0</v>
      </c>
      <c r="P313" s="79"/>
      <c r="Q313" s="77">
        <v>0</v>
      </c>
      <c r="R313" s="78">
        <f>IFERROR(Q313/Q327, "NA")</f>
        <v>0</v>
      </c>
      <c r="T313" s="80">
        <f t="shared" si="8"/>
        <v>0</v>
      </c>
      <c r="U313" s="80">
        <f t="shared" si="9"/>
        <v>0</v>
      </c>
    </row>
    <row r="314" spans="1:21" x14ac:dyDescent="0.25">
      <c r="A314" s="81" t="s">
        <v>341</v>
      </c>
      <c r="B314" s="82">
        <f>IFERROR(B287+B288+B289+B290+B291+B292+B293+B294+B295+B296+B297+B298+B299+B300+B301+B302+B303+B304+B305+B306+B307+B308+B309+B310+B311+B312+B313, "NA")</f>
        <v>130783.98</v>
      </c>
      <c r="C314" s="83">
        <f>IFERROR(B314/B327, "NA")</f>
        <v>5.9006472413296873E-2</v>
      </c>
      <c r="D314" s="72"/>
      <c r="E314" s="82">
        <f>IFERROR(E287+E288+E289+E290+E291+E292+E293+E294+E295+E296+E297+E298+E299+E300+E301+E302+E303+E304+E305+E306+E307+E308+E309+E310+E311+E312+E313, "NA")</f>
        <v>116418.01</v>
      </c>
      <c r="F314" s="83">
        <f>IFERROR(E314/E327, "NA")</f>
        <v>6.6168060983555307E-2</v>
      </c>
      <c r="G314" s="72"/>
      <c r="H314" s="82">
        <f>IFERROR(H287+H288+H289+H290+H291+H292+H293+H294+H295+H296+H297+H298+H299+H300+H301+H302+H303+H304+H305+H306+H307+H308+H309+H310+H311+H312+H313, "NA")</f>
        <v>155554.67000000001</v>
      </c>
      <c r="I314" s="83">
        <f>IFERROR(H314/H327, "NA")</f>
        <v>6.3562267053634505E-2</v>
      </c>
      <c r="J314" s="72"/>
      <c r="K314" s="82">
        <f>IFERROR(K287+K288+K289+K290+K291+K292+K293+K294+K295+K296+K297+K298+K299+K300+K301+K302+K303+K304+K305+K306+K307+K308+K309+K310+K311+K312+K313, "NA")</f>
        <v>102982.99</v>
      </c>
      <c r="L314" s="83">
        <f>IFERROR(K314/K327, "NA")</f>
        <v>6.7982515494454082E-2</v>
      </c>
      <c r="M314" s="72"/>
      <c r="N314" s="82">
        <f>IFERROR(N287+N288+N289+N290+N291+N292+N293+N294+N295+N296+N297+N298+N299+N300+N301+N302+N303+N304+N305+N306+N307+N308+N309+N310+N311+N312+N313, "NA")</f>
        <v>126492.91</v>
      </c>
      <c r="O314" s="83">
        <f>IFERROR(N314/N327, "NA")</f>
        <v>5.9835269898044115E-2</v>
      </c>
      <c r="P314" s="72"/>
      <c r="Q314" s="82">
        <f>IFERROR(Q287+Q288+Q289+Q290+Q291+Q292+Q293+Q294+Q295+Q296+Q297+Q298+Q299+Q300+Q301+Q302+Q303+Q304+Q305+Q306+Q307+Q308+Q309+Q310+Q311+Q312+Q313, "NA")</f>
        <v>84887.92</v>
      </c>
      <c r="R314" s="83">
        <f>IFERROR(Q314/Q327, "NA")</f>
        <v>6.1192290459044757E-2</v>
      </c>
      <c r="T314" s="80">
        <f t="shared" si="8"/>
        <v>717120.4800000001</v>
      </c>
      <c r="U314" s="80">
        <f t="shared" si="9"/>
        <v>3940.2224175824181</v>
      </c>
    </row>
    <row r="315" spans="1:21" x14ac:dyDescent="0.25">
      <c r="A315" s="75" t="s">
        <v>342</v>
      </c>
      <c r="B315" s="72"/>
      <c r="C315" s="73"/>
      <c r="D315" s="74"/>
      <c r="E315" s="72"/>
      <c r="F315" s="73"/>
      <c r="G315" s="74"/>
      <c r="H315" s="72"/>
      <c r="I315" s="73"/>
      <c r="J315" s="74"/>
      <c r="K315" s="72"/>
      <c r="L315" s="73"/>
      <c r="M315" s="74"/>
      <c r="N315" s="72"/>
      <c r="O315" s="73"/>
      <c r="P315" s="74"/>
      <c r="Q315" s="72"/>
      <c r="R315" s="73"/>
      <c r="T315" s="80">
        <f t="shared" si="8"/>
        <v>0</v>
      </c>
      <c r="U315" s="80">
        <f t="shared" si="9"/>
        <v>0</v>
      </c>
    </row>
    <row r="316" spans="1:21" x14ac:dyDescent="0.25">
      <c r="A316" s="76" t="s">
        <v>343</v>
      </c>
      <c r="B316" s="77">
        <v>0</v>
      </c>
      <c r="C316" s="78">
        <f>IFERROR(B316/B327, "NA")</f>
        <v>0</v>
      </c>
      <c r="D316" s="79"/>
      <c r="E316" s="77">
        <v>0</v>
      </c>
      <c r="F316" s="78">
        <f>IFERROR(E316/E327, "NA")</f>
        <v>0</v>
      </c>
      <c r="G316" s="79"/>
      <c r="H316" s="77">
        <v>0</v>
      </c>
      <c r="I316" s="78">
        <f>IFERROR(H316/H327, "NA")</f>
        <v>0</v>
      </c>
      <c r="J316" s="79"/>
      <c r="K316" s="77">
        <v>0</v>
      </c>
      <c r="L316" s="78">
        <f>IFERROR(K316/K327, "NA")</f>
        <v>0</v>
      </c>
      <c r="M316" s="79"/>
      <c r="N316" s="77">
        <v>0</v>
      </c>
      <c r="O316" s="78">
        <f>IFERROR(N316/N327, "NA")</f>
        <v>0</v>
      </c>
      <c r="P316" s="79"/>
      <c r="Q316" s="77">
        <v>0</v>
      </c>
      <c r="R316" s="78">
        <f>IFERROR(Q316/Q327, "NA")</f>
        <v>0</v>
      </c>
      <c r="T316" s="80">
        <f t="shared" si="8"/>
        <v>0</v>
      </c>
      <c r="U316" s="80">
        <f t="shared" si="9"/>
        <v>0</v>
      </c>
    </row>
    <row r="317" spans="1:21" x14ac:dyDescent="0.25">
      <c r="A317" s="76" t="s">
        <v>344</v>
      </c>
      <c r="B317" s="77">
        <v>0</v>
      </c>
      <c r="C317" s="78">
        <f>IFERROR(B317/B327, "NA")</f>
        <v>0</v>
      </c>
      <c r="D317" s="79"/>
      <c r="E317" s="77">
        <v>0</v>
      </c>
      <c r="F317" s="78">
        <f>IFERROR(E317/E327, "NA")</f>
        <v>0</v>
      </c>
      <c r="G317" s="79"/>
      <c r="H317" s="77">
        <v>0</v>
      </c>
      <c r="I317" s="78">
        <f>IFERROR(H317/H327, "NA")</f>
        <v>0</v>
      </c>
      <c r="J317" s="79"/>
      <c r="K317" s="77">
        <v>0</v>
      </c>
      <c r="L317" s="78">
        <f>IFERROR(K317/K327, "NA")</f>
        <v>0</v>
      </c>
      <c r="M317" s="79"/>
      <c r="N317" s="77">
        <v>0</v>
      </c>
      <c r="O317" s="78">
        <f>IFERROR(N317/N327, "NA")</f>
        <v>0</v>
      </c>
      <c r="P317" s="79"/>
      <c r="Q317" s="77">
        <v>0</v>
      </c>
      <c r="R317" s="78">
        <f>IFERROR(Q317/Q327, "NA")</f>
        <v>0</v>
      </c>
      <c r="T317" s="80">
        <f t="shared" si="8"/>
        <v>0</v>
      </c>
      <c r="U317" s="80">
        <f t="shared" si="9"/>
        <v>0</v>
      </c>
    </row>
    <row r="318" spans="1:21" x14ac:dyDescent="0.25">
      <c r="A318" s="76" t="s">
        <v>345</v>
      </c>
      <c r="B318" s="77">
        <v>0</v>
      </c>
      <c r="C318" s="78">
        <f>IFERROR(B318/B327, "NA")</f>
        <v>0</v>
      </c>
      <c r="D318" s="79"/>
      <c r="E318" s="77">
        <v>0</v>
      </c>
      <c r="F318" s="78">
        <f>IFERROR(E318/E327, "NA")</f>
        <v>0</v>
      </c>
      <c r="G318" s="79"/>
      <c r="H318" s="77">
        <v>0</v>
      </c>
      <c r="I318" s="78">
        <f>IFERROR(H318/H327, "NA")</f>
        <v>0</v>
      </c>
      <c r="J318" s="79"/>
      <c r="K318" s="77">
        <v>0</v>
      </c>
      <c r="L318" s="78">
        <f>IFERROR(K318/K327, "NA")</f>
        <v>0</v>
      </c>
      <c r="M318" s="79"/>
      <c r="N318" s="77">
        <v>0</v>
      </c>
      <c r="O318" s="78">
        <f>IFERROR(N318/N327, "NA")</f>
        <v>0</v>
      </c>
      <c r="P318" s="79"/>
      <c r="Q318" s="77">
        <v>0</v>
      </c>
      <c r="R318" s="78">
        <f>IFERROR(Q318/Q327, "NA")</f>
        <v>0</v>
      </c>
      <c r="T318" s="80">
        <f t="shared" si="8"/>
        <v>0</v>
      </c>
      <c r="U318" s="80">
        <f t="shared" si="9"/>
        <v>0</v>
      </c>
    </row>
    <row r="319" spans="1:21" x14ac:dyDescent="0.25">
      <c r="A319" s="76" t="s">
        <v>346</v>
      </c>
      <c r="B319" s="77">
        <v>170</v>
      </c>
      <c r="C319" s="78">
        <f>IFERROR(B319/B327, "NA")</f>
        <v>7.6699763306335136E-5</v>
      </c>
      <c r="D319" s="79"/>
      <c r="E319" s="77">
        <v>0</v>
      </c>
      <c r="F319" s="78">
        <f>IFERROR(E319/E327, "NA")</f>
        <v>0</v>
      </c>
      <c r="G319" s="79"/>
      <c r="H319" s="77">
        <v>0</v>
      </c>
      <c r="I319" s="78">
        <f>IFERROR(H319/H327, "NA")</f>
        <v>0</v>
      </c>
      <c r="J319" s="79"/>
      <c r="K319" s="77">
        <v>0</v>
      </c>
      <c r="L319" s="78">
        <f>IFERROR(K319/K327, "NA")</f>
        <v>0</v>
      </c>
      <c r="M319" s="79"/>
      <c r="N319" s="77">
        <v>0</v>
      </c>
      <c r="O319" s="78">
        <f>IFERROR(N319/N327, "NA")</f>
        <v>0</v>
      </c>
      <c r="P319" s="79"/>
      <c r="Q319" s="77">
        <v>0</v>
      </c>
      <c r="R319" s="78">
        <f>IFERROR(Q319/Q327, "NA")</f>
        <v>0</v>
      </c>
      <c r="T319" s="80">
        <f t="shared" si="8"/>
        <v>170</v>
      </c>
      <c r="U319" s="80">
        <f t="shared" si="9"/>
        <v>0.93406593406593408</v>
      </c>
    </row>
    <row r="320" spans="1:21" x14ac:dyDescent="0.25">
      <c r="A320" s="76" t="s">
        <v>347</v>
      </c>
      <c r="B320" s="77">
        <v>0</v>
      </c>
      <c r="C320" s="78">
        <f>IFERROR(B320/B327, "NA")</f>
        <v>0</v>
      </c>
      <c r="D320" s="79"/>
      <c r="E320" s="77">
        <v>0</v>
      </c>
      <c r="F320" s="78">
        <f>IFERROR(E320/E327, "NA")</f>
        <v>0</v>
      </c>
      <c r="G320" s="79"/>
      <c r="H320" s="77">
        <v>0</v>
      </c>
      <c r="I320" s="78">
        <f>IFERROR(H320/H327, "NA")</f>
        <v>0</v>
      </c>
      <c r="J320" s="79"/>
      <c r="K320" s="77">
        <v>0</v>
      </c>
      <c r="L320" s="78">
        <f>IFERROR(K320/K327, "NA")</f>
        <v>0</v>
      </c>
      <c r="M320" s="79"/>
      <c r="N320" s="77">
        <v>0</v>
      </c>
      <c r="O320" s="78">
        <f>IFERROR(N320/N327, "NA")</f>
        <v>0</v>
      </c>
      <c r="P320" s="79"/>
      <c r="Q320" s="77">
        <v>0</v>
      </c>
      <c r="R320" s="78">
        <f>IFERROR(Q320/Q327, "NA")</f>
        <v>0</v>
      </c>
      <c r="T320" s="80">
        <f t="shared" si="8"/>
        <v>0</v>
      </c>
      <c r="U320" s="80">
        <f t="shared" si="9"/>
        <v>0</v>
      </c>
    </row>
    <row r="321" spans="1:21" x14ac:dyDescent="0.25">
      <c r="A321" s="76" t="s">
        <v>348</v>
      </c>
      <c r="B321" s="77">
        <v>0</v>
      </c>
      <c r="C321" s="78">
        <f>IFERROR(B321/B327, "NA")</f>
        <v>0</v>
      </c>
      <c r="D321" s="79"/>
      <c r="E321" s="77">
        <v>0</v>
      </c>
      <c r="F321" s="78">
        <f>IFERROR(E321/E327, "NA")</f>
        <v>0</v>
      </c>
      <c r="G321" s="79"/>
      <c r="H321" s="77">
        <v>0</v>
      </c>
      <c r="I321" s="78">
        <f>IFERROR(H321/H327, "NA")</f>
        <v>0</v>
      </c>
      <c r="J321" s="79"/>
      <c r="K321" s="77">
        <v>0</v>
      </c>
      <c r="L321" s="78">
        <f>IFERROR(K321/K327, "NA")</f>
        <v>0</v>
      </c>
      <c r="M321" s="79"/>
      <c r="N321" s="77">
        <v>0</v>
      </c>
      <c r="O321" s="78">
        <f>IFERROR(N321/N327, "NA")</f>
        <v>0</v>
      </c>
      <c r="P321" s="79"/>
      <c r="Q321" s="77">
        <v>0</v>
      </c>
      <c r="R321" s="78">
        <f>IFERROR(Q321/Q327, "NA")</f>
        <v>0</v>
      </c>
      <c r="T321" s="80">
        <f t="shared" si="8"/>
        <v>0</v>
      </c>
      <c r="U321" s="80">
        <f t="shared" si="9"/>
        <v>0</v>
      </c>
    </row>
    <row r="322" spans="1:21" x14ac:dyDescent="0.25">
      <c r="A322" s="76" t="s">
        <v>349</v>
      </c>
      <c r="B322" s="77">
        <v>0</v>
      </c>
      <c r="C322" s="78">
        <f>IFERROR(B322/B327, "NA")</f>
        <v>0</v>
      </c>
      <c r="D322" s="79"/>
      <c r="E322" s="77">
        <v>0</v>
      </c>
      <c r="F322" s="78">
        <f>IFERROR(E322/E327, "NA")</f>
        <v>0</v>
      </c>
      <c r="G322" s="79"/>
      <c r="H322" s="77">
        <v>0</v>
      </c>
      <c r="I322" s="78">
        <f>IFERROR(H322/H327, "NA")</f>
        <v>0</v>
      </c>
      <c r="J322" s="79"/>
      <c r="K322" s="77">
        <v>0</v>
      </c>
      <c r="L322" s="78">
        <f>IFERROR(K322/K327, "NA")</f>
        <v>0</v>
      </c>
      <c r="M322" s="79"/>
      <c r="N322" s="77">
        <v>0</v>
      </c>
      <c r="O322" s="78">
        <f>IFERROR(N322/N327, "NA")</f>
        <v>0</v>
      </c>
      <c r="P322" s="79"/>
      <c r="Q322" s="77">
        <v>0</v>
      </c>
      <c r="R322" s="78">
        <f>IFERROR(Q322/Q327, "NA")</f>
        <v>0</v>
      </c>
      <c r="T322" s="80">
        <f t="shared" si="8"/>
        <v>0</v>
      </c>
      <c r="U322" s="80">
        <f t="shared" si="9"/>
        <v>0</v>
      </c>
    </row>
    <row r="323" spans="1:21" x14ac:dyDescent="0.25">
      <c r="A323" s="76" t="s">
        <v>350</v>
      </c>
      <c r="B323" s="77">
        <v>0</v>
      </c>
      <c r="C323" s="78">
        <f>IFERROR(B323/B327, "NA")</f>
        <v>0</v>
      </c>
      <c r="D323" s="79"/>
      <c r="E323" s="77">
        <v>0</v>
      </c>
      <c r="F323" s="78">
        <f>IFERROR(E323/E327, "NA")</f>
        <v>0</v>
      </c>
      <c r="G323" s="79"/>
      <c r="H323" s="77">
        <v>0</v>
      </c>
      <c r="I323" s="78">
        <f>IFERROR(H323/H327, "NA")</f>
        <v>0</v>
      </c>
      <c r="J323" s="79"/>
      <c r="K323" s="77">
        <v>0</v>
      </c>
      <c r="L323" s="78">
        <f>IFERROR(K323/K327, "NA")</f>
        <v>0</v>
      </c>
      <c r="M323" s="79"/>
      <c r="N323" s="77">
        <v>0</v>
      </c>
      <c r="O323" s="78">
        <f>IFERROR(N323/N327, "NA")</f>
        <v>0</v>
      </c>
      <c r="P323" s="79"/>
      <c r="Q323" s="77">
        <v>0</v>
      </c>
      <c r="R323" s="78">
        <f>IFERROR(Q323/Q327, "NA")</f>
        <v>0</v>
      </c>
      <c r="T323" s="80">
        <f t="shared" si="8"/>
        <v>0</v>
      </c>
      <c r="U323" s="80">
        <f t="shared" si="9"/>
        <v>0</v>
      </c>
    </row>
    <row r="324" spans="1:21" x14ac:dyDescent="0.25">
      <c r="A324" s="81" t="s">
        <v>351</v>
      </c>
      <c r="B324" s="82">
        <f>IFERROR(B316+B317+B318+B319+B320+B321+B322+B323, "NA")</f>
        <v>170</v>
      </c>
      <c r="C324" s="83">
        <f>IFERROR(B324/B327, "NA")</f>
        <v>7.6699763306335136E-5</v>
      </c>
      <c r="D324" s="72"/>
      <c r="E324" s="82">
        <f>IFERROR(E316+E317+E318+E319+E320+E321+E322+E323, "NA")</f>
        <v>0</v>
      </c>
      <c r="F324" s="83">
        <f>IFERROR(E324/E327, "NA")</f>
        <v>0</v>
      </c>
      <c r="G324" s="72"/>
      <c r="H324" s="82">
        <f>IFERROR(H316+H317+H318+H319+H320+H321+H322+H323, "NA")</f>
        <v>0</v>
      </c>
      <c r="I324" s="83">
        <f>IFERROR(H324/H327, "NA")</f>
        <v>0</v>
      </c>
      <c r="J324" s="72"/>
      <c r="K324" s="82">
        <f>IFERROR(K316+K317+K318+K319+K320+K321+K322+K323, "NA")</f>
        <v>0</v>
      </c>
      <c r="L324" s="83">
        <f>IFERROR(K324/K327, "NA")</f>
        <v>0</v>
      </c>
      <c r="M324" s="72"/>
      <c r="N324" s="82">
        <f>IFERROR(N316+N317+N318+N319+N320+N321+N322+N323, "NA")</f>
        <v>0</v>
      </c>
      <c r="O324" s="83">
        <f>IFERROR(N324/N327, "NA")</f>
        <v>0</v>
      </c>
      <c r="P324" s="72"/>
      <c r="Q324" s="82">
        <f>IFERROR(Q316+Q317+Q318+Q319+Q320+Q321+Q322+Q323, "NA")</f>
        <v>0</v>
      </c>
      <c r="R324" s="83">
        <f>IFERROR(Q324/Q327, "NA")</f>
        <v>0</v>
      </c>
      <c r="T324" s="80">
        <f t="shared" si="8"/>
        <v>170</v>
      </c>
      <c r="U324" s="80">
        <f t="shared" si="9"/>
        <v>0.93406593406593408</v>
      </c>
    </row>
    <row r="325" spans="1:21" x14ac:dyDescent="0.25">
      <c r="A325" s="85" t="s">
        <v>352</v>
      </c>
      <c r="B325" s="82">
        <f>IFERROR(B287+B288+B289+B290+B291+B292+B293+B294+B295+B296+B297+B298+B299+B300+B301+B302+B303+B304+B305+B306+B307+B308+B309+B310+B311+B312+B313+B316+B317+B318+B319+B320+B321+B322+B323, "NA")</f>
        <v>130953.98</v>
      </c>
      <c r="C325" s="83">
        <f>IFERROR(B325/B327, "NA")</f>
        <v>5.9083172176603208E-2</v>
      </c>
      <c r="D325" s="72"/>
      <c r="E325" s="82">
        <f>IFERROR(E287+E288+E289+E290+E291+E292+E293+E294+E295+E296+E297+E298+E299+E300+E301+E302+E303+E304+E305+E306+E307+E308+E309+E310+E311+E312+E313+E316+E317+E318+E319+E320+E321+E322+E323, "NA")</f>
        <v>116418.01</v>
      </c>
      <c r="F325" s="83">
        <f>IFERROR(E325/E327, "NA")</f>
        <v>6.6168060983555307E-2</v>
      </c>
      <c r="G325" s="72"/>
      <c r="H325" s="82">
        <f>IFERROR(H287+H288+H289+H290+H291+H292+H293+H294+H295+H296+H297+H298+H299+H300+H301+H302+H303+H304+H305+H306+H307+H308+H309+H310+H311+H312+H313+H316+H317+H318+H319+H320+H321+H322+H323, "NA")</f>
        <v>155554.67000000001</v>
      </c>
      <c r="I325" s="83">
        <f>IFERROR(H325/H327, "NA")</f>
        <v>6.3562267053634505E-2</v>
      </c>
      <c r="J325" s="72"/>
      <c r="K325" s="82">
        <f>IFERROR(K287+K288+K289+K290+K291+K292+K293+K294+K295+K296+K297+K298+K299+K300+K301+K302+K303+K304+K305+K306+K307+K308+K309+K310+K311+K312+K313+K316+K317+K318+K319+K320+K321+K322+K323, "NA")</f>
        <v>102982.99</v>
      </c>
      <c r="L325" s="83">
        <f>IFERROR(K325/K327, "NA")</f>
        <v>6.7982515494454082E-2</v>
      </c>
      <c r="M325" s="72"/>
      <c r="N325" s="82">
        <f>IFERROR(N287+N288+N289+N290+N291+N292+N293+N294+N295+N296+N297+N298+N299+N300+N301+N302+N303+N304+N305+N306+N307+N308+N309+N310+N311+N312+N313+N316+N317+N318+N319+N320+N321+N322+N323, "NA")</f>
        <v>126492.91</v>
      </c>
      <c r="O325" s="83">
        <f>IFERROR(N325/N327, "NA")</f>
        <v>5.9835269898044115E-2</v>
      </c>
      <c r="P325" s="72"/>
      <c r="Q325" s="82">
        <f>IFERROR(Q287+Q288+Q289+Q290+Q291+Q292+Q293+Q294+Q295+Q296+Q297+Q298+Q299+Q300+Q301+Q302+Q303+Q304+Q305+Q306+Q307+Q308+Q309+Q310+Q311+Q312+Q313+Q316+Q317+Q318+Q319+Q320+Q321+Q322+Q323, "NA")</f>
        <v>84887.92</v>
      </c>
      <c r="R325" s="83">
        <f>IFERROR(Q325/Q327, "NA")</f>
        <v>6.1192290459044757E-2</v>
      </c>
      <c r="T325" s="80">
        <f t="shared" si="8"/>
        <v>717290.4800000001</v>
      </c>
      <c r="U325" s="80">
        <f t="shared" si="9"/>
        <v>3941.1564835164841</v>
      </c>
    </row>
    <row r="326" spans="1:21" x14ac:dyDescent="0.25">
      <c r="A326" s="85" t="s">
        <v>353</v>
      </c>
      <c r="B326" s="82">
        <f>IFERROR(+B52-B157-B211-B284-B325, "NA")</f>
        <v>968016.7799999991</v>
      </c>
      <c r="C326" s="83">
        <f>IFERROR(B326/B327, "NA")</f>
        <v>0.43674504648565071</v>
      </c>
      <c r="D326" s="72"/>
      <c r="E326" s="82">
        <f>IFERROR(+E52-E157-E211-E284-E325, "NA")</f>
        <v>546471.42999999959</v>
      </c>
      <c r="F326" s="83">
        <f>IFERROR(E326/E327, "NA")</f>
        <v>0.31059588551643036</v>
      </c>
      <c r="G326" s="72"/>
      <c r="H326" s="82">
        <f>IFERROR(+H52-H157-H211-H284-H325, "NA")</f>
        <v>831903.19000000064</v>
      </c>
      <c r="I326" s="83">
        <f>IFERROR(H326/H327, "NA")</f>
        <v>0.33992970269263201</v>
      </c>
      <c r="J326" s="72"/>
      <c r="K326" s="82">
        <f>IFERROR(+K52-K157-K211-K284-K325, "NA")</f>
        <v>445554.42000000004</v>
      </c>
      <c r="L326" s="83">
        <f>IFERROR(K326/K327, "NA")</f>
        <v>0.29412537217333173</v>
      </c>
      <c r="M326" s="72"/>
      <c r="N326" s="82">
        <f>IFERROR(+N52-N157-N211-N284-N325, "NA")</f>
        <v>805990.86999999965</v>
      </c>
      <c r="O326" s="83">
        <f>IFERROR(N326/N327, "NA")</f>
        <v>0.38125995553275965</v>
      </c>
      <c r="P326" s="72"/>
      <c r="Q326" s="82">
        <f>IFERROR(+Q52-Q157-Q211-Q284-Q325, "NA")</f>
        <v>312803.94000000012</v>
      </c>
      <c r="R326" s="83">
        <f>IFERROR(Q326/Q327, "NA")</f>
        <v>0.22548779088018195</v>
      </c>
      <c r="T326" s="80">
        <f t="shared" si="8"/>
        <v>3910740.629999999</v>
      </c>
      <c r="U326" s="80">
        <f t="shared" si="9"/>
        <v>21487.58587912087</v>
      </c>
    </row>
    <row r="327" spans="1:21" x14ac:dyDescent="0.25">
      <c r="A327" s="89" t="s">
        <v>4</v>
      </c>
      <c r="B327" s="77">
        <v>2216434.48</v>
      </c>
      <c r="C327" s="90"/>
      <c r="D327" s="79"/>
      <c r="E327" s="77">
        <v>1759429.07</v>
      </c>
      <c r="F327" s="90"/>
      <c r="G327" s="79"/>
      <c r="H327" s="77">
        <v>2447280.08</v>
      </c>
      <c r="I327" s="90"/>
      <c r="J327" s="79"/>
      <c r="K327" s="77">
        <v>1514845.24</v>
      </c>
      <c r="L327" s="90"/>
      <c r="M327" s="79"/>
      <c r="N327" s="77">
        <v>2114019.21</v>
      </c>
      <c r="O327" s="90"/>
      <c r="P327" s="79"/>
      <c r="Q327" s="77">
        <v>1387232.27</v>
      </c>
      <c r="R327" s="90"/>
      <c r="T327" s="80">
        <f t="shared" si="8"/>
        <v>11439240.35</v>
      </c>
      <c r="U327" s="80">
        <f t="shared" si="9"/>
        <v>62852.968956043951</v>
      </c>
    </row>
    <row r="330" spans="1:21" x14ac:dyDescent="0.25">
      <c r="A330" s="91" t="s">
        <v>354</v>
      </c>
    </row>
    <row r="331" spans="1:21" x14ac:dyDescent="0.25">
      <c r="A331" s="91" t="s">
        <v>355</v>
      </c>
    </row>
    <row r="332" spans="1:21" x14ac:dyDescent="0.25">
      <c r="A332" s="91" t="s">
        <v>356</v>
      </c>
    </row>
  </sheetData>
  <mergeCells count="6">
    <mergeCell ref="B5:C5"/>
    <mergeCell ref="E5:F5"/>
    <mergeCell ref="H5:I5"/>
    <mergeCell ref="K5:L5"/>
    <mergeCell ref="N5:O5"/>
    <mergeCell ref="Q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EBIDTA 2</vt:lpstr>
      <vt:lpstr>OPEX 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Lavenant</dc:creator>
  <cp:lastModifiedBy>Matthias Lavenant</cp:lastModifiedBy>
  <dcterms:created xsi:type="dcterms:W3CDTF">2026-08-24T19:09:31Z</dcterms:created>
  <dcterms:modified xsi:type="dcterms:W3CDTF">2026-08-24T19:15:51Z</dcterms:modified>
</cp:coreProperties>
</file>