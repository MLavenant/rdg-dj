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1489FA02-5096-4E88-B8B1-3E6B83A97E1C}" xr6:coauthVersionLast="47" xr6:coauthVersionMax="47" xr10:uidLastSave="{00000000-0000-0000-0000-000000000000}"/>
  <bookViews>
    <workbookView xWindow="-28920" yWindow="855" windowWidth="29040" windowHeight="15720" xr2:uid="{3C90C578-B115-41AD-8F85-41FE68FE49F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9" i="2" l="1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157" i="2"/>
  <c r="U158" i="2"/>
  <c r="U159" i="2"/>
  <c r="U160" i="2"/>
  <c r="U161" i="2"/>
  <c r="U162" i="2"/>
  <c r="U163" i="2"/>
  <c r="U164" i="2"/>
  <c r="U165" i="2"/>
  <c r="U166" i="2"/>
  <c r="U167" i="2"/>
  <c r="D59" i="1" s="1"/>
  <c r="U168" i="2"/>
  <c r="D60" i="1" s="1"/>
  <c r="E60" i="1" s="1"/>
  <c r="U169" i="2"/>
  <c r="U170" i="2"/>
  <c r="D62" i="1" s="1"/>
  <c r="E62" i="1" s="1"/>
  <c r="U171" i="2"/>
  <c r="D63" i="1" s="1"/>
  <c r="U172" i="2"/>
  <c r="U173" i="2"/>
  <c r="U174" i="2"/>
  <c r="U175" i="2"/>
  <c r="U176" i="2"/>
  <c r="U177" i="2"/>
  <c r="U178" i="2"/>
  <c r="U179" i="2"/>
  <c r="D71" i="1" s="1"/>
  <c r="U180" i="2"/>
  <c r="U181" i="2"/>
  <c r="U182" i="2"/>
  <c r="D74" i="1" s="1"/>
  <c r="E74" i="1" s="1"/>
  <c r="U183" i="2"/>
  <c r="U184" i="2"/>
  <c r="U185" i="2"/>
  <c r="U186" i="2"/>
  <c r="U187" i="2"/>
  <c r="U188" i="2"/>
  <c r="D80" i="1" s="1"/>
  <c r="E80" i="1" s="1"/>
  <c r="U189" i="2"/>
  <c r="U190" i="2"/>
  <c r="U191" i="2"/>
  <c r="U192" i="2"/>
  <c r="D84" i="1" s="1"/>
  <c r="E84" i="1" s="1"/>
  <c r="U193" i="2"/>
  <c r="U194" i="2"/>
  <c r="U195" i="2"/>
  <c r="D87" i="1" s="1"/>
  <c r="U196" i="2"/>
  <c r="U197" i="2"/>
  <c r="U198" i="2"/>
  <c r="U199" i="2"/>
  <c r="U200" i="2"/>
  <c r="U201" i="2"/>
  <c r="U202" i="2"/>
  <c r="U203" i="2"/>
  <c r="D95" i="1" s="1"/>
  <c r="E95" i="1" s="1"/>
  <c r="U204" i="2"/>
  <c r="D96" i="1" s="1"/>
  <c r="E96" i="1" s="1"/>
  <c r="U205" i="2"/>
  <c r="U206" i="2"/>
  <c r="D98" i="1" s="1"/>
  <c r="E98" i="1" s="1"/>
  <c r="U207" i="2"/>
  <c r="D99" i="1" s="1"/>
  <c r="E99" i="1" s="1"/>
  <c r="U208" i="2"/>
  <c r="U209" i="2"/>
  <c r="U210" i="2"/>
  <c r="U211" i="2"/>
  <c r="U212" i="2"/>
  <c r="U213" i="2"/>
  <c r="U214" i="2"/>
  <c r="U215" i="2"/>
  <c r="U216" i="2"/>
  <c r="U217" i="2"/>
  <c r="D106" i="1" s="1"/>
  <c r="E106" i="1" s="1"/>
  <c r="U218" i="2"/>
  <c r="D107" i="1" s="1"/>
  <c r="E107" i="1" s="1"/>
  <c r="U219" i="2"/>
  <c r="U220" i="2"/>
  <c r="U221" i="2"/>
  <c r="U222" i="2"/>
  <c r="U223" i="2"/>
  <c r="U224" i="2"/>
  <c r="U225" i="2"/>
  <c r="U226" i="2"/>
  <c r="U227" i="2"/>
  <c r="U228" i="2"/>
  <c r="U229" i="2"/>
  <c r="U230" i="2"/>
  <c r="D119" i="1" s="1"/>
  <c r="E119" i="1" s="1"/>
  <c r="U231" i="2"/>
  <c r="D120" i="1" s="1"/>
  <c r="E120" i="1" s="1"/>
  <c r="U232" i="2"/>
  <c r="U233" i="2"/>
  <c r="U234" i="2"/>
  <c r="U235" i="2"/>
  <c r="U236" i="2"/>
  <c r="D125" i="1" s="1"/>
  <c r="E125" i="1" s="1"/>
  <c r="U237" i="2"/>
  <c r="U238" i="2"/>
  <c r="U239" i="2"/>
  <c r="U240" i="2"/>
  <c r="U241" i="2"/>
  <c r="U242" i="2"/>
  <c r="U243" i="2"/>
  <c r="U244" i="2"/>
  <c r="U245" i="2"/>
  <c r="U246" i="2"/>
  <c r="D135" i="1" s="1"/>
  <c r="U247" i="2"/>
  <c r="U248" i="2"/>
  <c r="U249" i="2"/>
  <c r="U250" i="2"/>
  <c r="U251" i="2"/>
  <c r="D140" i="1" s="1"/>
  <c r="E140" i="1" s="1"/>
  <c r="U252" i="2"/>
  <c r="U253" i="2"/>
  <c r="U254" i="2"/>
  <c r="U255" i="2"/>
  <c r="U256" i="2"/>
  <c r="U257" i="2"/>
  <c r="U258" i="2"/>
  <c r="D147" i="1" s="1"/>
  <c r="E147" i="1" s="1"/>
  <c r="U259" i="2"/>
  <c r="U260" i="2"/>
  <c r="U261" i="2"/>
  <c r="U262" i="2"/>
  <c r="U263" i="2"/>
  <c r="U264" i="2"/>
  <c r="U265" i="2"/>
  <c r="U266" i="2"/>
  <c r="D155" i="1" s="1"/>
  <c r="D172" i="1" s="1"/>
  <c r="E172" i="1" s="1"/>
  <c r="U267" i="2"/>
  <c r="D156" i="1" s="1"/>
  <c r="E156" i="1" s="1"/>
  <c r="U268" i="2"/>
  <c r="U269" i="2"/>
  <c r="U270" i="2"/>
  <c r="U271" i="2"/>
  <c r="U272" i="2"/>
  <c r="U273" i="2"/>
  <c r="U274" i="2"/>
  <c r="U275" i="2"/>
  <c r="U276" i="2"/>
  <c r="U277" i="2"/>
  <c r="D166" i="1" s="1"/>
  <c r="E166" i="1" s="1"/>
  <c r="U278" i="2"/>
  <c r="D167" i="1" s="1"/>
  <c r="E167" i="1" s="1"/>
  <c r="U279" i="2"/>
  <c r="U280" i="2"/>
  <c r="U281" i="2"/>
  <c r="U282" i="2"/>
  <c r="U283" i="2"/>
  <c r="U284" i="2"/>
  <c r="U285" i="2"/>
  <c r="U286" i="2"/>
  <c r="U287" i="2"/>
  <c r="U288" i="2"/>
  <c r="D175" i="1" s="1"/>
  <c r="U289" i="2"/>
  <c r="U290" i="2"/>
  <c r="D177" i="1" s="1"/>
  <c r="E177" i="1" s="1"/>
  <c r="U291" i="2"/>
  <c r="U292" i="2"/>
  <c r="U293" i="2"/>
  <c r="U294" i="2"/>
  <c r="D181" i="1" s="1"/>
  <c r="E181" i="1" s="1"/>
  <c r="U295" i="2"/>
  <c r="U296" i="2"/>
  <c r="D183" i="1" s="1"/>
  <c r="U297" i="2"/>
  <c r="U298" i="2"/>
  <c r="U299" i="2"/>
  <c r="U300" i="2"/>
  <c r="D187" i="1" s="1"/>
  <c r="U301" i="2"/>
  <c r="U302" i="2"/>
  <c r="D189" i="1" s="1"/>
  <c r="E189" i="1" s="1"/>
  <c r="U303" i="2"/>
  <c r="D190" i="1" s="1"/>
  <c r="E190" i="1" s="1"/>
  <c r="U304" i="2"/>
  <c r="U305" i="2"/>
  <c r="U306" i="2"/>
  <c r="U307" i="2"/>
  <c r="U308" i="2"/>
  <c r="D195" i="1" s="1"/>
  <c r="U309" i="2"/>
  <c r="U310" i="2"/>
  <c r="U311" i="2"/>
  <c r="U312" i="2"/>
  <c r="U313" i="2"/>
  <c r="D200" i="1" s="1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T120" i="2"/>
  <c r="T327" i="2"/>
  <c r="E326" i="2"/>
  <c r="F326" i="2" s="1"/>
  <c r="Q325" i="2"/>
  <c r="R325" i="2" s="1"/>
  <c r="O325" i="2"/>
  <c r="N325" i="2"/>
  <c r="K325" i="2"/>
  <c r="L325" i="2" s="1"/>
  <c r="H325" i="2"/>
  <c r="I325" i="2" s="1"/>
  <c r="E325" i="2"/>
  <c r="F325" i="2" s="1"/>
  <c r="B325" i="2"/>
  <c r="C325" i="2" s="1"/>
  <c r="R324" i="2"/>
  <c r="Q324" i="2"/>
  <c r="N324" i="2"/>
  <c r="O324" i="2" s="1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L314" i="2"/>
  <c r="K314" i="2"/>
  <c r="H314" i="2"/>
  <c r="I314" i="2" s="1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D197" i="1" s="1"/>
  <c r="E197" i="1" s="1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D191" i="1" s="1"/>
  <c r="E191" i="1" s="1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D184" i="1" s="1"/>
  <c r="E184" i="1" s="1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D179" i="1" s="1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C284" i="2"/>
  <c r="B284" i="2"/>
  <c r="Q283" i="2"/>
  <c r="R283" i="2" s="1"/>
  <c r="N283" i="2"/>
  <c r="O283" i="2" s="1"/>
  <c r="K283" i="2"/>
  <c r="L283" i="2" s="1"/>
  <c r="H283" i="2"/>
  <c r="I283" i="2" s="1"/>
  <c r="F283" i="2"/>
  <c r="E283" i="2"/>
  <c r="B283" i="2"/>
  <c r="C283" i="2" s="1"/>
  <c r="T282" i="2"/>
  <c r="R282" i="2"/>
  <c r="O282" i="2"/>
  <c r="L282" i="2"/>
  <c r="I282" i="2"/>
  <c r="F282" i="2"/>
  <c r="C282" i="2"/>
  <c r="D170" i="1"/>
  <c r="E170" i="1" s="1"/>
  <c r="T281" i="2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D162" i="1" s="1"/>
  <c r="E162" i="1" s="1"/>
  <c r="R273" i="2"/>
  <c r="O273" i="2"/>
  <c r="L273" i="2"/>
  <c r="I273" i="2"/>
  <c r="F273" i="2"/>
  <c r="C273" i="2"/>
  <c r="T272" i="2"/>
  <c r="R272" i="2"/>
  <c r="O272" i="2"/>
  <c r="L272" i="2"/>
  <c r="I272" i="2"/>
  <c r="F272" i="2"/>
  <c r="C272" i="2"/>
  <c r="T271" i="2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R269" i="2"/>
  <c r="O269" i="2"/>
  <c r="L269" i="2"/>
  <c r="I269" i="2"/>
  <c r="F269" i="2"/>
  <c r="C269" i="2"/>
  <c r="T268" i="2"/>
  <c r="D157" i="1" s="1"/>
  <c r="E157" i="1" s="1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R260" i="2"/>
  <c r="O260" i="2"/>
  <c r="L260" i="2"/>
  <c r="I260" i="2"/>
  <c r="F260" i="2"/>
  <c r="C260" i="2"/>
  <c r="T259" i="2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R257" i="2"/>
  <c r="O257" i="2"/>
  <c r="L257" i="2"/>
  <c r="I257" i="2"/>
  <c r="F257" i="2"/>
  <c r="C257" i="2"/>
  <c r="T256" i="2"/>
  <c r="D145" i="1" s="1"/>
  <c r="E145" i="1" s="1"/>
  <c r="R256" i="2"/>
  <c r="O256" i="2"/>
  <c r="L256" i="2"/>
  <c r="I256" i="2"/>
  <c r="F256" i="2"/>
  <c r="C256" i="2"/>
  <c r="T255" i="2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T252" i="2"/>
  <c r="R252" i="2"/>
  <c r="Q252" i="2"/>
  <c r="O252" i="2"/>
  <c r="N252" i="2"/>
  <c r="K252" i="2"/>
  <c r="L252" i="2" s="1"/>
  <c r="H252" i="2"/>
  <c r="I252" i="2" s="1"/>
  <c r="E252" i="2"/>
  <c r="F252" i="2" s="1"/>
  <c r="B252" i="2"/>
  <c r="C252" i="2" s="1"/>
  <c r="T251" i="2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R248" i="2"/>
  <c r="O248" i="2"/>
  <c r="L248" i="2"/>
  <c r="I248" i="2"/>
  <c r="F248" i="2"/>
  <c r="C248" i="2"/>
  <c r="T247" i="2"/>
  <c r="R247" i="2"/>
  <c r="O247" i="2"/>
  <c r="L247" i="2"/>
  <c r="I247" i="2"/>
  <c r="F247" i="2"/>
  <c r="C247" i="2"/>
  <c r="T246" i="2"/>
  <c r="R246" i="2"/>
  <c r="O246" i="2"/>
  <c r="L246" i="2"/>
  <c r="I246" i="2"/>
  <c r="F246" i="2"/>
  <c r="C246" i="2"/>
  <c r="T245" i="2"/>
  <c r="R245" i="2"/>
  <c r="O245" i="2"/>
  <c r="L245" i="2"/>
  <c r="I245" i="2"/>
  <c r="F245" i="2"/>
  <c r="C245" i="2"/>
  <c r="T244" i="2"/>
  <c r="D133" i="1" s="1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R236" i="2"/>
  <c r="O236" i="2"/>
  <c r="L236" i="2"/>
  <c r="I236" i="2"/>
  <c r="F236" i="2"/>
  <c r="C236" i="2"/>
  <c r="T235" i="2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R233" i="2"/>
  <c r="O233" i="2"/>
  <c r="L233" i="2"/>
  <c r="I233" i="2"/>
  <c r="F233" i="2"/>
  <c r="C233" i="2"/>
  <c r="T232" i="2"/>
  <c r="D121" i="1" s="1"/>
  <c r="E121" i="1" s="1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D116" i="1"/>
  <c r="E116" i="1" s="1"/>
  <c r="T227" i="2"/>
  <c r="R227" i="2"/>
  <c r="O227" i="2"/>
  <c r="L227" i="2"/>
  <c r="I227" i="2"/>
  <c r="F227" i="2"/>
  <c r="C227" i="2"/>
  <c r="T226" i="2"/>
  <c r="D115" i="1" s="1"/>
  <c r="E115" i="1" s="1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D113" i="1"/>
  <c r="E113" i="1" s="1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D108" i="1" s="1"/>
  <c r="E108" i="1" s="1"/>
  <c r="R219" i="2"/>
  <c r="O219" i="2"/>
  <c r="L219" i="2"/>
  <c r="I219" i="2"/>
  <c r="F219" i="2"/>
  <c r="C219" i="2"/>
  <c r="T218" i="2"/>
  <c r="R218" i="2"/>
  <c r="O218" i="2"/>
  <c r="L218" i="2"/>
  <c r="I218" i="2"/>
  <c r="F218" i="2"/>
  <c r="C218" i="2"/>
  <c r="T217" i="2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O211" i="2"/>
  <c r="N211" i="2"/>
  <c r="L211" i="2"/>
  <c r="K211" i="2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T209" i="2"/>
  <c r="Q209" i="2"/>
  <c r="R209" i="2" s="1"/>
  <c r="N209" i="2"/>
  <c r="O209" i="2" s="1"/>
  <c r="L209" i="2"/>
  <c r="K209" i="2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D93" i="1" s="1"/>
  <c r="E93" i="1" s="1"/>
  <c r="R201" i="2"/>
  <c r="O201" i="2"/>
  <c r="L201" i="2"/>
  <c r="I201" i="2"/>
  <c r="F201" i="2"/>
  <c r="C201" i="2"/>
  <c r="T200" i="2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R195" i="2"/>
  <c r="O195" i="2"/>
  <c r="L195" i="2"/>
  <c r="I195" i="2"/>
  <c r="F195" i="2"/>
  <c r="C195" i="2"/>
  <c r="T194" i="2"/>
  <c r="R194" i="2"/>
  <c r="O194" i="2"/>
  <c r="L194" i="2"/>
  <c r="I194" i="2"/>
  <c r="F194" i="2"/>
  <c r="C194" i="2"/>
  <c r="T193" i="2"/>
  <c r="D85" i="1" s="1"/>
  <c r="E85" i="1" s="1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R188" i="2"/>
  <c r="O188" i="2"/>
  <c r="L188" i="2"/>
  <c r="I188" i="2"/>
  <c r="F188" i="2"/>
  <c r="C188" i="2"/>
  <c r="T187" i="2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D72" i="1" s="1"/>
  <c r="E72" i="1" s="1"/>
  <c r="R180" i="2"/>
  <c r="O180" i="2"/>
  <c r="L180" i="2"/>
  <c r="I180" i="2"/>
  <c r="F180" i="2"/>
  <c r="C180" i="2"/>
  <c r="T179" i="2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R176" i="2"/>
  <c r="O176" i="2"/>
  <c r="L176" i="2"/>
  <c r="I176" i="2"/>
  <c r="F176" i="2"/>
  <c r="C176" i="2"/>
  <c r="T175" i="2"/>
  <c r="D67" i="1" s="1"/>
  <c r="E67" i="1" s="1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D57" i="1" s="1"/>
  <c r="E57" i="1" s="1"/>
  <c r="R165" i="2"/>
  <c r="O165" i="2"/>
  <c r="L165" i="2"/>
  <c r="I165" i="2"/>
  <c r="F165" i="2"/>
  <c r="C165" i="2"/>
  <c r="T164" i="2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F151" i="2"/>
  <c r="E151" i="2"/>
  <c r="B151" i="2"/>
  <c r="C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O120" i="2"/>
  <c r="N120" i="2"/>
  <c r="K120" i="2"/>
  <c r="L120" i="2" s="1"/>
  <c r="H120" i="2"/>
  <c r="I120" i="2" s="1"/>
  <c r="E120" i="2"/>
  <c r="F120" i="2" s="1"/>
  <c r="B120" i="2"/>
  <c r="C120" i="2" s="1"/>
  <c r="R119" i="2"/>
  <c r="Q119" i="2"/>
  <c r="N119" i="2"/>
  <c r="O119" i="2" s="1"/>
  <c r="K119" i="2"/>
  <c r="L119" i="2" s="1"/>
  <c r="H119" i="2"/>
  <c r="I119" i="2" s="1"/>
  <c r="E119" i="2"/>
  <c r="F119" i="2" s="1"/>
  <c r="B119" i="2"/>
  <c r="C119" i="2" s="1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R80" i="2"/>
  <c r="Q80" i="2"/>
  <c r="N80" i="2"/>
  <c r="O80" i="2" s="1"/>
  <c r="K80" i="2"/>
  <c r="T80" i="2" s="1"/>
  <c r="H80" i="2"/>
  <c r="I80" i="2" s="1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Q76" i="2"/>
  <c r="R76" i="2" s="1"/>
  <c r="N76" i="2"/>
  <c r="O76" i="2" s="1"/>
  <c r="K76" i="2"/>
  <c r="L76" i="2" s="1"/>
  <c r="H76" i="2"/>
  <c r="I76" i="2" s="1"/>
  <c r="E76" i="2"/>
  <c r="F76" i="2" s="1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Q65" i="2"/>
  <c r="R65" i="2" s="1"/>
  <c r="O65" i="2"/>
  <c r="N65" i="2"/>
  <c r="K65" i="2"/>
  <c r="L65" i="2" s="1"/>
  <c r="I65" i="2"/>
  <c r="H65" i="2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R52" i="2"/>
  <c r="Q52" i="2"/>
  <c r="N52" i="2"/>
  <c r="N326" i="2" s="1"/>
  <c r="O326" i="2" s="1"/>
  <c r="L52" i="2"/>
  <c r="K52" i="2"/>
  <c r="H52" i="2"/>
  <c r="I52" i="2" s="1"/>
  <c r="F52" i="2"/>
  <c r="E52" i="2"/>
  <c r="B52" i="2"/>
  <c r="T52" i="2" s="1"/>
  <c r="Q51" i="2"/>
  <c r="R51" i="2" s="1"/>
  <c r="O51" i="2"/>
  <c r="N51" i="2"/>
  <c r="K51" i="2"/>
  <c r="L51" i="2" s="1"/>
  <c r="I51" i="2"/>
  <c r="H51" i="2"/>
  <c r="E51" i="2"/>
  <c r="F51" i="2" s="1"/>
  <c r="C51" i="2"/>
  <c r="B51" i="2"/>
  <c r="T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D46" i="2"/>
  <c r="D50" i="2" s="1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W10" i="2"/>
  <c r="Q10" i="2"/>
  <c r="R10" i="2" s="1"/>
  <c r="N10" i="2"/>
  <c r="O10" i="2" s="1"/>
  <c r="L10" i="2"/>
  <c r="K10" i="2"/>
  <c r="I10" i="2"/>
  <c r="H10" i="2"/>
  <c r="E10" i="2"/>
  <c r="F10" i="2" s="1"/>
  <c r="C10" i="2"/>
  <c r="B10" i="2"/>
  <c r="T10" i="2" s="1"/>
  <c r="W9" i="2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U290" i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D199" i="1"/>
  <c r="B199" i="1"/>
  <c r="D198" i="1"/>
  <c r="E198" i="1" s="1"/>
  <c r="B198" i="1"/>
  <c r="B197" i="1"/>
  <c r="D196" i="1"/>
  <c r="B196" i="1"/>
  <c r="B195" i="1"/>
  <c r="D194" i="1"/>
  <c r="E194" i="1" s="1"/>
  <c r="B194" i="1"/>
  <c r="D193" i="1"/>
  <c r="E193" i="1" s="1"/>
  <c r="B193" i="1"/>
  <c r="D192" i="1"/>
  <c r="B192" i="1"/>
  <c r="B191" i="1"/>
  <c r="B190" i="1"/>
  <c r="B189" i="1"/>
  <c r="D188" i="1"/>
  <c r="B188" i="1"/>
  <c r="B187" i="1"/>
  <c r="D186" i="1"/>
  <c r="E186" i="1" s="1"/>
  <c r="B186" i="1"/>
  <c r="D185" i="1"/>
  <c r="E185" i="1" s="1"/>
  <c r="B185" i="1"/>
  <c r="B184" i="1"/>
  <c r="B183" i="1"/>
  <c r="D182" i="1"/>
  <c r="E182" i="1" s="1"/>
  <c r="B182" i="1"/>
  <c r="B181" i="1"/>
  <c r="D180" i="1"/>
  <c r="B180" i="1"/>
  <c r="B179" i="1"/>
  <c r="D178" i="1"/>
  <c r="E178" i="1" s="1"/>
  <c r="B178" i="1"/>
  <c r="B177" i="1"/>
  <c r="D176" i="1"/>
  <c r="B176" i="1"/>
  <c r="B175" i="1"/>
  <c r="B174" i="1"/>
  <c r="B172" i="1"/>
  <c r="D171" i="1"/>
  <c r="E171" i="1" s="1"/>
  <c r="B171" i="1"/>
  <c r="B170" i="1"/>
  <c r="D169" i="1"/>
  <c r="E169" i="1" s="1"/>
  <c r="B169" i="1"/>
  <c r="D168" i="1"/>
  <c r="E168" i="1" s="1"/>
  <c r="B168" i="1"/>
  <c r="B167" i="1"/>
  <c r="B166" i="1"/>
  <c r="D165" i="1"/>
  <c r="E165" i="1" s="1"/>
  <c r="B165" i="1"/>
  <c r="E164" i="1"/>
  <c r="D164" i="1"/>
  <c r="B164" i="1"/>
  <c r="D163" i="1"/>
  <c r="E163" i="1" s="1"/>
  <c r="B163" i="1"/>
  <c r="B162" i="1"/>
  <c r="D161" i="1"/>
  <c r="E161" i="1" s="1"/>
  <c r="B161" i="1"/>
  <c r="D160" i="1"/>
  <c r="E160" i="1" s="1"/>
  <c r="B160" i="1"/>
  <c r="D159" i="1"/>
  <c r="E159" i="1" s="1"/>
  <c r="B159" i="1"/>
  <c r="D158" i="1"/>
  <c r="E158" i="1" s="1"/>
  <c r="B158" i="1"/>
  <c r="B157" i="1"/>
  <c r="B156" i="1"/>
  <c r="B155" i="1"/>
  <c r="B154" i="1"/>
  <c r="B152" i="1"/>
  <c r="D151" i="1"/>
  <c r="E151" i="1" s="1"/>
  <c r="B151" i="1"/>
  <c r="D150" i="1"/>
  <c r="E150" i="1" s="1"/>
  <c r="B150" i="1"/>
  <c r="D149" i="1"/>
  <c r="E149" i="1" s="1"/>
  <c r="B149" i="1"/>
  <c r="D148" i="1"/>
  <c r="B148" i="1"/>
  <c r="B147" i="1"/>
  <c r="D146" i="1"/>
  <c r="E146" i="1" s="1"/>
  <c r="B146" i="1"/>
  <c r="B145" i="1"/>
  <c r="D144" i="1"/>
  <c r="B144" i="1"/>
  <c r="B143" i="1"/>
  <c r="B141" i="1"/>
  <c r="B140" i="1"/>
  <c r="D139" i="1"/>
  <c r="B139" i="1"/>
  <c r="D138" i="1"/>
  <c r="B138" i="1"/>
  <c r="D137" i="1"/>
  <c r="E137" i="1" s="1"/>
  <c r="B137" i="1"/>
  <c r="D136" i="1"/>
  <c r="E136" i="1" s="1"/>
  <c r="B136" i="1"/>
  <c r="B135" i="1"/>
  <c r="D134" i="1"/>
  <c r="B134" i="1"/>
  <c r="B133" i="1"/>
  <c r="B132" i="1"/>
  <c r="B130" i="1"/>
  <c r="D129" i="1"/>
  <c r="E129" i="1" s="1"/>
  <c r="B129" i="1"/>
  <c r="D128" i="1"/>
  <c r="E128" i="1" s="1"/>
  <c r="B128" i="1"/>
  <c r="D127" i="1"/>
  <c r="E127" i="1" s="1"/>
  <c r="B127" i="1"/>
  <c r="D126" i="1"/>
  <c r="E126" i="1" s="1"/>
  <c r="B126" i="1"/>
  <c r="B125" i="1"/>
  <c r="D124" i="1"/>
  <c r="E124" i="1" s="1"/>
  <c r="B124" i="1"/>
  <c r="D123" i="1"/>
  <c r="E123" i="1" s="1"/>
  <c r="B123" i="1"/>
  <c r="D122" i="1"/>
  <c r="E122" i="1" s="1"/>
  <c r="B122" i="1"/>
  <c r="B121" i="1"/>
  <c r="B120" i="1"/>
  <c r="B119" i="1"/>
  <c r="D118" i="1"/>
  <c r="E118" i="1" s="1"/>
  <c r="B118" i="1"/>
  <c r="D117" i="1"/>
  <c r="E117" i="1" s="1"/>
  <c r="B117" i="1"/>
  <c r="B116" i="1"/>
  <c r="B115" i="1"/>
  <c r="D114" i="1"/>
  <c r="E114" i="1" s="1"/>
  <c r="B114" i="1"/>
  <c r="B113" i="1"/>
  <c r="D112" i="1"/>
  <c r="E112" i="1" s="1"/>
  <c r="B112" i="1"/>
  <c r="D111" i="1"/>
  <c r="E111" i="1" s="1"/>
  <c r="B111" i="1"/>
  <c r="D110" i="1"/>
  <c r="E110" i="1" s="1"/>
  <c r="B110" i="1"/>
  <c r="D109" i="1"/>
  <c r="E109" i="1" s="1"/>
  <c r="B109" i="1"/>
  <c r="B108" i="1"/>
  <c r="B107" i="1"/>
  <c r="B106" i="1"/>
  <c r="D105" i="1"/>
  <c r="E105" i="1" s="1"/>
  <c r="B105" i="1"/>
  <c r="D104" i="1"/>
  <c r="E104" i="1" s="1"/>
  <c r="B104" i="1"/>
  <c r="B103" i="1"/>
  <c r="B101" i="1"/>
  <c r="E100" i="1"/>
  <c r="D100" i="1"/>
  <c r="B100" i="1"/>
  <c r="B99" i="1"/>
  <c r="B98" i="1"/>
  <c r="D97" i="1"/>
  <c r="E97" i="1" s="1"/>
  <c r="B97" i="1"/>
  <c r="B96" i="1"/>
  <c r="B95" i="1"/>
  <c r="D94" i="1"/>
  <c r="E94" i="1" s="1"/>
  <c r="B94" i="1"/>
  <c r="B93" i="1"/>
  <c r="D92" i="1"/>
  <c r="E92" i="1" s="1"/>
  <c r="B92" i="1"/>
  <c r="D91" i="1"/>
  <c r="B91" i="1"/>
  <c r="D90" i="1"/>
  <c r="E90" i="1" s="1"/>
  <c r="B90" i="1"/>
  <c r="D89" i="1"/>
  <c r="E89" i="1" s="1"/>
  <c r="B89" i="1"/>
  <c r="E88" i="1"/>
  <c r="D88" i="1"/>
  <c r="B88" i="1"/>
  <c r="B87" i="1"/>
  <c r="D86" i="1"/>
  <c r="E86" i="1" s="1"/>
  <c r="B86" i="1"/>
  <c r="B85" i="1"/>
  <c r="B84" i="1"/>
  <c r="D83" i="1"/>
  <c r="B83" i="1"/>
  <c r="D82" i="1"/>
  <c r="E82" i="1" s="1"/>
  <c r="B82" i="1"/>
  <c r="D81" i="1"/>
  <c r="E81" i="1" s="1"/>
  <c r="B81" i="1"/>
  <c r="B80" i="1"/>
  <c r="D79" i="1"/>
  <c r="B79" i="1"/>
  <c r="D78" i="1"/>
  <c r="E78" i="1" s="1"/>
  <c r="B78" i="1"/>
  <c r="D77" i="1"/>
  <c r="E77" i="1" s="1"/>
  <c r="B77" i="1"/>
  <c r="D76" i="1"/>
  <c r="E76" i="1" s="1"/>
  <c r="B76" i="1"/>
  <c r="B75" i="1"/>
  <c r="B74" i="1"/>
  <c r="D73" i="1"/>
  <c r="E73" i="1" s="1"/>
  <c r="B73" i="1"/>
  <c r="B72" i="1"/>
  <c r="B71" i="1"/>
  <c r="D70" i="1"/>
  <c r="E70" i="1" s="1"/>
  <c r="B70" i="1"/>
  <c r="D69" i="1"/>
  <c r="E69" i="1" s="1"/>
  <c r="B69" i="1"/>
  <c r="D68" i="1"/>
  <c r="E68" i="1" s="1"/>
  <c r="B68" i="1"/>
  <c r="B67" i="1"/>
  <c r="D66" i="1"/>
  <c r="E66" i="1" s="1"/>
  <c r="B66" i="1"/>
  <c r="D65" i="1"/>
  <c r="E65" i="1" s="1"/>
  <c r="B65" i="1"/>
  <c r="E64" i="1"/>
  <c r="D64" i="1"/>
  <c r="B64" i="1"/>
  <c r="B63" i="1"/>
  <c r="B62" i="1"/>
  <c r="D61" i="1"/>
  <c r="E61" i="1" s="1"/>
  <c r="B61" i="1"/>
  <c r="B60" i="1"/>
  <c r="B59" i="1"/>
  <c r="D58" i="1"/>
  <c r="E58" i="1" s="1"/>
  <c r="B58" i="1"/>
  <c r="B57" i="1"/>
  <c r="D56" i="1"/>
  <c r="E56" i="1" s="1"/>
  <c r="B56" i="1"/>
  <c r="D55" i="1"/>
  <c r="B55" i="1"/>
  <c r="D54" i="1"/>
  <c r="E54" i="1" s="1"/>
  <c r="B54" i="1"/>
  <c r="D53" i="1"/>
  <c r="B53" i="1"/>
  <c r="B52" i="1"/>
  <c r="D46" i="1"/>
  <c r="E46" i="1" s="1"/>
  <c r="D36" i="1"/>
  <c r="D34" i="1" s="1"/>
  <c r="D39" i="1" s="1"/>
  <c r="D35" i="1"/>
  <c r="D40" i="1" s="1"/>
  <c r="E34" i="1"/>
  <c r="D33" i="1"/>
  <c r="D38" i="1" s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W9" i="1"/>
  <c r="W10" i="1" s="1"/>
  <c r="C9" i="1"/>
  <c r="T8" i="1"/>
  <c r="C8" i="1"/>
  <c r="C5" i="1"/>
  <c r="C4" i="1"/>
  <c r="D2" i="1"/>
  <c r="D26" i="1" s="1"/>
  <c r="D48" i="1" l="1"/>
  <c r="E48" i="1" s="1"/>
  <c r="D47" i="1"/>
  <c r="E47" i="1" s="1"/>
  <c r="D75" i="1"/>
  <c r="E75" i="1" s="1"/>
  <c r="W120" i="2"/>
  <c r="D201" i="1"/>
  <c r="E201" i="1" s="1"/>
  <c r="E179" i="1"/>
  <c r="D152" i="1"/>
  <c r="E152" i="1" s="1"/>
  <c r="D41" i="1"/>
  <c r="D141" i="1"/>
  <c r="E141" i="1" s="1"/>
  <c r="E133" i="1"/>
  <c r="E134" i="1"/>
  <c r="E138" i="1"/>
  <c r="E175" i="1"/>
  <c r="E183" i="1"/>
  <c r="E187" i="1"/>
  <c r="E195" i="1"/>
  <c r="E199" i="1"/>
  <c r="T241" i="2"/>
  <c r="E16" i="1"/>
  <c r="D16" i="1" s="1"/>
  <c r="D24" i="1"/>
  <c r="D9" i="1"/>
  <c r="D29" i="1"/>
  <c r="E55" i="1"/>
  <c r="E59" i="1"/>
  <c r="E63" i="1"/>
  <c r="E71" i="1"/>
  <c r="E79" i="1"/>
  <c r="E83" i="1"/>
  <c r="E87" i="1"/>
  <c r="E91" i="1"/>
  <c r="E144" i="1"/>
  <c r="E148" i="1"/>
  <c r="T30" i="2"/>
  <c r="E155" i="1"/>
  <c r="B326" i="2"/>
  <c r="O52" i="2"/>
  <c r="D28" i="1"/>
  <c r="D27" i="1"/>
  <c r="E135" i="1"/>
  <c r="E139" i="1"/>
  <c r="E176" i="1"/>
  <c r="E180" i="1"/>
  <c r="E188" i="1"/>
  <c r="E192" i="1"/>
  <c r="E196" i="1"/>
  <c r="E200" i="1"/>
  <c r="Q326" i="2"/>
  <c r="R326" i="2" s="1"/>
  <c r="T143" i="2"/>
  <c r="L80" i="2"/>
  <c r="C52" i="2"/>
  <c r="D22" i="1"/>
  <c r="T76" i="2"/>
  <c r="D4" i="1"/>
  <c r="D12" i="1"/>
  <c r="D23" i="1"/>
  <c r="E53" i="1"/>
  <c r="H326" i="2"/>
  <c r="I326" i="2" s="1"/>
  <c r="D130" i="1"/>
  <c r="E130" i="1" s="1"/>
  <c r="D11" i="1"/>
  <c r="T283" i="2"/>
  <c r="T324" i="2"/>
  <c r="D15" i="1"/>
  <c r="D8" i="1" s="1"/>
  <c r="D6" i="1" s="1"/>
  <c r="T19" i="2"/>
  <c r="T37" i="2"/>
  <c r="T119" i="2"/>
  <c r="T151" i="2"/>
  <c r="D49" i="1" s="1"/>
  <c r="E49" i="1" s="1"/>
  <c r="B207" i="1"/>
  <c r="T263" i="2"/>
  <c r="T284" i="2"/>
  <c r="D25" i="1"/>
  <c r="D205" i="1"/>
  <c r="K326" i="2"/>
  <c r="L326" i="2" s="1"/>
  <c r="T314" i="2"/>
  <c r="T157" i="2"/>
  <c r="T211" i="2"/>
  <c r="T325" i="2"/>
  <c r="D50" i="1" l="1"/>
  <c r="D101" i="1"/>
  <c r="E101" i="1" s="1"/>
  <c r="E26" i="1"/>
  <c r="B24" i="1"/>
  <c r="E28" i="1"/>
  <c r="B28" i="1" s="1"/>
  <c r="B23" i="1"/>
  <c r="B26" i="1"/>
  <c r="E27" i="1"/>
  <c r="B27" i="1" s="1"/>
  <c r="B25" i="1"/>
  <c r="E29" i="1"/>
  <c r="B29" i="1" s="1"/>
  <c r="E24" i="1"/>
  <c r="E23" i="1"/>
  <c r="D30" i="1" s="1"/>
  <c r="E25" i="1"/>
  <c r="C326" i="2"/>
  <c r="T326" i="2"/>
  <c r="D43" i="1"/>
  <c r="E41" i="1"/>
  <c r="E50" i="1" l="1"/>
  <c r="D203" i="1"/>
  <c r="E203" i="1" s="1"/>
  <c r="D207" i="1" s="1"/>
  <c r="E30" i="1"/>
  <c r="D19" i="1" s="1"/>
  <c r="D20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<sst xmlns="http://schemas.openxmlformats.org/spreadsheetml/2006/main" count="377" uniqueCount="357">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</sst>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BDD18-EC06-4B8C-8F68-C4E97E1A8EA4}">
  <sheetPr>
    <tabColor rgb="FFE8E05D"/>
  </sheetPr>
  <dimension ref="B1:FS290"/>
  <sheetViews>
    <sheetView tabSelected="1" topLeftCell="A170" zoomScale="60" zoomScaleNormal="60" workbookViewId="0">
      <pane xSplit="3" topLeftCell="D1" activePane="topRight" state="frozen"/>
      <selection activeCell="U139" sqref="U139"/>
      <selection pane="topRight" activeCell="X193" sqref="X193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4.375" style="1" customWidth="1"/>
    <col min="5" max="5" width="11.625" style="20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2.75" customWidth="1"/>
    <col min="21" max="21" width="18.37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v>4000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0.14285714285714285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28000</v>
      </c>
      <c r="E8" s="19"/>
      <c r="T8" t="str">
        <f>IFERROR(B8+E8+H8+K8+N8+Q8, "NA")</f>
        <v>NA</v>
      </c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  <c r="W9">
        <f>4+4+5</f>
        <v>13</v>
      </c>
    </row>
    <row r="10" spans="2:175" x14ac:dyDescent="0.25">
      <c r="B10" s="21" t="s">
        <v>4</v>
      </c>
      <c r="C10" s="22"/>
      <c r="D10" s="23">
        <v>61500</v>
      </c>
      <c r="E10" s="23"/>
      <c r="W10">
        <f>W9*2</f>
        <v>26</v>
      </c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8000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285.71428571428572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38130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20910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2460</v>
      </c>
      <c r="E35" s="20">
        <v>0.04</v>
      </c>
    </row>
    <row r="36" spans="2:175" x14ac:dyDescent="0.25">
      <c r="B36" s="21" t="s">
        <v>4</v>
      </c>
      <c r="C36" s="22"/>
      <c r="D36" s="45">
        <f>D10</f>
        <v>61500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5719.5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5541.1500000000005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688.80000000000007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11949.45</v>
      </c>
      <c r="E41" s="46">
        <f>D41/D36</f>
        <v>0.1943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49550.55</v>
      </c>
      <c r="E43" s="46">
        <f>D43/D36</f>
        <v>0.80570000000000008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'OPEX DATA 2'!U139+'OPEX DATA 2'!U141+'OPEX DATA 2'!U142</f>
        <v>7603.3156730769233</v>
      </c>
      <c r="E46" s="20">
        <f>D46/D$36</f>
        <v>0.12363114915572233</v>
      </c>
    </row>
    <row r="47" spans="2:175" outlineLevel="1" x14ac:dyDescent="0.25">
      <c r="B47" s="1" t="s">
        <v>23</v>
      </c>
      <c r="D47" s="34">
        <f>'OPEX DATA 2'!U123+'OPEX DATA 2'!U97+'OPEX DATA 2'!U98+'OPEX DATA 2'!U110+'OPEX DATA 2'!U112</f>
        <v>2491.1234615384615</v>
      </c>
      <c r="E47" s="20">
        <f t="shared" ref="E47:E50" si="2">D47/D$36</f>
        <v>4.0506072545340839E-2</v>
      </c>
    </row>
    <row r="48" spans="2:175" outlineLevel="1" x14ac:dyDescent="0.25">
      <c r="B48" s="1" t="s">
        <v>24</v>
      </c>
      <c r="D48" s="34">
        <f>'OPEX DATA 2'!U85+'OPEX DATA 2'!U86+'OPEX DATA 2'!U87+'OPEX DATA 2'!U88+'OPEX DATA 2'!U92+'OPEX DATA 2'!U124</f>
        <v>5336.3762500000003</v>
      </c>
      <c r="E48" s="20">
        <f t="shared" si="2"/>
        <v>8.6770345528455292E-2</v>
      </c>
    </row>
    <row r="49" spans="2:175" outlineLevel="1" x14ac:dyDescent="0.25">
      <c r="B49" s="1" t="s">
        <v>25</v>
      </c>
      <c r="D49" s="34">
        <f>'OPEX DATA 2'!U151+'OPEX DATA 2'!U153+'OPEX DATA 2'!U154</f>
        <v>4374.9775961538462</v>
      </c>
      <c r="E49" s="20">
        <f t="shared" si="2"/>
        <v>7.1137847091932452E-2</v>
      </c>
    </row>
    <row r="50" spans="2:175" x14ac:dyDescent="0.25">
      <c r="B50" s="21" t="s">
        <v>26</v>
      </c>
      <c r="C50" s="22"/>
      <c r="D50" s="45">
        <f>SUM(D46:D49)</f>
        <v>19805.792980769231</v>
      </c>
      <c r="E50" s="46">
        <f t="shared" si="2"/>
        <v>0.3220454143214509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0.26999999999999996</v>
      </c>
      <c r="E53" s="20">
        <f t="shared" ref="E53:E101" si="3">D53/D$36</f>
        <v>4.3902439024390241E-6</v>
      </c>
    </row>
    <row r="54" spans="2:175" outlineLevel="1" x14ac:dyDescent="0.25">
      <c r="B54" s="1" t="str">
        <f>'OPEX DATA 2'!A162</f>
        <v>6110 - China</v>
      </c>
      <c r="D54" s="34">
        <f>'OPEX DATA 2'!U162</f>
        <v>152.5126923076923</v>
      </c>
      <c r="E54" s="20">
        <f t="shared" si="3"/>
        <v>2.4798811757348344E-3</v>
      </c>
    </row>
    <row r="55" spans="2:175" outlineLevel="1" x14ac:dyDescent="0.25">
      <c r="B55" s="1" t="str">
        <f>'OPEX DATA 2'!A163</f>
        <v>6120 - Glass</v>
      </c>
      <c r="D55" s="34">
        <f>'OPEX DATA 2'!U163</f>
        <v>245.6385576923077</v>
      </c>
      <c r="E55" s="20">
        <f t="shared" si="3"/>
        <v>3.9941228893058166E-3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38.466538461538462</v>
      </c>
      <c r="E56" s="20">
        <f t="shared" si="3"/>
        <v>6.2547217010631647E-4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41.174038461538458</v>
      </c>
      <c r="E57" s="20">
        <f t="shared" si="3"/>
        <v>6.6949656035021881E-4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230.69173076923079</v>
      </c>
      <c r="E58" s="20">
        <f t="shared" si="3"/>
        <v>3.7510850531582243E-3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173.01663461538465</v>
      </c>
      <c r="E59" s="20">
        <f t="shared" si="3"/>
        <v>2.8132786116322707E-3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708.65326923076941</v>
      </c>
      <c r="E60" s="20">
        <f t="shared" si="3"/>
        <v>1.152281738586617E-2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35.989230769230772</v>
      </c>
      <c r="E61" s="20">
        <f t="shared" si="3"/>
        <v>5.8519074421513448E-4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252.62173076923077</v>
      </c>
      <c r="E62" s="20">
        <f t="shared" si="3"/>
        <v>4.1076704190118824E-3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279.36682692307693</v>
      </c>
      <c r="E63" s="20">
        <f t="shared" si="3"/>
        <v>4.5425500312695436E-3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270.21471153846153</v>
      </c>
      <c r="E67" s="20">
        <f t="shared" si="3"/>
        <v>4.3937351469668538E-3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258.85000000000002</v>
      </c>
      <c r="E68" s="20">
        <f t="shared" si="3"/>
        <v>4.2089430894308947E-3</v>
      </c>
    </row>
    <row r="69" spans="2:5" outlineLevel="1" x14ac:dyDescent="0.25">
      <c r="B69" s="1" t="str">
        <f>'OPEX DATA 2'!A177</f>
        <v>6280 - Linen</v>
      </c>
      <c r="D69" s="34">
        <f>'OPEX DATA 2'!U177</f>
        <v>208.93653846153845</v>
      </c>
      <c r="E69" s="20">
        <f t="shared" si="3"/>
        <v>3.3973420888055031E-3</v>
      </c>
    </row>
    <row r="70" spans="2:5" outlineLevel="1" x14ac:dyDescent="0.25">
      <c r="B70" s="1" t="str">
        <f>'OPEX DATA 2'!A178</f>
        <v>6285 - Uniforms</v>
      </c>
      <c r="D70" s="34">
        <f>'OPEX DATA 2'!U178</f>
        <v>297.10875000000004</v>
      </c>
      <c r="E70" s="20">
        <f t="shared" si="3"/>
        <v>4.8310365853658542E-3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99.572884615384609</v>
      </c>
      <c r="E71" s="20">
        <f t="shared" si="3"/>
        <v>1.6190712945590993E-3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523.67298076923078</v>
      </c>
      <c r="E72" s="20">
        <f t="shared" si="3"/>
        <v>8.5150078173858671E-3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3.8412500000000001</v>
      </c>
      <c r="E74" s="20">
        <f t="shared" si="3"/>
        <v>6.2459349593495936E-5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146.51663461538462</v>
      </c>
      <c r="E75" s="20">
        <f t="shared" si="3"/>
        <v>2.382384302689181E-3</v>
      </c>
    </row>
    <row r="76" spans="2:5" outlineLevel="1" x14ac:dyDescent="0.25">
      <c r="B76" s="1" t="str">
        <f>'OPEX DATA 2'!A184</f>
        <v>6330 - Menu Research</v>
      </c>
      <c r="D76" s="34">
        <f>'OPEX DATA 2'!U184</f>
        <v>51.022403846153843</v>
      </c>
      <c r="E76" s="20">
        <f t="shared" si="3"/>
        <v>8.2963258286429011E-4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20.997211538461539</v>
      </c>
      <c r="E79" s="20">
        <f t="shared" si="3"/>
        <v>3.414180737961226E-4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179.06451923076924</v>
      </c>
      <c r="E80" s="20">
        <f t="shared" si="3"/>
        <v>2.9116181988742963E-3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298.44461538461536</v>
      </c>
      <c r="E81" s="20">
        <f t="shared" si="3"/>
        <v>4.8527579737335834E-3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11.956250000000001</v>
      </c>
      <c r="E82" s="20">
        <f t="shared" si="3"/>
        <v>1.9441056910569107E-4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169.74317307692309</v>
      </c>
      <c r="E84" s="20">
        <f t="shared" si="3"/>
        <v>2.7600515947467166E-3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1241.1204807692307</v>
      </c>
      <c r="E85" s="46">
        <f t="shared" si="3"/>
        <v>2.0180820825515946E-2</v>
      </c>
    </row>
    <row r="86" spans="2:175" x14ac:dyDescent="0.25">
      <c r="B86" s="1" t="str">
        <f>'OPEX DATA 2'!A194</f>
        <v>6600 - Commissary Direct Opex</v>
      </c>
      <c r="D86" s="34">
        <f>'OPEX DATA 2'!U194</f>
        <v>597.66644230769225</v>
      </c>
      <c r="E86" s="20">
        <f t="shared" si="3"/>
        <v>9.7181535334584113E-3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74.42096153846154</v>
      </c>
      <c r="E87" s="18">
        <f t="shared" si="3"/>
        <v>1.2100969355847405E-3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4000</v>
      </c>
      <c r="E88" s="20">
        <f t="shared" si="3"/>
        <v>6.5040650406504072E-2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28.800769230769227</v>
      </c>
      <c r="E89" s="20">
        <f t="shared" si="3"/>
        <v>4.6830519074421504E-4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27.025576923076922</v>
      </c>
      <c r="E93" s="20">
        <f t="shared" si="3"/>
        <v>4.3944027517198246E-4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10667.377403846154</v>
      </c>
      <c r="E101" s="50">
        <f t="shared" si="3"/>
        <v>0.17345329111944965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'OPEX DATA 2'!U215</f>
        <v>3399.9472115384615</v>
      </c>
      <c r="E104" s="20">
        <f t="shared" ref="E104:E130" si="4">D104/D$36</f>
        <v>5.528369449656035E-2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49.07692307692308</v>
      </c>
      <c r="E105" s="20">
        <f t="shared" si="4"/>
        <v>7.979987492182615E-4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746.53298076923079</v>
      </c>
      <c r="E106" s="20">
        <f t="shared" si="4"/>
        <v>1.2138747654784241E-2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59.950384615384614</v>
      </c>
      <c r="E107" s="20">
        <f t="shared" si="4"/>
        <v>9.7480300187617261E-4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1390.6767307692307</v>
      </c>
      <c r="E108" s="20">
        <f t="shared" si="4"/>
        <v>2.2612629768605379E-2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32.153076923076924</v>
      </c>
      <c r="E109" s="20">
        <f t="shared" si="4"/>
        <v>5.2281425891181985E-4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15.395480769230769</v>
      </c>
      <c r="E111" s="20">
        <f t="shared" si="4"/>
        <v>2.5033302063789866E-4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7.1442307692307694E-2</v>
      </c>
      <c r="E112" s="18">
        <f t="shared" si="4"/>
        <v>1.1616635397123202E-6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6.6606730769230769</v>
      </c>
      <c r="E113" s="20">
        <f t="shared" si="4"/>
        <v>1.0830362726704189E-4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-1.311923076923077</v>
      </c>
      <c r="E115" s="20">
        <f t="shared" si="4"/>
        <v>-2.1332082551594746E-5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207.53586538461539</v>
      </c>
      <c r="E116" s="20">
        <f t="shared" si="4"/>
        <v>3.3745669168230145E-3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42.539711538461539</v>
      </c>
      <c r="E117" s="20">
        <f t="shared" si="4"/>
        <v>6.9170262664165099E-4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1.0673076923076923</v>
      </c>
      <c r="E118" s="20">
        <f t="shared" si="4"/>
        <v>1.7354596622889307E-5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143.38269230769231</v>
      </c>
      <c r="E119" s="46">
        <f t="shared" si="4"/>
        <v>2.3314258911819887E-3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4.8076923076923075</v>
      </c>
      <c r="E121" s="18">
        <f t="shared" si="4"/>
        <v>7.817385866166354E-5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0.87903846153846155</v>
      </c>
      <c r="E122" s="46">
        <f t="shared" si="4"/>
        <v>1.4293308317698561E-5</v>
      </c>
    </row>
    <row r="123" spans="2:175" x14ac:dyDescent="0.25">
      <c r="B123" s="1" t="str">
        <f>'OPEX DATA 2'!A234</f>
        <v>7160 - Travel</v>
      </c>
      <c r="D123" s="34">
        <f>'OPEX DATA 2'!U234</f>
        <v>7.6108653846153844</v>
      </c>
      <c r="E123" s="20">
        <f t="shared" si="4"/>
        <v>1.2375390869293309E-4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62.891442307692309</v>
      </c>
      <c r="E124" s="18">
        <f t="shared" si="4"/>
        <v>1.0226250781738588E-3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1969.0310576923077</v>
      </c>
      <c r="E125" s="20">
        <f t="shared" si="4"/>
        <v>3.2016765165728579E-2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142.33134615384617</v>
      </c>
      <c r="E126" s="46">
        <f t="shared" si="4"/>
        <v>2.3143308317698564E-3</v>
      </c>
    </row>
    <row r="127" spans="2:175" x14ac:dyDescent="0.25">
      <c r="B127" s="1" t="str">
        <f>'OPEX DATA 2'!A238</f>
        <v>7177 - Parking - Team</v>
      </c>
      <c r="D127" s="34">
        <f>'OPEX DATA 2'!U238</f>
        <v>20.738365384615385</v>
      </c>
      <c r="E127" s="20">
        <f t="shared" si="4"/>
        <v>3.3720919324577864E-4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8301.9683653846132</v>
      </c>
      <c r="E130" s="50">
        <f t="shared" si="4"/>
        <v>0.13499135553470915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36.678749999999994</v>
      </c>
      <c r="E133" s="20">
        <f t="shared" ref="E133:E141" si="5">D133/D$36</f>
        <v>5.9640243902439019E-4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26.293942307692305</v>
      </c>
      <c r="E134" s="20">
        <f t="shared" si="5"/>
        <v>4.275437773608505E-4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253.40692307692308</v>
      </c>
      <c r="E136" s="20">
        <f t="shared" si="5"/>
        <v>4.1204377736085056E-3</v>
      </c>
    </row>
    <row r="137" spans="2:7" outlineLevel="1" x14ac:dyDescent="0.25">
      <c r="B137" s="1" t="str">
        <f>'OPEX DATA 2'!A248</f>
        <v>7550 - Gas</v>
      </c>
      <c r="D137" s="34">
        <f>'OPEX DATA 2'!U248</f>
        <v>43.505769230769232</v>
      </c>
      <c r="E137" s="20">
        <f t="shared" si="5"/>
        <v>7.0741088180112572E-4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272.07451923076923</v>
      </c>
      <c r="E138" s="46">
        <f t="shared" si="5"/>
        <v>4.423975922451532E-3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631.95990384615379</v>
      </c>
      <c r="E141" s="50">
        <f t="shared" si="5"/>
        <v>1.0275770794246403E-2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4389.3273076923078</v>
      </c>
      <c r="E145" s="58">
        <f t="shared" si="6"/>
        <v>7.1371175734834272E-2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220.61403846153846</v>
      </c>
      <c r="E147" s="58">
        <f t="shared" si="6"/>
        <v>3.5872201375859911E-3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1455.6618269230771</v>
      </c>
      <c r="E150" s="58">
        <f t="shared" si="6"/>
        <v>2.3669297998749221E-2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540.70307692307688</v>
      </c>
      <c r="E151" s="58">
        <f t="shared" si="6"/>
        <v>8.7919199499687292E-3</v>
      </c>
    </row>
    <row r="152" spans="2:7" x14ac:dyDescent="0.25">
      <c r="B152" s="47" t="str">
        <f>'OPEX DATA 2'!A263</f>
        <v>Total Occupancy</v>
      </c>
      <c r="C152" s="48"/>
      <c r="D152" s="49">
        <f>SUM(D144:D151)</f>
        <v>6606.3062499999996</v>
      </c>
      <c r="E152" s="50">
        <f t="shared" si="6"/>
        <v>0.10741961382113821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-0.31807692307692303</v>
      </c>
      <c r="E157" s="58">
        <f t="shared" si="7"/>
        <v>-5.1719824890556595E-6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'OPEX DATA 2'!U278</f>
        <v>-3998.541153846154</v>
      </c>
      <c r="E167" s="58">
        <f t="shared" si="7"/>
        <v>-6.5016929330831766E-2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-3998.8592307692311</v>
      </c>
      <c r="E172" s="50">
        <f t="shared" si="7"/>
        <v>-6.5022101313320826E-2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660.28</v>
      </c>
      <c r="E176" s="58">
        <f t="shared" si="8"/>
        <v>1.0736260162601626E-2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5682.0760576923076</v>
      </c>
      <c r="E177" s="58">
        <f t="shared" si="8"/>
        <v>9.2391480612883048E-2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0.71153846153846156</v>
      </c>
      <c r="E178" s="58">
        <f t="shared" si="8"/>
        <v>1.1569731081926204E-5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151.36538461538461</v>
      </c>
      <c r="E179" s="58">
        <f t="shared" si="8"/>
        <v>2.461225766103815E-3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14.639711538461539</v>
      </c>
      <c r="E180" s="58">
        <f t="shared" si="8"/>
        <v>2.3804409005628518E-4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381.67730769230764</v>
      </c>
      <c r="E181" s="58">
        <f t="shared" si="8"/>
        <v>6.2061350844277666E-3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4.6392307692307693</v>
      </c>
      <c r="E184" s="58">
        <f t="shared" si="8"/>
        <v>7.5434646654158846E-5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6895.3892307692295</v>
      </c>
      <c r="E201" s="50">
        <f t="shared" si="8"/>
        <v>0.11212015009380862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640.6150961538533</v>
      </c>
      <c r="E203" s="50">
        <f>D203/D36</f>
        <v>1.041650562851794E-2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1.041650562851794E-2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  <row r="290" spans="21:21" x14ac:dyDescent="0.25">
      <c r="U290" t="e">
        <f>(T290/$V$1)/7</f>
        <v>#DIV/0!</v>
      </c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9862-AB87-4CF6-8D35-9F6AF745B5F6}">
  <dimension ref="A1:W332"/>
  <sheetViews>
    <sheetView topLeftCell="A285" zoomScale="60" zoomScaleNormal="60" workbookViewId="0">
      <selection activeCell="A333" sqref="A333"/>
    </sheetView>
  </sheetViews>
  <sheetFormatPr defaultRowHeight="15.75" x14ac:dyDescent="0.25"/>
  <cols>
    <col min="1" max="1" width="37.5" customWidth="1"/>
    <col min="2" max="2" width="17.875" customWidth="1"/>
    <col min="3" max="3" width="8.25" customWidth="1"/>
    <col min="4" max="4" width="14.375" customWidth="1"/>
    <col min="5" max="5" width="18.125" customWidth="1"/>
    <col min="6" max="6" width="8.25" customWidth="1"/>
    <col min="7" max="7" width="1.25" customWidth="1"/>
    <col min="8" max="8" width="17.5" customWidth="1"/>
    <col min="9" max="9" width="8.25" customWidth="1"/>
    <col min="10" max="10" width="1.25" customWidth="1"/>
    <col min="11" max="11" width="19.125" customWidth="1"/>
    <col min="12" max="12" width="8.25" customWidth="1"/>
    <col min="13" max="13" width="1.25" customWidth="1"/>
    <col min="14" max="14" width="20" customWidth="1"/>
    <col min="15" max="15" width="8.25" customWidth="1"/>
    <col min="16" max="16" width="1.25" customWidth="1"/>
    <col min="17" max="17" width="20.875" customWidth="1"/>
    <col min="18" max="18" width="8.25" customWidth="1"/>
    <col min="20" max="20" width="12.75" customWidth="1"/>
    <col min="21" max="21" width="18.375" customWidth="1"/>
    <col min="23" max="23" width="24.625" customWidth="1"/>
  </cols>
  <sheetData>
    <row r="1" spans="1:23" x14ac:dyDescent="0.25">
      <c r="A1" t="s">
        <v>29</v>
      </c>
      <c r="U1" s="65" t="s">
        <v>30</v>
      </c>
      <c r="V1" s="66">
        <v>26</v>
      </c>
    </row>
    <row r="5" spans="1:23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3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3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3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(T8/$V$1)/4</f>
        <v>29985.664038461538</v>
      </c>
    </row>
    <row r="9" spans="1:23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(T9/$V$1)/4</f>
        <v>0</v>
      </c>
      <c r="W9">
        <f>4+4+5</f>
        <v>13</v>
      </c>
    </row>
    <row r="10" spans="1:23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29985.664038461538</v>
      </c>
      <c r="W10">
        <f>W9*2</f>
        <v>26</v>
      </c>
    </row>
    <row r="11" spans="1:23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3543.2023076923078</v>
      </c>
    </row>
    <row r="12" spans="1:23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3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3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52196.227980769232</v>
      </c>
    </row>
    <row r="15" spans="1:23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521.04807692307691</v>
      </c>
    </row>
    <row r="16" spans="1:23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11967.01923076923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2453.3653846153848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5415.0961538461543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72552.756826923083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2053.5549999999998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-2.0769230769230771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5508.4197115384613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7559.8977884615388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-3.0913461538461537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-116.5653846153846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-318.85192307692307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-1243.3653846153845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-25.971153846153847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>
        <f>(11977+7579+3952)/7</f>
        <v>3358.2857142857142</v>
      </c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-1244.5483653846154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-273.13942307692309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-222.48076923076923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-25.576923076923077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>
        <f>SUM(D46:D49)</f>
        <v>3358.2857142857142</v>
      </c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-175.23461538461541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-3648.8252884615381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109992.69567307692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654.12788461538469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163.84923076923076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2061.4732692307693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122.70451923076924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3153.9875000000002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541.59596153846155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7.9195192307692315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262.3238461538462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6967.9817307692301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813.79451923076908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80.601826923076928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344.65355769230769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4793.6948076923081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(T73/$V$1)/4</f>
        <v>5060.5647115384618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379.51442307692309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10659.029326923077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 t="shared" si="3"/>
        <v>1406.7064423076922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si="3"/>
        <v>365.30163461538456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3"/>
        <v>186.47211538461536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3"/>
        <v>1367.0021153846153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3"/>
        <v>10.618461538461538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3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3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3"/>
        <v>644.77009615384611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3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3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3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3"/>
        <v>67.307692307692307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3"/>
        <v>494.37769230769231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3"/>
        <v>408.61769230769227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3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3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3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3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3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3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3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3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3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3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3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3"/>
        <v>545.03038461538449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3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3"/>
        <v>332.06307692307689</v>
      </c>
    </row>
    <row r="113" spans="1:23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3"/>
        <v>0</v>
      </c>
    </row>
    <row r="114" spans="1:23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3"/>
        <v>14.87048076923077</v>
      </c>
    </row>
    <row r="115" spans="1:23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3"/>
        <v>0</v>
      </c>
    </row>
    <row r="116" spans="1:23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3"/>
        <v>0</v>
      </c>
    </row>
    <row r="117" spans="1:23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3"/>
        <v>0</v>
      </c>
    </row>
    <row r="118" spans="1:23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3"/>
        <v>26.903365384615384</v>
      </c>
    </row>
    <row r="119" spans="1:23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3"/>
        <v>5870.0412499999993</v>
      </c>
    </row>
    <row r="120" spans="1:23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>IFERROR(B120+E120+H120+K120+N120+Q120, "NA")</f>
        <v>610484.28999999992</v>
      </c>
      <c r="U120" s="80">
        <f t="shared" si="3"/>
        <v>5870.0412499999993</v>
      </c>
      <c r="W120" s="80">
        <f>U120+U143+U151</f>
        <v>19039.900576923079</v>
      </c>
    </row>
    <row r="121" spans="1:23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3"/>
        <v>0</v>
      </c>
    </row>
    <row r="122" spans="1:23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3"/>
        <v>0</v>
      </c>
    </row>
    <row r="123" spans="1:23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3"/>
        <v>711.03461538461534</v>
      </c>
    </row>
    <row r="124" spans="1:23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3"/>
        <v>1366.1238461538462</v>
      </c>
    </row>
    <row r="125" spans="1:23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3"/>
        <v>0</v>
      </c>
    </row>
    <row r="126" spans="1:23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3"/>
        <v>0</v>
      </c>
    </row>
    <row r="127" spans="1:23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3"/>
        <v>0</v>
      </c>
    </row>
    <row r="128" spans="1:23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3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3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3"/>
        <v>-77.288461538461533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3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3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3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3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3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3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4">IFERROR(B137+E137+H137+K137+N137+Q137, "NA")</f>
        <v>0</v>
      </c>
      <c r="U137" s="80">
        <f t="shared" ref="U137:U200" si="5">(T137/$V$1)/4</f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4"/>
        <v>0</v>
      </c>
      <c r="U138" s="80">
        <f t="shared" si="5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4"/>
        <v>440915.44</v>
      </c>
      <c r="U139" s="80">
        <f t="shared" si="5"/>
        <v>4239.5715384615387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4"/>
        <v>0</v>
      </c>
      <c r="U140" s="80">
        <f t="shared" si="5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4"/>
        <v>246314.38999999998</v>
      </c>
      <c r="U141" s="80">
        <f t="shared" si="5"/>
        <v>2368.407596153846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4"/>
        <v>103515</v>
      </c>
      <c r="U142" s="80">
        <f t="shared" si="5"/>
        <v>995.33653846153845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4"/>
        <v>998731.31</v>
      </c>
      <c r="U143" s="80">
        <f t="shared" si="5"/>
        <v>9603.1856730769232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4"/>
        <v>0</v>
      </c>
      <c r="U144" s="80">
        <f t="shared" si="5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4"/>
        <v>0</v>
      </c>
      <c r="U145" s="80">
        <f t="shared" si="5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4"/>
        <v>212769.00999999998</v>
      </c>
      <c r="U146" s="80">
        <f t="shared" si="5"/>
        <v>2045.8558653846153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4"/>
        <v>38159.67</v>
      </c>
      <c r="U147" s="80">
        <f t="shared" si="5"/>
        <v>366.91990384615383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4"/>
        <v>26432.370000000003</v>
      </c>
      <c r="U148" s="80">
        <f t="shared" si="5"/>
        <v>254.15740384615387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4"/>
        <v>30530</v>
      </c>
      <c r="U149" s="80">
        <f t="shared" si="5"/>
        <v>293.55769230769232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4"/>
        <v>63043.01</v>
      </c>
      <c r="U150" s="80">
        <f t="shared" si="5"/>
        <v>606.18278846153851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4"/>
        <v>370934.06</v>
      </c>
      <c r="U151" s="80">
        <f t="shared" si="5"/>
        <v>3566.6736538461537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4"/>
        <v>0</v>
      </c>
      <c r="U152" s="80">
        <f t="shared" si="5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4"/>
        <v>82274.98</v>
      </c>
      <c r="U153" s="80">
        <f t="shared" si="5"/>
        <v>791.10557692307691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4"/>
        <v>1788.63</v>
      </c>
      <c r="U154" s="80">
        <f t="shared" si="5"/>
        <v>17.198365384615386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4"/>
        <v>33.700000000000017</v>
      </c>
      <c r="U155" s="80">
        <f t="shared" si="5"/>
        <v>0.32403846153846172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4"/>
        <v>0</v>
      </c>
      <c r="U156" s="80">
        <f t="shared" si="5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4"/>
        <v>3982090.75</v>
      </c>
      <c r="U157" s="80">
        <f t="shared" si="5"/>
        <v>38289.334134615383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4"/>
        <v>0</v>
      </c>
      <c r="U158" s="80">
        <f t="shared" si="5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4"/>
        <v>0</v>
      </c>
      <c r="U159" s="80">
        <f t="shared" si="5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4"/>
        <v>0</v>
      </c>
      <c r="U160" s="80">
        <f t="shared" si="5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4"/>
        <v>28.08</v>
      </c>
      <c r="U161" s="80">
        <f t="shared" si="5"/>
        <v>0.26999999999999996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4"/>
        <v>15861.32</v>
      </c>
      <c r="U162" s="80">
        <f t="shared" si="5"/>
        <v>152.5126923076923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4"/>
        <v>25546.41</v>
      </c>
      <c r="U163" s="80">
        <f t="shared" si="5"/>
        <v>245.6385576923077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4"/>
        <v>4000.52</v>
      </c>
      <c r="U164" s="80">
        <f t="shared" si="5"/>
        <v>38.466538461538462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4"/>
        <v>4282.0999999999995</v>
      </c>
      <c r="U165" s="80">
        <f t="shared" si="5"/>
        <v>41.174038461538458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4"/>
        <v>23991.940000000002</v>
      </c>
      <c r="U166" s="80">
        <f t="shared" si="5"/>
        <v>230.69173076923079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4"/>
        <v>17993.730000000003</v>
      </c>
      <c r="U167" s="80">
        <f t="shared" si="5"/>
        <v>173.01663461538465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4"/>
        <v>73699.940000000017</v>
      </c>
      <c r="U168" s="80">
        <f t="shared" si="5"/>
        <v>708.65326923076941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4"/>
        <v>3742.88</v>
      </c>
      <c r="U169" s="80">
        <f t="shared" si="5"/>
        <v>35.989230769230772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4"/>
        <v>26272.66</v>
      </c>
      <c r="U170" s="80">
        <f t="shared" si="5"/>
        <v>252.62173076923077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4"/>
        <v>29054.15</v>
      </c>
      <c r="U171" s="80">
        <f t="shared" si="5"/>
        <v>279.36682692307693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4"/>
        <v>0</v>
      </c>
      <c r="U172" s="80">
        <f t="shared" si="5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4"/>
        <v>0</v>
      </c>
      <c r="U173" s="80">
        <f t="shared" si="5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4"/>
        <v>0</v>
      </c>
      <c r="U174" s="80">
        <f t="shared" si="5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4"/>
        <v>28102.33</v>
      </c>
      <c r="U175" s="80">
        <f t="shared" si="5"/>
        <v>270.21471153846153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4"/>
        <v>26920.400000000001</v>
      </c>
      <c r="U176" s="80">
        <f t="shared" si="5"/>
        <v>258.85000000000002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4"/>
        <v>21729.399999999998</v>
      </c>
      <c r="U177" s="80">
        <f t="shared" si="5"/>
        <v>208.93653846153845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4"/>
        <v>30899.310000000005</v>
      </c>
      <c r="U178" s="80">
        <f t="shared" si="5"/>
        <v>297.10875000000004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4"/>
        <v>10355.58</v>
      </c>
      <c r="U179" s="80">
        <f t="shared" si="5"/>
        <v>99.572884615384609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4"/>
        <v>54461.990000000005</v>
      </c>
      <c r="U180" s="80">
        <f t="shared" si="5"/>
        <v>523.67298076923078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4"/>
        <v>0</v>
      </c>
      <c r="U181" s="80">
        <f t="shared" si="5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4"/>
        <v>399.49</v>
      </c>
      <c r="U182" s="80">
        <f t="shared" si="5"/>
        <v>3.8412500000000001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4"/>
        <v>15237.73</v>
      </c>
      <c r="U183" s="80">
        <f t="shared" si="5"/>
        <v>146.51663461538462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4"/>
        <v>5306.33</v>
      </c>
      <c r="U184" s="80">
        <f t="shared" si="5"/>
        <v>51.022403846153843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4"/>
        <v>0</v>
      </c>
      <c r="U185" s="80">
        <f t="shared" si="5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4"/>
        <v>0</v>
      </c>
      <c r="U186" s="80">
        <f t="shared" si="5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4"/>
        <v>2183.71</v>
      </c>
      <c r="U187" s="80">
        <f t="shared" si="5"/>
        <v>20.997211538461539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4"/>
        <v>18622.71</v>
      </c>
      <c r="U188" s="80">
        <f t="shared" si="5"/>
        <v>179.06451923076924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4"/>
        <v>31038.239999999998</v>
      </c>
      <c r="U189" s="80">
        <f t="shared" si="5"/>
        <v>298.44461538461536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4"/>
        <v>1243.45</v>
      </c>
      <c r="U190" s="80">
        <f t="shared" si="5"/>
        <v>11.956250000000001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4"/>
        <v>0</v>
      </c>
      <c r="U191" s="80">
        <f t="shared" si="5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4"/>
        <v>17653.29</v>
      </c>
      <c r="U192" s="80">
        <f t="shared" si="5"/>
        <v>169.74317307692309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4"/>
        <v>129076.53</v>
      </c>
      <c r="U193" s="80">
        <f t="shared" si="5"/>
        <v>1241.1204807692307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4"/>
        <v>62157.31</v>
      </c>
      <c r="U194" s="80">
        <f t="shared" si="5"/>
        <v>597.66644230769225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4"/>
        <v>7739.7800000000007</v>
      </c>
      <c r="U195" s="80">
        <f t="shared" si="5"/>
        <v>74.42096153846154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4"/>
        <v>935408.21</v>
      </c>
      <c r="U196" s="80">
        <f t="shared" si="5"/>
        <v>8994.3097115384608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4"/>
        <v>2995.2799999999997</v>
      </c>
      <c r="U197" s="80">
        <f t="shared" si="5"/>
        <v>28.800769230769227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4"/>
        <v>0</v>
      </c>
      <c r="U198" s="80">
        <f t="shared" si="5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4"/>
        <v>0</v>
      </c>
      <c r="U199" s="80">
        <f t="shared" si="5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4"/>
        <v>0</v>
      </c>
      <c r="U200" s="80">
        <f t="shared" si="5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6">IFERROR(B201+E201+H201+K201+N201+Q201, "NA")</f>
        <v>2810.66</v>
      </c>
      <c r="U201" s="80">
        <f t="shared" ref="U201:U264" si="7">(T201/$V$1)/4</f>
        <v>27.025576923076922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6"/>
        <v>0</v>
      </c>
      <c r="U202" s="80">
        <f t="shared" si="7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6"/>
        <v>0</v>
      </c>
      <c r="U203" s="80">
        <f t="shared" si="7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6"/>
        <v>0</v>
      </c>
      <c r="U204" s="80">
        <f t="shared" si="7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6"/>
        <v>0</v>
      </c>
      <c r="U205" s="80">
        <f t="shared" si="7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6"/>
        <v>0</v>
      </c>
      <c r="U206" s="80">
        <f t="shared" si="7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6"/>
        <v>0</v>
      </c>
      <c r="U207" s="80">
        <f t="shared" si="7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6"/>
        <v>0</v>
      </c>
      <c r="U208" s="80">
        <f t="shared" si="7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6"/>
        <v>1628815.4600000002</v>
      </c>
      <c r="U209" s="80">
        <f t="shared" si="7"/>
        <v>15661.687115384617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6"/>
        <v>0</v>
      </c>
      <c r="U210" s="80">
        <f t="shared" si="7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6"/>
        <v>1628815.4600000002</v>
      </c>
      <c r="U211" s="80">
        <f t="shared" si="7"/>
        <v>15661.687115384617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6"/>
        <v>0</v>
      </c>
      <c r="U212" s="80">
        <f t="shared" si="7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6"/>
        <v>0</v>
      </c>
      <c r="U213" s="80">
        <f t="shared" si="7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6"/>
        <v>0</v>
      </c>
      <c r="U214" s="80">
        <f t="shared" si="7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6"/>
        <v>353594.51</v>
      </c>
      <c r="U215" s="80">
        <f t="shared" si="7"/>
        <v>3399.9472115384615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6"/>
        <v>5104</v>
      </c>
      <c r="U216" s="80">
        <f t="shared" si="7"/>
        <v>49.07692307692308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6"/>
        <v>77639.430000000008</v>
      </c>
      <c r="U217" s="80">
        <f t="shared" si="7"/>
        <v>746.53298076923079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6"/>
        <v>6234.84</v>
      </c>
      <c r="U218" s="80">
        <f t="shared" si="7"/>
        <v>59.950384615384614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6"/>
        <v>144630.38</v>
      </c>
      <c r="U219" s="80">
        <f t="shared" si="7"/>
        <v>1390.6767307692307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6"/>
        <v>3343.92</v>
      </c>
      <c r="U220" s="80">
        <f t="shared" si="7"/>
        <v>32.153076923076924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6"/>
        <v>0</v>
      </c>
      <c r="U221" s="80">
        <f t="shared" si="7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6"/>
        <v>1601.1299999999999</v>
      </c>
      <c r="U222" s="80">
        <f t="shared" si="7"/>
        <v>15.395480769230769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6"/>
        <v>7.43</v>
      </c>
      <c r="U223" s="80">
        <f t="shared" si="7"/>
        <v>7.1442307692307694E-2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6"/>
        <v>692.71</v>
      </c>
      <c r="U224" s="80">
        <f t="shared" si="7"/>
        <v>6.6606730769230769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6"/>
        <v>0</v>
      </c>
      <c r="U225" s="80">
        <f t="shared" si="7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6"/>
        <v>-136.44</v>
      </c>
      <c r="U226" s="80">
        <f t="shared" si="7"/>
        <v>-1.311923076923077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6"/>
        <v>21583.73</v>
      </c>
      <c r="U227" s="80">
        <f t="shared" si="7"/>
        <v>207.53586538461539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6"/>
        <v>4424.13</v>
      </c>
      <c r="U228" s="80">
        <f t="shared" si="7"/>
        <v>42.539711538461539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6"/>
        <v>111</v>
      </c>
      <c r="U229" s="80">
        <f t="shared" si="7"/>
        <v>1.0673076923076923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6"/>
        <v>14911.8</v>
      </c>
      <c r="U230" s="80">
        <f t="shared" si="7"/>
        <v>143.38269230769231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6"/>
        <v>0</v>
      </c>
      <c r="U231" s="80">
        <f t="shared" si="7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6"/>
        <v>500</v>
      </c>
      <c r="U232" s="80">
        <f t="shared" si="7"/>
        <v>4.8076923076923075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6"/>
        <v>91.42</v>
      </c>
      <c r="U233" s="80">
        <f t="shared" si="7"/>
        <v>0.87903846153846155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6"/>
        <v>791.53</v>
      </c>
      <c r="U234" s="80">
        <f t="shared" si="7"/>
        <v>7.6108653846153844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6"/>
        <v>6540.71</v>
      </c>
      <c r="U235" s="80">
        <f t="shared" si="7"/>
        <v>62.891442307692309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6"/>
        <v>204779.23</v>
      </c>
      <c r="U236" s="80">
        <f t="shared" si="7"/>
        <v>1969.0310576923077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6"/>
        <v>14802.460000000001</v>
      </c>
      <c r="U237" s="80">
        <f t="shared" si="7"/>
        <v>142.33134615384617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6"/>
        <v>2156.79</v>
      </c>
      <c r="U238" s="80">
        <f t="shared" si="7"/>
        <v>20.738365384615385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6"/>
        <v>0</v>
      </c>
      <c r="U239" s="80">
        <f t="shared" si="7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6"/>
        <v>0</v>
      </c>
      <c r="U240" s="80">
        <f t="shared" si="7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6"/>
        <v>863404.71000000008</v>
      </c>
      <c r="U241" s="80">
        <f t="shared" si="7"/>
        <v>8301.9683653846168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6"/>
        <v>0</v>
      </c>
      <c r="U242" s="80">
        <f t="shared" si="7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6"/>
        <v>0</v>
      </c>
      <c r="U243" s="80">
        <f t="shared" si="7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6"/>
        <v>3814.5899999999997</v>
      </c>
      <c r="U244" s="80">
        <f t="shared" si="7"/>
        <v>36.678749999999994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6"/>
        <v>2734.5699999999997</v>
      </c>
      <c r="U245" s="80">
        <f t="shared" si="7"/>
        <v>26.293942307692305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6"/>
        <v>0</v>
      </c>
      <c r="U246" s="80">
        <f t="shared" si="7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6"/>
        <v>26354.32</v>
      </c>
      <c r="U247" s="80">
        <f t="shared" si="7"/>
        <v>253.40692307692308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6"/>
        <v>4524.6000000000004</v>
      </c>
      <c r="U248" s="80">
        <f t="shared" si="7"/>
        <v>43.505769230769232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6"/>
        <v>28295.75</v>
      </c>
      <c r="U249" s="80">
        <f t="shared" si="7"/>
        <v>272.07451923076923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6"/>
        <v>0</v>
      </c>
      <c r="U250" s="80">
        <f t="shared" si="7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6"/>
        <v>0</v>
      </c>
      <c r="U251" s="80">
        <f t="shared" si="7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6"/>
        <v>65723.83</v>
      </c>
      <c r="U252" s="80">
        <f t="shared" si="7"/>
        <v>631.95990384615391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6"/>
        <v>0</v>
      </c>
      <c r="U253" s="80">
        <f t="shared" si="7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6"/>
        <v>0</v>
      </c>
      <c r="U254" s="80">
        <f t="shared" si="7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6"/>
        <v>0</v>
      </c>
      <c r="U255" s="80">
        <f t="shared" si="7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6"/>
        <v>456490.04</v>
      </c>
      <c r="U256" s="80">
        <f t="shared" si="7"/>
        <v>4389.3273076923078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6"/>
        <v>0</v>
      </c>
      <c r="U257" s="80">
        <f t="shared" si="7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6"/>
        <v>22943.86</v>
      </c>
      <c r="U258" s="80">
        <f t="shared" si="7"/>
        <v>220.61403846153846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6"/>
        <v>0</v>
      </c>
      <c r="U259" s="80">
        <f t="shared" si="7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6"/>
        <v>0</v>
      </c>
      <c r="U260" s="80">
        <f t="shared" si="7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6"/>
        <v>151388.83000000002</v>
      </c>
      <c r="U261" s="80">
        <f t="shared" si="7"/>
        <v>1455.6618269230771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6"/>
        <v>56233.119999999995</v>
      </c>
      <c r="U262" s="80">
        <f t="shared" si="7"/>
        <v>540.70307692307688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6"/>
        <v>687055.85</v>
      </c>
      <c r="U263" s="80">
        <f t="shared" si="7"/>
        <v>6606.3062499999996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6"/>
        <v>0</v>
      </c>
      <c r="U264" s="80">
        <f t="shared" si="7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8">IFERROR(B265+E265+H265+K265+N265+Q265, "NA")</f>
        <v>0</v>
      </c>
      <c r="U265" s="80">
        <f t="shared" ref="U265:U327" si="9">(T265/$V$1)/4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8"/>
        <v>0</v>
      </c>
      <c r="U266" s="80">
        <f t="shared" si="9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8"/>
        <v>0</v>
      </c>
      <c r="U267" s="80">
        <f t="shared" si="9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8"/>
        <v>-33.08</v>
      </c>
      <c r="U268" s="80">
        <f t="shared" si="9"/>
        <v>-0.31807692307692303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8"/>
        <v>0</v>
      </c>
      <c r="U269" s="80">
        <f t="shared" si="9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8"/>
        <v>0</v>
      </c>
      <c r="U270" s="80">
        <f t="shared" si="9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8"/>
        <v>0</v>
      </c>
      <c r="U271" s="80">
        <f t="shared" si="9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8"/>
        <v>0</v>
      </c>
      <c r="U272" s="80">
        <f t="shared" si="9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8"/>
        <v>0</v>
      </c>
      <c r="U273" s="80">
        <f t="shared" si="9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8"/>
        <v>0</v>
      </c>
      <c r="U274" s="80">
        <f t="shared" si="9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8"/>
        <v>0</v>
      </c>
      <c r="U275" s="80">
        <f t="shared" si="9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8"/>
        <v>0</v>
      </c>
      <c r="U276" s="80">
        <f t="shared" si="9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8"/>
        <v>0</v>
      </c>
      <c r="U277" s="80">
        <f t="shared" si="9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8"/>
        <v>-415848.28</v>
      </c>
      <c r="U278" s="80">
        <f t="shared" si="9"/>
        <v>-3998.541153846154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8"/>
        <v>0</v>
      </c>
      <c r="U279" s="80">
        <f t="shared" si="9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8"/>
        <v>0</v>
      </c>
      <c r="U280" s="80">
        <f t="shared" si="9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8"/>
        <v>0</v>
      </c>
      <c r="U281" s="80">
        <f t="shared" si="9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8"/>
        <v>0</v>
      </c>
      <c r="U282" s="80">
        <f t="shared" si="9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8"/>
        <v>-415881.36</v>
      </c>
      <c r="U283" s="80">
        <f t="shared" si="9"/>
        <v>-3998.8592307692306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8"/>
        <v>1200303.03</v>
      </c>
      <c r="U284" s="80">
        <f t="shared" si="9"/>
        <v>11541.375288461539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8"/>
        <v>0</v>
      </c>
      <c r="U285" s="80">
        <f t="shared" si="9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8"/>
        <v>0</v>
      </c>
      <c r="U286" s="80">
        <f t="shared" si="9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8"/>
        <v>0</v>
      </c>
      <c r="U287" s="80">
        <f t="shared" si="9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8"/>
        <v>0</v>
      </c>
      <c r="U288" s="80">
        <f t="shared" si="9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8"/>
        <v>68669.119999999995</v>
      </c>
      <c r="U289" s="80">
        <f t="shared" si="9"/>
        <v>660.28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8"/>
        <v>590935.91</v>
      </c>
      <c r="U290" s="80">
        <f t="shared" si="9"/>
        <v>5682.0760576923076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8"/>
        <v>74</v>
      </c>
      <c r="U291" s="80">
        <f t="shared" si="9"/>
        <v>0.71153846153846156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8"/>
        <v>15742</v>
      </c>
      <c r="U292" s="80">
        <f t="shared" si="9"/>
        <v>151.36538461538461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8"/>
        <v>1522.53</v>
      </c>
      <c r="U293" s="80">
        <f t="shared" si="9"/>
        <v>14.639711538461539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8"/>
        <v>39694.439999999995</v>
      </c>
      <c r="U294" s="80">
        <f t="shared" si="9"/>
        <v>381.67730769230764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8"/>
        <v>0</v>
      </c>
      <c r="U295" s="80">
        <f t="shared" si="9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8"/>
        <v>0</v>
      </c>
      <c r="U296" s="80">
        <f t="shared" si="9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8"/>
        <v>482.48</v>
      </c>
      <c r="U297" s="80">
        <f t="shared" si="9"/>
        <v>4.6392307692307693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8"/>
        <v>0</v>
      </c>
      <c r="U298" s="80">
        <f t="shared" si="9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8"/>
        <v>0</v>
      </c>
      <c r="U299" s="80">
        <f t="shared" si="9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8"/>
        <v>0</v>
      </c>
      <c r="U300" s="80">
        <f t="shared" si="9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8"/>
        <v>0</v>
      </c>
      <c r="U301" s="80">
        <f t="shared" si="9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8"/>
        <v>0</v>
      </c>
      <c r="U302" s="80">
        <f t="shared" si="9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8"/>
        <v>0</v>
      </c>
      <c r="U303" s="80">
        <f t="shared" si="9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8"/>
        <v>0</v>
      </c>
      <c r="U304" s="80">
        <f t="shared" si="9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8"/>
        <v>0</v>
      </c>
      <c r="U305" s="80">
        <f t="shared" si="9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8"/>
        <v>0</v>
      </c>
      <c r="U306" s="80">
        <f t="shared" si="9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8"/>
        <v>0</v>
      </c>
      <c r="U307" s="80">
        <f t="shared" si="9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8"/>
        <v>0</v>
      </c>
      <c r="U308" s="80">
        <f t="shared" si="9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8"/>
        <v>0</v>
      </c>
      <c r="U309" s="80">
        <f t="shared" si="9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8"/>
        <v>0</v>
      </c>
      <c r="U310" s="80">
        <f t="shared" si="9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8"/>
        <v>0</v>
      </c>
      <c r="U311" s="80">
        <f t="shared" si="9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8"/>
        <v>0</v>
      </c>
      <c r="U312" s="80">
        <f t="shared" si="9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8"/>
        <v>0</v>
      </c>
      <c r="U313" s="80">
        <f t="shared" si="9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8"/>
        <v>717120.4800000001</v>
      </c>
      <c r="U314" s="80">
        <f t="shared" si="9"/>
        <v>6895.3892307692313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8"/>
        <v>0</v>
      </c>
      <c r="U315" s="80">
        <f t="shared" si="9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8"/>
        <v>0</v>
      </c>
      <c r="U316" s="80">
        <f t="shared" si="9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8"/>
        <v>0</v>
      </c>
      <c r="U317" s="80">
        <f t="shared" si="9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8"/>
        <v>0</v>
      </c>
      <c r="U318" s="80">
        <f t="shared" si="9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8"/>
        <v>170</v>
      </c>
      <c r="U319" s="80">
        <f t="shared" si="9"/>
        <v>1.6346153846153846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8"/>
        <v>0</v>
      </c>
      <c r="U320" s="80">
        <f t="shared" si="9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8"/>
        <v>0</v>
      </c>
      <c r="U321" s="80">
        <f t="shared" si="9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8"/>
        <v>0</v>
      </c>
      <c r="U322" s="80">
        <f t="shared" si="9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8"/>
        <v>0</v>
      </c>
      <c r="U323" s="80">
        <f t="shared" si="9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8"/>
        <v>170</v>
      </c>
      <c r="U324" s="80">
        <f t="shared" si="9"/>
        <v>1.6346153846153846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8"/>
        <v>717290.4800000001</v>
      </c>
      <c r="U325" s="80">
        <f t="shared" si="9"/>
        <v>6897.0238461538474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8"/>
        <v>3910740.629999999</v>
      </c>
      <c r="U326" s="80">
        <f t="shared" si="9"/>
        <v>37603.275288461526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8"/>
        <v>11439240.35</v>
      </c>
      <c r="U327" s="80">
        <f t="shared" si="9"/>
        <v>109992.69567307692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2026-08-24T19:09:31Z</dcterms:created>
  <dcterms:modified xsi:type="dcterms:W3CDTF">2026-08-24T19:26:37Z</dcterms:modified>
</cp:coreProperties>
</file>