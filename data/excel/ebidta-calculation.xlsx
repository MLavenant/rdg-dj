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8_{0FD95CFC-D412-45F9-A397-1A41C5BFBEF1}" xr6:coauthVersionLast="47" xr6:coauthVersionMax="47" xr10:uidLastSave="{00000000-0000-0000-0000-000000000000}"/>
  <bookViews>
    <workbookView xWindow="-120" yWindow="-120" windowWidth="29040" windowHeight="15720" xr2:uid="{4D0FF4E0-719F-4FA7-A162-20EBE03DBE4E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27" i="2" l="1"/>
  <c r="U327" i="2" s="1"/>
  <c r="Q325" i="2"/>
  <c r="R325" i="2" s="1"/>
  <c r="N325" i="2"/>
  <c r="O325" i="2" s="1"/>
  <c r="L325" i="2"/>
  <c r="K325" i="2"/>
  <c r="H325" i="2"/>
  <c r="I325" i="2" s="1"/>
  <c r="E325" i="2"/>
  <c r="F325" i="2" s="1"/>
  <c r="B325" i="2"/>
  <c r="C325" i="2" s="1"/>
  <c r="Q324" i="2"/>
  <c r="R324" i="2" s="1"/>
  <c r="O324" i="2"/>
  <c r="N324" i="2"/>
  <c r="K324" i="2"/>
  <c r="L324" i="2" s="1"/>
  <c r="H324" i="2"/>
  <c r="I324" i="2" s="1"/>
  <c r="E324" i="2"/>
  <c r="F324" i="2" s="1"/>
  <c r="B324" i="2"/>
  <c r="C324" i="2" s="1"/>
  <c r="T323" i="2"/>
  <c r="U323" i="2" s="1"/>
  <c r="R323" i="2"/>
  <c r="O323" i="2"/>
  <c r="L323" i="2"/>
  <c r="I323" i="2"/>
  <c r="F323" i="2"/>
  <c r="C323" i="2"/>
  <c r="T322" i="2"/>
  <c r="U322" i="2" s="1"/>
  <c r="R322" i="2"/>
  <c r="O322" i="2"/>
  <c r="L322" i="2"/>
  <c r="I322" i="2"/>
  <c r="F322" i="2"/>
  <c r="C322" i="2"/>
  <c r="T321" i="2"/>
  <c r="U321" i="2" s="1"/>
  <c r="R321" i="2"/>
  <c r="O321" i="2"/>
  <c r="L321" i="2"/>
  <c r="I321" i="2"/>
  <c r="F321" i="2"/>
  <c r="C321" i="2"/>
  <c r="T320" i="2"/>
  <c r="U320" i="2" s="1"/>
  <c r="R320" i="2"/>
  <c r="O320" i="2"/>
  <c r="L320" i="2"/>
  <c r="I320" i="2"/>
  <c r="F320" i="2"/>
  <c r="C320" i="2"/>
  <c r="T319" i="2"/>
  <c r="U319" i="2" s="1"/>
  <c r="R319" i="2"/>
  <c r="O319" i="2"/>
  <c r="L319" i="2"/>
  <c r="I319" i="2"/>
  <c r="F319" i="2"/>
  <c r="C319" i="2"/>
  <c r="T318" i="2"/>
  <c r="U318" i="2" s="1"/>
  <c r="R318" i="2"/>
  <c r="O318" i="2"/>
  <c r="L318" i="2"/>
  <c r="I318" i="2"/>
  <c r="F318" i="2"/>
  <c r="C318" i="2"/>
  <c r="T317" i="2"/>
  <c r="U317" i="2" s="1"/>
  <c r="R317" i="2"/>
  <c r="O317" i="2"/>
  <c r="L317" i="2"/>
  <c r="I317" i="2"/>
  <c r="F317" i="2"/>
  <c r="C317" i="2"/>
  <c r="T316" i="2"/>
  <c r="U316" i="2" s="1"/>
  <c r="R316" i="2"/>
  <c r="O316" i="2"/>
  <c r="L316" i="2"/>
  <c r="I316" i="2"/>
  <c r="F316" i="2"/>
  <c r="C316" i="2"/>
  <c r="T315" i="2"/>
  <c r="U315" i="2" s="1"/>
  <c r="Q314" i="2"/>
  <c r="R314" i="2" s="1"/>
  <c r="N314" i="2"/>
  <c r="O314" i="2" s="1"/>
  <c r="K314" i="2"/>
  <c r="L314" i="2" s="1"/>
  <c r="I314" i="2"/>
  <c r="H314" i="2"/>
  <c r="E314" i="2"/>
  <c r="F314" i="2" s="1"/>
  <c r="B314" i="2"/>
  <c r="C314" i="2" s="1"/>
  <c r="T313" i="2"/>
  <c r="U313" i="2" s="1"/>
  <c r="R313" i="2"/>
  <c r="O313" i="2"/>
  <c r="L313" i="2"/>
  <c r="I313" i="2"/>
  <c r="F313" i="2"/>
  <c r="C313" i="2"/>
  <c r="T312" i="2"/>
  <c r="U312" i="2" s="1"/>
  <c r="D199" i="1" s="1"/>
  <c r="R312" i="2"/>
  <c r="O312" i="2"/>
  <c r="L312" i="2"/>
  <c r="I312" i="2"/>
  <c r="F312" i="2"/>
  <c r="C312" i="2"/>
  <c r="T311" i="2"/>
  <c r="U311" i="2" s="1"/>
  <c r="R311" i="2"/>
  <c r="O311" i="2"/>
  <c r="L311" i="2"/>
  <c r="I311" i="2"/>
  <c r="F311" i="2"/>
  <c r="C311" i="2"/>
  <c r="T310" i="2"/>
  <c r="U310" i="2" s="1"/>
  <c r="R310" i="2"/>
  <c r="O310" i="2"/>
  <c r="L310" i="2"/>
  <c r="I310" i="2"/>
  <c r="F310" i="2"/>
  <c r="C310" i="2"/>
  <c r="T309" i="2"/>
  <c r="U309" i="2" s="1"/>
  <c r="R309" i="2"/>
  <c r="O309" i="2"/>
  <c r="L309" i="2"/>
  <c r="I309" i="2"/>
  <c r="F309" i="2"/>
  <c r="C309" i="2"/>
  <c r="T308" i="2"/>
  <c r="U308" i="2" s="1"/>
  <c r="R308" i="2"/>
  <c r="O308" i="2"/>
  <c r="L308" i="2"/>
  <c r="I308" i="2"/>
  <c r="F308" i="2"/>
  <c r="C308" i="2"/>
  <c r="T307" i="2"/>
  <c r="U307" i="2" s="1"/>
  <c r="D194" i="1" s="1"/>
  <c r="R307" i="2"/>
  <c r="O307" i="2"/>
  <c r="L307" i="2"/>
  <c r="I307" i="2"/>
  <c r="F307" i="2"/>
  <c r="C307" i="2"/>
  <c r="T306" i="2"/>
  <c r="U306" i="2" s="1"/>
  <c r="R306" i="2"/>
  <c r="O306" i="2"/>
  <c r="L306" i="2"/>
  <c r="I306" i="2"/>
  <c r="F306" i="2"/>
  <c r="C306" i="2"/>
  <c r="T305" i="2"/>
  <c r="U305" i="2" s="1"/>
  <c r="R305" i="2"/>
  <c r="O305" i="2"/>
  <c r="L305" i="2"/>
  <c r="I305" i="2"/>
  <c r="F305" i="2"/>
  <c r="C305" i="2"/>
  <c r="T304" i="2"/>
  <c r="U304" i="2" s="1"/>
  <c r="R304" i="2"/>
  <c r="O304" i="2"/>
  <c r="L304" i="2"/>
  <c r="I304" i="2"/>
  <c r="F304" i="2"/>
  <c r="C304" i="2"/>
  <c r="T303" i="2"/>
  <c r="U303" i="2" s="1"/>
  <c r="R303" i="2"/>
  <c r="O303" i="2"/>
  <c r="L303" i="2"/>
  <c r="I303" i="2"/>
  <c r="F303" i="2"/>
  <c r="C303" i="2"/>
  <c r="T302" i="2"/>
  <c r="U302" i="2" s="1"/>
  <c r="R302" i="2"/>
  <c r="O302" i="2"/>
  <c r="L302" i="2"/>
  <c r="I302" i="2"/>
  <c r="F302" i="2"/>
  <c r="C302" i="2"/>
  <c r="T301" i="2"/>
  <c r="U301" i="2" s="1"/>
  <c r="R301" i="2"/>
  <c r="O301" i="2"/>
  <c r="L301" i="2"/>
  <c r="I301" i="2"/>
  <c r="F301" i="2"/>
  <c r="C301" i="2"/>
  <c r="T300" i="2"/>
  <c r="U300" i="2" s="1"/>
  <c r="D187" i="1" s="1"/>
  <c r="R300" i="2"/>
  <c r="O300" i="2"/>
  <c r="L300" i="2"/>
  <c r="I300" i="2"/>
  <c r="F300" i="2"/>
  <c r="C300" i="2"/>
  <c r="T299" i="2"/>
  <c r="U299" i="2" s="1"/>
  <c r="R299" i="2"/>
  <c r="O299" i="2"/>
  <c r="L299" i="2"/>
  <c r="I299" i="2"/>
  <c r="F299" i="2"/>
  <c r="C299" i="2"/>
  <c r="T298" i="2"/>
  <c r="U298" i="2" s="1"/>
  <c r="R298" i="2"/>
  <c r="O298" i="2"/>
  <c r="L298" i="2"/>
  <c r="I298" i="2"/>
  <c r="F298" i="2"/>
  <c r="C298" i="2"/>
  <c r="T297" i="2"/>
  <c r="U297" i="2" s="1"/>
  <c r="R297" i="2"/>
  <c r="O297" i="2"/>
  <c r="L297" i="2"/>
  <c r="I297" i="2"/>
  <c r="F297" i="2"/>
  <c r="C297" i="2"/>
  <c r="T296" i="2"/>
  <c r="U296" i="2" s="1"/>
  <c r="R296" i="2"/>
  <c r="O296" i="2"/>
  <c r="L296" i="2"/>
  <c r="I296" i="2"/>
  <c r="F296" i="2"/>
  <c r="C296" i="2"/>
  <c r="T295" i="2"/>
  <c r="U295" i="2" s="1"/>
  <c r="D182" i="1" s="1"/>
  <c r="R295" i="2"/>
  <c r="O295" i="2"/>
  <c r="L295" i="2"/>
  <c r="I295" i="2"/>
  <c r="F295" i="2"/>
  <c r="C295" i="2"/>
  <c r="T294" i="2"/>
  <c r="U294" i="2" s="1"/>
  <c r="R294" i="2"/>
  <c r="O294" i="2"/>
  <c r="L294" i="2"/>
  <c r="I294" i="2"/>
  <c r="F294" i="2"/>
  <c r="C294" i="2"/>
  <c r="U293" i="2"/>
  <c r="T293" i="2"/>
  <c r="R293" i="2"/>
  <c r="O293" i="2"/>
  <c r="L293" i="2"/>
  <c r="I293" i="2"/>
  <c r="F293" i="2"/>
  <c r="C293" i="2"/>
  <c r="T292" i="2"/>
  <c r="U292" i="2" s="1"/>
  <c r="R292" i="2"/>
  <c r="O292" i="2"/>
  <c r="L292" i="2"/>
  <c r="I292" i="2"/>
  <c r="F292" i="2"/>
  <c r="C292" i="2"/>
  <c r="T291" i="2"/>
  <c r="U291" i="2" s="1"/>
  <c r="R291" i="2"/>
  <c r="O291" i="2"/>
  <c r="L291" i="2"/>
  <c r="I291" i="2"/>
  <c r="F291" i="2"/>
  <c r="C291" i="2"/>
  <c r="T290" i="2"/>
  <c r="U290" i="2" s="1"/>
  <c r="D177" i="1" s="1"/>
  <c r="R290" i="2"/>
  <c r="O290" i="2"/>
  <c r="L290" i="2"/>
  <c r="I290" i="2"/>
  <c r="F290" i="2"/>
  <c r="C290" i="2"/>
  <c r="T289" i="2"/>
  <c r="U289" i="2" s="1"/>
  <c r="R289" i="2"/>
  <c r="O289" i="2"/>
  <c r="L289" i="2"/>
  <c r="I289" i="2"/>
  <c r="F289" i="2"/>
  <c r="C289" i="2"/>
  <c r="T288" i="2"/>
  <c r="U288" i="2" s="1"/>
  <c r="R288" i="2"/>
  <c r="O288" i="2"/>
  <c r="L288" i="2"/>
  <c r="I288" i="2"/>
  <c r="F288" i="2"/>
  <c r="C288" i="2"/>
  <c r="U287" i="2"/>
  <c r="T287" i="2"/>
  <c r="R287" i="2"/>
  <c r="O287" i="2"/>
  <c r="L287" i="2"/>
  <c r="I287" i="2"/>
  <c r="F287" i="2"/>
  <c r="C287" i="2"/>
  <c r="T286" i="2"/>
  <c r="U286" i="2" s="1"/>
  <c r="T285" i="2"/>
  <c r="U285" i="2" s="1"/>
  <c r="Q284" i="2"/>
  <c r="R284" i="2" s="1"/>
  <c r="N284" i="2"/>
  <c r="O284" i="2" s="1"/>
  <c r="K284" i="2"/>
  <c r="L284" i="2" s="1"/>
  <c r="H284" i="2"/>
  <c r="I284" i="2" s="1"/>
  <c r="E284" i="2"/>
  <c r="F284" i="2" s="1"/>
  <c r="B284" i="2"/>
  <c r="T284" i="2" s="1"/>
  <c r="U284" i="2" s="1"/>
  <c r="Q283" i="2"/>
  <c r="R283" i="2" s="1"/>
  <c r="N283" i="2"/>
  <c r="O283" i="2" s="1"/>
  <c r="K283" i="2"/>
  <c r="L283" i="2" s="1"/>
  <c r="H283" i="2"/>
  <c r="I283" i="2" s="1"/>
  <c r="E283" i="2"/>
  <c r="T283" i="2" s="1"/>
  <c r="U283" i="2" s="1"/>
  <c r="B283" i="2"/>
  <c r="C283" i="2" s="1"/>
  <c r="T282" i="2"/>
  <c r="U282" i="2" s="1"/>
  <c r="R282" i="2"/>
  <c r="O282" i="2"/>
  <c r="L282" i="2"/>
  <c r="I282" i="2"/>
  <c r="F282" i="2"/>
  <c r="C282" i="2"/>
  <c r="T281" i="2"/>
  <c r="U281" i="2" s="1"/>
  <c r="D170" i="1" s="1"/>
  <c r="R281" i="2"/>
  <c r="O281" i="2"/>
  <c r="L281" i="2"/>
  <c r="I281" i="2"/>
  <c r="F281" i="2"/>
  <c r="C281" i="2"/>
  <c r="T280" i="2"/>
  <c r="U280" i="2" s="1"/>
  <c r="R280" i="2"/>
  <c r="O280" i="2"/>
  <c r="L280" i="2"/>
  <c r="I280" i="2"/>
  <c r="F280" i="2"/>
  <c r="C280" i="2"/>
  <c r="T279" i="2"/>
  <c r="U279" i="2" s="1"/>
  <c r="R279" i="2"/>
  <c r="O279" i="2"/>
  <c r="L279" i="2"/>
  <c r="I279" i="2"/>
  <c r="F279" i="2"/>
  <c r="C279" i="2"/>
  <c r="T278" i="2"/>
  <c r="U278" i="2" s="1"/>
  <c r="D167" i="1" s="1"/>
  <c r="R278" i="2"/>
  <c r="O278" i="2"/>
  <c r="L278" i="2"/>
  <c r="I278" i="2"/>
  <c r="F278" i="2"/>
  <c r="C278" i="2"/>
  <c r="T277" i="2"/>
  <c r="U277" i="2" s="1"/>
  <c r="D166" i="1" s="1"/>
  <c r="R277" i="2"/>
  <c r="O277" i="2"/>
  <c r="L277" i="2"/>
  <c r="I277" i="2"/>
  <c r="F277" i="2"/>
  <c r="C277" i="2"/>
  <c r="T276" i="2"/>
  <c r="U276" i="2" s="1"/>
  <c r="R276" i="2"/>
  <c r="O276" i="2"/>
  <c r="L276" i="2"/>
  <c r="I276" i="2"/>
  <c r="F276" i="2"/>
  <c r="C276" i="2"/>
  <c r="U275" i="2"/>
  <c r="T275" i="2"/>
  <c r="R275" i="2"/>
  <c r="O275" i="2"/>
  <c r="L275" i="2"/>
  <c r="I275" i="2"/>
  <c r="F275" i="2"/>
  <c r="C275" i="2"/>
  <c r="T274" i="2"/>
  <c r="U274" i="2" s="1"/>
  <c r="R274" i="2"/>
  <c r="O274" i="2"/>
  <c r="L274" i="2"/>
  <c r="I274" i="2"/>
  <c r="F274" i="2"/>
  <c r="C274" i="2"/>
  <c r="T273" i="2"/>
  <c r="U273" i="2" s="1"/>
  <c r="R273" i="2"/>
  <c r="O273" i="2"/>
  <c r="L273" i="2"/>
  <c r="I273" i="2"/>
  <c r="F273" i="2"/>
  <c r="C273" i="2"/>
  <c r="T272" i="2"/>
  <c r="U272" i="2" s="1"/>
  <c r="D161" i="1" s="1"/>
  <c r="R272" i="2"/>
  <c r="O272" i="2"/>
  <c r="L272" i="2"/>
  <c r="I272" i="2"/>
  <c r="F272" i="2"/>
  <c r="C272" i="2"/>
  <c r="T271" i="2"/>
  <c r="U271" i="2" s="1"/>
  <c r="D160" i="1" s="1"/>
  <c r="R271" i="2"/>
  <c r="O271" i="2"/>
  <c r="L271" i="2"/>
  <c r="I271" i="2"/>
  <c r="F271" i="2"/>
  <c r="C271" i="2"/>
  <c r="T270" i="2"/>
  <c r="U270" i="2" s="1"/>
  <c r="R270" i="2"/>
  <c r="O270" i="2"/>
  <c r="L270" i="2"/>
  <c r="I270" i="2"/>
  <c r="F270" i="2"/>
  <c r="C270" i="2"/>
  <c r="T269" i="2"/>
  <c r="U269" i="2" s="1"/>
  <c r="D158" i="1" s="1"/>
  <c r="R269" i="2"/>
  <c r="O269" i="2"/>
  <c r="L269" i="2"/>
  <c r="I269" i="2"/>
  <c r="F269" i="2"/>
  <c r="C269" i="2"/>
  <c r="T268" i="2"/>
  <c r="U268" i="2" s="1"/>
  <c r="R268" i="2"/>
  <c r="O268" i="2"/>
  <c r="L268" i="2"/>
  <c r="I268" i="2"/>
  <c r="F268" i="2"/>
  <c r="C268" i="2"/>
  <c r="T267" i="2"/>
  <c r="U267" i="2" s="1"/>
  <c r="R267" i="2"/>
  <c r="O267" i="2"/>
  <c r="L267" i="2"/>
  <c r="I267" i="2"/>
  <c r="F267" i="2"/>
  <c r="C267" i="2"/>
  <c r="U266" i="2"/>
  <c r="D155" i="1" s="1"/>
  <c r="T266" i="2"/>
  <c r="R266" i="2"/>
  <c r="O266" i="2"/>
  <c r="L266" i="2"/>
  <c r="I266" i="2"/>
  <c r="F266" i="2"/>
  <c r="C266" i="2"/>
  <c r="T265" i="2"/>
  <c r="U265" i="2" s="1"/>
  <c r="R265" i="2"/>
  <c r="O265" i="2"/>
  <c r="L265" i="2"/>
  <c r="I265" i="2"/>
  <c r="F265" i="2"/>
  <c r="C265" i="2"/>
  <c r="T264" i="2"/>
  <c r="U264" i="2" s="1"/>
  <c r="Q263" i="2"/>
  <c r="R263" i="2" s="1"/>
  <c r="N263" i="2"/>
  <c r="O263" i="2" s="1"/>
  <c r="L263" i="2"/>
  <c r="K263" i="2"/>
  <c r="H263" i="2"/>
  <c r="I263" i="2" s="1"/>
  <c r="E263" i="2"/>
  <c r="F263" i="2" s="1"/>
  <c r="B263" i="2"/>
  <c r="C263" i="2" s="1"/>
  <c r="T262" i="2"/>
  <c r="U262" i="2" s="1"/>
  <c r="R262" i="2"/>
  <c r="O262" i="2"/>
  <c r="L262" i="2"/>
  <c r="I262" i="2"/>
  <c r="F262" i="2"/>
  <c r="C262" i="2"/>
  <c r="T261" i="2"/>
  <c r="U261" i="2" s="1"/>
  <c r="R261" i="2"/>
  <c r="O261" i="2"/>
  <c r="L261" i="2"/>
  <c r="I261" i="2"/>
  <c r="F261" i="2"/>
  <c r="C261" i="2"/>
  <c r="T260" i="2"/>
  <c r="U260" i="2" s="1"/>
  <c r="D149" i="1" s="1"/>
  <c r="R260" i="2"/>
  <c r="O260" i="2"/>
  <c r="L260" i="2"/>
  <c r="I260" i="2"/>
  <c r="F260" i="2"/>
  <c r="C260" i="2"/>
  <c r="T259" i="2"/>
  <c r="U259" i="2" s="1"/>
  <c r="D148" i="1" s="1"/>
  <c r="R259" i="2"/>
  <c r="O259" i="2"/>
  <c r="L259" i="2"/>
  <c r="I259" i="2"/>
  <c r="F259" i="2"/>
  <c r="C259" i="2"/>
  <c r="T258" i="2"/>
  <c r="U258" i="2" s="1"/>
  <c r="R258" i="2"/>
  <c r="O258" i="2"/>
  <c r="L258" i="2"/>
  <c r="I258" i="2"/>
  <c r="F258" i="2"/>
  <c r="C258" i="2"/>
  <c r="T257" i="2"/>
  <c r="U257" i="2" s="1"/>
  <c r="D146" i="1" s="1"/>
  <c r="R257" i="2"/>
  <c r="O257" i="2"/>
  <c r="L257" i="2"/>
  <c r="I257" i="2"/>
  <c r="F257" i="2"/>
  <c r="C257" i="2"/>
  <c r="T256" i="2"/>
  <c r="U256" i="2" s="1"/>
  <c r="R256" i="2"/>
  <c r="O256" i="2"/>
  <c r="L256" i="2"/>
  <c r="I256" i="2"/>
  <c r="F256" i="2"/>
  <c r="C256" i="2"/>
  <c r="T255" i="2"/>
  <c r="U255" i="2" s="1"/>
  <c r="D144" i="1" s="1"/>
  <c r="R255" i="2"/>
  <c r="O255" i="2"/>
  <c r="L255" i="2"/>
  <c r="I255" i="2"/>
  <c r="F255" i="2"/>
  <c r="C255" i="2"/>
  <c r="T254" i="2"/>
  <c r="U254" i="2" s="1"/>
  <c r="R254" i="2"/>
  <c r="O254" i="2"/>
  <c r="L254" i="2"/>
  <c r="I254" i="2"/>
  <c r="F254" i="2"/>
  <c r="C254" i="2"/>
  <c r="T253" i="2"/>
  <c r="U253" i="2" s="1"/>
  <c r="Q252" i="2"/>
  <c r="R252" i="2" s="1"/>
  <c r="N252" i="2"/>
  <c r="O252" i="2" s="1"/>
  <c r="K252" i="2"/>
  <c r="L252" i="2" s="1"/>
  <c r="H252" i="2"/>
  <c r="I252" i="2" s="1"/>
  <c r="E252" i="2"/>
  <c r="F252" i="2" s="1"/>
  <c r="B252" i="2"/>
  <c r="C252" i="2" s="1"/>
  <c r="T251" i="2"/>
  <c r="U251" i="2" s="1"/>
  <c r="D140" i="1" s="1"/>
  <c r="R251" i="2"/>
  <c r="O251" i="2"/>
  <c r="L251" i="2"/>
  <c r="I251" i="2"/>
  <c r="F251" i="2"/>
  <c r="C251" i="2"/>
  <c r="T250" i="2"/>
  <c r="U250" i="2" s="1"/>
  <c r="R250" i="2"/>
  <c r="O250" i="2"/>
  <c r="L250" i="2"/>
  <c r="I250" i="2"/>
  <c r="F250" i="2"/>
  <c r="C250" i="2"/>
  <c r="T249" i="2"/>
  <c r="U249" i="2" s="1"/>
  <c r="R249" i="2"/>
  <c r="O249" i="2"/>
  <c r="L249" i="2"/>
  <c r="I249" i="2"/>
  <c r="F249" i="2"/>
  <c r="C249" i="2"/>
  <c r="T248" i="2"/>
  <c r="U248" i="2" s="1"/>
  <c r="D137" i="1" s="1"/>
  <c r="R248" i="2"/>
  <c r="O248" i="2"/>
  <c r="L248" i="2"/>
  <c r="I248" i="2"/>
  <c r="F248" i="2"/>
  <c r="C248" i="2"/>
  <c r="T247" i="2"/>
  <c r="U247" i="2" s="1"/>
  <c r="D136" i="1" s="1"/>
  <c r="R247" i="2"/>
  <c r="O247" i="2"/>
  <c r="L247" i="2"/>
  <c r="I247" i="2"/>
  <c r="F247" i="2"/>
  <c r="C247" i="2"/>
  <c r="T246" i="2"/>
  <c r="U246" i="2" s="1"/>
  <c r="D135" i="1" s="1"/>
  <c r="R246" i="2"/>
  <c r="O246" i="2"/>
  <c r="L246" i="2"/>
  <c r="I246" i="2"/>
  <c r="F246" i="2"/>
  <c r="C246" i="2"/>
  <c r="T245" i="2"/>
  <c r="U245" i="2" s="1"/>
  <c r="D134" i="1" s="1"/>
  <c r="R245" i="2"/>
  <c r="O245" i="2"/>
  <c r="L245" i="2"/>
  <c r="I245" i="2"/>
  <c r="F245" i="2"/>
  <c r="C245" i="2"/>
  <c r="T244" i="2"/>
  <c r="U244" i="2" s="1"/>
  <c r="R244" i="2"/>
  <c r="O244" i="2"/>
  <c r="L244" i="2"/>
  <c r="I244" i="2"/>
  <c r="F244" i="2"/>
  <c r="C244" i="2"/>
  <c r="T243" i="2"/>
  <c r="U243" i="2" s="1"/>
  <c r="R243" i="2"/>
  <c r="O243" i="2"/>
  <c r="L243" i="2"/>
  <c r="I243" i="2"/>
  <c r="F243" i="2"/>
  <c r="C243" i="2"/>
  <c r="T242" i="2"/>
  <c r="U242" i="2" s="1"/>
  <c r="Q241" i="2"/>
  <c r="R241" i="2" s="1"/>
  <c r="N241" i="2"/>
  <c r="O241" i="2" s="1"/>
  <c r="K241" i="2"/>
  <c r="L241" i="2" s="1"/>
  <c r="H241" i="2"/>
  <c r="I241" i="2" s="1"/>
  <c r="F241" i="2"/>
  <c r="E241" i="2"/>
  <c r="B241" i="2"/>
  <c r="C241" i="2" s="1"/>
  <c r="T240" i="2"/>
  <c r="U240" i="2" s="1"/>
  <c r="D129" i="1" s="1"/>
  <c r="R240" i="2"/>
  <c r="O240" i="2"/>
  <c r="L240" i="2"/>
  <c r="I240" i="2"/>
  <c r="F240" i="2"/>
  <c r="C240" i="2"/>
  <c r="U239" i="2"/>
  <c r="T239" i="2"/>
  <c r="R239" i="2"/>
  <c r="O239" i="2"/>
  <c r="L239" i="2"/>
  <c r="I239" i="2"/>
  <c r="F239" i="2"/>
  <c r="C239" i="2"/>
  <c r="T238" i="2"/>
  <c r="U238" i="2" s="1"/>
  <c r="R238" i="2"/>
  <c r="O238" i="2"/>
  <c r="L238" i="2"/>
  <c r="I238" i="2"/>
  <c r="F238" i="2"/>
  <c r="C238" i="2"/>
  <c r="T237" i="2"/>
  <c r="U237" i="2" s="1"/>
  <c r="R237" i="2"/>
  <c r="O237" i="2"/>
  <c r="L237" i="2"/>
  <c r="I237" i="2"/>
  <c r="F237" i="2"/>
  <c r="C237" i="2"/>
  <c r="T236" i="2"/>
  <c r="U236" i="2" s="1"/>
  <c r="D125" i="1" s="1"/>
  <c r="R236" i="2"/>
  <c r="O236" i="2"/>
  <c r="L236" i="2"/>
  <c r="I236" i="2"/>
  <c r="F236" i="2"/>
  <c r="C236" i="2"/>
  <c r="T235" i="2"/>
  <c r="U235" i="2" s="1"/>
  <c r="D124" i="1" s="1"/>
  <c r="R235" i="2"/>
  <c r="O235" i="2"/>
  <c r="L235" i="2"/>
  <c r="I235" i="2"/>
  <c r="F235" i="2"/>
  <c r="C235" i="2"/>
  <c r="T234" i="2"/>
  <c r="U234" i="2" s="1"/>
  <c r="R234" i="2"/>
  <c r="O234" i="2"/>
  <c r="L234" i="2"/>
  <c r="I234" i="2"/>
  <c r="F234" i="2"/>
  <c r="C234" i="2"/>
  <c r="T233" i="2"/>
  <c r="U233" i="2" s="1"/>
  <c r="D122" i="1" s="1"/>
  <c r="R233" i="2"/>
  <c r="O233" i="2"/>
  <c r="L233" i="2"/>
  <c r="I233" i="2"/>
  <c r="F233" i="2"/>
  <c r="C233" i="2"/>
  <c r="T232" i="2"/>
  <c r="U232" i="2" s="1"/>
  <c r="R232" i="2"/>
  <c r="O232" i="2"/>
  <c r="L232" i="2"/>
  <c r="I232" i="2"/>
  <c r="F232" i="2"/>
  <c r="C232" i="2"/>
  <c r="T231" i="2"/>
  <c r="U231" i="2" s="1"/>
  <c r="R231" i="2"/>
  <c r="O231" i="2"/>
  <c r="L231" i="2"/>
  <c r="I231" i="2"/>
  <c r="F231" i="2"/>
  <c r="C231" i="2"/>
  <c r="U230" i="2"/>
  <c r="D119" i="1" s="1"/>
  <c r="T230" i="2"/>
  <c r="R230" i="2"/>
  <c r="O230" i="2"/>
  <c r="L230" i="2"/>
  <c r="I230" i="2"/>
  <c r="F230" i="2"/>
  <c r="C230" i="2"/>
  <c r="T229" i="2"/>
  <c r="U229" i="2" s="1"/>
  <c r="R229" i="2"/>
  <c r="O229" i="2"/>
  <c r="L229" i="2"/>
  <c r="I229" i="2"/>
  <c r="F229" i="2"/>
  <c r="C229" i="2"/>
  <c r="T228" i="2"/>
  <c r="U228" i="2" s="1"/>
  <c r="R228" i="2"/>
  <c r="O228" i="2"/>
  <c r="L228" i="2"/>
  <c r="I228" i="2"/>
  <c r="F228" i="2"/>
  <c r="C228" i="2"/>
  <c r="T227" i="2"/>
  <c r="U227" i="2" s="1"/>
  <c r="D116" i="1" s="1"/>
  <c r="R227" i="2"/>
  <c r="O227" i="2"/>
  <c r="L227" i="2"/>
  <c r="I227" i="2"/>
  <c r="F227" i="2"/>
  <c r="C227" i="2"/>
  <c r="T226" i="2"/>
  <c r="U226" i="2" s="1"/>
  <c r="R226" i="2"/>
  <c r="O226" i="2"/>
  <c r="L226" i="2"/>
  <c r="I226" i="2"/>
  <c r="F226" i="2"/>
  <c r="C226" i="2"/>
  <c r="T225" i="2"/>
  <c r="U225" i="2" s="1"/>
  <c r="R225" i="2"/>
  <c r="O225" i="2"/>
  <c r="L225" i="2"/>
  <c r="I225" i="2"/>
  <c r="F225" i="2"/>
  <c r="C225" i="2"/>
  <c r="U224" i="2"/>
  <c r="T224" i="2"/>
  <c r="R224" i="2"/>
  <c r="O224" i="2"/>
  <c r="L224" i="2"/>
  <c r="I224" i="2"/>
  <c r="F224" i="2"/>
  <c r="C224" i="2"/>
  <c r="T223" i="2"/>
  <c r="U223" i="2" s="1"/>
  <c r="R223" i="2"/>
  <c r="O223" i="2"/>
  <c r="L223" i="2"/>
  <c r="I223" i="2"/>
  <c r="F223" i="2"/>
  <c r="C223" i="2"/>
  <c r="T222" i="2"/>
  <c r="U222" i="2" s="1"/>
  <c r="D111" i="1" s="1"/>
  <c r="R222" i="2"/>
  <c r="O222" i="2"/>
  <c r="L222" i="2"/>
  <c r="I222" i="2"/>
  <c r="F222" i="2"/>
  <c r="C222" i="2"/>
  <c r="U221" i="2"/>
  <c r="T221" i="2"/>
  <c r="R221" i="2"/>
  <c r="O221" i="2"/>
  <c r="L221" i="2"/>
  <c r="I221" i="2"/>
  <c r="F221" i="2"/>
  <c r="C221" i="2"/>
  <c r="T220" i="2"/>
  <c r="U220" i="2" s="1"/>
  <c r="R220" i="2"/>
  <c r="O220" i="2"/>
  <c r="L220" i="2"/>
  <c r="I220" i="2"/>
  <c r="F220" i="2"/>
  <c r="C220" i="2"/>
  <c r="T219" i="2"/>
  <c r="U219" i="2" s="1"/>
  <c r="R219" i="2"/>
  <c r="O219" i="2"/>
  <c r="L219" i="2"/>
  <c r="I219" i="2"/>
  <c r="F219" i="2"/>
  <c r="C219" i="2"/>
  <c r="T218" i="2"/>
  <c r="U218" i="2" s="1"/>
  <c r="D107" i="1" s="1"/>
  <c r="R218" i="2"/>
  <c r="O218" i="2"/>
  <c r="L218" i="2"/>
  <c r="I218" i="2"/>
  <c r="F218" i="2"/>
  <c r="C218" i="2"/>
  <c r="T217" i="2"/>
  <c r="U217" i="2" s="1"/>
  <c r="D106" i="1" s="1"/>
  <c r="R217" i="2"/>
  <c r="O217" i="2"/>
  <c r="L217" i="2"/>
  <c r="I217" i="2"/>
  <c r="F217" i="2"/>
  <c r="C217" i="2"/>
  <c r="T216" i="2"/>
  <c r="U216" i="2" s="1"/>
  <c r="R216" i="2"/>
  <c r="O216" i="2"/>
  <c r="L216" i="2"/>
  <c r="I216" i="2"/>
  <c r="F216" i="2"/>
  <c r="C216" i="2"/>
  <c r="T215" i="2"/>
  <c r="U215" i="2" s="1"/>
  <c r="D104" i="1" s="1"/>
  <c r="R215" i="2"/>
  <c r="O215" i="2"/>
  <c r="L215" i="2"/>
  <c r="I215" i="2"/>
  <c r="F215" i="2"/>
  <c r="C215" i="2"/>
  <c r="T214" i="2"/>
  <c r="U214" i="2" s="1"/>
  <c r="R214" i="2"/>
  <c r="O214" i="2"/>
  <c r="L214" i="2"/>
  <c r="I214" i="2"/>
  <c r="F214" i="2"/>
  <c r="C214" i="2"/>
  <c r="T213" i="2"/>
  <c r="U213" i="2" s="1"/>
  <c r="T212" i="2"/>
  <c r="U212" i="2" s="1"/>
  <c r="Q211" i="2"/>
  <c r="R211" i="2" s="1"/>
  <c r="N211" i="2"/>
  <c r="O211" i="2" s="1"/>
  <c r="K211" i="2"/>
  <c r="L211" i="2" s="1"/>
  <c r="H211" i="2"/>
  <c r="I211" i="2" s="1"/>
  <c r="E211" i="2"/>
  <c r="F211" i="2" s="1"/>
  <c r="B211" i="2"/>
  <c r="C211" i="2" s="1"/>
  <c r="T210" i="2"/>
  <c r="U210" i="2" s="1"/>
  <c r="R210" i="2"/>
  <c r="O210" i="2"/>
  <c r="L210" i="2"/>
  <c r="I210" i="2"/>
  <c r="F210" i="2"/>
  <c r="C210" i="2"/>
  <c r="Q209" i="2"/>
  <c r="R209" i="2" s="1"/>
  <c r="N209" i="2"/>
  <c r="O209" i="2" s="1"/>
  <c r="K209" i="2"/>
  <c r="L209" i="2" s="1"/>
  <c r="H209" i="2"/>
  <c r="I209" i="2" s="1"/>
  <c r="E209" i="2"/>
  <c r="F209" i="2" s="1"/>
  <c r="B209" i="2"/>
  <c r="C209" i="2" s="1"/>
  <c r="T208" i="2"/>
  <c r="U208" i="2" s="1"/>
  <c r="R208" i="2"/>
  <c r="O208" i="2"/>
  <c r="L208" i="2"/>
  <c r="I208" i="2"/>
  <c r="F208" i="2"/>
  <c r="C208" i="2"/>
  <c r="T207" i="2"/>
  <c r="U207" i="2" s="1"/>
  <c r="R207" i="2"/>
  <c r="O207" i="2"/>
  <c r="L207" i="2"/>
  <c r="I207" i="2"/>
  <c r="F207" i="2"/>
  <c r="C207" i="2"/>
  <c r="T206" i="2"/>
  <c r="U206" i="2" s="1"/>
  <c r="D98" i="1" s="1"/>
  <c r="R206" i="2"/>
  <c r="O206" i="2"/>
  <c r="L206" i="2"/>
  <c r="I206" i="2"/>
  <c r="F206" i="2"/>
  <c r="C206" i="2"/>
  <c r="T205" i="2"/>
  <c r="U205" i="2" s="1"/>
  <c r="R205" i="2"/>
  <c r="O205" i="2"/>
  <c r="L205" i="2"/>
  <c r="I205" i="2"/>
  <c r="F205" i="2"/>
  <c r="C205" i="2"/>
  <c r="T204" i="2"/>
  <c r="U204" i="2" s="1"/>
  <c r="D96" i="1" s="1"/>
  <c r="R204" i="2"/>
  <c r="O204" i="2"/>
  <c r="L204" i="2"/>
  <c r="I204" i="2"/>
  <c r="F204" i="2"/>
  <c r="C204" i="2"/>
  <c r="U203" i="2"/>
  <c r="T203" i="2"/>
  <c r="R203" i="2"/>
  <c r="O203" i="2"/>
  <c r="L203" i="2"/>
  <c r="I203" i="2"/>
  <c r="F203" i="2"/>
  <c r="C203" i="2"/>
  <c r="T202" i="2"/>
  <c r="U202" i="2" s="1"/>
  <c r="R202" i="2"/>
  <c r="O202" i="2"/>
  <c r="L202" i="2"/>
  <c r="I202" i="2"/>
  <c r="F202" i="2"/>
  <c r="C202" i="2"/>
  <c r="T201" i="2"/>
  <c r="U201" i="2" s="1"/>
  <c r="R201" i="2"/>
  <c r="O201" i="2"/>
  <c r="L201" i="2"/>
  <c r="I201" i="2"/>
  <c r="F201" i="2"/>
  <c r="C201" i="2"/>
  <c r="T200" i="2"/>
  <c r="U200" i="2" s="1"/>
  <c r="D92" i="1" s="1"/>
  <c r="R200" i="2"/>
  <c r="O200" i="2"/>
  <c r="L200" i="2"/>
  <c r="I200" i="2"/>
  <c r="F200" i="2"/>
  <c r="C200" i="2"/>
  <c r="T199" i="2"/>
  <c r="U199" i="2" s="1"/>
  <c r="R199" i="2"/>
  <c r="O199" i="2"/>
  <c r="L199" i="2"/>
  <c r="I199" i="2"/>
  <c r="F199" i="2"/>
  <c r="C199" i="2"/>
  <c r="T198" i="2"/>
  <c r="U198" i="2" s="1"/>
  <c r="R198" i="2"/>
  <c r="O198" i="2"/>
  <c r="L198" i="2"/>
  <c r="I198" i="2"/>
  <c r="F198" i="2"/>
  <c r="C198" i="2"/>
  <c r="T197" i="2"/>
  <c r="U197" i="2" s="1"/>
  <c r="D89" i="1" s="1"/>
  <c r="R197" i="2"/>
  <c r="O197" i="2"/>
  <c r="L197" i="2"/>
  <c r="I197" i="2"/>
  <c r="F197" i="2"/>
  <c r="C197" i="2"/>
  <c r="T196" i="2"/>
  <c r="U196" i="2" s="1"/>
  <c r="R196" i="2"/>
  <c r="O196" i="2"/>
  <c r="L196" i="2"/>
  <c r="I196" i="2"/>
  <c r="F196" i="2"/>
  <c r="C196" i="2"/>
  <c r="T195" i="2"/>
  <c r="U195" i="2" s="1"/>
  <c r="D87" i="1" s="1"/>
  <c r="R195" i="2"/>
  <c r="O195" i="2"/>
  <c r="L195" i="2"/>
  <c r="I195" i="2"/>
  <c r="F195" i="2"/>
  <c r="C195" i="2"/>
  <c r="T194" i="2"/>
  <c r="U194" i="2" s="1"/>
  <c r="D86" i="1" s="1"/>
  <c r="R194" i="2"/>
  <c r="O194" i="2"/>
  <c r="L194" i="2"/>
  <c r="I194" i="2"/>
  <c r="F194" i="2"/>
  <c r="C194" i="2"/>
  <c r="T193" i="2"/>
  <c r="U193" i="2" s="1"/>
  <c r="R193" i="2"/>
  <c r="O193" i="2"/>
  <c r="L193" i="2"/>
  <c r="I193" i="2"/>
  <c r="F193" i="2"/>
  <c r="C193" i="2"/>
  <c r="T192" i="2"/>
  <c r="U192" i="2" s="1"/>
  <c r="R192" i="2"/>
  <c r="O192" i="2"/>
  <c r="L192" i="2"/>
  <c r="I192" i="2"/>
  <c r="F192" i="2"/>
  <c r="C192" i="2"/>
  <c r="T191" i="2"/>
  <c r="U191" i="2" s="1"/>
  <c r="D83" i="1" s="1"/>
  <c r="R191" i="2"/>
  <c r="O191" i="2"/>
  <c r="L191" i="2"/>
  <c r="I191" i="2"/>
  <c r="F191" i="2"/>
  <c r="C191" i="2"/>
  <c r="T190" i="2"/>
  <c r="U190" i="2" s="1"/>
  <c r="R190" i="2"/>
  <c r="O190" i="2"/>
  <c r="L190" i="2"/>
  <c r="I190" i="2"/>
  <c r="F190" i="2"/>
  <c r="C190" i="2"/>
  <c r="T189" i="2"/>
  <c r="U189" i="2" s="1"/>
  <c r="R189" i="2"/>
  <c r="O189" i="2"/>
  <c r="L189" i="2"/>
  <c r="I189" i="2"/>
  <c r="F189" i="2"/>
  <c r="C189" i="2"/>
  <c r="T188" i="2"/>
  <c r="U188" i="2" s="1"/>
  <c r="D80" i="1" s="1"/>
  <c r="R188" i="2"/>
  <c r="O188" i="2"/>
  <c r="L188" i="2"/>
  <c r="I188" i="2"/>
  <c r="F188" i="2"/>
  <c r="C188" i="2"/>
  <c r="T187" i="2"/>
  <c r="U187" i="2" s="1"/>
  <c r="D79" i="1" s="1"/>
  <c r="R187" i="2"/>
  <c r="O187" i="2"/>
  <c r="L187" i="2"/>
  <c r="I187" i="2"/>
  <c r="F187" i="2"/>
  <c r="C187" i="2"/>
  <c r="T186" i="2"/>
  <c r="U186" i="2" s="1"/>
  <c r="R186" i="2"/>
  <c r="O186" i="2"/>
  <c r="L186" i="2"/>
  <c r="I186" i="2"/>
  <c r="F186" i="2"/>
  <c r="C186" i="2"/>
  <c r="U185" i="2"/>
  <c r="T185" i="2"/>
  <c r="R185" i="2"/>
  <c r="O185" i="2"/>
  <c r="L185" i="2"/>
  <c r="I185" i="2"/>
  <c r="F185" i="2"/>
  <c r="C185" i="2"/>
  <c r="T184" i="2"/>
  <c r="U184" i="2" s="1"/>
  <c r="R184" i="2"/>
  <c r="O184" i="2"/>
  <c r="L184" i="2"/>
  <c r="I184" i="2"/>
  <c r="F184" i="2"/>
  <c r="C184" i="2"/>
  <c r="T183" i="2"/>
  <c r="U183" i="2" s="1"/>
  <c r="R183" i="2"/>
  <c r="O183" i="2"/>
  <c r="L183" i="2"/>
  <c r="I183" i="2"/>
  <c r="F183" i="2"/>
  <c r="C183" i="2"/>
  <c r="T182" i="2"/>
  <c r="U182" i="2" s="1"/>
  <c r="D74" i="1" s="1"/>
  <c r="R182" i="2"/>
  <c r="O182" i="2"/>
  <c r="L182" i="2"/>
  <c r="I182" i="2"/>
  <c r="F182" i="2"/>
  <c r="C182" i="2"/>
  <c r="T181" i="2"/>
  <c r="U181" i="2" s="1"/>
  <c r="R181" i="2"/>
  <c r="O181" i="2"/>
  <c r="L181" i="2"/>
  <c r="I181" i="2"/>
  <c r="F181" i="2"/>
  <c r="C181" i="2"/>
  <c r="T180" i="2"/>
  <c r="U180" i="2" s="1"/>
  <c r="R180" i="2"/>
  <c r="O180" i="2"/>
  <c r="L180" i="2"/>
  <c r="I180" i="2"/>
  <c r="F180" i="2"/>
  <c r="C180" i="2"/>
  <c r="T179" i="2"/>
  <c r="U179" i="2" s="1"/>
  <c r="D71" i="1" s="1"/>
  <c r="R179" i="2"/>
  <c r="O179" i="2"/>
  <c r="L179" i="2"/>
  <c r="I179" i="2"/>
  <c r="F179" i="2"/>
  <c r="C179" i="2"/>
  <c r="T178" i="2"/>
  <c r="U178" i="2" s="1"/>
  <c r="R178" i="2"/>
  <c r="O178" i="2"/>
  <c r="L178" i="2"/>
  <c r="I178" i="2"/>
  <c r="F178" i="2"/>
  <c r="C178" i="2"/>
  <c r="T177" i="2"/>
  <c r="U177" i="2" s="1"/>
  <c r="R177" i="2"/>
  <c r="O177" i="2"/>
  <c r="L177" i="2"/>
  <c r="I177" i="2"/>
  <c r="F177" i="2"/>
  <c r="C177" i="2"/>
  <c r="T176" i="2"/>
  <c r="U176" i="2" s="1"/>
  <c r="D68" i="1" s="1"/>
  <c r="R176" i="2"/>
  <c r="O176" i="2"/>
  <c r="L176" i="2"/>
  <c r="I176" i="2"/>
  <c r="F176" i="2"/>
  <c r="C176" i="2"/>
  <c r="T175" i="2"/>
  <c r="U175" i="2" s="1"/>
  <c r="R175" i="2"/>
  <c r="O175" i="2"/>
  <c r="L175" i="2"/>
  <c r="I175" i="2"/>
  <c r="F175" i="2"/>
  <c r="C175" i="2"/>
  <c r="T174" i="2"/>
  <c r="U174" i="2" s="1"/>
  <c r="R174" i="2"/>
  <c r="O174" i="2"/>
  <c r="L174" i="2"/>
  <c r="I174" i="2"/>
  <c r="F174" i="2"/>
  <c r="C174" i="2"/>
  <c r="T173" i="2"/>
  <c r="U173" i="2" s="1"/>
  <c r="D65" i="1" s="1"/>
  <c r="R173" i="2"/>
  <c r="O173" i="2"/>
  <c r="L173" i="2"/>
  <c r="I173" i="2"/>
  <c r="F173" i="2"/>
  <c r="C173" i="2"/>
  <c r="T172" i="2"/>
  <c r="U172" i="2" s="1"/>
  <c r="R172" i="2"/>
  <c r="O172" i="2"/>
  <c r="L172" i="2"/>
  <c r="I172" i="2"/>
  <c r="F172" i="2"/>
  <c r="C172" i="2"/>
  <c r="T171" i="2"/>
  <c r="U171" i="2" s="1"/>
  <c r="R171" i="2"/>
  <c r="O171" i="2"/>
  <c r="L171" i="2"/>
  <c r="I171" i="2"/>
  <c r="F171" i="2"/>
  <c r="C171" i="2"/>
  <c r="T170" i="2"/>
  <c r="U170" i="2" s="1"/>
  <c r="D62" i="1" s="1"/>
  <c r="R170" i="2"/>
  <c r="O170" i="2"/>
  <c r="L170" i="2"/>
  <c r="I170" i="2"/>
  <c r="F170" i="2"/>
  <c r="C170" i="2"/>
  <c r="T169" i="2"/>
  <c r="U169" i="2" s="1"/>
  <c r="R169" i="2"/>
  <c r="O169" i="2"/>
  <c r="L169" i="2"/>
  <c r="I169" i="2"/>
  <c r="F169" i="2"/>
  <c r="C169" i="2"/>
  <c r="T168" i="2"/>
  <c r="U168" i="2" s="1"/>
  <c r="D60" i="1" s="1"/>
  <c r="R168" i="2"/>
  <c r="O168" i="2"/>
  <c r="L168" i="2"/>
  <c r="I168" i="2"/>
  <c r="F168" i="2"/>
  <c r="C168" i="2"/>
  <c r="U167" i="2"/>
  <c r="T167" i="2"/>
  <c r="R167" i="2"/>
  <c r="O167" i="2"/>
  <c r="L167" i="2"/>
  <c r="I167" i="2"/>
  <c r="F167" i="2"/>
  <c r="C167" i="2"/>
  <c r="T166" i="2"/>
  <c r="U166" i="2" s="1"/>
  <c r="R166" i="2"/>
  <c r="O166" i="2"/>
  <c r="L166" i="2"/>
  <c r="I166" i="2"/>
  <c r="F166" i="2"/>
  <c r="C166" i="2"/>
  <c r="T165" i="2"/>
  <c r="U165" i="2" s="1"/>
  <c r="R165" i="2"/>
  <c r="O165" i="2"/>
  <c r="L165" i="2"/>
  <c r="I165" i="2"/>
  <c r="F165" i="2"/>
  <c r="C165" i="2"/>
  <c r="T164" i="2"/>
  <c r="U164" i="2" s="1"/>
  <c r="D56" i="1" s="1"/>
  <c r="R164" i="2"/>
  <c r="O164" i="2"/>
  <c r="L164" i="2"/>
  <c r="I164" i="2"/>
  <c r="F164" i="2"/>
  <c r="C164" i="2"/>
  <c r="T163" i="2"/>
  <c r="U163" i="2" s="1"/>
  <c r="R163" i="2"/>
  <c r="O163" i="2"/>
  <c r="L163" i="2"/>
  <c r="I163" i="2"/>
  <c r="F163" i="2"/>
  <c r="C163" i="2"/>
  <c r="T162" i="2"/>
  <c r="U162" i="2" s="1"/>
  <c r="R162" i="2"/>
  <c r="O162" i="2"/>
  <c r="L162" i="2"/>
  <c r="I162" i="2"/>
  <c r="F162" i="2"/>
  <c r="C162" i="2"/>
  <c r="T161" i="2"/>
  <c r="U161" i="2" s="1"/>
  <c r="D53" i="1" s="1"/>
  <c r="R161" i="2"/>
  <c r="O161" i="2"/>
  <c r="L161" i="2"/>
  <c r="I161" i="2"/>
  <c r="F161" i="2"/>
  <c r="C161" i="2"/>
  <c r="T160" i="2"/>
  <c r="U160" i="2" s="1"/>
  <c r="R160" i="2"/>
  <c r="O160" i="2"/>
  <c r="L160" i="2"/>
  <c r="I160" i="2"/>
  <c r="F160" i="2"/>
  <c r="C160" i="2"/>
  <c r="T159" i="2"/>
  <c r="U159" i="2" s="1"/>
  <c r="T158" i="2"/>
  <c r="U158" i="2" s="1"/>
  <c r="Q157" i="2"/>
  <c r="R157" i="2" s="1"/>
  <c r="N157" i="2"/>
  <c r="O157" i="2" s="1"/>
  <c r="K157" i="2"/>
  <c r="L157" i="2" s="1"/>
  <c r="H157" i="2"/>
  <c r="I157" i="2" s="1"/>
  <c r="E157" i="2"/>
  <c r="F157" i="2" s="1"/>
  <c r="B157" i="2"/>
  <c r="C157" i="2" s="1"/>
  <c r="T156" i="2"/>
  <c r="U156" i="2" s="1"/>
  <c r="R156" i="2"/>
  <c r="O156" i="2"/>
  <c r="L156" i="2"/>
  <c r="I156" i="2"/>
  <c r="F156" i="2"/>
  <c r="C156" i="2"/>
  <c r="U155" i="2"/>
  <c r="T155" i="2"/>
  <c r="R155" i="2"/>
  <c r="O155" i="2"/>
  <c r="L155" i="2"/>
  <c r="I155" i="2"/>
  <c r="F155" i="2"/>
  <c r="C155" i="2"/>
  <c r="U154" i="2"/>
  <c r="T154" i="2"/>
  <c r="R154" i="2"/>
  <c r="O154" i="2"/>
  <c r="L154" i="2"/>
  <c r="I154" i="2"/>
  <c r="F154" i="2"/>
  <c r="C154" i="2"/>
  <c r="T153" i="2"/>
  <c r="U153" i="2" s="1"/>
  <c r="R153" i="2"/>
  <c r="O153" i="2"/>
  <c r="L153" i="2"/>
  <c r="I153" i="2"/>
  <c r="F153" i="2"/>
  <c r="C153" i="2"/>
  <c r="T152" i="2"/>
  <c r="U152" i="2" s="1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E151" i="2"/>
  <c r="F151" i="2" s="1"/>
  <c r="B151" i="2"/>
  <c r="T151" i="2" s="1"/>
  <c r="U151" i="2" s="1"/>
  <c r="T150" i="2"/>
  <c r="U150" i="2" s="1"/>
  <c r="R150" i="2"/>
  <c r="O150" i="2"/>
  <c r="L150" i="2"/>
  <c r="I150" i="2"/>
  <c r="F150" i="2"/>
  <c r="C150" i="2"/>
  <c r="T149" i="2"/>
  <c r="U149" i="2" s="1"/>
  <c r="R149" i="2"/>
  <c r="O149" i="2"/>
  <c r="L149" i="2"/>
  <c r="I149" i="2"/>
  <c r="F149" i="2"/>
  <c r="C149" i="2"/>
  <c r="T148" i="2"/>
  <c r="U148" i="2" s="1"/>
  <c r="R148" i="2"/>
  <c r="O148" i="2"/>
  <c r="L148" i="2"/>
  <c r="I148" i="2"/>
  <c r="F148" i="2"/>
  <c r="C148" i="2"/>
  <c r="T147" i="2"/>
  <c r="U147" i="2" s="1"/>
  <c r="R147" i="2"/>
  <c r="O147" i="2"/>
  <c r="L147" i="2"/>
  <c r="I147" i="2"/>
  <c r="F147" i="2"/>
  <c r="C147" i="2"/>
  <c r="T146" i="2"/>
  <c r="U146" i="2" s="1"/>
  <c r="R146" i="2"/>
  <c r="O146" i="2"/>
  <c r="L146" i="2"/>
  <c r="I146" i="2"/>
  <c r="F146" i="2"/>
  <c r="C146" i="2"/>
  <c r="T145" i="2"/>
  <c r="U145" i="2" s="1"/>
  <c r="R145" i="2"/>
  <c r="O145" i="2"/>
  <c r="L145" i="2"/>
  <c r="I145" i="2"/>
  <c r="F145" i="2"/>
  <c r="C145" i="2"/>
  <c r="T144" i="2"/>
  <c r="U144" i="2" s="1"/>
  <c r="Q143" i="2"/>
  <c r="R143" i="2" s="1"/>
  <c r="N143" i="2"/>
  <c r="O143" i="2" s="1"/>
  <c r="L143" i="2"/>
  <c r="K143" i="2"/>
  <c r="H143" i="2"/>
  <c r="I143" i="2" s="1"/>
  <c r="E143" i="2"/>
  <c r="F143" i="2" s="1"/>
  <c r="C143" i="2"/>
  <c r="B143" i="2"/>
  <c r="T142" i="2"/>
  <c r="U142" i="2" s="1"/>
  <c r="R142" i="2"/>
  <c r="O142" i="2"/>
  <c r="L142" i="2"/>
  <c r="I142" i="2"/>
  <c r="F142" i="2"/>
  <c r="C142" i="2"/>
  <c r="T141" i="2"/>
  <c r="U141" i="2" s="1"/>
  <c r="R141" i="2"/>
  <c r="O141" i="2"/>
  <c r="L141" i="2"/>
  <c r="I141" i="2"/>
  <c r="F141" i="2"/>
  <c r="C141" i="2"/>
  <c r="T140" i="2"/>
  <c r="U140" i="2" s="1"/>
  <c r="R140" i="2"/>
  <c r="O140" i="2"/>
  <c r="L140" i="2"/>
  <c r="I140" i="2"/>
  <c r="F140" i="2"/>
  <c r="C140" i="2"/>
  <c r="T139" i="2"/>
  <c r="U139" i="2" s="1"/>
  <c r="R139" i="2"/>
  <c r="O139" i="2"/>
  <c r="L139" i="2"/>
  <c r="I139" i="2"/>
  <c r="F139" i="2"/>
  <c r="C139" i="2"/>
  <c r="T138" i="2"/>
  <c r="U138" i="2" s="1"/>
  <c r="R138" i="2"/>
  <c r="O138" i="2"/>
  <c r="L138" i="2"/>
  <c r="I138" i="2"/>
  <c r="F138" i="2"/>
  <c r="C138" i="2"/>
  <c r="T137" i="2"/>
  <c r="U137" i="2" s="1"/>
  <c r="R137" i="2"/>
  <c r="O137" i="2"/>
  <c r="L137" i="2"/>
  <c r="I137" i="2"/>
  <c r="F137" i="2"/>
  <c r="C137" i="2"/>
  <c r="T136" i="2"/>
  <c r="U136" i="2" s="1"/>
  <c r="R136" i="2"/>
  <c r="O136" i="2"/>
  <c r="L136" i="2"/>
  <c r="I136" i="2"/>
  <c r="F136" i="2"/>
  <c r="C136" i="2"/>
  <c r="T135" i="2"/>
  <c r="U135" i="2" s="1"/>
  <c r="R135" i="2"/>
  <c r="O135" i="2"/>
  <c r="L135" i="2"/>
  <c r="I135" i="2"/>
  <c r="F135" i="2"/>
  <c r="C135" i="2"/>
  <c r="U134" i="2"/>
  <c r="T134" i="2"/>
  <c r="R134" i="2"/>
  <c r="O134" i="2"/>
  <c r="L134" i="2"/>
  <c r="I134" i="2"/>
  <c r="F134" i="2"/>
  <c r="C134" i="2"/>
  <c r="T133" i="2"/>
  <c r="U133" i="2" s="1"/>
  <c r="R133" i="2"/>
  <c r="O133" i="2"/>
  <c r="L133" i="2"/>
  <c r="I133" i="2"/>
  <c r="F133" i="2"/>
  <c r="C133" i="2"/>
  <c r="T132" i="2"/>
  <c r="U132" i="2" s="1"/>
  <c r="R132" i="2"/>
  <c r="O132" i="2"/>
  <c r="L132" i="2"/>
  <c r="I132" i="2"/>
  <c r="F132" i="2"/>
  <c r="C132" i="2"/>
  <c r="T131" i="2"/>
  <c r="U131" i="2" s="1"/>
  <c r="R131" i="2"/>
  <c r="O131" i="2"/>
  <c r="L131" i="2"/>
  <c r="I131" i="2"/>
  <c r="F131" i="2"/>
  <c r="C131" i="2"/>
  <c r="T130" i="2"/>
  <c r="U130" i="2" s="1"/>
  <c r="R130" i="2"/>
  <c r="O130" i="2"/>
  <c r="L130" i="2"/>
  <c r="I130" i="2"/>
  <c r="F130" i="2"/>
  <c r="C130" i="2"/>
  <c r="T129" i="2"/>
  <c r="U129" i="2" s="1"/>
  <c r="R129" i="2"/>
  <c r="O129" i="2"/>
  <c r="L129" i="2"/>
  <c r="I129" i="2"/>
  <c r="F129" i="2"/>
  <c r="C129" i="2"/>
  <c r="U128" i="2"/>
  <c r="T128" i="2"/>
  <c r="R128" i="2"/>
  <c r="O128" i="2"/>
  <c r="L128" i="2"/>
  <c r="I128" i="2"/>
  <c r="F128" i="2"/>
  <c r="C128" i="2"/>
  <c r="T127" i="2"/>
  <c r="U127" i="2" s="1"/>
  <c r="R127" i="2"/>
  <c r="O127" i="2"/>
  <c r="L127" i="2"/>
  <c r="I127" i="2"/>
  <c r="F127" i="2"/>
  <c r="C127" i="2"/>
  <c r="T126" i="2"/>
  <c r="U126" i="2" s="1"/>
  <c r="R126" i="2"/>
  <c r="O126" i="2"/>
  <c r="L126" i="2"/>
  <c r="I126" i="2"/>
  <c r="F126" i="2"/>
  <c r="C126" i="2"/>
  <c r="U125" i="2"/>
  <c r="T125" i="2"/>
  <c r="R125" i="2"/>
  <c r="O125" i="2"/>
  <c r="L125" i="2"/>
  <c r="I125" i="2"/>
  <c r="F125" i="2"/>
  <c r="C125" i="2"/>
  <c r="T124" i="2"/>
  <c r="U124" i="2" s="1"/>
  <c r="R124" i="2"/>
  <c r="O124" i="2"/>
  <c r="L124" i="2"/>
  <c r="I124" i="2"/>
  <c r="F124" i="2"/>
  <c r="C124" i="2"/>
  <c r="T123" i="2"/>
  <c r="U123" i="2" s="1"/>
  <c r="R123" i="2"/>
  <c r="O123" i="2"/>
  <c r="L123" i="2"/>
  <c r="I123" i="2"/>
  <c r="F123" i="2"/>
  <c r="C123" i="2"/>
  <c r="T122" i="2"/>
  <c r="U122" i="2" s="1"/>
  <c r="R122" i="2"/>
  <c r="O122" i="2"/>
  <c r="L122" i="2"/>
  <c r="I122" i="2"/>
  <c r="F122" i="2"/>
  <c r="C122" i="2"/>
  <c r="T121" i="2"/>
  <c r="U121" i="2" s="1"/>
  <c r="Q120" i="2"/>
  <c r="R120" i="2" s="1"/>
  <c r="N120" i="2"/>
  <c r="O120" i="2" s="1"/>
  <c r="K120" i="2"/>
  <c r="L120" i="2" s="1"/>
  <c r="I120" i="2"/>
  <c r="H120" i="2"/>
  <c r="E120" i="2"/>
  <c r="F120" i="2" s="1"/>
  <c r="B120" i="2"/>
  <c r="C120" i="2" s="1"/>
  <c r="T119" i="2"/>
  <c r="U119" i="2" s="1"/>
  <c r="Q119" i="2"/>
  <c r="R119" i="2" s="1"/>
  <c r="N119" i="2"/>
  <c r="O119" i="2" s="1"/>
  <c r="K119" i="2"/>
  <c r="L119" i="2" s="1"/>
  <c r="H119" i="2"/>
  <c r="I119" i="2" s="1"/>
  <c r="E119" i="2"/>
  <c r="F119" i="2" s="1"/>
  <c r="C119" i="2"/>
  <c r="B119" i="2"/>
  <c r="T118" i="2"/>
  <c r="U118" i="2" s="1"/>
  <c r="R118" i="2"/>
  <c r="O118" i="2"/>
  <c r="L118" i="2"/>
  <c r="I118" i="2"/>
  <c r="F118" i="2"/>
  <c r="C118" i="2"/>
  <c r="T117" i="2"/>
  <c r="U117" i="2" s="1"/>
  <c r="R117" i="2"/>
  <c r="O117" i="2"/>
  <c r="L117" i="2"/>
  <c r="I117" i="2"/>
  <c r="F117" i="2"/>
  <c r="C117" i="2"/>
  <c r="T116" i="2"/>
  <c r="U116" i="2" s="1"/>
  <c r="R116" i="2"/>
  <c r="O116" i="2"/>
  <c r="L116" i="2"/>
  <c r="I116" i="2"/>
  <c r="F116" i="2"/>
  <c r="C116" i="2"/>
  <c r="T115" i="2"/>
  <c r="U115" i="2" s="1"/>
  <c r="R115" i="2"/>
  <c r="O115" i="2"/>
  <c r="L115" i="2"/>
  <c r="I115" i="2"/>
  <c r="F115" i="2"/>
  <c r="C115" i="2"/>
  <c r="T114" i="2"/>
  <c r="U114" i="2" s="1"/>
  <c r="R114" i="2"/>
  <c r="O114" i="2"/>
  <c r="L114" i="2"/>
  <c r="I114" i="2"/>
  <c r="F114" i="2"/>
  <c r="C114" i="2"/>
  <c r="U113" i="2"/>
  <c r="T113" i="2"/>
  <c r="R113" i="2"/>
  <c r="O113" i="2"/>
  <c r="L113" i="2"/>
  <c r="I113" i="2"/>
  <c r="F113" i="2"/>
  <c r="C113" i="2"/>
  <c r="U112" i="2"/>
  <c r="T112" i="2"/>
  <c r="R112" i="2"/>
  <c r="O112" i="2"/>
  <c r="L112" i="2"/>
  <c r="I112" i="2"/>
  <c r="F112" i="2"/>
  <c r="C112" i="2"/>
  <c r="T111" i="2"/>
  <c r="U111" i="2" s="1"/>
  <c r="R111" i="2"/>
  <c r="O111" i="2"/>
  <c r="L111" i="2"/>
  <c r="I111" i="2"/>
  <c r="F111" i="2"/>
  <c r="C111" i="2"/>
  <c r="T110" i="2"/>
  <c r="U110" i="2" s="1"/>
  <c r="R110" i="2"/>
  <c r="O110" i="2"/>
  <c r="L110" i="2"/>
  <c r="I110" i="2"/>
  <c r="F110" i="2"/>
  <c r="C110" i="2"/>
  <c r="U109" i="2"/>
  <c r="T109" i="2"/>
  <c r="R109" i="2"/>
  <c r="O109" i="2"/>
  <c r="L109" i="2"/>
  <c r="I109" i="2"/>
  <c r="F109" i="2"/>
  <c r="C109" i="2"/>
  <c r="T108" i="2"/>
  <c r="U108" i="2" s="1"/>
  <c r="R108" i="2"/>
  <c r="O108" i="2"/>
  <c r="L108" i="2"/>
  <c r="I108" i="2"/>
  <c r="F108" i="2"/>
  <c r="C108" i="2"/>
  <c r="T107" i="2"/>
  <c r="U107" i="2" s="1"/>
  <c r="R107" i="2"/>
  <c r="O107" i="2"/>
  <c r="L107" i="2"/>
  <c r="I107" i="2"/>
  <c r="F107" i="2"/>
  <c r="C107" i="2"/>
  <c r="U106" i="2"/>
  <c r="T106" i="2"/>
  <c r="R106" i="2"/>
  <c r="O106" i="2"/>
  <c r="L106" i="2"/>
  <c r="I106" i="2"/>
  <c r="F106" i="2"/>
  <c r="C106" i="2"/>
  <c r="T105" i="2"/>
  <c r="U105" i="2" s="1"/>
  <c r="R105" i="2"/>
  <c r="O105" i="2"/>
  <c r="L105" i="2"/>
  <c r="I105" i="2"/>
  <c r="F105" i="2"/>
  <c r="C105" i="2"/>
  <c r="T104" i="2"/>
  <c r="U104" i="2" s="1"/>
  <c r="R104" i="2"/>
  <c r="O104" i="2"/>
  <c r="L104" i="2"/>
  <c r="I104" i="2"/>
  <c r="F104" i="2"/>
  <c r="C104" i="2"/>
  <c r="T103" i="2"/>
  <c r="U103" i="2" s="1"/>
  <c r="R103" i="2"/>
  <c r="O103" i="2"/>
  <c r="L103" i="2"/>
  <c r="I103" i="2"/>
  <c r="F103" i="2"/>
  <c r="C103" i="2"/>
  <c r="T102" i="2"/>
  <c r="U102" i="2" s="1"/>
  <c r="R102" i="2"/>
  <c r="O102" i="2"/>
  <c r="L102" i="2"/>
  <c r="I102" i="2"/>
  <c r="F102" i="2"/>
  <c r="C102" i="2"/>
  <c r="U101" i="2"/>
  <c r="T101" i="2"/>
  <c r="R101" i="2"/>
  <c r="O101" i="2"/>
  <c r="L101" i="2"/>
  <c r="I101" i="2"/>
  <c r="F101" i="2"/>
  <c r="C101" i="2"/>
  <c r="T100" i="2"/>
  <c r="U100" i="2" s="1"/>
  <c r="R100" i="2"/>
  <c r="O100" i="2"/>
  <c r="L100" i="2"/>
  <c r="I100" i="2"/>
  <c r="F100" i="2"/>
  <c r="C100" i="2"/>
  <c r="T99" i="2"/>
  <c r="U99" i="2" s="1"/>
  <c r="R99" i="2"/>
  <c r="O99" i="2"/>
  <c r="L99" i="2"/>
  <c r="I99" i="2"/>
  <c r="F99" i="2"/>
  <c r="C99" i="2"/>
  <c r="U98" i="2"/>
  <c r="T98" i="2"/>
  <c r="R98" i="2"/>
  <c r="O98" i="2"/>
  <c r="L98" i="2"/>
  <c r="I98" i="2"/>
  <c r="F98" i="2"/>
  <c r="C98" i="2"/>
  <c r="T97" i="2"/>
  <c r="U97" i="2" s="1"/>
  <c r="R97" i="2"/>
  <c r="O97" i="2"/>
  <c r="L97" i="2"/>
  <c r="I97" i="2"/>
  <c r="F97" i="2"/>
  <c r="C97" i="2"/>
  <c r="T96" i="2"/>
  <c r="U96" i="2" s="1"/>
  <c r="R96" i="2"/>
  <c r="O96" i="2"/>
  <c r="L96" i="2"/>
  <c r="I96" i="2"/>
  <c r="F96" i="2"/>
  <c r="C96" i="2"/>
  <c r="U95" i="2"/>
  <c r="T95" i="2"/>
  <c r="R95" i="2"/>
  <c r="O95" i="2"/>
  <c r="L95" i="2"/>
  <c r="I95" i="2"/>
  <c r="F95" i="2"/>
  <c r="C95" i="2"/>
  <c r="T94" i="2"/>
  <c r="U94" i="2" s="1"/>
  <c r="R94" i="2"/>
  <c r="O94" i="2"/>
  <c r="L94" i="2"/>
  <c r="I94" i="2"/>
  <c r="F94" i="2"/>
  <c r="C94" i="2"/>
  <c r="T93" i="2"/>
  <c r="U93" i="2" s="1"/>
  <c r="R93" i="2"/>
  <c r="O93" i="2"/>
  <c r="L93" i="2"/>
  <c r="I93" i="2"/>
  <c r="F93" i="2"/>
  <c r="C93" i="2"/>
  <c r="T92" i="2"/>
  <c r="U92" i="2" s="1"/>
  <c r="R92" i="2"/>
  <c r="O92" i="2"/>
  <c r="L92" i="2"/>
  <c r="I92" i="2"/>
  <c r="F92" i="2"/>
  <c r="C92" i="2"/>
  <c r="T91" i="2"/>
  <c r="U91" i="2" s="1"/>
  <c r="R91" i="2"/>
  <c r="O91" i="2"/>
  <c r="L91" i="2"/>
  <c r="I91" i="2"/>
  <c r="F91" i="2"/>
  <c r="C91" i="2"/>
  <c r="T90" i="2"/>
  <c r="U90" i="2" s="1"/>
  <c r="R90" i="2"/>
  <c r="O90" i="2"/>
  <c r="L90" i="2"/>
  <c r="I90" i="2"/>
  <c r="F90" i="2"/>
  <c r="C90" i="2"/>
  <c r="T89" i="2"/>
  <c r="U89" i="2" s="1"/>
  <c r="R89" i="2"/>
  <c r="O89" i="2"/>
  <c r="L89" i="2"/>
  <c r="I89" i="2"/>
  <c r="F89" i="2"/>
  <c r="C89" i="2"/>
  <c r="U88" i="2"/>
  <c r="T88" i="2"/>
  <c r="R88" i="2"/>
  <c r="O88" i="2"/>
  <c r="L88" i="2"/>
  <c r="I88" i="2"/>
  <c r="F88" i="2"/>
  <c r="C88" i="2"/>
  <c r="T87" i="2"/>
  <c r="U87" i="2" s="1"/>
  <c r="R87" i="2"/>
  <c r="O87" i="2"/>
  <c r="L87" i="2"/>
  <c r="I87" i="2"/>
  <c r="F87" i="2"/>
  <c r="C87" i="2"/>
  <c r="T86" i="2"/>
  <c r="U86" i="2" s="1"/>
  <c r="R86" i="2"/>
  <c r="O86" i="2"/>
  <c r="L86" i="2"/>
  <c r="I86" i="2"/>
  <c r="F86" i="2"/>
  <c r="C86" i="2"/>
  <c r="T85" i="2"/>
  <c r="U85" i="2" s="1"/>
  <c r="R85" i="2"/>
  <c r="O85" i="2"/>
  <c r="L85" i="2"/>
  <c r="I85" i="2"/>
  <c r="F85" i="2"/>
  <c r="C85" i="2"/>
  <c r="T84" i="2"/>
  <c r="U84" i="2" s="1"/>
  <c r="R84" i="2"/>
  <c r="O84" i="2"/>
  <c r="L84" i="2"/>
  <c r="I84" i="2"/>
  <c r="F84" i="2"/>
  <c r="C84" i="2"/>
  <c r="T83" i="2"/>
  <c r="U83" i="2" s="1"/>
  <c r="T82" i="2"/>
  <c r="U82" i="2" s="1"/>
  <c r="R82" i="2"/>
  <c r="O82" i="2"/>
  <c r="L82" i="2"/>
  <c r="I82" i="2"/>
  <c r="F82" i="2"/>
  <c r="C82" i="2"/>
  <c r="T81" i="2"/>
  <c r="U81" i="2" s="1"/>
  <c r="Q80" i="2"/>
  <c r="R80" i="2" s="1"/>
  <c r="N80" i="2"/>
  <c r="O80" i="2" s="1"/>
  <c r="K80" i="2"/>
  <c r="T80" i="2" s="1"/>
  <c r="U80" i="2" s="1"/>
  <c r="I80" i="2"/>
  <c r="H80" i="2"/>
  <c r="E80" i="2"/>
  <c r="F80" i="2" s="1"/>
  <c r="B80" i="2"/>
  <c r="C80" i="2" s="1"/>
  <c r="T79" i="2"/>
  <c r="U79" i="2" s="1"/>
  <c r="R79" i="2"/>
  <c r="O79" i="2"/>
  <c r="L79" i="2"/>
  <c r="I79" i="2"/>
  <c r="F79" i="2"/>
  <c r="C79" i="2"/>
  <c r="U78" i="2"/>
  <c r="T78" i="2"/>
  <c r="R78" i="2"/>
  <c r="O78" i="2"/>
  <c r="L78" i="2"/>
  <c r="I78" i="2"/>
  <c r="F78" i="2"/>
  <c r="C78" i="2"/>
  <c r="T77" i="2"/>
  <c r="U77" i="2" s="1"/>
  <c r="R76" i="2"/>
  <c r="Q76" i="2"/>
  <c r="O76" i="2"/>
  <c r="N76" i="2"/>
  <c r="K76" i="2"/>
  <c r="L76" i="2" s="1"/>
  <c r="H76" i="2"/>
  <c r="I76" i="2" s="1"/>
  <c r="F76" i="2"/>
  <c r="E76" i="2"/>
  <c r="B76" i="2"/>
  <c r="C76" i="2" s="1"/>
  <c r="T75" i="2"/>
  <c r="U75" i="2" s="1"/>
  <c r="R75" i="2"/>
  <c r="O75" i="2"/>
  <c r="L75" i="2"/>
  <c r="I75" i="2"/>
  <c r="F75" i="2"/>
  <c r="C75" i="2"/>
  <c r="U74" i="2"/>
  <c r="T74" i="2"/>
  <c r="R74" i="2"/>
  <c r="O74" i="2"/>
  <c r="L74" i="2"/>
  <c r="I74" i="2"/>
  <c r="F74" i="2"/>
  <c r="C74" i="2"/>
  <c r="U73" i="2"/>
  <c r="T73" i="2"/>
  <c r="R73" i="2"/>
  <c r="O73" i="2"/>
  <c r="L73" i="2"/>
  <c r="I73" i="2"/>
  <c r="F73" i="2"/>
  <c r="C73" i="2"/>
  <c r="T72" i="2"/>
  <c r="U72" i="2" s="1"/>
  <c r="R72" i="2"/>
  <c r="O72" i="2"/>
  <c r="L72" i="2"/>
  <c r="I72" i="2"/>
  <c r="F72" i="2"/>
  <c r="C72" i="2"/>
  <c r="U71" i="2"/>
  <c r="T71" i="2"/>
  <c r="R71" i="2"/>
  <c r="O71" i="2"/>
  <c r="L71" i="2"/>
  <c r="I71" i="2"/>
  <c r="F71" i="2"/>
  <c r="C71" i="2"/>
  <c r="U70" i="2"/>
  <c r="T70" i="2"/>
  <c r="R70" i="2"/>
  <c r="O70" i="2"/>
  <c r="L70" i="2"/>
  <c r="I70" i="2"/>
  <c r="F70" i="2"/>
  <c r="C70" i="2"/>
  <c r="T69" i="2"/>
  <c r="U69" i="2" s="1"/>
  <c r="R69" i="2"/>
  <c r="O69" i="2"/>
  <c r="L69" i="2"/>
  <c r="I69" i="2"/>
  <c r="F69" i="2"/>
  <c r="C69" i="2"/>
  <c r="U68" i="2"/>
  <c r="T68" i="2"/>
  <c r="R68" i="2"/>
  <c r="O68" i="2"/>
  <c r="L68" i="2"/>
  <c r="I68" i="2"/>
  <c r="F68" i="2"/>
  <c r="C68" i="2"/>
  <c r="U67" i="2"/>
  <c r="T67" i="2"/>
  <c r="T66" i="2"/>
  <c r="U66" i="2" s="1"/>
  <c r="R66" i="2"/>
  <c r="O66" i="2"/>
  <c r="L66" i="2"/>
  <c r="I66" i="2"/>
  <c r="F66" i="2"/>
  <c r="C66" i="2"/>
  <c r="R65" i="2"/>
  <c r="Q65" i="2"/>
  <c r="N65" i="2"/>
  <c r="O65" i="2" s="1"/>
  <c r="L65" i="2"/>
  <c r="K65" i="2"/>
  <c r="H65" i="2"/>
  <c r="I65" i="2" s="1"/>
  <c r="E65" i="2"/>
  <c r="F65" i="2" s="1"/>
  <c r="C65" i="2"/>
  <c r="B65" i="2"/>
  <c r="T65" i="2" s="1"/>
  <c r="U65" i="2" s="1"/>
  <c r="U64" i="2"/>
  <c r="T64" i="2"/>
  <c r="R64" i="2"/>
  <c r="O64" i="2"/>
  <c r="L64" i="2"/>
  <c r="I64" i="2"/>
  <c r="F64" i="2"/>
  <c r="C64" i="2"/>
  <c r="T63" i="2"/>
  <c r="U63" i="2" s="1"/>
  <c r="R63" i="2"/>
  <c r="O63" i="2"/>
  <c r="L63" i="2"/>
  <c r="I63" i="2"/>
  <c r="F63" i="2"/>
  <c r="C63" i="2"/>
  <c r="U62" i="2"/>
  <c r="T62" i="2"/>
  <c r="R62" i="2"/>
  <c r="O62" i="2"/>
  <c r="L62" i="2"/>
  <c r="I62" i="2"/>
  <c r="F62" i="2"/>
  <c r="C62" i="2"/>
  <c r="U61" i="2"/>
  <c r="T61" i="2"/>
  <c r="R61" i="2"/>
  <c r="O61" i="2"/>
  <c r="L61" i="2"/>
  <c r="I61" i="2"/>
  <c r="F61" i="2"/>
  <c r="C61" i="2"/>
  <c r="T60" i="2"/>
  <c r="U60" i="2" s="1"/>
  <c r="R60" i="2"/>
  <c r="O60" i="2"/>
  <c r="L60" i="2"/>
  <c r="I60" i="2"/>
  <c r="F60" i="2"/>
  <c r="C60" i="2"/>
  <c r="U59" i="2"/>
  <c r="T59" i="2"/>
  <c r="R59" i="2"/>
  <c r="O59" i="2"/>
  <c r="L59" i="2"/>
  <c r="I59" i="2"/>
  <c r="F59" i="2"/>
  <c r="C59" i="2"/>
  <c r="U58" i="2"/>
  <c r="T58" i="2"/>
  <c r="R58" i="2"/>
  <c r="O58" i="2"/>
  <c r="L58" i="2"/>
  <c r="I58" i="2"/>
  <c r="F58" i="2"/>
  <c r="C58" i="2"/>
  <c r="T57" i="2"/>
  <c r="U57" i="2" s="1"/>
  <c r="R57" i="2"/>
  <c r="O57" i="2"/>
  <c r="L57" i="2"/>
  <c r="I57" i="2"/>
  <c r="F57" i="2"/>
  <c r="C57" i="2"/>
  <c r="U56" i="2"/>
  <c r="T56" i="2"/>
  <c r="R56" i="2"/>
  <c r="O56" i="2"/>
  <c r="L56" i="2"/>
  <c r="I56" i="2"/>
  <c r="F56" i="2"/>
  <c r="C56" i="2"/>
  <c r="U55" i="2"/>
  <c r="T55" i="2"/>
  <c r="R55" i="2"/>
  <c r="O55" i="2"/>
  <c r="L55" i="2"/>
  <c r="I55" i="2"/>
  <c r="F55" i="2"/>
  <c r="C55" i="2"/>
  <c r="T54" i="2"/>
  <c r="U54" i="2" s="1"/>
  <c r="U53" i="2"/>
  <c r="T53" i="2"/>
  <c r="Q52" i="2"/>
  <c r="Q326" i="2" s="1"/>
  <c r="R326" i="2" s="1"/>
  <c r="O52" i="2"/>
  <c r="N52" i="2"/>
  <c r="N326" i="2" s="1"/>
  <c r="O326" i="2" s="1"/>
  <c r="K52" i="2"/>
  <c r="H52" i="2"/>
  <c r="H326" i="2" s="1"/>
  <c r="I326" i="2" s="1"/>
  <c r="F52" i="2"/>
  <c r="E52" i="2"/>
  <c r="E326" i="2" s="1"/>
  <c r="F326" i="2" s="1"/>
  <c r="C52" i="2"/>
  <c r="B52" i="2"/>
  <c r="B326" i="2" s="1"/>
  <c r="R51" i="2"/>
  <c r="Q51" i="2"/>
  <c r="N51" i="2"/>
  <c r="O51" i="2" s="1"/>
  <c r="K51" i="2"/>
  <c r="L51" i="2" s="1"/>
  <c r="I51" i="2"/>
  <c r="H51" i="2"/>
  <c r="F51" i="2"/>
  <c r="E51" i="2"/>
  <c r="B51" i="2"/>
  <c r="C51" i="2" s="1"/>
  <c r="U50" i="2"/>
  <c r="T50" i="2"/>
  <c r="R50" i="2"/>
  <c r="O50" i="2"/>
  <c r="L50" i="2"/>
  <c r="I50" i="2"/>
  <c r="F50" i="2"/>
  <c r="C50" i="2"/>
  <c r="T49" i="2"/>
  <c r="U49" i="2" s="1"/>
  <c r="R49" i="2"/>
  <c r="O49" i="2"/>
  <c r="L49" i="2"/>
  <c r="I49" i="2"/>
  <c r="F49" i="2"/>
  <c r="C49" i="2"/>
  <c r="T48" i="2"/>
  <c r="U48" i="2" s="1"/>
  <c r="R48" i="2"/>
  <c r="O48" i="2"/>
  <c r="L48" i="2"/>
  <c r="I48" i="2"/>
  <c r="F48" i="2"/>
  <c r="C48" i="2"/>
  <c r="U47" i="2"/>
  <c r="T47" i="2"/>
  <c r="R47" i="2"/>
  <c r="O47" i="2"/>
  <c r="L47" i="2"/>
  <c r="I47" i="2"/>
  <c r="F47" i="2"/>
  <c r="C47" i="2"/>
  <c r="T46" i="2"/>
  <c r="U46" i="2" s="1"/>
  <c r="R46" i="2"/>
  <c r="O46" i="2"/>
  <c r="L46" i="2"/>
  <c r="I46" i="2"/>
  <c r="F46" i="2"/>
  <c r="C46" i="2"/>
  <c r="T45" i="2"/>
  <c r="U45" i="2" s="1"/>
  <c r="R45" i="2"/>
  <c r="O45" i="2"/>
  <c r="L45" i="2"/>
  <c r="I45" i="2"/>
  <c r="F45" i="2"/>
  <c r="C45" i="2"/>
  <c r="U44" i="2"/>
  <c r="T44" i="2"/>
  <c r="R44" i="2"/>
  <c r="O44" i="2"/>
  <c r="L44" i="2"/>
  <c r="I44" i="2"/>
  <c r="F44" i="2"/>
  <c r="C44" i="2"/>
  <c r="T43" i="2"/>
  <c r="U43" i="2" s="1"/>
  <c r="R43" i="2"/>
  <c r="O43" i="2"/>
  <c r="L43" i="2"/>
  <c r="I43" i="2"/>
  <c r="F43" i="2"/>
  <c r="C43" i="2"/>
  <c r="T42" i="2"/>
  <c r="U42" i="2" s="1"/>
  <c r="R42" i="2"/>
  <c r="O42" i="2"/>
  <c r="L42" i="2"/>
  <c r="I42" i="2"/>
  <c r="F42" i="2"/>
  <c r="C42" i="2"/>
  <c r="U41" i="2"/>
  <c r="T41" i="2"/>
  <c r="R41" i="2"/>
  <c r="O41" i="2"/>
  <c r="L41" i="2"/>
  <c r="I41" i="2"/>
  <c r="F41" i="2"/>
  <c r="C41" i="2"/>
  <c r="T40" i="2"/>
  <c r="U40" i="2" s="1"/>
  <c r="R40" i="2"/>
  <c r="O40" i="2"/>
  <c r="L40" i="2"/>
  <c r="I40" i="2"/>
  <c r="F40" i="2"/>
  <c r="C40" i="2"/>
  <c r="T39" i="2"/>
  <c r="U39" i="2" s="1"/>
  <c r="R39" i="2"/>
  <c r="O39" i="2"/>
  <c r="L39" i="2"/>
  <c r="I39" i="2"/>
  <c r="F39" i="2"/>
  <c r="C39" i="2"/>
  <c r="U38" i="2"/>
  <c r="T38" i="2"/>
  <c r="Q37" i="2"/>
  <c r="R37" i="2" s="1"/>
  <c r="O37" i="2"/>
  <c r="N37" i="2"/>
  <c r="K37" i="2"/>
  <c r="L37" i="2" s="1"/>
  <c r="H37" i="2"/>
  <c r="I37" i="2" s="1"/>
  <c r="F37" i="2"/>
  <c r="E37" i="2"/>
  <c r="B37" i="2"/>
  <c r="C37" i="2" s="1"/>
  <c r="T36" i="2"/>
  <c r="U36" i="2" s="1"/>
  <c r="R36" i="2"/>
  <c r="O36" i="2"/>
  <c r="L36" i="2"/>
  <c r="I36" i="2"/>
  <c r="F36" i="2"/>
  <c r="C36" i="2"/>
  <c r="U35" i="2"/>
  <c r="T35" i="2"/>
  <c r="R35" i="2"/>
  <c r="O35" i="2"/>
  <c r="L35" i="2"/>
  <c r="I35" i="2"/>
  <c r="F35" i="2"/>
  <c r="C35" i="2"/>
  <c r="T34" i="2"/>
  <c r="U34" i="2" s="1"/>
  <c r="R34" i="2"/>
  <c r="O34" i="2"/>
  <c r="L34" i="2"/>
  <c r="I34" i="2"/>
  <c r="F34" i="2"/>
  <c r="C34" i="2"/>
  <c r="T33" i="2"/>
  <c r="U33" i="2" s="1"/>
  <c r="R33" i="2"/>
  <c r="O33" i="2"/>
  <c r="L33" i="2"/>
  <c r="I33" i="2"/>
  <c r="F33" i="2"/>
  <c r="C33" i="2"/>
  <c r="U32" i="2"/>
  <c r="T32" i="2"/>
  <c r="R32" i="2"/>
  <c r="O32" i="2"/>
  <c r="L32" i="2"/>
  <c r="I32" i="2"/>
  <c r="F32" i="2"/>
  <c r="C32" i="2"/>
  <c r="T31" i="2"/>
  <c r="U31" i="2" s="1"/>
  <c r="R30" i="2"/>
  <c r="Q30" i="2"/>
  <c r="N30" i="2"/>
  <c r="O30" i="2" s="1"/>
  <c r="K30" i="2"/>
  <c r="L30" i="2" s="1"/>
  <c r="I30" i="2"/>
  <c r="H30" i="2"/>
  <c r="E30" i="2"/>
  <c r="F30" i="2" s="1"/>
  <c r="B30" i="2"/>
  <c r="T30" i="2" s="1"/>
  <c r="U30" i="2" s="1"/>
  <c r="U29" i="2"/>
  <c r="T29" i="2"/>
  <c r="R29" i="2"/>
  <c r="O29" i="2"/>
  <c r="L29" i="2"/>
  <c r="I29" i="2"/>
  <c r="F29" i="2"/>
  <c r="C29" i="2"/>
  <c r="T28" i="2"/>
  <c r="U28" i="2" s="1"/>
  <c r="R28" i="2"/>
  <c r="O28" i="2"/>
  <c r="L28" i="2"/>
  <c r="I28" i="2"/>
  <c r="F28" i="2"/>
  <c r="C28" i="2"/>
  <c r="T27" i="2"/>
  <c r="U27" i="2" s="1"/>
  <c r="R27" i="2"/>
  <c r="O27" i="2"/>
  <c r="L27" i="2"/>
  <c r="I27" i="2"/>
  <c r="F27" i="2"/>
  <c r="C27" i="2"/>
  <c r="U26" i="2"/>
  <c r="T26" i="2"/>
  <c r="R26" i="2"/>
  <c r="O26" i="2"/>
  <c r="L26" i="2"/>
  <c r="I26" i="2"/>
  <c r="F26" i="2"/>
  <c r="C26" i="2"/>
  <c r="T25" i="2"/>
  <c r="U25" i="2" s="1"/>
  <c r="R25" i="2"/>
  <c r="O25" i="2"/>
  <c r="L25" i="2"/>
  <c r="I25" i="2"/>
  <c r="F25" i="2"/>
  <c r="C25" i="2"/>
  <c r="T24" i="2"/>
  <c r="U24" i="2" s="1"/>
  <c r="R24" i="2"/>
  <c r="O24" i="2"/>
  <c r="L24" i="2"/>
  <c r="I24" i="2"/>
  <c r="F24" i="2"/>
  <c r="C24" i="2"/>
  <c r="U23" i="2"/>
  <c r="T23" i="2"/>
  <c r="R23" i="2"/>
  <c r="O23" i="2"/>
  <c r="L23" i="2"/>
  <c r="I23" i="2"/>
  <c r="F23" i="2"/>
  <c r="C23" i="2"/>
  <c r="T22" i="2"/>
  <c r="U22" i="2" s="1"/>
  <c r="R22" i="2"/>
  <c r="O22" i="2"/>
  <c r="L22" i="2"/>
  <c r="I22" i="2"/>
  <c r="F22" i="2"/>
  <c r="C22" i="2"/>
  <c r="T21" i="2"/>
  <c r="U21" i="2" s="1"/>
  <c r="R21" i="2"/>
  <c r="O21" i="2"/>
  <c r="L21" i="2"/>
  <c r="I21" i="2"/>
  <c r="F21" i="2"/>
  <c r="C21" i="2"/>
  <c r="U20" i="2"/>
  <c r="T20" i="2"/>
  <c r="Q19" i="2"/>
  <c r="R19" i="2" s="1"/>
  <c r="O19" i="2"/>
  <c r="N19" i="2"/>
  <c r="K19" i="2"/>
  <c r="L19" i="2" s="1"/>
  <c r="H19" i="2"/>
  <c r="I19" i="2" s="1"/>
  <c r="F19" i="2"/>
  <c r="E19" i="2"/>
  <c r="B19" i="2"/>
  <c r="C19" i="2" s="1"/>
  <c r="T18" i="2"/>
  <c r="U18" i="2" s="1"/>
  <c r="R18" i="2"/>
  <c r="O18" i="2"/>
  <c r="L18" i="2"/>
  <c r="I18" i="2"/>
  <c r="F18" i="2"/>
  <c r="C18" i="2"/>
  <c r="U17" i="2"/>
  <c r="T17" i="2"/>
  <c r="R17" i="2"/>
  <c r="O17" i="2"/>
  <c r="L17" i="2"/>
  <c r="I17" i="2"/>
  <c r="F17" i="2"/>
  <c r="C17" i="2"/>
  <c r="T16" i="2"/>
  <c r="U16" i="2" s="1"/>
  <c r="R16" i="2"/>
  <c r="O16" i="2"/>
  <c r="L16" i="2"/>
  <c r="I16" i="2"/>
  <c r="F16" i="2"/>
  <c r="C16" i="2"/>
  <c r="T15" i="2"/>
  <c r="U15" i="2" s="1"/>
  <c r="R15" i="2"/>
  <c r="O15" i="2"/>
  <c r="L15" i="2"/>
  <c r="I15" i="2"/>
  <c r="F15" i="2"/>
  <c r="C15" i="2"/>
  <c r="U14" i="2"/>
  <c r="T14" i="2"/>
  <c r="R14" i="2"/>
  <c r="O14" i="2"/>
  <c r="L14" i="2"/>
  <c r="I14" i="2"/>
  <c r="F14" i="2"/>
  <c r="C14" i="2"/>
  <c r="T13" i="2"/>
  <c r="U13" i="2" s="1"/>
  <c r="R13" i="2"/>
  <c r="O13" i="2"/>
  <c r="L13" i="2"/>
  <c r="I13" i="2"/>
  <c r="F13" i="2"/>
  <c r="C13" i="2"/>
  <c r="T12" i="2"/>
  <c r="U12" i="2" s="1"/>
  <c r="U11" i="2"/>
  <c r="T11" i="2"/>
  <c r="R11" i="2"/>
  <c r="O11" i="2"/>
  <c r="L11" i="2"/>
  <c r="I11" i="2"/>
  <c r="F11" i="2"/>
  <c r="C11" i="2"/>
  <c r="Q10" i="2"/>
  <c r="R10" i="2" s="1"/>
  <c r="O10" i="2"/>
  <c r="N10" i="2"/>
  <c r="K10" i="2"/>
  <c r="L10" i="2" s="1"/>
  <c r="H10" i="2"/>
  <c r="I10" i="2" s="1"/>
  <c r="F10" i="2"/>
  <c r="E10" i="2"/>
  <c r="B10" i="2"/>
  <c r="C10" i="2" s="1"/>
  <c r="T9" i="2"/>
  <c r="U9" i="2" s="1"/>
  <c r="R9" i="2"/>
  <c r="O9" i="2"/>
  <c r="L9" i="2"/>
  <c r="I9" i="2"/>
  <c r="F9" i="2"/>
  <c r="C9" i="2"/>
  <c r="U8" i="2"/>
  <c r="T8" i="2"/>
  <c r="R8" i="2"/>
  <c r="O8" i="2"/>
  <c r="L8" i="2"/>
  <c r="I8" i="2"/>
  <c r="F8" i="2"/>
  <c r="C8" i="2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7" i="1"/>
  <c r="D205" i="1"/>
  <c r="B201" i="1"/>
  <c r="D200" i="1"/>
  <c r="B200" i="1"/>
  <c r="B199" i="1"/>
  <c r="D198" i="1"/>
  <c r="B198" i="1"/>
  <c r="D197" i="1"/>
  <c r="B197" i="1"/>
  <c r="D196" i="1"/>
  <c r="B196" i="1"/>
  <c r="D195" i="1"/>
  <c r="B195" i="1"/>
  <c r="B194" i="1"/>
  <c r="D193" i="1"/>
  <c r="B193" i="1"/>
  <c r="D192" i="1"/>
  <c r="B192" i="1"/>
  <c r="D191" i="1"/>
  <c r="B191" i="1"/>
  <c r="D190" i="1"/>
  <c r="B190" i="1"/>
  <c r="D189" i="1"/>
  <c r="B189" i="1"/>
  <c r="D188" i="1"/>
  <c r="B188" i="1"/>
  <c r="B187" i="1"/>
  <c r="D186" i="1"/>
  <c r="B186" i="1"/>
  <c r="D185" i="1"/>
  <c r="B185" i="1"/>
  <c r="D184" i="1"/>
  <c r="B184" i="1"/>
  <c r="D183" i="1"/>
  <c r="B183" i="1"/>
  <c r="B182" i="1"/>
  <c r="D181" i="1"/>
  <c r="B181" i="1"/>
  <c r="D180" i="1"/>
  <c r="B180" i="1"/>
  <c r="D179" i="1"/>
  <c r="B179" i="1"/>
  <c r="D178" i="1"/>
  <c r="B178" i="1"/>
  <c r="B177" i="1"/>
  <c r="D176" i="1"/>
  <c r="B176" i="1"/>
  <c r="D175" i="1"/>
  <c r="B175" i="1"/>
  <c r="B174" i="1"/>
  <c r="B172" i="1"/>
  <c r="D171" i="1"/>
  <c r="B171" i="1"/>
  <c r="B170" i="1"/>
  <c r="D169" i="1"/>
  <c r="B169" i="1"/>
  <c r="D168" i="1"/>
  <c r="B168" i="1"/>
  <c r="B167" i="1"/>
  <c r="B166" i="1"/>
  <c r="D165" i="1"/>
  <c r="B165" i="1"/>
  <c r="D164" i="1"/>
  <c r="B164" i="1"/>
  <c r="D163" i="1"/>
  <c r="B163" i="1"/>
  <c r="D162" i="1"/>
  <c r="B162" i="1"/>
  <c r="B161" i="1"/>
  <c r="B160" i="1"/>
  <c r="D159" i="1"/>
  <c r="B159" i="1"/>
  <c r="B158" i="1"/>
  <c r="D157" i="1"/>
  <c r="B157" i="1"/>
  <c r="D156" i="1"/>
  <c r="B156" i="1"/>
  <c r="B155" i="1"/>
  <c r="B154" i="1"/>
  <c r="B152" i="1"/>
  <c r="D151" i="1"/>
  <c r="B151" i="1"/>
  <c r="D150" i="1"/>
  <c r="B150" i="1"/>
  <c r="B149" i="1"/>
  <c r="B148" i="1"/>
  <c r="D147" i="1"/>
  <c r="B147" i="1"/>
  <c r="B146" i="1"/>
  <c r="D145" i="1"/>
  <c r="B145" i="1"/>
  <c r="B144" i="1"/>
  <c r="B143" i="1"/>
  <c r="B141" i="1"/>
  <c r="B140" i="1"/>
  <c r="D139" i="1"/>
  <c r="B139" i="1"/>
  <c r="D138" i="1"/>
  <c r="B138" i="1"/>
  <c r="B137" i="1"/>
  <c r="B136" i="1"/>
  <c r="B135" i="1"/>
  <c r="B134" i="1"/>
  <c r="D133" i="1"/>
  <c r="B133" i="1"/>
  <c r="B132" i="1"/>
  <c r="B130" i="1"/>
  <c r="B129" i="1"/>
  <c r="D128" i="1"/>
  <c r="B128" i="1"/>
  <c r="D127" i="1"/>
  <c r="B127" i="1"/>
  <c r="D126" i="1"/>
  <c r="B126" i="1"/>
  <c r="B125" i="1"/>
  <c r="B124" i="1"/>
  <c r="D123" i="1"/>
  <c r="B123" i="1"/>
  <c r="B122" i="1"/>
  <c r="D121" i="1"/>
  <c r="B121" i="1"/>
  <c r="D120" i="1"/>
  <c r="B120" i="1"/>
  <c r="B119" i="1"/>
  <c r="D118" i="1"/>
  <c r="B118" i="1"/>
  <c r="D117" i="1"/>
  <c r="B117" i="1"/>
  <c r="B116" i="1"/>
  <c r="D115" i="1"/>
  <c r="B115" i="1"/>
  <c r="D114" i="1"/>
  <c r="B114" i="1"/>
  <c r="D113" i="1"/>
  <c r="B113" i="1"/>
  <c r="D112" i="1"/>
  <c r="B112" i="1"/>
  <c r="B111" i="1"/>
  <c r="D110" i="1"/>
  <c r="B110" i="1"/>
  <c r="D109" i="1"/>
  <c r="B109" i="1"/>
  <c r="D108" i="1"/>
  <c r="B108" i="1"/>
  <c r="B107" i="1"/>
  <c r="B106" i="1"/>
  <c r="D105" i="1"/>
  <c r="B105" i="1"/>
  <c r="B104" i="1"/>
  <c r="B103" i="1"/>
  <c r="B101" i="1"/>
  <c r="D100" i="1"/>
  <c r="B100" i="1"/>
  <c r="D99" i="1"/>
  <c r="B99" i="1"/>
  <c r="B98" i="1"/>
  <c r="D97" i="1"/>
  <c r="B97" i="1"/>
  <c r="B96" i="1"/>
  <c r="D95" i="1"/>
  <c r="B95" i="1"/>
  <c r="D94" i="1"/>
  <c r="B94" i="1"/>
  <c r="D93" i="1"/>
  <c r="B93" i="1"/>
  <c r="B92" i="1"/>
  <c r="D91" i="1"/>
  <c r="B91" i="1"/>
  <c r="D90" i="1"/>
  <c r="B90" i="1"/>
  <c r="B89" i="1"/>
  <c r="B88" i="1"/>
  <c r="B87" i="1"/>
  <c r="B86" i="1"/>
  <c r="D85" i="1"/>
  <c r="B85" i="1"/>
  <c r="D84" i="1"/>
  <c r="B84" i="1"/>
  <c r="B83" i="1"/>
  <c r="D82" i="1"/>
  <c r="B82" i="1"/>
  <c r="D81" i="1"/>
  <c r="B81" i="1"/>
  <c r="B80" i="1"/>
  <c r="B79" i="1"/>
  <c r="D78" i="1"/>
  <c r="B78" i="1"/>
  <c r="D77" i="1"/>
  <c r="B77" i="1"/>
  <c r="D76" i="1"/>
  <c r="B76" i="1"/>
  <c r="D75" i="1"/>
  <c r="B75" i="1"/>
  <c r="B74" i="1"/>
  <c r="D73" i="1"/>
  <c r="B73" i="1"/>
  <c r="D72" i="1"/>
  <c r="B72" i="1"/>
  <c r="B71" i="1"/>
  <c r="D70" i="1"/>
  <c r="B70" i="1"/>
  <c r="D69" i="1"/>
  <c r="B69" i="1"/>
  <c r="B68" i="1"/>
  <c r="D67" i="1"/>
  <c r="B67" i="1"/>
  <c r="D66" i="1"/>
  <c r="B66" i="1"/>
  <c r="B65" i="1"/>
  <c r="D64" i="1"/>
  <c r="B64" i="1"/>
  <c r="D63" i="1"/>
  <c r="B63" i="1"/>
  <c r="B62" i="1"/>
  <c r="D61" i="1"/>
  <c r="B61" i="1"/>
  <c r="B60" i="1"/>
  <c r="D59" i="1"/>
  <c r="B59" i="1"/>
  <c r="D58" i="1"/>
  <c r="B58" i="1"/>
  <c r="D57" i="1"/>
  <c r="B57" i="1"/>
  <c r="B56" i="1"/>
  <c r="D55" i="1"/>
  <c r="B55" i="1"/>
  <c r="D54" i="1"/>
  <c r="B54" i="1"/>
  <c r="B53" i="1"/>
  <c r="B52" i="1"/>
  <c r="D48" i="1"/>
  <c r="D50" i="1" s="1"/>
  <c r="D47" i="1"/>
  <c r="D46" i="1"/>
  <c r="D49" i="1" s="1"/>
  <c r="E34" i="1"/>
  <c r="G29" i="1"/>
  <c r="C29" i="1"/>
  <c r="G28" i="1"/>
  <c r="C28" i="1"/>
  <c r="G27" i="1"/>
  <c r="D27" i="1"/>
  <c r="C27" i="1"/>
  <c r="G26" i="1"/>
  <c r="C26" i="1"/>
  <c r="D26" i="1" s="1"/>
  <c r="G25" i="1"/>
  <c r="C25" i="1"/>
  <c r="G24" i="1"/>
  <c r="C24" i="1"/>
  <c r="G23" i="1"/>
  <c r="C23" i="1"/>
  <c r="C22" i="1"/>
  <c r="D22" i="1" s="1"/>
  <c r="C16" i="1"/>
  <c r="D15" i="1"/>
  <c r="C15" i="1"/>
  <c r="C12" i="1"/>
  <c r="C11" i="1"/>
  <c r="C9" i="1"/>
  <c r="C8" i="1"/>
  <c r="D5" i="1"/>
  <c r="D88" i="1" s="1"/>
  <c r="C5" i="1"/>
  <c r="C4" i="1"/>
  <c r="D2" i="1"/>
  <c r="D9" i="1" s="1"/>
  <c r="E27" i="1" l="1"/>
  <c r="B27" i="1" s="1"/>
  <c r="B25" i="1"/>
  <c r="E29" i="1"/>
  <c r="B29" i="1" s="1"/>
  <c r="B24" i="1"/>
  <c r="E24" i="1"/>
  <c r="E28" i="1"/>
  <c r="B28" i="1" s="1"/>
  <c r="E26" i="1"/>
  <c r="B26" i="1"/>
  <c r="E23" i="1"/>
  <c r="E25" i="1"/>
  <c r="B23" i="1"/>
  <c r="D130" i="1"/>
  <c r="D141" i="1"/>
  <c r="D101" i="1"/>
  <c r="C326" i="2"/>
  <c r="T326" i="2"/>
  <c r="U326" i="2" s="1"/>
  <c r="D152" i="1"/>
  <c r="D172" i="1"/>
  <c r="D201" i="1"/>
  <c r="D11" i="1"/>
  <c r="D25" i="1"/>
  <c r="I52" i="2"/>
  <c r="L80" i="2"/>
  <c r="T143" i="2"/>
  <c r="U143" i="2" s="1"/>
  <c r="C151" i="2"/>
  <c r="T263" i="2"/>
  <c r="U263" i="2" s="1"/>
  <c r="T324" i="2"/>
  <c r="U324" i="2" s="1"/>
  <c r="T10" i="2"/>
  <c r="U10" i="2" s="1"/>
  <c r="T19" i="2"/>
  <c r="U19" i="2" s="1"/>
  <c r="T37" i="2"/>
  <c r="U37" i="2" s="1"/>
  <c r="K326" i="2"/>
  <c r="L326" i="2" s="1"/>
  <c r="C284" i="2"/>
  <c r="D4" i="1"/>
  <c r="D12" i="1"/>
  <c r="D23" i="1"/>
  <c r="L52" i="2"/>
  <c r="T241" i="2"/>
  <c r="U241" i="2" s="1"/>
  <c r="D28" i="1"/>
  <c r="T120" i="2"/>
  <c r="U120" i="2" s="1"/>
  <c r="T51" i="2"/>
  <c r="U51" i="2" s="1"/>
  <c r="F283" i="2"/>
  <c r="D16" i="1"/>
  <c r="C30" i="2"/>
  <c r="R52" i="2"/>
  <c r="T209" i="2"/>
  <c r="U209" i="2" s="1"/>
  <c r="E16" i="1"/>
  <c r="D24" i="1"/>
  <c r="T52" i="2"/>
  <c r="U52" i="2" s="1"/>
  <c r="T314" i="2"/>
  <c r="U314" i="2" s="1"/>
  <c r="D29" i="1"/>
  <c r="T252" i="2"/>
  <c r="U252" i="2" s="1"/>
  <c r="T76" i="2"/>
  <c r="U76" i="2" s="1"/>
  <c r="T157" i="2"/>
  <c r="U157" i="2" s="1"/>
  <c r="T211" i="2"/>
  <c r="U211" i="2" s="1"/>
  <c r="T325" i="2"/>
  <c r="U325" i="2" s="1"/>
  <c r="E30" i="1" l="1"/>
  <c r="D19" i="1" s="1"/>
  <c r="D20" i="1" s="1"/>
  <c r="D30" i="1"/>
  <c r="D8" i="1"/>
  <c r="D10" i="1" l="1"/>
  <c r="D36" i="1" s="1"/>
  <c r="D6" i="1"/>
  <c r="E200" i="1" l="1"/>
  <c r="E196" i="1"/>
  <c r="E192" i="1"/>
  <c r="E188" i="1"/>
  <c r="E184" i="1"/>
  <c r="E180" i="1"/>
  <c r="E176" i="1"/>
  <c r="E139" i="1"/>
  <c r="E162" i="1"/>
  <c r="E121" i="1"/>
  <c r="E117" i="1"/>
  <c r="E113" i="1"/>
  <c r="E109" i="1"/>
  <c r="E105" i="1"/>
  <c r="E55" i="1"/>
  <c r="E133" i="1"/>
  <c r="D35" i="1"/>
  <c r="D40" i="1" s="1"/>
  <c r="E175" i="1"/>
  <c r="E138" i="1"/>
  <c r="E186" i="1"/>
  <c r="E178" i="1"/>
  <c r="E198" i="1"/>
  <c r="E190" i="1"/>
  <c r="E47" i="1"/>
  <c r="E127" i="1"/>
  <c r="E123" i="1"/>
  <c r="E115" i="1"/>
  <c r="D34" i="1"/>
  <c r="D39" i="1" s="1"/>
  <c r="D33" i="1"/>
  <c r="D38" i="1" s="1"/>
  <c r="D41" i="1" s="1"/>
  <c r="E41" i="1" s="1"/>
  <c r="E159" i="1"/>
  <c r="E104" i="1"/>
  <c r="E161" i="1"/>
  <c r="E93" i="1"/>
  <c r="E191" i="1"/>
  <c r="E158" i="1"/>
  <c r="E95" i="1"/>
  <c r="E199" i="1"/>
  <c r="E155" i="1"/>
  <c r="E74" i="1"/>
  <c r="E116" i="1"/>
  <c r="E75" i="1"/>
  <c r="E189" i="1"/>
  <c r="E119" i="1"/>
  <c r="E166" i="1"/>
  <c r="E100" i="1"/>
  <c r="E68" i="1"/>
  <c r="E49" i="1"/>
  <c r="E112" i="1"/>
  <c r="E50" i="1"/>
  <c r="E177" i="1"/>
  <c r="E145" i="1"/>
  <c r="E82" i="1"/>
  <c r="E98" i="1"/>
  <c r="E90" i="1"/>
  <c r="E67" i="1"/>
  <c r="E88" i="1"/>
  <c r="E72" i="1"/>
  <c r="E156" i="1"/>
  <c r="E66" i="1"/>
  <c r="E46" i="1"/>
  <c r="E86" i="1"/>
  <c r="E148" i="1"/>
  <c r="E107" i="1"/>
  <c r="E96" i="1"/>
  <c r="E111" i="1"/>
  <c r="E94" i="1"/>
  <c r="E179" i="1"/>
  <c r="E65" i="1"/>
  <c r="E193" i="1"/>
  <c r="E54" i="1"/>
  <c r="E60" i="1"/>
  <c r="E120" i="1"/>
  <c r="E114" i="1"/>
  <c r="E124" i="1"/>
  <c r="E128" i="1"/>
  <c r="E165" i="1"/>
  <c r="E197" i="1"/>
  <c r="E57" i="1"/>
  <c r="E118" i="1"/>
  <c r="E171" i="1"/>
  <c r="E73" i="1"/>
  <c r="E182" i="1"/>
  <c r="E135" i="1"/>
  <c r="E164" i="1"/>
  <c r="E59" i="1"/>
  <c r="E140" i="1"/>
  <c r="E81" i="1"/>
  <c r="E195" i="1"/>
  <c r="E129" i="1"/>
  <c r="E181" i="1"/>
  <c r="E62" i="1"/>
  <c r="E56" i="1"/>
  <c r="E64" i="1"/>
  <c r="E126" i="1"/>
  <c r="E147" i="1"/>
  <c r="E194" i="1"/>
  <c r="E69" i="1"/>
  <c r="E76" i="1"/>
  <c r="E61" i="1"/>
  <c r="E99" i="1"/>
  <c r="E151" i="1"/>
  <c r="E146" i="1"/>
  <c r="E97" i="1"/>
  <c r="E185" i="1"/>
  <c r="E136" i="1"/>
  <c r="E89" i="1"/>
  <c r="E157" i="1"/>
  <c r="E106" i="1"/>
  <c r="E53" i="1"/>
  <c r="E91" i="1"/>
  <c r="E183" i="1"/>
  <c r="E168" i="1"/>
  <c r="E63" i="1"/>
  <c r="E85" i="1"/>
  <c r="E80" i="1"/>
  <c r="E87" i="1"/>
  <c r="E149" i="1"/>
  <c r="E144" i="1"/>
  <c r="E167" i="1"/>
  <c r="E163" i="1"/>
  <c r="E125" i="1"/>
  <c r="E108" i="1"/>
  <c r="E71" i="1"/>
  <c r="E83" i="1"/>
  <c r="E70" i="1"/>
  <c r="E110" i="1"/>
  <c r="E92" i="1"/>
  <c r="E170" i="1"/>
  <c r="E160" i="1"/>
  <c r="E48" i="1"/>
  <c r="E78" i="1"/>
  <c r="E84" i="1"/>
  <c r="E150" i="1"/>
  <c r="E137" i="1"/>
  <c r="E77" i="1"/>
  <c r="E169" i="1"/>
  <c r="E134" i="1"/>
  <c r="E58" i="1"/>
  <c r="E187" i="1"/>
  <c r="E79" i="1"/>
  <c r="E122" i="1"/>
  <c r="E172" i="1"/>
  <c r="E130" i="1"/>
  <c r="E152" i="1"/>
  <c r="E141" i="1"/>
  <c r="E101" i="1"/>
  <c r="E201" i="1"/>
  <c r="D43" i="1" l="1"/>
  <c r="D203" i="1" l="1"/>
  <c r="E203" i="1" s="1"/>
  <c r="D207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<sst xmlns="http://schemas.openxmlformats.org/spreadsheetml/2006/main" count="377" uniqueCount="357">
  <si>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</si>
  <si>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</si>
  <si>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</si>
  <si>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</si>
  <si>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</si>
  <si>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</si>
  <si>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</si>
  <si>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</si>
  <si>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</si>
  <si>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</si>
  <si>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</si>
  <si>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</si>
  <si>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</si>
  <si>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</si>
  <si>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</si>
  <si>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</si>
  <si>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</si>
  <si>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</si>
  <si>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</si>
  <si>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</si>
  <si>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</si>
  <si>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</si>
  <si>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</si>
  <si>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</si>
  <si>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</si>
  <si>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</si>
  <si>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</si>
  <si>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</si>
  <si>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</si>
  <si>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</si>
  <si>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</si>
  <si>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</si>
  <si>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</si>
  <si>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</si>
  <si>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</si>
  <si>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</si>
  <si>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</si>
  <si>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PTD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</si>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</sst>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sz val="12"/>
      <name val="Aptos Narrow"/>
      <scheme val="minor"/>
    </font>
    <font>
      <b/>
      <sz val="12"/>
      <color rgb="FF696969"/>
      <name val="Aptos Narrow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scheme val="minor"/>
    </font>
    <font>
      <b/>
      <i/>
      <sz val="8"/>
      <name val="Aptos Narrow"/>
      <scheme val="minor"/>
    </font>
    <font>
      <i/>
      <sz val="8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14" fillId="0" borderId="0" xfId="0" applyFont="1" applyAlignment="1">
      <alignment horizontal="center" vertical="center" wrapText="1"/>
    </xf>
    <xf numFmtId="4" fontId="15" fillId="8" borderId="0" xfId="0" applyNumberFormat="1" applyFont="1" applyFill="1" applyAlignment="1">
      <alignment horizontal="center" vertical="center" wrapText="1"/>
    </xf>
    <xf numFmtId="168" fontId="15" fillId="8" borderId="0" xfId="0" applyNumberFormat="1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/>
    </xf>
    <xf numFmtId="0" fontId="17" fillId="0" borderId="0" xfId="0" applyFont="1" applyAlignment="1">
      <alignment horizontal="left" vertical="center" wrapText="1"/>
    </xf>
    <xf numFmtId="4" fontId="17" fillId="0" borderId="0" xfId="0" applyNumberFormat="1" applyFont="1" applyAlignment="1">
      <alignment vertical="center"/>
    </xf>
    <xf numFmtId="168" fontId="18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2"/>
    </xf>
    <xf numFmtId="4" fontId="14" fillId="0" borderId="0" xfId="0" applyNumberFormat="1" applyFont="1" applyAlignment="1">
      <alignment vertical="center"/>
    </xf>
    <xf numFmtId="168" fontId="19" fillId="0" borderId="0" xfId="0" applyNumberFormat="1" applyFont="1" applyAlignment="1">
      <alignment horizontal="right" vertical="center"/>
    </xf>
    <xf numFmtId="0" fontId="14" fillId="0" borderId="0" xfId="0" applyFont="1" applyAlignment="1">
      <alignment vertical="center"/>
    </xf>
    <xf numFmtId="4" fontId="0" fillId="0" borderId="0" xfId="0" applyNumberFormat="1"/>
    <xf numFmtId="4" fontId="17" fillId="0" borderId="0" xfId="0" applyNumberFormat="1" applyFont="1" applyAlignment="1">
      <alignment horizontal="left" vertical="center" wrapText="1" indent="1"/>
    </xf>
    <xf numFmtId="4" fontId="17" fillId="0" borderId="0" xfId="0" applyNumberFormat="1" applyFont="1" applyAlignment="1">
      <alignment horizontal="right" vertical="center"/>
    </xf>
    <xf numFmtId="168" fontId="18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left" vertical="center" wrapText="1" indent="1"/>
    </xf>
    <xf numFmtId="4" fontId="17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left" vertical="center" wrapText="1" indent="2"/>
    </xf>
    <xf numFmtId="0" fontId="14" fillId="0" borderId="0" xfId="0" applyFont="1" applyAlignment="1">
      <alignment horizontal="left" vertical="center" wrapText="1" indent="3"/>
    </xf>
    <xf numFmtId="4" fontId="17" fillId="0" borderId="0" xfId="0" applyNumberFormat="1" applyFont="1" applyAlignment="1">
      <alignment horizontal="left" vertical="center" wrapText="1" indent="2"/>
    </xf>
    <xf numFmtId="0" fontId="14" fillId="0" borderId="0" xfId="0" applyFont="1" applyAlignment="1">
      <alignment horizontal="left" vertical="center" wrapText="1"/>
    </xf>
    <xf numFmtId="169" fontId="19" fillId="0" borderId="0" xfId="0" applyNumberFormat="1" applyFont="1" applyAlignment="1">
      <alignment vertical="center"/>
    </xf>
    <xf numFmtId="0" fontId="14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A1717-E08A-46D6-B524-E6C6853AD0F9}">
  <sheetPr>
    <tabColor rgb="FFE8E05D"/>
  </sheetPr>
  <dimension ref="B1:FS250"/>
  <sheetViews>
    <sheetView tabSelected="1" topLeftCell="A53" zoomScale="80" zoomScaleNormal="80" workbookViewId="0">
      <pane xSplit="3" topLeftCell="D1" activePane="topRight" state="frozen"/>
      <selection activeCell="U201" sqref="U201"/>
      <selection pane="topRight" activeCell="D79" sqref="D79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3.875" style="1" customWidth="1"/>
    <col min="5" max="5" width="7.75" style="20" bestFit="1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0.875" customWidth="1"/>
    <col min="21" max="21" width="12.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f>VLOOKUP(D$2,'[1]Overview 2026'!$B$7:$AC$52,$C5,FALSE)</f>
        <v>100000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0.45454545454545453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220000</v>
      </c>
      <c r="E8" s="19"/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</row>
    <row r="10" spans="2:175" x14ac:dyDescent="0.25">
      <c r="B10" s="21" t="s">
        <v>4</v>
      </c>
      <c r="C10" s="22"/>
      <c r="D10" s="23">
        <f>SUM(D8:E9)</f>
        <v>321500</v>
      </c>
      <c r="E10" s="23"/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200000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7142.8571428571431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199330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109310.00000000001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12860</v>
      </c>
      <c r="E35" s="20">
        <v>0.04</v>
      </c>
    </row>
    <row r="36" spans="2:175" x14ac:dyDescent="0.25">
      <c r="B36" s="21" t="s">
        <v>4</v>
      </c>
      <c r="C36" s="22"/>
      <c r="D36" s="45">
        <f>D10</f>
        <v>321500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29899.5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28967.150000000005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3600.8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62467.450000000012</v>
      </c>
      <c r="E41" s="46">
        <f>D41/D36</f>
        <v>0.19430000000000003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259032.55</v>
      </c>
      <c r="E43" s="46">
        <f>D43/D36</f>
        <v>0.80569999999999997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56000/7</f>
        <v>8000</v>
      </c>
      <c r="E46" s="20">
        <f>D46/D$36</f>
        <v>2.4883359253499222E-2</v>
      </c>
    </row>
    <row r="47" spans="2:175" outlineLevel="1" x14ac:dyDescent="0.25">
      <c r="B47" s="1" t="s">
        <v>23</v>
      </c>
      <c r="D47" s="34">
        <f>30000/7</f>
        <v>4285.7142857142853</v>
      </c>
      <c r="E47" s="20">
        <f t="shared" ref="E47:E50" si="2">D47/D$36</f>
        <v>1.3330371028660297E-2</v>
      </c>
    </row>
    <row r="48" spans="2:175" outlineLevel="1" x14ac:dyDescent="0.25">
      <c r="B48" s="1" t="s">
        <v>24</v>
      </c>
      <c r="D48" s="34">
        <f>70000/7</f>
        <v>10000</v>
      </c>
      <c r="E48" s="20">
        <f t="shared" si="2"/>
        <v>3.110419906687403E-2</v>
      </c>
    </row>
    <row r="49" spans="2:175" outlineLevel="1" x14ac:dyDescent="0.25">
      <c r="B49" s="1" t="s">
        <v>25</v>
      </c>
      <c r="D49" s="34">
        <f>SUM(D46:D48)*18.7%</f>
        <v>4167.4285714285716</v>
      </c>
      <c r="E49" s="20">
        <f t="shared" si="2"/>
        <v>1.2962452788269274E-2</v>
      </c>
    </row>
    <row r="50" spans="2:175" x14ac:dyDescent="0.25">
      <c r="B50" s="21" t="s">
        <v>26</v>
      </c>
      <c r="C50" s="22"/>
      <c r="D50" s="45">
        <f>SUM(D46:D49)</f>
        <v>26453.142857142859</v>
      </c>
      <c r="E50" s="46">
        <f t="shared" si="2"/>
        <v>8.2280382137302821E-2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5.8681318681318685E-2</v>
      </c>
      <c r="E53" s="20">
        <f t="shared" ref="E53:E101" si="3">D53/D$36</f>
        <v>1.82523541777041E-7</v>
      </c>
    </row>
    <row r="54" spans="2:175" outlineLevel="1" x14ac:dyDescent="0.25">
      <c r="B54" s="1" t="str">
        <f>'OPEX DATA 2'!A162</f>
        <v>6110 - China</v>
      </c>
      <c r="D54" s="34">
        <f>'OPEX DATA 2'!U162</f>
        <v>415.59049450549452</v>
      </c>
      <c r="E54" s="20">
        <f t="shared" si="3"/>
        <v>1.2926609471399519E-3</v>
      </c>
    </row>
    <row r="55" spans="2:175" outlineLevel="1" x14ac:dyDescent="0.25">
      <c r="B55" s="1" t="str">
        <f>'OPEX DATA 2'!A163</f>
        <v>6120 - Glass</v>
      </c>
      <c r="D55" s="34">
        <f>'OPEX DATA 2'!U163</f>
        <v>393.36098901098904</v>
      </c>
      <c r="E55" s="20">
        <f t="shared" si="3"/>
        <v>1.223517850734025E-3</v>
      </c>
    </row>
    <row r="56" spans="2:175" outlineLevel="1" x14ac:dyDescent="0.25">
      <c r="B56" s="1" t="str">
        <f>'OPEX DATA 2'!A164</f>
        <v>6130 - Silverware</v>
      </c>
      <c r="D56" s="34">
        <f>'OPEX DATA 2'!U164</f>
        <v>35.035274725274725</v>
      </c>
      <c r="E56" s="20">
        <f t="shared" si="3"/>
        <v>1.0897441594175653E-4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54.80274725274726</v>
      </c>
      <c r="E57" s="20">
        <f t="shared" si="3"/>
        <v>1.7045955599610346E-4</v>
      </c>
    </row>
    <row r="58" spans="2:175" outlineLevel="1" x14ac:dyDescent="0.25">
      <c r="B58" s="1" t="str">
        <f>'OPEX DATA 2'!A166</f>
        <v>6201 - Ice Expense</v>
      </c>
      <c r="D58" s="34">
        <f>'OPEX DATA 2'!U166</f>
        <v>242.89516483516488</v>
      </c>
      <c r="E58" s="20">
        <f t="shared" si="3"/>
        <v>7.5550595594141485E-4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220.50010989010985</v>
      </c>
      <c r="E59" s="20">
        <f t="shared" si="3"/>
        <v>6.8584793122895751E-4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495.8454395604395</v>
      </c>
      <c r="E60" s="20">
        <f t="shared" si="3"/>
        <v>1.5422875258489564E-3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45.328681318681319</v>
      </c>
      <c r="E61" s="20">
        <f t="shared" si="3"/>
        <v>1.4099123271751576E-4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472.40769230769229</v>
      </c>
      <c r="E62" s="20">
        <f t="shared" si="3"/>
        <v>1.4693862902261036E-3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412.8150549450549</v>
      </c>
      <c r="E63" s="20">
        <f t="shared" si="3"/>
        <v>1.2840281646813527E-3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2.0729120879120879</v>
      </c>
      <c r="E65" s="20">
        <f t="shared" si="3"/>
        <v>6.4476270230547058E-6</v>
      </c>
    </row>
    <row r="66" spans="2:5" outlineLevel="1" x14ac:dyDescent="0.25">
      <c r="B66" s="1" t="str">
        <f>'OPEX DATA 2'!A174</f>
        <v>6250 - Menu supplies</v>
      </c>
      <c r="D66" s="34">
        <f>'OPEX DATA 2'!U174</f>
        <v>25.021538461538462</v>
      </c>
      <c r="E66" s="20">
        <f t="shared" si="3"/>
        <v>7.7827491326713728E-5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238.68532967032965</v>
      </c>
      <c r="E67" s="20">
        <f t="shared" si="3"/>
        <v>7.4241160084083868E-4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184.46236263736265</v>
      </c>
      <c r="E68" s="20">
        <f t="shared" si="3"/>
        <v>5.7375540478184336E-4</v>
      </c>
    </row>
    <row r="69" spans="2:5" outlineLevel="1" x14ac:dyDescent="0.25">
      <c r="B69" s="1" t="str">
        <f>'OPEX DATA 2'!A177</f>
        <v>6280 - Linen</v>
      </c>
      <c r="D69" s="34">
        <f>'OPEX DATA 2'!U177</f>
        <v>401.94109890109888</v>
      </c>
      <c r="E69" s="20">
        <f t="shared" si="3"/>
        <v>1.2502055953377881E-3</v>
      </c>
    </row>
    <row r="70" spans="2:5" outlineLevel="1" x14ac:dyDescent="0.25">
      <c r="B70" s="1" t="str">
        <f>'OPEX DATA 2'!A178</f>
        <v>6285 - Uniforms</v>
      </c>
      <c r="D70" s="34">
        <f>'OPEX DATA 2'!U178</f>
        <v>455.67560439560441</v>
      </c>
      <c r="E70" s="20">
        <f t="shared" si="3"/>
        <v>1.4173424709039018E-3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193.57774725274726</v>
      </c>
      <c r="E71" s="20">
        <f t="shared" si="3"/>
        <v>6.0210807854664777E-4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1250.8094505494505</v>
      </c>
      <c r="E72" s="20">
        <f t="shared" si="3"/>
        <v>3.8905426144617435E-3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5.4945054945054945</v>
      </c>
      <c r="E73" s="20">
        <f t="shared" si="3"/>
        <v>1.7090219267513201E-5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8.0881318681318675</v>
      </c>
      <c r="E74" s="20">
        <f t="shared" si="3"/>
        <v>2.5157486370550131E-5</v>
      </c>
    </row>
    <row r="75" spans="2:5" outlineLevel="1" x14ac:dyDescent="0.25">
      <c r="B75" s="1" t="str">
        <f>'OPEX DATA 2'!A183</f>
        <v>6320 - Family Meal</v>
      </c>
      <c r="D75" s="34">
        <f>'OPEX DATA 2'!U183</f>
        <v>243.69950549450547</v>
      </c>
      <c r="E75" s="20">
        <f t="shared" si="3"/>
        <v>7.5800779313998587E-4</v>
      </c>
    </row>
    <row r="76" spans="2:5" outlineLevel="1" x14ac:dyDescent="0.25">
      <c r="B76" s="1" t="str">
        <f>'OPEX DATA 2'!A184</f>
        <v>6330 - Menu Research</v>
      </c>
      <c r="D76" s="34">
        <f>'OPEX DATA 2'!U184</f>
        <v>25.30510989010989</v>
      </c>
      <c r="E76" s="20">
        <f t="shared" si="3"/>
        <v>7.8709517543110074E-5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49.757967032967038</v>
      </c>
      <c r="E77" s="20">
        <f t="shared" si="3"/>
        <v>1.547681711756362E-4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140.80115384615385</v>
      </c>
      <c r="E79" s="20">
        <f t="shared" si="3"/>
        <v>4.3795071180763252E-4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225.43005494505493</v>
      </c>
      <c r="E80" s="20">
        <f t="shared" si="3"/>
        <v>7.0118213046673383E-4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700.05456043956042</v>
      </c>
      <c r="E81" s="20">
        <f t="shared" si="3"/>
        <v>2.1774636405585083E-3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39.794670329670332</v>
      </c>
      <c r="E82" s="20">
        <f t="shared" si="3"/>
        <v>1.2377813477346914E-4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287.28994505494501</v>
      </c>
      <c r="E84" s="20">
        <f t="shared" si="3"/>
        <v>8.9359236409003115E-4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1415.4834065934067</v>
      </c>
      <c r="E85" s="46">
        <f t="shared" si="3"/>
        <v>4.4027477654538308E-3</v>
      </c>
    </row>
    <row r="86" spans="2:175" x14ac:dyDescent="0.25">
      <c r="B86" s="1" t="str">
        <f>'OPEX DATA 2'!A194</f>
        <v>6600 - Commissary Direct Opex</v>
      </c>
      <c r="D86" s="34">
        <f>'OPEX DATA 2'!U194</f>
        <v>688.86109890109879</v>
      </c>
      <c r="E86" s="20">
        <f t="shared" si="3"/>
        <v>2.1426472749645374E-3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59.434615384615377</v>
      </c>
      <c r="E87" s="18">
        <f t="shared" si="3"/>
        <v>1.8486661083861705E-4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100000</v>
      </c>
      <c r="E88" s="20">
        <f t="shared" si="3"/>
        <v>0.31104199066874028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1.1703296703296702E-2</v>
      </c>
      <c r="E89" s="20">
        <f t="shared" si="3"/>
        <v>3.6402167039803118E-8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52.211593406593408</v>
      </c>
      <c r="E93" s="20">
        <f t="shared" si="3"/>
        <v>1.6239997949173688E-4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109482.6043956044</v>
      </c>
      <c r="E101" s="50">
        <f t="shared" si="3"/>
        <v>0.34053687214806966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'OPEX DATA 2'!U215</f>
        <v>3110.2091208791207</v>
      </c>
      <c r="E104" s="20">
        <f t="shared" ref="E104:E130" si="4">D104/D$36</f>
        <v>9.6740563635431438E-3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216.34489010989009</v>
      </c>
      <c r="E105" s="20">
        <f t="shared" si="4"/>
        <v>6.7292345290790071E-4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590.18500000000006</v>
      </c>
      <c r="E106" s="20">
        <f t="shared" si="4"/>
        <v>1.8357231726283049E-3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190.19483516483518</v>
      </c>
      <c r="E107" s="20">
        <f t="shared" si="4"/>
        <v>5.915858014458326E-4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1510.4746153846154</v>
      </c>
      <c r="E108" s="20">
        <f t="shared" si="4"/>
        <v>4.6982103122383059E-3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3.2997802197802213</v>
      </c>
      <c r="E109" s="20">
        <f t="shared" si="4"/>
        <v>1.0263702083297733E-5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290.77159340659341</v>
      </c>
      <c r="E110" s="46">
        <f t="shared" si="4"/>
        <v>9.0442175243108367E-4</v>
      </c>
    </row>
    <row r="111" spans="2:175" x14ac:dyDescent="0.25">
      <c r="B111" s="1" t="str">
        <f>'OPEX DATA 2'!A222</f>
        <v>7080 - Office Supplies</v>
      </c>
      <c r="D111" s="34">
        <f>'OPEX DATA 2'!U222</f>
        <v>31.975824175824179</v>
      </c>
      <c r="E111" s="20">
        <f t="shared" si="4"/>
        <v>9.9458240049219836E-5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22.037637362637362</v>
      </c>
      <c r="E112" s="18">
        <f t="shared" si="4"/>
        <v>6.8546305949105328E-5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6.3016483516483524</v>
      </c>
      <c r="E113" s="20">
        <f t="shared" si="4"/>
        <v>1.9600772477910894E-5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11.031758241758242</v>
      </c>
      <c r="E114" s="20">
        <f t="shared" si="4"/>
        <v>3.4313400440927659E-5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-0.1335164835164839</v>
      </c>
      <c r="E115" s="20">
        <f t="shared" si="4"/>
        <v>-4.1529232820057204E-7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170.07181318681322</v>
      </c>
      <c r="E116" s="20">
        <f t="shared" si="4"/>
        <v>5.2899475330268496E-4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58.873681318681314</v>
      </c>
      <c r="E117" s="20">
        <f t="shared" si="4"/>
        <v>1.8312187035359663E-4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1.0879120879120878</v>
      </c>
      <c r="E118" s="20">
        <f t="shared" si="4"/>
        <v>3.3838634149676136E-6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242.52285714285713</v>
      </c>
      <c r="E119" s="46">
        <f t="shared" si="4"/>
        <v>7.5434792268384799E-4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86.813186813186817</v>
      </c>
      <c r="E121" s="18">
        <f t="shared" si="4"/>
        <v>2.7002546442670859E-4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17.96065934065934</v>
      </c>
      <c r="E122" s="46">
        <f t="shared" si="4"/>
        <v>5.5865192350417855E-5</v>
      </c>
    </row>
    <row r="123" spans="2:175" x14ac:dyDescent="0.25">
      <c r="B123" s="1" t="str">
        <f>'OPEX DATA 2'!A234</f>
        <v>7160 - Travel</v>
      </c>
      <c r="D123" s="34">
        <f>'OPEX DATA 2'!U234</f>
        <v>19.421043956043956</v>
      </c>
      <c r="E123" s="20">
        <f t="shared" si="4"/>
        <v>6.0407601729530189E-5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86.076978021978022</v>
      </c>
      <c r="E124" s="18">
        <f t="shared" si="4"/>
        <v>2.677355459470545E-4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1381.6895054945055</v>
      </c>
      <c r="E125" s="20">
        <f t="shared" si="4"/>
        <v>4.2976345427511832E-3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489.20521978021981</v>
      </c>
      <c r="E126" s="46">
        <f t="shared" si="4"/>
        <v>1.5216336540597817E-3</v>
      </c>
    </row>
    <row r="127" spans="2:175" x14ac:dyDescent="0.25">
      <c r="B127" s="1" t="str">
        <f>'OPEX DATA 2'!A238</f>
        <v>7177 - Parking - Team</v>
      </c>
      <c r="D127" s="34">
        <f>'OPEX DATA 2'!U238</f>
        <v>23.329120879120882</v>
      </c>
      <c r="E127" s="20">
        <f t="shared" si="4"/>
        <v>7.2563361987934314E-5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87.445054945054949</v>
      </c>
      <c r="E128" s="18">
        <f t="shared" si="4"/>
        <v>2.7199083964247263E-4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8647.1902197802228</v>
      </c>
      <c r="E130" s="50">
        <f t="shared" si="4"/>
        <v>2.6896392596517021E-2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45.020109890109893</v>
      </c>
      <c r="E133" s="20">
        <f t="shared" ref="E133:E141" si="5">D133/D$36</f>
        <v>1.4003144600345223E-4</v>
      </c>
    </row>
    <row r="134" spans="2:7" outlineLevel="1" x14ac:dyDescent="0.25">
      <c r="B134" s="1" t="str">
        <f>'OPEX DATA 2'!A245</f>
        <v>7520 - Internet</v>
      </c>
      <c r="D134" s="34">
        <f>'OPEX DATA 2'!U245</f>
        <v>62.89747252747253</v>
      </c>
      <c r="E134" s="20">
        <f t="shared" si="5"/>
        <v>1.9563755062977458E-4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440.13868131868128</v>
      </c>
      <c r="E136" s="20">
        <f t="shared" si="5"/>
        <v>1.3690161160767691E-3</v>
      </c>
    </row>
    <row r="137" spans="2:7" outlineLevel="1" x14ac:dyDescent="0.25">
      <c r="B137" s="1" t="str">
        <f>'OPEX DATA 2'!A248</f>
        <v>7550 - Gas</v>
      </c>
      <c r="D137" s="34">
        <f>'OPEX DATA 2'!U248</f>
        <v>71.29313186813188</v>
      </c>
      <c r="E137" s="20">
        <f t="shared" si="5"/>
        <v>2.2175157657272745E-4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230.76445054945052</v>
      </c>
      <c r="E138" s="46">
        <f t="shared" si="5"/>
        <v>7.1777434074479167E-4</v>
      </c>
    </row>
    <row r="139" spans="2:7" x14ac:dyDescent="0.25">
      <c r="B139" s="1" t="str">
        <f>'OPEX DATA 2'!A250</f>
        <v>7580 - Water &amp; Sewer</v>
      </c>
      <c r="D139" s="34">
        <f>'OPEX DATA 2'!U250</f>
        <v>434.08104395604397</v>
      </c>
      <c r="E139" s="20">
        <f t="shared" si="5"/>
        <v>1.3501743202365287E-3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1284.1948901098901</v>
      </c>
      <c r="E141" s="50">
        <f t="shared" si="5"/>
        <v>3.9943853502640439E-3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5841.4203846153841</v>
      </c>
      <c r="E145" s="58">
        <f t="shared" si="6"/>
        <v>1.8169270247637277E-2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655.45571428571441</v>
      </c>
      <c r="E147" s="58">
        <f t="shared" si="6"/>
        <v>2.0387425016662967E-3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1271.9065934065934</v>
      </c>
      <c r="E150" s="58">
        <f t="shared" si="6"/>
        <v>3.9561635875788289E-3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106.43115384615385</v>
      </c>
      <c r="E151" s="58">
        <f t="shared" si="6"/>
        <v>3.3104557961478648E-4</v>
      </c>
    </row>
    <row r="152" spans="2:7" x14ac:dyDescent="0.25">
      <c r="B152" s="47" t="str">
        <f>'OPEX DATA 2'!A263</f>
        <v>Total Occupancy</v>
      </c>
      <c r="C152" s="48"/>
      <c r="D152" s="49">
        <f>SUM(D144:D151)</f>
        <v>7875.2138461538452</v>
      </c>
      <c r="E152" s="50">
        <f t="shared" si="6"/>
        <v>2.4495221916497185E-2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-390.83131868131869</v>
      </c>
      <c r="E157" s="58">
        <f t="shared" si="7"/>
        <v>-1.2156495137832619E-3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'OPEX DATA 2'!U278</f>
        <v>-4034.4554395604396</v>
      </c>
      <c r="E167" s="58">
        <f t="shared" si="7"/>
        <v>-1.2548850511852068E-2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-4425.2867582417584</v>
      </c>
      <c r="E172" s="50">
        <f t="shared" si="7"/>
        <v>-1.376450002563533E-2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577.61384615384611</v>
      </c>
      <c r="E176" s="58">
        <f t="shared" si="8"/>
        <v>1.7966216054551979E-3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6235.5129120879128</v>
      </c>
      <c r="E177" s="58">
        <f t="shared" si="8"/>
        <v>1.939506349016458E-2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3.0219780219780219</v>
      </c>
      <c r="E178" s="58">
        <f t="shared" si="8"/>
        <v>9.3996205971322615E-6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89.340824175824181</v>
      </c>
      <c r="E179" s="58">
        <f t="shared" si="8"/>
        <v>2.7788747799634269E-4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29.121923076923078</v>
      </c>
      <c r="E180" s="58">
        <f t="shared" si="8"/>
        <v>9.0581409259480803E-5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481.84115384615382</v>
      </c>
      <c r="E181" s="58">
        <f t="shared" si="8"/>
        <v>1.4987283167843043E-3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33.835219780219781</v>
      </c>
      <c r="E182" s="58">
        <f t="shared" si="8"/>
        <v>1.0524174115153898E-4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14.73142857142857</v>
      </c>
      <c r="E184" s="58">
        <f t="shared" si="8"/>
        <v>4.5820928682514988E-5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30.611098901098902</v>
      </c>
      <c r="E198" s="58">
        <f t="shared" si="8"/>
        <v>9.5213371387554903E-5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7495.6303846153842</v>
      </c>
      <c r="E201" s="50">
        <f t="shared" si="8"/>
        <v>2.3314557961478643E-2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102219.86016483512</v>
      </c>
      <c r="E203" s="50">
        <f>D203/D36</f>
        <v>0.31794668791550579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0.31794668791550579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92231-2D5B-4B7C-9F71-D7C1795536EC}">
  <dimension ref="A1:V332"/>
  <sheetViews>
    <sheetView workbookViewId="0">
      <selection activeCell="B19" sqref="B19"/>
    </sheetView>
  </sheetViews>
  <sheetFormatPr defaultRowHeight="15.75" x14ac:dyDescent="0.25"/>
  <cols>
    <col min="1" max="1" width="37.5" customWidth="1"/>
    <col min="2" max="2" width="15" customWidth="1"/>
    <col min="3" max="3" width="8.25" customWidth="1"/>
    <col min="4" max="4" width="1.25" customWidth="1"/>
    <col min="5" max="5" width="15" customWidth="1"/>
    <col min="6" max="6" width="8.25" customWidth="1"/>
    <col min="7" max="7" width="1.25" customWidth="1"/>
    <col min="8" max="8" width="15" customWidth="1"/>
    <col min="9" max="9" width="8.25" customWidth="1"/>
    <col min="10" max="10" width="1.25" customWidth="1"/>
    <col min="11" max="11" width="15" customWidth="1"/>
    <col min="12" max="12" width="8.25" customWidth="1"/>
    <col min="13" max="13" width="1.25" customWidth="1"/>
    <col min="14" max="14" width="15" customWidth="1"/>
    <col min="15" max="15" width="8.25" customWidth="1"/>
    <col min="16" max="16" width="1.25" customWidth="1"/>
    <col min="17" max="17" width="15" customWidth="1"/>
    <col min="18" max="18" width="8.25" customWidth="1"/>
  </cols>
  <sheetData>
    <row r="1" spans="1:22" x14ac:dyDescent="0.25">
      <c r="A1" t="s">
        <v>29</v>
      </c>
      <c r="U1" s="65" t="s">
        <v>30</v>
      </c>
      <c r="V1" s="66">
        <v>26</v>
      </c>
    </row>
    <row r="5" spans="1:22" x14ac:dyDescent="0.25">
      <c r="A5" s="67" t="s">
        <v>31</v>
      </c>
      <c r="B5" s="68" t="s">
        <v>32</v>
      </c>
      <c r="C5" s="69" t="s">
        <v>31</v>
      </c>
      <c r="D5" s="67" t="s">
        <v>31</v>
      </c>
      <c r="E5" s="68" t="s">
        <v>33</v>
      </c>
      <c r="F5" s="69" t="s">
        <v>31</v>
      </c>
      <c r="G5" s="67" t="s">
        <v>31</v>
      </c>
      <c r="H5" s="68" t="s">
        <v>34</v>
      </c>
      <c r="I5" s="69" t="s">
        <v>31</v>
      </c>
      <c r="J5" s="67" t="s">
        <v>31</v>
      </c>
      <c r="K5" s="68" t="s">
        <v>35</v>
      </c>
      <c r="L5" s="69" t="s">
        <v>31</v>
      </c>
      <c r="M5" s="67" t="s">
        <v>31</v>
      </c>
      <c r="N5" s="68" t="s">
        <v>36</v>
      </c>
      <c r="O5" s="69" t="s">
        <v>31</v>
      </c>
      <c r="P5" s="67" t="s">
        <v>31</v>
      </c>
      <c r="Q5" s="68" t="s">
        <v>37</v>
      </c>
      <c r="R5" s="69" t="s">
        <v>31</v>
      </c>
      <c r="T5" s="70" t="s">
        <v>38</v>
      </c>
      <c r="U5" s="65" t="s">
        <v>39</v>
      </c>
    </row>
    <row r="6" spans="1:22" x14ac:dyDescent="0.25">
      <c r="A6" s="71" t="s">
        <v>40</v>
      </c>
      <c r="B6" s="72"/>
      <c r="C6" s="73"/>
      <c r="D6" s="74"/>
      <c r="E6" s="72"/>
      <c r="F6" s="73"/>
      <c r="G6" s="74"/>
      <c r="H6" s="72"/>
      <c r="I6" s="73"/>
      <c r="J6" s="74"/>
      <c r="K6" s="72"/>
      <c r="L6" s="73"/>
      <c r="M6" s="74"/>
      <c r="N6" s="72"/>
      <c r="O6" s="73"/>
      <c r="P6" s="74"/>
      <c r="Q6" s="72"/>
      <c r="R6" s="73"/>
    </row>
    <row r="7" spans="1:22" x14ac:dyDescent="0.25">
      <c r="A7" s="75" t="s">
        <v>14</v>
      </c>
      <c r="B7" s="72"/>
      <c r="C7" s="73"/>
      <c r="D7" s="74"/>
      <c r="E7" s="72"/>
      <c r="F7" s="73"/>
      <c r="G7" s="74"/>
      <c r="H7" s="72"/>
      <c r="I7" s="73"/>
      <c r="J7" s="74"/>
      <c r="K7" s="72"/>
      <c r="L7" s="73"/>
      <c r="M7" s="74"/>
      <c r="N7" s="72"/>
      <c r="O7" s="73"/>
      <c r="P7" s="74"/>
      <c r="Q7" s="72"/>
      <c r="R7" s="73"/>
    </row>
    <row r="8" spans="1:22" x14ac:dyDescent="0.25">
      <c r="A8" s="76" t="s">
        <v>41</v>
      </c>
      <c r="B8" s="77">
        <v>1466091.08</v>
      </c>
      <c r="C8" s="78">
        <f>IFERROR(B8/B327, "NA")</f>
        <v>0.37871574104447808</v>
      </c>
      <c r="D8" s="79"/>
      <c r="E8" s="77">
        <v>1318374.06</v>
      </c>
      <c r="F8" s="78">
        <f>IFERROR(E8/E327, "NA")</f>
        <v>0.44695519276888213</v>
      </c>
      <c r="G8" s="79"/>
      <c r="H8" s="77">
        <v>1946758.04</v>
      </c>
      <c r="I8" s="78">
        <f>IFERROR(H8/H327, "NA")</f>
        <v>0.42201912883467502</v>
      </c>
      <c r="J8" s="79"/>
      <c r="K8" s="77">
        <v>1357284.03</v>
      </c>
      <c r="L8" s="78">
        <f>IFERROR(K8/K327, "NA")</f>
        <v>0.42822291526182471</v>
      </c>
      <c r="M8" s="79"/>
      <c r="N8" s="77">
        <v>1452828</v>
      </c>
      <c r="O8" s="78">
        <f>IFERROR(N8/N327, "NA")</f>
        <v>0.36705130913332307</v>
      </c>
      <c r="P8" s="79"/>
      <c r="Q8" s="77">
        <v>1365455.01</v>
      </c>
      <c r="R8" s="78">
        <f>IFERROR(Q8/Q327, "NA")</f>
        <v>0.40025364341893854</v>
      </c>
      <c r="T8" s="80">
        <f>IFERROR(B8+E8+H8+K8+N8+Q8, "NA")</f>
        <v>8906790.2200000007</v>
      </c>
      <c r="U8" s="80">
        <f>(T8/$V$1)/7</f>
        <v>48938.407802197806</v>
      </c>
    </row>
    <row r="9" spans="1:22" x14ac:dyDescent="0.25">
      <c r="A9" s="76" t="s">
        <v>42</v>
      </c>
      <c r="B9" s="77">
        <v>0</v>
      </c>
      <c r="C9" s="78">
        <f>IFERROR(B9/B327, "NA")</f>
        <v>0</v>
      </c>
      <c r="D9" s="79"/>
      <c r="E9" s="77">
        <v>0</v>
      </c>
      <c r="F9" s="78">
        <f>IFERROR(E9/E327, "NA")</f>
        <v>0</v>
      </c>
      <c r="G9" s="79"/>
      <c r="H9" s="77">
        <v>0</v>
      </c>
      <c r="I9" s="78">
        <f>IFERROR(H9/H327, "NA")</f>
        <v>0</v>
      </c>
      <c r="J9" s="79"/>
      <c r="K9" s="77">
        <v>0</v>
      </c>
      <c r="L9" s="78">
        <f>IFERROR(K9/K327, "NA")</f>
        <v>0</v>
      </c>
      <c r="M9" s="79"/>
      <c r="N9" s="77">
        <v>0</v>
      </c>
      <c r="O9" s="78">
        <f>IFERROR(N9/N327, "NA")</f>
        <v>0</v>
      </c>
      <c r="P9" s="79"/>
      <c r="Q9" s="77">
        <v>0</v>
      </c>
      <c r="R9" s="78">
        <f>IFERROR(Q9/Q327, "NA")</f>
        <v>0</v>
      </c>
      <c r="T9" s="80">
        <f t="shared" ref="T9:T72" si="0">IFERROR(B9+E9+H9+K9+N9+Q9, "NA")</f>
        <v>0</v>
      </c>
      <c r="U9" s="80">
        <f t="shared" ref="U9:U72" si="1">(T9/$V$1)/7</f>
        <v>0</v>
      </c>
    </row>
    <row r="10" spans="1:22" x14ac:dyDescent="0.25">
      <c r="A10" s="81" t="s">
        <v>43</v>
      </c>
      <c r="B10" s="82">
        <f>IFERROR(B8+B9, "NA")</f>
        <v>1466091.08</v>
      </c>
      <c r="C10" s="83">
        <f>IFERROR(B10/B327, "NA")</f>
        <v>0.37871574104447808</v>
      </c>
      <c r="D10" s="72"/>
      <c r="E10" s="82">
        <f>IFERROR(E8+E9, "NA")</f>
        <v>1318374.06</v>
      </c>
      <c r="F10" s="83">
        <f>IFERROR(E10/E327, "NA")</f>
        <v>0.44695519276888213</v>
      </c>
      <c r="G10" s="72"/>
      <c r="H10" s="82">
        <f>IFERROR(H8+H9, "NA")</f>
        <v>1946758.04</v>
      </c>
      <c r="I10" s="83">
        <f>IFERROR(H10/H327, "NA")</f>
        <v>0.42201912883467502</v>
      </c>
      <c r="J10" s="72"/>
      <c r="K10" s="82">
        <f>IFERROR(K8+K9, "NA")</f>
        <v>1357284.03</v>
      </c>
      <c r="L10" s="83">
        <f>IFERROR(K10/K327, "NA")</f>
        <v>0.42822291526182471</v>
      </c>
      <c r="M10" s="72"/>
      <c r="N10" s="82">
        <f>IFERROR(N8+N9, "NA")</f>
        <v>1452828</v>
      </c>
      <c r="O10" s="83">
        <f>IFERROR(N10/N327, "NA")</f>
        <v>0.36705130913332307</v>
      </c>
      <c r="P10" s="72"/>
      <c r="Q10" s="82">
        <f>IFERROR(Q8+Q9, "NA")</f>
        <v>1365455.01</v>
      </c>
      <c r="R10" s="83">
        <f>IFERROR(Q10/Q327, "NA")</f>
        <v>0.40025364341893854</v>
      </c>
      <c r="T10" s="80">
        <f t="shared" si="0"/>
        <v>8906790.2200000007</v>
      </c>
      <c r="U10" s="80">
        <f t="shared" si="1"/>
        <v>48938.407802197806</v>
      </c>
    </row>
    <row r="11" spans="1:22" x14ac:dyDescent="0.25">
      <c r="A11" s="84" t="s">
        <v>44</v>
      </c>
      <c r="B11" s="77">
        <v>134033</v>
      </c>
      <c r="C11" s="78">
        <f>IFERROR(B11/B327, "NA")</f>
        <v>3.4622955975841918E-2</v>
      </c>
      <c r="D11" s="79"/>
      <c r="E11" s="77">
        <v>108643.99</v>
      </c>
      <c r="F11" s="78">
        <f>IFERROR(E11/E327, "NA")</f>
        <v>3.6832487051232259E-2</v>
      </c>
      <c r="G11" s="79"/>
      <c r="H11" s="77">
        <v>159762.49</v>
      </c>
      <c r="I11" s="78">
        <f>IFERROR(H11/H327, "NA")</f>
        <v>3.4633388158632428E-2</v>
      </c>
      <c r="J11" s="79"/>
      <c r="K11" s="77">
        <v>132633.98000000001</v>
      </c>
      <c r="L11" s="78">
        <f>IFERROR(K11/K327, "NA")</f>
        <v>4.1846001516999028E-2</v>
      </c>
      <c r="M11" s="79"/>
      <c r="N11" s="77">
        <v>148625</v>
      </c>
      <c r="O11" s="78">
        <f>IFERROR(N11/N327, "NA")</f>
        <v>3.7549524664956993E-2</v>
      </c>
      <c r="P11" s="79"/>
      <c r="Q11" s="77">
        <v>160314.98000000001</v>
      </c>
      <c r="R11" s="78">
        <f>IFERROR(Q11/Q327, "NA")</f>
        <v>4.6992873708548086E-2</v>
      </c>
      <c r="T11" s="80">
        <f t="shared" si="0"/>
        <v>844013.44</v>
      </c>
      <c r="U11" s="80">
        <f t="shared" si="1"/>
        <v>4637.4364835164833</v>
      </c>
    </row>
    <row r="12" spans="1:22" x14ac:dyDescent="0.25">
      <c r="A12" s="75" t="s">
        <v>13</v>
      </c>
      <c r="B12" s="72"/>
      <c r="C12" s="73"/>
      <c r="D12" s="74"/>
      <c r="E12" s="72"/>
      <c r="F12" s="73"/>
      <c r="G12" s="74"/>
      <c r="H12" s="72"/>
      <c r="I12" s="73"/>
      <c r="J12" s="74"/>
      <c r="K12" s="72"/>
      <c r="L12" s="73"/>
      <c r="M12" s="74"/>
      <c r="N12" s="72"/>
      <c r="O12" s="73"/>
      <c r="P12" s="74"/>
      <c r="Q12" s="72"/>
      <c r="R12" s="73"/>
      <c r="T12" s="80">
        <f t="shared" si="0"/>
        <v>0</v>
      </c>
      <c r="U12" s="80">
        <f t="shared" si="1"/>
        <v>0</v>
      </c>
    </row>
    <row r="13" spans="1:22" x14ac:dyDescent="0.25">
      <c r="A13" s="76" t="s">
        <v>45</v>
      </c>
      <c r="B13" s="77">
        <v>0</v>
      </c>
      <c r="C13" s="78">
        <f>IFERROR(B13/B327, "NA")</f>
        <v>0</v>
      </c>
      <c r="D13" s="79"/>
      <c r="E13" s="77">
        <v>0</v>
      </c>
      <c r="F13" s="78">
        <f>IFERROR(E13/E327, "NA")</f>
        <v>0</v>
      </c>
      <c r="G13" s="79"/>
      <c r="H13" s="77">
        <v>0</v>
      </c>
      <c r="I13" s="78">
        <f>IFERROR(H13/H327, "NA")</f>
        <v>0</v>
      </c>
      <c r="J13" s="79"/>
      <c r="K13" s="77">
        <v>0</v>
      </c>
      <c r="L13" s="78">
        <f>IFERROR(K13/K327, "NA")</f>
        <v>0</v>
      </c>
      <c r="M13" s="79"/>
      <c r="N13" s="77">
        <v>0</v>
      </c>
      <c r="O13" s="78">
        <f>IFERROR(N13/N327, "NA")</f>
        <v>0</v>
      </c>
      <c r="P13" s="79"/>
      <c r="Q13" s="77">
        <v>0</v>
      </c>
      <c r="R13" s="78">
        <f>IFERROR(Q13/Q327, "NA")</f>
        <v>0</v>
      </c>
      <c r="T13" s="80">
        <f t="shared" si="0"/>
        <v>0</v>
      </c>
      <c r="U13" s="80">
        <f t="shared" si="1"/>
        <v>0</v>
      </c>
    </row>
    <row r="14" spans="1:22" x14ac:dyDescent="0.25">
      <c r="A14" s="76" t="s">
        <v>46</v>
      </c>
      <c r="B14" s="77">
        <v>1543666.75</v>
      </c>
      <c r="C14" s="78">
        <f>IFERROR(B14/B327, "NA")</f>
        <v>0.39875482848717081</v>
      </c>
      <c r="D14" s="79"/>
      <c r="E14" s="77">
        <v>1037732.22</v>
      </c>
      <c r="F14" s="78">
        <f>IFERROR(E14/E327, "NA")</f>
        <v>0.35181199213869541</v>
      </c>
      <c r="G14" s="79"/>
      <c r="H14" s="77">
        <v>1754043.03</v>
      </c>
      <c r="I14" s="78">
        <f>IFERROR(H14/H327, "NA")</f>
        <v>0.38024227780209074</v>
      </c>
      <c r="J14" s="79"/>
      <c r="K14" s="77">
        <v>1239210.99</v>
      </c>
      <c r="L14" s="78">
        <f>IFERROR(K14/K327, "NA")</f>
        <v>0.39097088820995846</v>
      </c>
      <c r="M14" s="79"/>
      <c r="N14" s="77">
        <v>1739621.36</v>
      </c>
      <c r="O14" s="78">
        <f>IFERROR(N14/N327, "NA")</f>
        <v>0.43950852928515416</v>
      </c>
      <c r="P14" s="79"/>
      <c r="Q14" s="77">
        <v>1362548.02</v>
      </c>
      <c r="R14" s="78">
        <f>IFERROR(Q14/Q327, "NA")</f>
        <v>0.3994015220891538</v>
      </c>
      <c r="T14" s="80">
        <f t="shared" si="0"/>
        <v>8676822.370000001</v>
      </c>
      <c r="U14" s="80">
        <f t="shared" si="1"/>
        <v>47674.848186813193</v>
      </c>
    </row>
    <row r="15" spans="1:22" x14ac:dyDescent="0.25">
      <c r="A15" s="76" t="s">
        <v>47</v>
      </c>
      <c r="B15" s="77">
        <v>13512</v>
      </c>
      <c r="C15" s="78">
        <f>IFERROR(B15/B327, "NA")</f>
        <v>3.4903746177849929E-3</v>
      </c>
      <c r="D15" s="79"/>
      <c r="E15" s="77">
        <v>14940</v>
      </c>
      <c r="F15" s="78">
        <f>IFERROR(E15/E327, "NA")</f>
        <v>5.0649590147177946E-3</v>
      </c>
      <c r="G15" s="79"/>
      <c r="H15" s="77">
        <v>20720</v>
      </c>
      <c r="I15" s="78">
        <f>IFERROR(H15/H327, "NA")</f>
        <v>4.4916914016980081E-3</v>
      </c>
      <c r="J15" s="79"/>
      <c r="K15" s="77">
        <v>13662</v>
      </c>
      <c r="L15" s="78">
        <f>IFERROR(K15/K327, "NA")</f>
        <v>4.3103590250797019E-3</v>
      </c>
      <c r="M15" s="79"/>
      <c r="N15" s="77">
        <v>21615</v>
      </c>
      <c r="O15" s="78">
        <f>IFERROR(N15/N327, "NA")</f>
        <v>5.4609451682627111E-3</v>
      </c>
      <c r="P15" s="79"/>
      <c r="Q15" s="77">
        <v>16804</v>
      </c>
      <c r="R15" s="78">
        <f>IFERROR(Q15/Q327, "NA")</f>
        <v>4.925729646714499E-3</v>
      </c>
      <c r="T15" s="80">
        <f t="shared" si="0"/>
        <v>101253</v>
      </c>
      <c r="U15" s="80">
        <f t="shared" si="1"/>
        <v>556.33516483516485</v>
      </c>
    </row>
    <row r="16" spans="1:22" x14ac:dyDescent="0.25">
      <c r="A16" s="76" t="s">
        <v>48</v>
      </c>
      <c r="B16" s="77">
        <v>531778.03</v>
      </c>
      <c r="C16" s="78">
        <f>IFERROR(B16/B327, "NA")</f>
        <v>0.13736712094491613</v>
      </c>
      <c r="D16" s="79"/>
      <c r="E16" s="77">
        <v>370825</v>
      </c>
      <c r="F16" s="78">
        <f>IFERROR(E16/E327, "NA")</f>
        <v>0.12571709682949975</v>
      </c>
      <c r="G16" s="79"/>
      <c r="H16" s="77">
        <v>576145</v>
      </c>
      <c r="I16" s="78">
        <f>IFERROR(H16/H327, "NA")</f>
        <v>0.12489698564822869</v>
      </c>
      <c r="J16" s="79"/>
      <c r="K16" s="77">
        <v>394260</v>
      </c>
      <c r="L16" s="78">
        <f>IFERROR(K16/K327, "NA")</f>
        <v>0.12438897300746035</v>
      </c>
      <c r="M16" s="79"/>
      <c r="N16" s="77">
        <v>587096</v>
      </c>
      <c r="O16" s="78">
        <f>IFERROR(N16/N327, "NA")</f>
        <v>0.14832750703244804</v>
      </c>
      <c r="P16" s="79"/>
      <c r="Q16" s="77">
        <v>408240</v>
      </c>
      <c r="R16" s="78">
        <f>IFERROR(Q16/Q327, "NA")</f>
        <v>0.11966673833460648</v>
      </c>
      <c r="T16" s="80">
        <f t="shared" si="0"/>
        <v>2868344.0300000003</v>
      </c>
      <c r="U16" s="80">
        <f t="shared" si="1"/>
        <v>15760.132032967036</v>
      </c>
    </row>
    <row r="17" spans="1:21" x14ac:dyDescent="0.25">
      <c r="A17" s="76" t="s">
        <v>49</v>
      </c>
      <c r="B17" s="77">
        <v>90160</v>
      </c>
      <c r="C17" s="78">
        <f>IFERROR(B17/B327, "NA")</f>
        <v>2.3289829450821118E-2</v>
      </c>
      <c r="D17" s="79"/>
      <c r="E17" s="77">
        <v>82553</v>
      </c>
      <c r="F17" s="78">
        <f>IFERROR(E17/E327, "NA")</f>
        <v>2.7987119246452349E-2</v>
      </c>
      <c r="G17" s="79"/>
      <c r="H17" s="77">
        <v>118449</v>
      </c>
      <c r="I17" s="78">
        <f>IFERROR(H17/H327, "NA")</f>
        <v>2.5677430252882591E-2</v>
      </c>
      <c r="J17" s="79"/>
      <c r="K17" s="77">
        <v>81188.990000000005</v>
      </c>
      <c r="L17" s="78">
        <f>IFERROR(K17/K327, "NA")</f>
        <v>2.5615114608666788E-2</v>
      </c>
      <c r="M17" s="79"/>
      <c r="N17" s="77">
        <v>65079</v>
      </c>
      <c r="O17" s="78">
        <f>IFERROR(N17/N327, "NA")</f>
        <v>1.6441954689121858E-2</v>
      </c>
      <c r="P17" s="79"/>
      <c r="Q17" s="77">
        <v>80317.03</v>
      </c>
      <c r="R17" s="78">
        <f>IFERROR(Q17/Q327, "NA")</f>
        <v>2.3543202559334554E-2</v>
      </c>
      <c r="T17" s="80">
        <f t="shared" si="0"/>
        <v>517747.02</v>
      </c>
      <c r="U17" s="80">
        <f t="shared" si="1"/>
        <v>2844.7638461538459</v>
      </c>
    </row>
    <row r="18" spans="1:21" x14ac:dyDescent="0.25">
      <c r="A18" s="76" t="s">
        <v>50</v>
      </c>
      <c r="B18" s="77">
        <v>0</v>
      </c>
      <c r="C18" s="78">
        <f>IFERROR(B18/B327, "NA")</f>
        <v>0</v>
      </c>
      <c r="D18" s="79"/>
      <c r="E18" s="77">
        <v>0</v>
      </c>
      <c r="F18" s="78">
        <f>IFERROR(E18/E327, "NA")</f>
        <v>0</v>
      </c>
      <c r="G18" s="79"/>
      <c r="H18" s="77">
        <v>0</v>
      </c>
      <c r="I18" s="78">
        <f>IFERROR(H18/H327, "NA")</f>
        <v>0</v>
      </c>
      <c r="J18" s="79"/>
      <c r="K18" s="77">
        <v>0</v>
      </c>
      <c r="L18" s="78">
        <f>IFERROR(K18/K327, "NA")</f>
        <v>0</v>
      </c>
      <c r="M18" s="79"/>
      <c r="N18" s="77">
        <v>0</v>
      </c>
      <c r="O18" s="78">
        <f>IFERROR(N18/N327, "NA")</f>
        <v>0</v>
      </c>
      <c r="P18" s="79"/>
      <c r="Q18" s="77">
        <v>0</v>
      </c>
      <c r="R18" s="78">
        <f>IFERROR(Q18/Q327, "NA")</f>
        <v>0</v>
      </c>
      <c r="T18" s="80">
        <f t="shared" si="0"/>
        <v>0</v>
      </c>
      <c r="U18" s="80">
        <f t="shared" si="1"/>
        <v>0</v>
      </c>
    </row>
    <row r="19" spans="1:21" x14ac:dyDescent="0.25">
      <c r="A19" s="81" t="s">
        <v>51</v>
      </c>
      <c r="B19" s="82">
        <f>IFERROR(B13+B14+B15+B16+B17+B18, "NA")</f>
        <v>2179116.7800000003</v>
      </c>
      <c r="C19" s="83">
        <f>IFERROR(B19/B327, "NA")</f>
        <v>0.56290215350069317</v>
      </c>
      <c r="D19" s="72"/>
      <c r="E19" s="82">
        <f>IFERROR(E13+E14+E15+E16+E17+E18, "NA")</f>
        <v>1506050.22</v>
      </c>
      <c r="F19" s="83">
        <f>IFERROR(E19/E327, "NA")</f>
        <v>0.51058116722936531</v>
      </c>
      <c r="G19" s="72"/>
      <c r="H19" s="82">
        <f>IFERROR(H13+H14+H15+H16+H17+H18, "NA")</f>
        <v>2469357.0300000003</v>
      </c>
      <c r="I19" s="83">
        <f>IFERROR(H19/H327, "NA")</f>
        <v>0.53530838510490009</v>
      </c>
      <c r="J19" s="72"/>
      <c r="K19" s="82">
        <f>IFERROR(K13+K14+K15+K16+K17+K18, "NA")</f>
        <v>1728321.98</v>
      </c>
      <c r="L19" s="83">
        <f>IFERROR(K19/K327, "NA")</f>
        <v>0.54528533485116526</v>
      </c>
      <c r="M19" s="72"/>
      <c r="N19" s="82">
        <f>IFERROR(N13+N14+N15+N16+N17+N18, "NA")</f>
        <v>2413411.3600000003</v>
      </c>
      <c r="O19" s="83">
        <f>IFERROR(N19/N327, "NA")</f>
        <v>0.60973893617498687</v>
      </c>
      <c r="P19" s="72"/>
      <c r="Q19" s="82">
        <f>IFERROR(Q13+Q14+Q15+Q16+Q17+Q18, "NA")</f>
        <v>1867909.05</v>
      </c>
      <c r="R19" s="83">
        <f>IFERROR(Q19/Q327, "NA")</f>
        <v>0.54753719262980938</v>
      </c>
      <c r="T19" s="80">
        <f t="shared" si="0"/>
        <v>12164166.420000002</v>
      </c>
      <c r="U19" s="80">
        <f t="shared" si="1"/>
        <v>66836.079230769232</v>
      </c>
    </row>
    <row r="20" spans="1:21" x14ac:dyDescent="0.25">
      <c r="A20" s="75" t="s">
        <v>52</v>
      </c>
      <c r="B20" s="72"/>
      <c r="C20" s="73"/>
      <c r="D20" s="74"/>
      <c r="E20" s="72"/>
      <c r="F20" s="73"/>
      <c r="G20" s="74"/>
      <c r="H20" s="72"/>
      <c r="I20" s="73"/>
      <c r="J20" s="74"/>
      <c r="K20" s="72"/>
      <c r="L20" s="73"/>
      <c r="M20" s="74"/>
      <c r="N20" s="72"/>
      <c r="O20" s="73"/>
      <c r="P20" s="74"/>
      <c r="Q20" s="72"/>
      <c r="R20" s="73"/>
      <c r="T20" s="80">
        <f t="shared" si="0"/>
        <v>0</v>
      </c>
      <c r="U20" s="80">
        <f t="shared" si="1"/>
        <v>0</v>
      </c>
    </row>
    <row r="21" spans="1:21" x14ac:dyDescent="0.25">
      <c r="A21" s="76" t="s">
        <v>53</v>
      </c>
      <c r="B21" s="77">
        <v>0</v>
      </c>
      <c r="C21" s="78">
        <f>IFERROR(B21/B327, "NA")</f>
        <v>0</v>
      </c>
      <c r="D21" s="79"/>
      <c r="E21" s="77">
        <v>0</v>
      </c>
      <c r="F21" s="78">
        <f>IFERROR(E21/E327, "NA")</f>
        <v>0</v>
      </c>
      <c r="G21" s="79"/>
      <c r="H21" s="77">
        <v>0</v>
      </c>
      <c r="I21" s="78">
        <f>IFERROR(H21/H327, "NA")</f>
        <v>0</v>
      </c>
      <c r="J21" s="79"/>
      <c r="K21" s="77">
        <v>0</v>
      </c>
      <c r="L21" s="78">
        <f>IFERROR(K21/K327, "NA")</f>
        <v>0</v>
      </c>
      <c r="M21" s="79"/>
      <c r="N21" s="77">
        <v>0</v>
      </c>
      <c r="O21" s="78">
        <f>IFERROR(N21/N327, "NA")</f>
        <v>0</v>
      </c>
      <c r="P21" s="79"/>
      <c r="Q21" s="77">
        <v>0</v>
      </c>
      <c r="R21" s="78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54</v>
      </c>
      <c r="B22" s="77">
        <v>88067.79</v>
      </c>
      <c r="C22" s="78">
        <f>IFERROR(B22/B327, "NA")</f>
        <v>2.2749376765868783E-2</v>
      </c>
      <c r="D22" s="79"/>
      <c r="E22" s="77">
        <v>23197.15</v>
      </c>
      <c r="F22" s="78">
        <f>IFERROR(E22/E327, "NA")</f>
        <v>7.864298126389618E-3</v>
      </c>
      <c r="G22" s="79"/>
      <c r="H22" s="77">
        <v>66840.14</v>
      </c>
      <c r="I22" s="78">
        <f>IFERROR(H22/H327, "NA")</f>
        <v>1.4489637168257291E-2</v>
      </c>
      <c r="J22" s="79"/>
      <c r="K22" s="77">
        <v>17421.37</v>
      </c>
      <c r="L22" s="78">
        <f>IFERROR(K22/K327, "NA")</f>
        <v>5.4964397166412503E-3</v>
      </c>
      <c r="M22" s="79"/>
      <c r="N22" s="77">
        <v>31770.79</v>
      </c>
      <c r="O22" s="78">
        <f>IFERROR(N22/N327, "NA")</f>
        <v>8.0267657711029037E-3</v>
      </c>
      <c r="P22" s="79"/>
      <c r="Q22" s="77">
        <v>117959.26</v>
      </c>
      <c r="R22" s="78">
        <f>IFERROR(Q22/Q327, "NA")</f>
        <v>3.4577209241044023E-2</v>
      </c>
      <c r="T22" s="80">
        <f t="shared" si="0"/>
        <v>345256.5</v>
      </c>
      <c r="U22" s="80">
        <f t="shared" si="1"/>
        <v>1897.0137362637363</v>
      </c>
    </row>
    <row r="23" spans="1:21" x14ac:dyDescent="0.25">
      <c r="A23" s="76" t="s">
        <v>55</v>
      </c>
      <c r="B23" s="77">
        <v>0</v>
      </c>
      <c r="C23" s="78">
        <f>IFERROR(B23/B327, "NA")</f>
        <v>0</v>
      </c>
      <c r="D23" s="79"/>
      <c r="E23" s="77">
        <v>0</v>
      </c>
      <c r="F23" s="78">
        <f>IFERROR(E23/E327, "NA")</f>
        <v>0</v>
      </c>
      <c r="G23" s="79"/>
      <c r="H23" s="77">
        <v>16892.3</v>
      </c>
      <c r="I23" s="78">
        <f>IFERROR(H23/H327, "NA")</f>
        <v>3.6619207849856784E-3</v>
      </c>
      <c r="J23" s="79"/>
      <c r="K23" s="77">
        <v>0</v>
      </c>
      <c r="L23" s="78">
        <f>IFERROR(K23/K327, "NA")</f>
        <v>0</v>
      </c>
      <c r="M23" s="79"/>
      <c r="N23" s="77">
        <v>27963</v>
      </c>
      <c r="O23" s="78">
        <f>IFERROR(N23/N327, "NA")</f>
        <v>7.0647425278801846E-3</v>
      </c>
      <c r="P23" s="79"/>
      <c r="Q23" s="77">
        <v>12316.71</v>
      </c>
      <c r="R23" s="78">
        <f>IFERROR(Q23/Q327, "NA")</f>
        <v>3.6103775051764425E-3</v>
      </c>
      <c r="T23" s="80">
        <f t="shared" si="0"/>
        <v>57172.01</v>
      </c>
      <c r="U23" s="80">
        <f t="shared" si="1"/>
        <v>314.1319230769231</v>
      </c>
    </row>
    <row r="24" spans="1:21" x14ac:dyDescent="0.25">
      <c r="A24" s="76" t="s">
        <v>56</v>
      </c>
      <c r="B24" s="77">
        <v>0</v>
      </c>
      <c r="C24" s="78">
        <f>IFERROR(B24/B327, "NA")</f>
        <v>0</v>
      </c>
      <c r="D24" s="79"/>
      <c r="E24" s="77">
        <v>0</v>
      </c>
      <c r="F24" s="78">
        <f>IFERROR(E24/E327, "NA")</f>
        <v>0</v>
      </c>
      <c r="G24" s="79"/>
      <c r="H24" s="77">
        <v>0</v>
      </c>
      <c r="I24" s="78">
        <f>IFERROR(H24/H327, "NA")</f>
        <v>0</v>
      </c>
      <c r="J24" s="79"/>
      <c r="K24" s="77">
        <v>0</v>
      </c>
      <c r="L24" s="78">
        <f>IFERROR(K24/K327, "NA")</f>
        <v>0</v>
      </c>
      <c r="M24" s="79"/>
      <c r="N24" s="77">
        <v>0</v>
      </c>
      <c r="O24" s="78">
        <f>IFERROR(N24/N327, "NA")</f>
        <v>0</v>
      </c>
      <c r="P24" s="79"/>
      <c r="Q24" s="77">
        <v>0</v>
      </c>
      <c r="R24" s="78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57</v>
      </c>
      <c r="B25" s="77">
        <v>11861.92</v>
      </c>
      <c r="C25" s="78">
        <f>IFERROR(B25/B327, "NA")</f>
        <v>3.0641314747036829E-3</v>
      </c>
      <c r="D25" s="79"/>
      <c r="E25" s="77">
        <v>7411.87</v>
      </c>
      <c r="F25" s="78">
        <f>IFERROR(E25/E327, "NA")</f>
        <v>2.5127722739234524E-3</v>
      </c>
      <c r="G25" s="79"/>
      <c r="H25" s="77">
        <v>7201.13</v>
      </c>
      <c r="I25" s="78">
        <f>IFERROR(H25/H327, "NA")</f>
        <v>1.5610643679299988E-3</v>
      </c>
      <c r="J25" s="79"/>
      <c r="K25" s="77">
        <v>9038.01</v>
      </c>
      <c r="L25" s="78">
        <f>IFERROR(K25/K327, "NA")</f>
        <v>2.8514908485039229E-3</v>
      </c>
      <c r="M25" s="79"/>
      <c r="N25" s="77">
        <v>13062.73</v>
      </c>
      <c r="O25" s="78">
        <f>IFERROR(N25/N327, "NA")</f>
        <v>3.3002476186824131E-3</v>
      </c>
      <c r="P25" s="79"/>
      <c r="Q25" s="77">
        <v>12481.92</v>
      </c>
      <c r="R25" s="78">
        <f>IFERROR(Q25/Q327, "NA")</f>
        <v>3.6588052482693788E-3</v>
      </c>
      <c r="T25" s="80">
        <f t="shared" si="0"/>
        <v>61057.58</v>
      </c>
      <c r="U25" s="80">
        <f t="shared" si="1"/>
        <v>335.48120879120881</v>
      </c>
    </row>
    <row r="26" spans="1:21" x14ac:dyDescent="0.25">
      <c r="A26" s="76" t="s">
        <v>58</v>
      </c>
      <c r="B26" s="77">
        <v>85173.38</v>
      </c>
      <c r="C26" s="78">
        <f>IFERROR(B26/B327, "NA")</f>
        <v>2.2001702461734458E-2</v>
      </c>
      <c r="D26" s="79"/>
      <c r="E26" s="77">
        <v>75768.92</v>
      </c>
      <c r="F26" s="78">
        <f>IFERROR(E26/E327, "NA")</f>
        <v>2.5687180347351499E-2</v>
      </c>
      <c r="G26" s="79"/>
      <c r="H26" s="77">
        <v>88637.33</v>
      </c>
      <c r="I26" s="78">
        <f>IFERROR(H26/H327, "NA")</f>
        <v>1.9214842327725332E-2</v>
      </c>
      <c r="J26" s="79"/>
      <c r="K26" s="77">
        <v>69876.94</v>
      </c>
      <c r="L26" s="78">
        <f>IFERROR(K26/K327, "NA")</f>
        <v>2.2046164468888366E-2</v>
      </c>
      <c r="M26" s="79"/>
      <c r="N26" s="77">
        <v>0</v>
      </c>
      <c r="O26" s="78">
        <f>IFERROR(N26/N327, "NA")</f>
        <v>0</v>
      </c>
      <c r="P26" s="79"/>
      <c r="Q26" s="77">
        <v>0</v>
      </c>
      <c r="R26" s="78">
        <f>IFERROR(Q26/Q327, "NA")</f>
        <v>0</v>
      </c>
      <c r="T26" s="80">
        <f t="shared" si="0"/>
        <v>319456.57</v>
      </c>
      <c r="U26" s="80">
        <f t="shared" si="1"/>
        <v>1755.2558791208792</v>
      </c>
    </row>
    <row r="27" spans="1:21" x14ac:dyDescent="0.25">
      <c r="A27" s="76" t="s">
        <v>59</v>
      </c>
      <c r="B27" s="77">
        <v>0</v>
      </c>
      <c r="C27" s="78">
        <f>IFERROR(B27/B327, "NA")</f>
        <v>0</v>
      </c>
      <c r="D27" s="79"/>
      <c r="E27" s="77">
        <v>0</v>
      </c>
      <c r="F27" s="78">
        <f>IFERROR(E27/E327, "NA")</f>
        <v>0</v>
      </c>
      <c r="G27" s="79"/>
      <c r="H27" s="77">
        <v>0</v>
      </c>
      <c r="I27" s="78">
        <f>IFERROR(H27/H327, "NA")</f>
        <v>0</v>
      </c>
      <c r="J27" s="79"/>
      <c r="K27" s="77">
        <v>0</v>
      </c>
      <c r="L27" s="78">
        <f>IFERROR(K27/K327, "NA")</f>
        <v>0</v>
      </c>
      <c r="M27" s="79"/>
      <c r="N27" s="77">
        <v>0</v>
      </c>
      <c r="O27" s="78">
        <f>IFERROR(N27/N327, "NA")</f>
        <v>0</v>
      </c>
      <c r="P27" s="79"/>
      <c r="Q27" s="77">
        <v>0</v>
      </c>
      <c r="R27" s="78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60</v>
      </c>
      <c r="B28" s="77">
        <v>0</v>
      </c>
      <c r="C28" s="78">
        <f>IFERROR(B28/B327, "NA")</f>
        <v>0</v>
      </c>
      <c r="D28" s="79"/>
      <c r="E28" s="77">
        <v>0</v>
      </c>
      <c r="F28" s="78">
        <f>IFERROR(E28/E327, "NA")</f>
        <v>0</v>
      </c>
      <c r="G28" s="79"/>
      <c r="H28" s="77">
        <v>0</v>
      </c>
      <c r="I28" s="78">
        <f>IFERROR(H28/H327, "NA")</f>
        <v>0</v>
      </c>
      <c r="J28" s="79"/>
      <c r="K28" s="77">
        <v>0</v>
      </c>
      <c r="L28" s="78">
        <f>IFERROR(K28/K327, "NA")</f>
        <v>0</v>
      </c>
      <c r="M28" s="79"/>
      <c r="N28" s="77">
        <v>0</v>
      </c>
      <c r="O28" s="78">
        <f>IFERROR(N28/N327, "NA")</f>
        <v>0</v>
      </c>
      <c r="P28" s="79"/>
      <c r="Q28" s="77">
        <v>0</v>
      </c>
      <c r="R28" s="78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61</v>
      </c>
      <c r="B29" s="77">
        <v>0</v>
      </c>
      <c r="C29" s="78">
        <f>IFERROR(B29/B327, "NA")</f>
        <v>0</v>
      </c>
      <c r="D29" s="79"/>
      <c r="E29" s="77">
        <v>0</v>
      </c>
      <c r="F29" s="78">
        <f>IFERROR(E29/E327, "NA")</f>
        <v>0</v>
      </c>
      <c r="G29" s="79"/>
      <c r="H29" s="77">
        <v>0</v>
      </c>
      <c r="I29" s="78">
        <f>IFERROR(H29/H327, "NA")</f>
        <v>0</v>
      </c>
      <c r="J29" s="79"/>
      <c r="K29" s="77">
        <v>0</v>
      </c>
      <c r="L29" s="78">
        <f>IFERROR(K29/K327, "NA")</f>
        <v>0</v>
      </c>
      <c r="M29" s="79"/>
      <c r="N29" s="77">
        <v>0</v>
      </c>
      <c r="O29" s="78">
        <f>IFERROR(N29/N327, "NA")</f>
        <v>0</v>
      </c>
      <c r="P29" s="79"/>
      <c r="Q29" s="77">
        <v>0</v>
      </c>
      <c r="R29" s="78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62</v>
      </c>
      <c r="B30" s="82">
        <f>IFERROR(B21+B22+B23+B24+B25+B26+B27+B28+B29, "NA")</f>
        <v>185103.09</v>
      </c>
      <c r="C30" s="83">
        <f>IFERROR(B30/B327, "NA")</f>
        <v>4.7815210702306925E-2</v>
      </c>
      <c r="D30" s="72"/>
      <c r="E30" s="82">
        <f>IFERROR(E21+E22+E23+E24+E25+E26+E27+E28+E29, "NA")</f>
        <v>106377.94</v>
      </c>
      <c r="F30" s="83">
        <f>IFERROR(E30/E327, "NA")</f>
        <v>3.6064250747664568E-2</v>
      </c>
      <c r="G30" s="72"/>
      <c r="H30" s="82">
        <f>IFERROR(H21+H22+H23+H24+H25+H26+H27+H28+H29, "NA")</f>
        <v>179570.90000000002</v>
      </c>
      <c r="I30" s="83">
        <f>IFERROR(H30/H327, "NA")</f>
        <v>3.8927464648898305E-2</v>
      </c>
      <c r="J30" s="72"/>
      <c r="K30" s="82">
        <f>IFERROR(K21+K22+K23+K24+K25+K26+K27+K28+K29, "NA")</f>
        <v>96336.320000000007</v>
      </c>
      <c r="L30" s="83">
        <f>IFERROR(K30/K327, "NA")</f>
        <v>3.0394095034033539E-2</v>
      </c>
      <c r="M30" s="72"/>
      <c r="N30" s="82">
        <f>IFERROR(N21+N22+N23+N24+N25+N26+N27+N28+N29, "NA")</f>
        <v>72796.52</v>
      </c>
      <c r="O30" s="83">
        <f>IFERROR(N30/N327, "NA")</f>
        <v>1.8391755917665502E-2</v>
      </c>
      <c r="P30" s="72"/>
      <c r="Q30" s="82">
        <f>IFERROR(Q21+Q22+Q23+Q24+Q25+Q26+Q27+Q28+Q29, "NA")</f>
        <v>142757.89000000001</v>
      </c>
      <c r="R30" s="83">
        <f>IFERROR(Q30/Q327, "NA")</f>
        <v>4.1846391994489848E-2</v>
      </c>
      <c r="T30" s="80">
        <f t="shared" si="0"/>
        <v>782942.66</v>
      </c>
      <c r="U30" s="80">
        <f t="shared" si="1"/>
        <v>4301.8827472527473</v>
      </c>
    </row>
    <row r="31" spans="1:21" x14ac:dyDescent="0.25">
      <c r="A31" s="75" t="s">
        <v>63</v>
      </c>
      <c r="B31" s="72"/>
      <c r="C31" s="73"/>
      <c r="D31" s="74"/>
      <c r="E31" s="72"/>
      <c r="F31" s="73"/>
      <c r="G31" s="74"/>
      <c r="H31" s="72"/>
      <c r="I31" s="73"/>
      <c r="J31" s="74"/>
      <c r="K31" s="72"/>
      <c r="L31" s="73"/>
      <c r="M31" s="74"/>
      <c r="N31" s="72"/>
      <c r="O31" s="73"/>
      <c r="P31" s="74"/>
      <c r="Q31" s="72"/>
      <c r="R31" s="73"/>
      <c r="T31" s="80">
        <f t="shared" si="0"/>
        <v>0</v>
      </c>
      <c r="U31" s="80">
        <f t="shared" si="1"/>
        <v>0</v>
      </c>
    </row>
    <row r="32" spans="1:21" x14ac:dyDescent="0.25">
      <c r="A32" s="76" t="s">
        <v>64</v>
      </c>
      <c r="B32" s="77">
        <v>0</v>
      </c>
      <c r="C32" s="78">
        <f>IFERROR(B32/B327, "NA")</f>
        <v>0</v>
      </c>
      <c r="D32" s="79"/>
      <c r="E32" s="77">
        <v>0</v>
      </c>
      <c r="F32" s="78">
        <f>IFERROR(E32/E327, "NA")</f>
        <v>0</v>
      </c>
      <c r="G32" s="79"/>
      <c r="H32" s="77">
        <v>0</v>
      </c>
      <c r="I32" s="78">
        <f>IFERROR(H32/H327, "NA")</f>
        <v>0</v>
      </c>
      <c r="J32" s="79"/>
      <c r="K32" s="77">
        <v>0</v>
      </c>
      <c r="L32" s="78">
        <f>IFERROR(K32/K327, "NA")</f>
        <v>0</v>
      </c>
      <c r="M32" s="79"/>
      <c r="N32" s="77">
        <v>0</v>
      </c>
      <c r="O32" s="78">
        <f>IFERROR(N32/N327, "NA")</f>
        <v>0</v>
      </c>
      <c r="P32" s="79"/>
      <c r="Q32" s="77">
        <v>0</v>
      </c>
      <c r="R32" s="78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65</v>
      </c>
      <c r="B33" s="77">
        <v>0</v>
      </c>
      <c r="C33" s="78">
        <f>IFERROR(B33/B327, "NA")</f>
        <v>0</v>
      </c>
      <c r="D33" s="79"/>
      <c r="E33" s="77">
        <v>0</v>
      </c>
      <c r="F33" s="78">
        <f>IFERROR(E33/E327, "NA")</f>
        <v>0</v>
      </c>
      <c r="G33" s="79"/>
      <c r="H33" s="77">
        <v>0</v>
      </c>
      <c r="I33" s="78">
        <f>IFERROR(H33/H327, "NA")</f>
        <v>0</v>
      </c>
      <c r="J33" s="79"/>
      <c r="K33" s="77">
        <v>0</v>
      </c>
      <c r="L33" s="78">
        <f>IFERROR(K33/K327, "NA")</f>
        <v>0</v>
      </c>
      <c r="M33" s="79"/>
      <c r="N33" s="77">
        <v>0</v>
      </c>
      <c r="O33" s="78">
        <f>IFERROR(N33/N327, "NA")</f>
        <v>0</v>
      </c>
      <c r="P33" s="79"/>
      <c r="Q33" s="77">
        <v>0</v>
      </c>
      <c r="R33" s="78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66</v>
      </c>
      <c r="B34" s="77">
        <v>0</v>
      </c>
      <c r="C34" s="78">
        <f>IFERROR(B34/B327, "NA")</f>
        <v>0</v>
      </c>
      <c r="D34" s="79"/>
      <c r="E34" s="77">
        <v>0</v>
      </c>
      <c r="F34" s="78">
        <f>IFERROR(E34/E327, "NA")</f>
        <v>0</v>
      </c>
      <c r="G34" s="79"/>
      <c r="H34" s="77">
        <v>0</v>
      </c>
      <c r="I34" s="78">
        <f>IFERROR(H34/H327, "NA")</f>
        <v>0</v>
      </c>
      <c r="J34" s="79"/>
      <c r="K34" s="77">
        <v>0</v>
      </c>
      <c r="L34" s="78">
        <f>IFERROR(K34/K327, "NA")</f>
        <v>0</v>
      </c>
      <c r="M34" s="79"/>
      <c r="N34" s="77">
        <v>0</v>
      </c>
      <c r="O34" s="78">
        <f>IFERROR(N34/N327, "NA")</f>
        <v>0</v>
      </c>
      <c r="P34" s="79"/>
      <c r="Q34" s="77">
        <v>0</v>
      </c>
      <c r="R34" s="78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67</v>
      </c>
      <c r="B35" s="77">
        <v>0</v>
      </c>
      <c r="C35" s="78">
        <f>IFERROR(B35/B327, "NA")</f>
        <v>0</v>
      </c>
      <c r="D35" s="79"/>
      <c r="E35" s="77">
        <v>0</v>
      </c>
      <c r="F35" s="78">
        <f>IFERROR(E35/E327, "NA")</f>
        <v>0</v>
      </c>
      <c r="G35" s="79"/>
      <c r="H35" s="77">
        <v>0</v>
      </c>
      <c r="I35" s="78">
        <f>IFERROR(H35/H327, "NA")</f>
        <v>0</v>
      </c>
      <c r="J35" s="79"/>
      <c r="K35" s="77">
        <v>0</v>
      </c>
      <c r="L35" s="78">
        <f>IFERROR(K35/K327, "NA")</f>
        <v>0</v>
      </c>
      <c r="M35" s="79"/>
      <c r="N35" s="77">
        <v>0</v>
      </c>
      <c r="O35" s="78">
        <f>IFERROR(N35/N327, "NA")</f>
        <v>0</v>
      </c>
      <c r="P35" s="79"/>
      <c r="Q35" s="77">
        <v>0</v>
      </c>
      <c r="R35" s="78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68</v>
      </c>
      <c r="B36" s="77">
        <v>0</v>
      </c>
      <c r="C36" s="78">
        <f>IFERROR(B36/B327, "NA")</f>
        <v>0</v>
      </c>
      <c r="D36" s="79"/>
      <c r="E36" s="77">
        <v>0</v>
      </c>
      <c r="F36" s="78">
        <f>IFERROR(E36/E327, "NA")</f>
        <v>0</v>
      </c>
      <c r="G36" s="79"/>
      <c r="H36" s="77">
        <v>0</v>
      </c>
      <c r="I36" s="78">
        <f>IFERROR(H36/H327, "NA")</f>
        <v>0</v>
      </c>
      <c r="J36" s="79"/>
      <c r="K36" s="77">
        <v>0</v>
      </c>
      <c r="L36" s="78">
        <f>IFERROR(K36/K327, "NA")</f>
        <v>0</v>
      </c>
      <c r="M36" s="79"/>
      <c r="N36" s="77">
        <v>0</v>
      </c>
      <c r="O36" s="78">
        <f>IFERROR(N36/N327, "NA")</f>
        <v>0</v>
      </c>
      <c r="P36" s="79"/>
      <c r="Q36" s="77">
        <v>0</v>
      </c>
      <c r="R36" s="78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69</v>
      </c>
      <c r="B37" s="82">
        <f>IFERROR(B32+B33+B34+B35+B36, "NA")</f>
        <v>0</v>
      </c>
      <c r="C37" s="83">
        <f>IFERROR(B37/B327, "NA")</f>
        <v>0</v>
      </c>
      <c r="D37" s="72"/>
      <c r="E37" s="82">
        <f>IFERROR(E32+E33+E34+E35+E36, "NA")</f>
        <v>0</v>
      </c>
      <c r="F37" s="83">
        <f>IFERROR(E37/E327, "NA")</f>
        <v>0</v>
      </c>
      <c r="G37" s="72"/>
      <c r="H37" s="82">
        <f>IFERROR(H32+H33+H34+H35+H36, "NA")</f>
        <v>0</v>
      </c>
      <c r="I37" s="83">
        <f>IFERROR(H37/H327, "NA")</f>
        <v>0</v>
      </c>
      <c r="J37" s="72"/>
      <c r="K37" s="82">
        <f>IFERROR(K32+K33+K34+K35+K36, "NA")</f>
        <v>0</v>
      </c>
      <c r="L37" s="83">
        <f>IFERROR(K37/K327, "NA")</f>
        <v>0</v>
      </c>
      <c r="M37" s="72"/>
      <c r="N37" s="82">
        <f>IFERROR(N32+N33+N34+N35+N36, "NA")</f>
        <v>0</v>
      </c>
      <c r="O37" s="83">
        <f>IFERROR(N37/N327, "NA")</f>
        <v>0</v>
      </c>
      <c r="P37" s="72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70</v>
      </c>
      <c r="B38" s="72"/>
      <c r="C38" s="73"/>
      <c r="D38" s="74"/>
      <c r="E38" s="72"/>
      <c r="F38" s="73"/>
      <c r="G38" s="74"/>
      <c r="H38" s="72"/>
      <c r="I38" s="73"/>
      <c r="J38" s="74"/>
      <c r="K38" s="72"/>
      <c r="L38" s="73"/>
      <c r="M38" s="74"/>
      <c r="N38" s="72"/>
      <c r="O38" s="73"/>
      <c r="P38" s="74"/>
      <c r="Q38" s="72"/>
      <c r="R38" s="73"/>
      <c r="T38" s="80">
        <f t="shared" si="0"/>
        <v>0</v>
      </c>
      <c r="U38" s="80">
        <f t="shared" si="1"/>
        <v>0</v>
      </c>
    </row>
    <row r="39" spans="1:21" x14ac:dyDescent="0.25">
      <c r="A39" s="76" t="s">
        <v>71</v>
      </c>
      <c r="B39" s="77">
        <v>0</v>
      </c>
      <c r="C39" s="78">
        <f>IFERROR(B39/B327, "NA")</f>
        <v>0</v>
      </c>
      <c r="D39" s="79"/>
      <c r="E39" s="77">
        <v>0</v>
      </c>
      <c r="F39" s="78">
        <f>IFERROR(E39/E327, "NA")</f>
        <v>0</v>
      </c>
      <c r="G39" s="79"/>
      <c r="H39" s="77">
        <v>0</v>
      </c>
      <c r="I39" s="78">
        <f>IFERROR(H39/H327, "NA")</f>
        <v>0</v>
      </c>
      <c r="J39" s="79"/>
      <c r="K39" s="77">
        <v>0</v>
      </c>
      <c r="L39" s="78">
        <f>IFERROR(K39/K327, "NA")</f>
        <v>0</v>
      </c>
      <c r="M39" s="79"/>
      <c r="N39" s="77">
        <v>0</v>
      </c>
      <c r="O39" s="78">
        <f>IFERROR(N39/N327, "NA")</f>
        <v>0</v>
      </c>
      <c r="P39" s="79"/>
      <c r="Q39" s="77">
        <v>0</v>
      </c>
      <c r="R39" s="78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72</v>
      </c>
      <c r="B40" s="77">
        <v>-650.25</v>
      </c>
      <c r="C40" s="78">
        <f>IFERROR(B40/B327, "NA")</f>
        <v>-1.6797040373110506E-4</v>
      </c>
      <c r="D40" s="79"/>
      <c r="E40" s="77">
        <v>-300.25</v>
      </c>
      <c r="F40" s="78">
        <f>IFERROR(E40/E327, "NA")</f>
        <v>-1.017907593151953E-4</v>
      </c>
      <c r="G40" s="79"/>
      <c r="H40" s="77">
        <v>-738.75</v>
      </c>
      <c r="I40" s="78">
        <f>IFERROR(H40/H327, "NA")</f>
        <v>-1.6014657446932447E-4</v>
      </c>
      <c r="J40" s="79"/>
      <c r="K40" s="77">
        <v>-1094.75</v>
      </c>
      <c r="L40" s="78">
        <f>IFERROR(K40/K327, "NA")</f>
        <v>-3.4539346674762139E-4</v>
      </c>
      <c r="M40" s="79"/>
      <c r="N40" s="77">
        <v>-356.25</v>
      </c>
      <c r="O40" s="78">
        <f>IFERROR(N40/N327, "NA")</f>
        <v>-9.0005168456793467E-5</v>
      </c>
      <c r="P40" s="79"/>
      <c r="Q40" s="77">
        <v>-585.25</v>
      </c>
      <c r="R40" s="78">
        <f>IFERROR(Q40/Q327, "NA")</f>
        <v>-1.71553396556752E-4</v>
      </c>
      <c r="T40" s="80">
        <f t="shared" si="0"/>
        <v>-3725.5</v>
      </c>
      <c r="U40" s="80">
        <f t="shared" si="1"/>
        <v>-20.469780219780223</v>
      </c>
    </row>
    <row r="41" spans="1:21" x14ac:dyDescent="0.25">
      <c r="A41" s="76" t="s">
        <v>73</v>
      </c>
      <c r="B41" s="77">
        <v>-6800</v>
      </c>
      <c r="C41" s="78">
        <f>IFERROR(B41/B327, "NA")</f>
        <v>-1.7565532416324713E-3</v>
      </c>
      <c r="D41" s="79"/>
      <c r="E41" s="77">
        <v>-6633</v>
      </c>
      <c r="F41" s="78">
        <f>IFERROR(E41/E327, "NA")</f>
        <v>-2.2487197553295269E-3</v>
      </c>
      <c r="G41" s="79"/>
      <c r="H41" s="77">
        <v>-6449</v>
      </c>
      <c r="I41" s="78">
        <f>IFERROR(H41/H327, "NA")</f>
        <v>-1.3980172707311995E-3</v>
      </c>
      <c r="J41" s="79"/>
      <c r="K41" s="77">
        <v>-5955</v>
      </c>
      <c r="L41" s="78">
        <f>IFERROR(K41/K327, "NA")</f>
        <v>-1.878801639170665E-3</v>
      </c>
      <c r="M41" s="79"/>
      <c r="N41" s="77">
        <v>-6194</v>
      </c>
      <c r="O41" s="78">
        <f>IFERROR(N41/N327, "NA")</f>
        <v>-1.5648898622354491E-3</v>
      </c>
      <c r="P41" s="79"/>
      <c r="Q41" s="77">
        <v>-8198</v>
      </c>
      <c r="R41" s="78">
        <f>IFERROR(Q41/Q327, "NA")</f>
        <v>-2.4030666295980401E-3</v>
      </c>
      <c r="T41" s="80">
        <f t="shared" si="0"/>
        <v>-40229</v>
      </c>
      <c r="U41" s="80">
        <f t="shared" si="1"/>
        <v>-221.03846153846152</v>
      </c>
    </row>
    <row r="42" spans="1:21" x14ac:dyDescent="0.25">
      <c r="A42" s="76" t="s">
        <v>74</v>
      </c>
      <c r="B42" s="77">
        <v>-10152.75</v>
      </c>
      <c r="C42" s="78">
        <f>IFERROR(B42/B327, "NA")</f>
        <v>-2.6226244005858931E-3</v>
      </c>
      <c r="D42" s="79"/>
      <c r="E42" s="77">
        <v>-10006.25</v>
      </c>
      <c r="F42" s="78">
        <f>IFERROR(E42/E327, "NA")</f>
        <v>-3.392319018809902E-3</v>
      </c>
      <c r="G42" s="79"/>
      <c r="H42" s="77">
        <v>-16850.75</v>
      </c>
      <c r="I42" s="78">
        <f>IFERROR(H42/H327, "NA")</f>
        <v>-3.6529135563302464E-3</v>
      </c>
      <c r="J42" s="79"/>
      <c r="K42" s="77">
        <v>-9429</v>
      </c>
      <c r="L42" s="78">
        <f>IFERROR(K42/K327, "NA")</f>
        <v>-2.9748481369840808E-3</v>
      </c>
      <c r="M42" s="79"/>
      <c r="N42" s="77">
        <v>-17324</v>
      </c>
      <c r="O42" s="78">
        <f>IFERROR(N42/N327, "NA")</f>
        <v>-4.3768408093908494E-3</v>
      </c>
      <c r="P42" s="79"/>
      <c r="Q42" s="77">
        <v>-15498</v>
      </c>
      <c r="R42" s="78">
        <f>IFERROR(Q42/Q327, "NA")</f>
        <v>-4.5429039552952457E-3</v>
      </c>
      <c r="T42" s="80">
        <f t="shared" si="0"/>
        <v>-79260.75</v>
      </c>
      <c r="U42" s="80">
        <f t="shared" si="1"/>
        <v>-435.49862637362639</v>
      </c>
    </row>
    <row r="43" spans="1:21" x14ac:dyDescent="0.25">
      <c r="A43" s="76" t="s">
        <v>75</v>
      </c>
      <c r="B43" s="77">
        <v>-12259</v>
      </c>
      <c r="C43" s="78">
        <f>IFERROR(B43/B327, "NA")</f>
        <v>-3.1667038513488919E-3</v>
      </c>
      <c r="D43" s="79"/>
      <c r="E43" s="77">
        <v>-12989</v>
      </c>
      <c r="F43" s="78">
        <f>IFERROR(E43/E327, "NA")</f>
        <v>-4.4035309666780077E-3</v>
      </c>
      <c r="G43" s="79"/>
      <c r="H43" s="77">
        <v>-22179</v>
      </c>
      <c r="I43" s="78">
        <f>IFERROR(H43/H327, "NA")</f>
        <v>-4.8079741118851405E-3</v>
      </c>
      <c r="J43" s="79"/>
      <c r="K43" s="77">
        <v>-37769</v>
      </c>
      <c r="L43" s="78">
        <f>IFERROR(K43/K327, "NA")</f>
        <v>-1.1916114040274869E-2</v>
      </c>
      <c r="M43" s="79"/>
      <c r="N43" s="77">
        <v>-16521</v>
      </c>
      <c r="O43" s="78">
        <f>IFERROR(N43/N327, "NA")</f>
        <v>-4.1739660016131509E-3</v>
      </c>
      <c r="P43" s="79"/>
      <c r="Q43" s="77">
        <v>-23059</v>
      </c>
      <c r="R43" s="78">
        <f>IFERROR(Q43/Q327, "NA")</f>
        <v>-6.7592477935961466E-3</v>
      </c>
      <c r="T43" s="80">
        <f t="shared" si="0"/>
        <v>-124776</v>
      </c>
      <c r="U43" s="80">
        <f t="shared" si="1"/>
        <v>-685.58241758241752</v>
      </c>
    </row>
    <row r="44" spans="1:21" x14ac:dyDescent="0.25">
      <c r="A44" s="76" t="s">
        <v>76</v>
      </c>
      <c r="B44" s="77">
        <v>-2066</v>
      </c>
      <c r="C44" s="78">
        <f>IFERROR(B44/B327, "NA")</f>
        <v>-5.3368220547245378E-4</v>
      </c>
      <c r="D44" s="79"/>
      <c r="E44" s="77">
        <v>-1770.6</v>
      </c>
      <c r="F44" s="78">
        <f>IFERROR(E44/E327, "NA")</f>
        <v>-6.0026883744707679E-4</v>
      </c>
      <c r="G44" s="79"/>
      <c r="H44" s="77">
        <v>-1181.5999999999999</v>
      </c>
      <c r="I44" s="78">
        <f>IFERROR(H44/H327, "NA")</f>
        <v>-2.561478069616972E-4</v>
      </c>
      <c r="J44" s="79"/>
      <c r="K44" s="77">
        <v>-683</v>
      </c>
      <c r="L44" s="78">
        <f>IFERROR(K44/K327, "NA")</f>
        <v>-2.1548640126844065E-4</v>
      </c>
      <c r="M44" s="79"/>
      <c r="N44" s="77">
        <v>-1206.4000000000001</v>
      </c>
      <c r="O44" s="78">
        <f>IFERROR(N44/N327, "NA")</f>
        <v>-3.0479223923165095E-4</v>
      </c>
      <c r="P44" s="79"/>
      <c r="Q44" s="77">
        <v>-1356.4</v>
      </c>
      <c r="R44" s="78">
        <f>IFERROR(Q44/Q327, "NA")</f>
        <v>-3.9759936281858767E-4</v>
      </c>
      <c r="T44" s="80">
        <f t="shared" si="0"/>
        <v>-8264</v>
      </c>
      <c r="U44" s="80">
        <f t="shared" si="1"/>
        <v>-45.406593406593409</v>
      </c>
    </row>
    <row r="45" spans="1:21" x14ac:dyDescent="0.25">
      <c r="A45" s="76" t="s">
        <v>77</v>
      </c>
      <c r="B45" s="77">
        <v>0</v>
      </c>
      <c r="C45" s="78">
        <f>IFERROR(B45/B327, "NA")</f>
        <v>0</v>
      </c>
      <c r="D45" s="79"/>
      <c r="E45" s="77">
        <v>0</v>
      </c>
      <c r="F45" s="78">
        <f>IFERROR(E45/E327, "NA")</f>
        <v>0</v>
      </c>
      <c r="G45" s="79"/>
      <c r="H45" s="77">
        <v>0</v>
      </c>
      <c r="I45" s="78">
        <f>IFERROR(H45/H327, "NA")</f>
        <v>0</v>
      </c>
      <c r="J45" s="79"/>
      <c r="K45" s="77">
        <v>0</v>
      </c>
      <c r="L45" s="78">
        <f>IFERROR(K45/K327, "NA")</f>
        <v>0</v>
      </c>
      <c r="M45" s="79"/>
      <c r="N45" s="77">
        <v>0</v>
      </c>
      <c r="O45" s="78">
        <f>IFERROR(N45/N327, "NA")</f>
        <v>0</v>
      </c>
      <c r="P45" s="79"/>
      <c r="Q45" s="77">
        <v>0</v>
      </c>
      <c r="R45" s="78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78</v>
      </c>
      <c r="B46" s="77">
        <v>-19317</v>
      </c>
      <c r="C46" s="78">
        <f>IFERROR(B46/B327, "NA")</f>
        <v>-4.9899027895021243E-3</v>
      </c>
      <c r="D46" s="79"/>
      <c r="E46" s="77">
        <v>-20096</v>
      </c>
      <c r="F46" s="78">
        <f>IFERROR(E46/E327, "NA")</f>
        <v>-6.8129462088198662E-3</v>
      </c>
      <c r="G46" s="79"/>
      <c r="H46" s="77">
        <v>-32040</v>
      </c>
      <c r="I46" s="78">
        <f>IFERROR(H46/H327, "NA")</f>
        <v>-6.9456463566797376E-3</v>
      </c>
      <c r="J46" s="79"/>
      <c r="K46" s="77">
        <v>-39019</v>
      </c>
      <c r="L46" s="78">
        <f>IFERROR(K46/K327, "NA")</f>
        <v>-1.2310488859580214E-2</v>
      </c>
      <c r="M46" s="79"/>
      <c r="N46" s="77">
        <v>-42656</v>
      </c>
      <c r="O46" s="78">
        <f>IFERROR(N46/N327, "NA")</f>
        <v>-1.0776871482646968E-2</v>
      </c>
      <c r="P46" s="79"/>
      <c r="Q46" s="77">
        <v>-35203</v>
      </c>
      <c r="R46" s="78">
        <f>IFERROR(Q46/Q327, "NA")</f>
        <v>-1.03189990926738E-2</v>
      </c>
      <c r="T46" s="80">
        <f t="shared" si="0"/>
        <v>-188331</v>
      </c>
      <c r="U46" s="80">
        <f t="shared" si="1"/>
        <v>-1034.7857142857142</v>
      </c>
    </row>
    <row r="47" spans="1:21" x14ac:dyDescent="0.25">
      <c r="A47" s="76" t="s">
        <v>79</v>
      </c>
      <c r="B47" s="77">
        <v>-27890.25</v>
      </c>
      <c r="C47" s="78">
        <f>IFERROR(B47/B327, "NA")</f>
        <v>-7.2045160363882399E-3</v>
      </c>
      <c r="D47" s="79"/>
      <c r="E47" s="77">
        <v>-23232.75</v>
      </c>
      <c r="F47" s="78">
        <f>IFERROR(E47/E327, "NA")</f>
        <v>-7.8763672389012621E-3</v>
      </c>
      <c r="G47" s="79"/>
      <c r="H47" s="77">
        <v>-33040.75</v>
      </c>
      <c r="I47" s="78">
        <f>IFERROR(H47/H327, "NA")</f>
        <v>-7.162589415089452E-3</v>
      </c>
      <c r="J47" s="79"/>
      <c r="K47" s="77">
        <v>-26584</v>
      </c>
      <c r="L47" s="78">
        <f>IFERROR(K47/K327, "NA")</f>
        <v>-8.38724815713064E-3</v>
      </c>
      <c r="M47" s="79"/>
      <c r="N47" s="77">
        <v>-30831.200000000001</v>
      </c>
      <c r="O47" s="78">
        <f>IFERROR(N47/N327, "NA")</f>
        <v>-7.789382034316044E-3</v>
      </c>
      <c r="P47" s="79"/>
      <c r="Q47" s="77">
        <v>-25871</v>
      </c>
      <c r="R47" s="78">
        <f>IFERROR(Q47/Q327, "NA")</f>
        <v>-7.5835248565907414E-3</v>
      </c>
      <c r="T47" s="80">
        <f t="shared" si="0"/>
        <v>-167449.95000000001</v>
      </c>
      <c r="U47" s="80">
        <f t="shared" si="1"/>
        <v>-920.05467032967044</v>
      </c>
    </row>
    <row r="48" spans="1:21" x14ac:dyDescent="0.25">
      <c r="A48" s="76" t="s">
        <v>80</v>
      </c>
      <c r="B48" s="77">
        <v>-7648</v>
      </c>
      <c r="C48" s="78">
        <f>IFERROR(B48/B327, "NA")</f>
        <v>-1.9756057635301675E-3</v>
      </c>
      <c r="D48" s="79"/>
      <c r="E48" s="77">
        <v>-8051</v>
      </c>
      <c r="F48" s="78">
        <f>IFERROR(E48/E327, "NA")</f>
        <v>-2.7294501357090339E-3</v>
      </c>
      <c r="G48" s="79"/>
      <c r="H48" s="77">
        <v>-15409</v>
      </c>
      <c r="I48" s="78">
        <f>IFERROR(H48/H327, "NA")</f>
        <v>-3.3403703093033109E-3</v>
      </c>
      <c r="J48" s="79"/>
      <c r="K48" s="77">
        <v>-5859</v>
      </c>
      <c r="L48" s="78">
        <f>IFERROR(K48/K327, "NA")</f>
        <v>-1.8485136530480145E-3</v>
      </c>
      <c r="M48" s="79"/>
      <c r="N48" s="77">
        <v>-4826</v>
      </c>
      <c r="O48" s="78">
        <f>IFERROR(N48/N327, "NA")</f>
        <v>-1.2192700153613621E-3</v>
      </c>
      <c r="P48" s="79"/>
      <c r="Q48" s="77">
        <v>-7928</v>
      </c>
      <c r="R48" s="78">
        <f>IFERROR(Q48/Q327, "NA")</f>
        <v>-2.3239219613873214E-3</v>
      </c>
      <c r="T48" s="80">
        <f t="shared" si="0"/>
        <v>-49721</v>
      </c>
      <c r="U48" s="80">
        <f t="shared" si="1"/>
        <v>-273.19230769230768</v>
      </c>
    </row>
    <row r="49" spans="1:21" x14ac:dyDescent="0.25">
      <c r="A49" s="76" t="s">
        <v>81</v>
      </c>
      <c r="B49" s="77">
        <v>0</v>
      </c>
      <c r="C49" s="78">
        <f>IFERROR(B49/B327, "NA")</f>
        <v>0</v>
      </c>
      <c r="D49" s="79"/>
      <c r="E49" s="77">
        <v>0</v>
      </c>
      <c r="F49" s="78">
        <f>IFERROR(E49/E327, "NA")</f>
        <v>0</v>
      </c>
      <c r="G49" s="79"/>
      <c r="H49" s="77">
        <v>0</v>
      </c>
      <c r="I49" s="78">
        <f>IFERROR(H49/H327, "NA")</f>
        <v>0</v>
      </c>
      <c r="J49" s="79"/>
      <c r="K49" s="77">
        <v>0</v>
      </c>
      <c r="L49" s="78">
        <f>IFERROR(K49/K327, "NA")</f>
        <v>0</v>
      </c>
      <c r="M49" s="79"/>
      <c r="N49" s="77">
        <v>0</v>
      </c>
      <c r="O49" s="78">
        <f>IFERROR(N49/N327, "NA")</f>
        <v>0</v>
      </c>
      <c r="P49" s="79"/>
      <c r="Q49" s="77">
        <v>0</v>
      </c>
      <c r="R49" s="78">
        <f>IFERROR(Q49/Q327, "NA")</f>
        <v>0</v>
      </c>
      <c r="T49" s="80">
        <f t="shared" si="0"/>
        <v>0</v>
      </c>
      <c r="U49" s="80">
        <f t="shared" si="1"/>
        <v>0</v>
      </c>
    </row>
    <row r="50" spans="1:21" x14ac:dyDescent="0.25">
      <c r="A50" s="76" t="s">
        <v>82</v>
      </c>
      <c r="B50" s="77">
        <v>-6343</v>
      </c>
      <c r="C50" s="78">
        <f>IFERROR(B50/B327, "NA")</f>
        <v>-1.6385025311286419E-3</v>
      </c>
      <c r="D50" s="79"/>
      <c r="E50" s="77">
        <v>-6689</v>
      </c>
      <c r="F50" s="78">
        <f>IFERROR(E50/E327, "NA")</f>
        <v>-2.2677048761343592E-3</v>
      </c>
      <c r="G50" s="79"/>
      <c r="H50" s="77">
        <v>-14598</v>
      </c>
      <c r="I50" s="78">
        <f>IFERROR(H50/H327, "NA")</f>
        <v>-3.1645613456557681E-3</v>
      </c>
      <c r="J50" s="79"/>
      <c r="K50" s="77">
        <v>-18610</v>
      </c>
      <c r="L50" s="78">
        <f>IFERROR(K50/K327, "NA")</f>
        <v>-5.8714523098179804E-3</v>
      </c>
      <c r="M50" s="79"/>
      <c r="N50" s="77">
        <v>-9640</v>
      </c>
      <c r="O50" s="78">
        <f>IFERROR(N50/N327, "NA")</f>
        <v>-2.4355082776799692E-3</v>
      </c>
      <c r="P50" s="79"/>
      <c r="Q50" s="77">
        <v>-7264</v>
      </c>
      <c r="R50" s="78">
        <f>IFERROR(Q50/Q327, "NA")</f>
        <v>-2.12928470326911E-3</v>
      </c>
      <c r="T50" s="80">
        <f t="shared" si="0"/>
        <v>-63144</v>
      </c>
      <c r="U50" s="80">
        <f t="shared" si="1"/>
        <v>-346.94505494505495</v>
      </c>
    </row>
    <row r="51" spans="1:21" x14ac:dyDescent="0.25">
      <c r="A51" s="81" t="s">
        <v>83</v>
      </c>
      <c r="B51" s="82">
        <f>IFERROR(B39+B40+B41+B42+B43+B44+B45+B46+B47+B48+B49+B50, "NA")</f>
        <v>-93126.25</v>
      </c>
      <c r="C51" s="83">
        <f>IFERROR(B51/B327, "NA")</f>
        <v>-2.4056061223319988E-2</v>
      </c>
      <c r="D51" s="72"/>
      <c r="E51" s="82">
        <f>IFERROR(E39+E40+E41+E42+E43+E44+E45+E46+E47+E48+E49+E50, "NA")</f>
        <v>-89767.85</v>
      </c>
      <c r="F51" s="83">
        <f>IFERROR(E51/E327, "NA")</f>
        <v>-3.0433097797144232E-2</v>
      </c>
      <c r="G51" s="72"/>
      <c r="H51" s="82">
        <f>IFERROR(H39+H40+H41+H42+H43+H44+H45+H46+H47+H48+H49+H50, "NA")</f>
        <v>-142486.85</v>
      </c>
      <c r="I51" s="83">
        <f>IFERROR(H51/H327, "NA")</f>
        <v>-3.0888366747105878E-2</v>
      </c>
      <c r="J51" s="72"/>
      <c r="K51" s="82">
        <f>IFERROR(K39+K40+K41+K42+K43+K44+K45+K46+K47+K48+K49+K50, "NA")</f>
        <v>-145002.75</v>
      </c>
      <c r="L51" s="83">
        <f>IFERROR(K51/K327, "NA")</f>
        <v>-4.5748346664022527E-2</v>
      </c>
      <c r="M51" s="72"/>
      <c r="N51" s="82">
        <f>IFERROR(N39+N40+N41+N42+N43+N44+N45+N46+N47+N48+N49+N50, "NA")</f>
        <v>-129554.84999999999</v>
      </c>
      <c r="O51" s="83">
        <f>IFERROR(N51/N327, "NA")</f>
        <v>-3.2731525890932235E-2</v>
      </c>
      <c r="P51" s="72"/>
      <c r="Q51" s="82">
        <f>IFERROR(Q39+Q40+Q41+Q42+Q43+Q44+Q45+Q46+Q47+Q48+Q49+Q50, "NA")</f>
        <v>-124962.65</v>
      </c>
      <c r="R51" s="83">
        <f>IFERROR(Q51/Q327, "NA")</f>
        <v>-3.6630101751785743E-2</v>
      </c>
      <c r="T51" s="80">
        <f t="shared" si="0"/>
        <v>-724901.20000000007</v>
      </c>
      <c r="U51" s="80">
        <f t="shared" si="1"/>
        <v>-3982.9736263736268</v>
      </c>
    </row>
    <row r="52" spans="1:21" x14ac:dyDescent="0.25">
      <c r="A52" s="85" t="s">
        <v>4</v>
      </c>
      <c r="B52" s="82">
        <f>IFERROR(B8+B9+B11+B13+B14+B15+B16+B17+B18+B21+B22+B23+B24+B25+B26+B27+B28+B29+B32+B33+B34+B35+B36+B39+B40+B41+B42+B43+B44+B45+B46+B47+B48+B49+B50, "NA")</f>
        <v>3871217.7</v>
      </c>
      <c r="C52" s="83">
        <f>IFERROR(B52/B327, "NA")</f>
        <v>1</v>
      </c>
      <c r="D52" s="72"/>
      <c r="E52" s="82">
        <f>IFERROR(E8+E9+E11+E13+E14+E15+E16+E17+E18+E21+E22+E23+E24+E25+E26+E27+E28+E29+E32+E33+E34+E35+E36+E39+E40+E41+E42+E43+E44+E45+E46+E47+E48+E49+E50, "NA")</f>
        <v>2949678.36</v>
      </c>
      <c r="F52" s="83">
        <f>IFERROR(E52/E327, "NA")</f>
        <v>1</v>
      </c>
      <c r="G52" s="72"/>
      <c r="H52" s="82">
        <f>IFERROR(H8+H9+H11+H13+H14+H15+H16+H17+H18+H21+H22+H23+H24+H25+H26+H27+H28+H29+H32+H33+H34+H35+H36+H39+H40+H41+H42+H43+H44+H45+H46+H47+H48+H49+H50, "NA")</f>
        <v>4612961.6100000003</v>
      </c>
      <c r="I52" s="83">
        <f>IFERROR(H52/H327, "NA")</f>
        <v>1</v>
      </c>
      <c r="J52" s="72"/>
      <c r="K52" s="82">
        <f>IFERROR(K8+K9+K11+K13+K14+K15+K16+K17+K18+K21+K22+K23+K24+K25+K26+K27+K28+K29+K32+K33+K34+K35+K36+K39+K40+K41+K42+K43+K44+K45+K46+K47+K48+K49+K50, "NA")</f>
        <v>3169573.56</v>
      </c>
      <c r="L52" s="83">
        <f>IFERROR(K52/K327, "NA")</f>
        <v>1</v>
      </c>
      <c r="M52" s="72"/>
      <c r="N52" s="82">
        <f>IFERROR(N8+N9+N11+N13+N14+N15+N16+N17+N18+N21+N22+N23+N24+N25+N26+N27+N28+N29+N32+N33+N34+N35+N36+N39+N40+N41+N42+N43+N44+N45+N46+N47+N48+N49+N50, "NA")</f>
        <v>3958106.0300000003</v>
      </c>
      <c r="O52" s="83">
        <f>IFERROR(N52/N327, "NA")</f>
        <v>1.0000000000000002</v>
      </c>
      <c r="P52" s="72"/>
      <c r="Q52" s="82">
        <f>IFERROR(Q8+Q9+Q11+Q13+Q14+Q15+Q16+Q17+Q18+Q21+Q22+Q23+Q24+Q25+Q26+Q27+Q28+Q29+Q32+Q33+Q34+Q35+Q36+Q39+Q40+Q41+Q42+Q43+Q44+Q45+Q46+Q47+Q48+Q49+Q50, "NA")</f>
        <v>3411474.2799999993</v>
      </c>
      <c r="R52" s="83">
        <f>IFERROR(Q52/Q327, "NA")</f>
        <v>0.99999999999999989</v>
      </c>
      <c r="T52" s="80">
        <f t="shared" si="0"/>
        <v>21973011.539999999</v>
      </c>
      <c r="U52" s="80">
        <f t="shared" si="1"/>
        <v>120730.83263736263</v>
      </c>
    </row>
    <row r="53" spans="1:21" x14ac:dyDescent="0.25">
      <c r="A53" s="71" t="s">
        <v>84</v>
      </c>
      <c r="B53" s="72"/>
      <c r="C53" s="73"/>
      <c r="D53" s="74"/>
      <c r="E53" s="72"/>
      <c r="F53" s="73"/>
      <c r="G53" s="74"/>
      <c r="H53" s="72"/>
      <c r="I53" s="73"/>
      <c r="J53" s="74"/>
      <c r="K53" s="72"/>
      <c r="L53" s="73"/>
      <c r="M53" s="74"/>
      <c r="N53" s="72"/>
      <c r="O53" s="73"/>
      <c r="P53" s="74"/>
      <c r="Q53" s="72"/>
      <c r="R53" s="73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B54" s="72"/>
      <c r="C54" s="73"/>
      <c r="D54" s="74"/>
      <c r="E54" s="72"/>
      <c r="F54" s="73"/>
      <c r="G54" s="74"/>
      <c r="H54" s="72"/>
      <c r="I54" s="73"/>
      <c r="J54" s="74"/>
      <c r="K54" s="72"/>
      <c r="L54" s="73"/>
      <c r="M54" s="74"/>
      <c r="N54" s="72"/>
      <c r="O54" s="73"/>
      <c r="P54" s="74"/>
      <c r="Q54" s="72"/>
      <c r="R54" s="73"/>
      <c r="T54" s="80">
        <f t="shared" si="0"/>
        <v>0</v>
      </c>
      <c r="U54" s="80">
        <f t="shared" si="1"/>
        <v>0</v>
      </c>
    </row>
    <row r="55" spans="1:21" x14ac:dyDescent="0.25">
      <c r="A55" s="76" t="s">
        <v>85</v>
      </c>
      <c r="B55" s="77">
        <v>0</v>
      </c>
      <c r="C55" s="78">
        <f>IFERROR(B55/B327, "NA")</f>
        <v>0</v>
      </c>
      <c r="D55" s="79"/>
      <c r="E55" s="77">
        <v>0</v>
      </c>
      <c r="F55" s="78">
        <f>IFERROR(E55/E327, "NA")</f>
        <v>0</v>
      </c>
      <c r="G55" s="79"/>
      <c r="H55" s="77">
        <v>0</v>
      </c>
      <c r="I55" s="78">
        <f>IFERROR(H55/H327, "NA")</f>
        <v>0</v>
      </c>
      <c r="J55" s="79"/>
      <c r="K55" s="77">
        <v>0</v>
      </c>
      <c r="L55" s="78">
        <f>IFERROR(K55/K327, "NA")</f>
        <v>0</v>
      </c>
      <c r="M55" s="79"/>
      <c r="N55" s="77">
        <v>0</v>
      </c>
      <c r="O55" s="78">
        <f>IFERROR(N55/N327, "NA")</f>
        <v>0</v>
      </c>
      <c r="P55" s="79"/>
      <c r="Q55" s="77">
        <v>0</v>
      </c>
      <c r="R55" s="78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86</v>
      </c>
      <c r="B56" s="77">
        <v>79580.679999999993</v>
      </c>
      <c r="C56" s="78">
        <f>IFERROR(B56/B327, "NA")</f>
        <v>2.0557014915487701E-2</v>
      </c>
      <c r="D56" s="79"/>
      <c r="E56" s="77">
        <v>59937.25</v>
      </c>
      <c r="F56" s="78">
        <f>IFERROR(E56/E327, "NA")</f>
        <v>2.0319927356418618E-2</v>
      </c>
      <c r="G56" s="79"/>
      <c r="H56" s="77">
        <v>83213.67</v>
      </c>
      <c r="I56" s="78">
        <f>IFERROR(H56/H327, "NA")</f>
        <v>1.8039098747236266E-2</v>
      </c>
      <c r="J56" s="79"/>
      <c r="K56" s="77">
        <v>67424.52</v>
      </c>
      <c r="L56" s="78">
        <f>IFERROR(K56/K327, "NA")</f>
        <v>2.1272426313399713E-2</v>
      </c>
      <c r="M56" s="79"/>
      <c r="N56" s="77">
        <v>56171.79</v>
      </c>
      <c r="O56" s="78">
        <f>IFERROR(N56/N327, "NA")</f>
        <v>1.4191582937458602E-2</v>
      </c>
      <c r="P56" s="79"/>
      <c r="Q56" s="77">
        <v>59143.35</v>
      </c>
      <c r="R56" s="78">
        <f>IFERROR(Q56/Q327, "NA")</f>
        <v>1.7336595602297784E-2</v>
      </c>
      <c r="T56" s="80">
        <f t="shared" si="0"/>
        <v>405471.25999999995</v>
      </c>
      <c r="U56" s="80">
        <f t="shared" si="1"/>
        <v>2227.8640659340658</v>
      </c>
    </row>
    <row r="57" spans="1:21" x14ac:dyDescent="0.25">
      <c r="A57" s="76" t="s">
        <v>87</v>
      </c>
      <c r="B57" s="77">
        <v>19693.849999999999</v>
      </c>
      <c r="C57" s="78">
        <f>IFERROR(B57/B327, "NA")</f>
        <v>5.0872494202534764E-3</v>
      </c>
      <c r="D57" s="79"/>
      <c r="E57" s="77">
        <v>19509.66</v>
      </c>
      <c r="F57" s="78">
        <f>IFERROR(E57/E327, "NA")</f>
        <v>6.6141652135929836E-3</v>
      </c>
      <c r="G57" s="79"/>
      <c r="H57" s="77">
        <v>28625.15</v>
      </c>
      <c r="I57" s="78">
        <f>IFERROR(H57/H327, "NA")</f>
        <v>6.2053735582681341E-3</v>
      </c>
      <c r="J57" s="79"/>
      <c r="K57" s="77">
        <v>19046.09</v>
      </c>
      <c r="L57" s="78">
        <f>IFERROR(K57/K327, "NA")</f>
        <v>6.0090386417786749E-3</v>
      </c>
      <c r="M57" s="79"/>
      <c r="N57" s="77">
        <v>17489.43</v>
      </c>
      <c r="O57" s="78">
        <f>IFERROR(N57/N327, "NA")</f>
        <v>4.4186360515460982E-3</v>
      </c>
      <c r="P57" s="79"/>
      <c r="Q57" s="77">
        <v>20765.38</v>
      </c>
      <c r="R57" s="78">
        <f>IFERROR(Q57/Q327, "NA")</f>
        <v>6.0869226309981156E-3</v>
      </c>
      <c r="T57" s="80">
        <f t="shared" si="0"/>
        <v>125129.56</v>
      </c>
      <c r="U57" s="80">
        <f t="shared" si="1"/>
        <v>687.52505494505488</v>
      </c>
    </row>
    <row r="58" spans="1:21" x14ac:dyDescent="0.25">
      <c r="A58" s="76" t="s">
        <v>88</v>
      </c>
      <c r="B58" s="77">
        <v>84158.31</v>
      </c>
      <c r="C58" s="78">
        <f>IFERROR(B58/B327, "NA")</f>
        <v>2.1739492976589767E-2</v>
      </c>
      <c r="D58" s="79"/>
      <c r="E58" s="77">
        <v>74216.960000000006</v>
      </c>
      <c r="F58" s="78">
        <f>IFERROR(E58/E327, "NA")</f>
        <v>2.5161034845846721E-2</v>
      </c>
      <c r="G58" s="79"/>
      <c r="H58" s="77">
        <v>111449.66</v>
      </c>
      <c r="I58" s="78">
        <f>IFERROR(H58/H327, "NA")</f>
        <v>2.4160110016610347E-2</v>
      </c>
      <c r="J58" s="79"/>
      <c r="K58" s="77">
        <v>64895.22</v>
      </c>
      <c r="L58" s="78">
        <f>IFERROR(K58/K327, "NA")</f>
        <v>2.0474432529024506E-2</v>
      </c>
      <c r="M58" s="79"/>
      <c r="N58" s="77">
        <v>76960.539999999994</v>
      </c>
      <c r="O58" s="78">
        <f>IFERROR(N58/N327, "NA")</f>
        <v>1.9443779276423274E-2</v>
      </c>
      <c r="P58" s="79"/>
      <c r="Q58" s="77">
        <v>72520.38</v>
      </c>
      <c r="R58" s="78">
        <f>IFERROR(Q58/Q327, "NA")</f>
        <v>2.1257783013389743E-2</v>
      </c>
      <c r="T58" s="80">
        <f t="shared" si="0"/>
        <v>484201.07</v>
      </c>
      <c r="U58" s="80">
        <f t="shared" si="1"/>
        <v>2660.4454395604398</v>
      </c>
    </row>
    <row r="59" spans="1:21" x14ac:dyDescent="0.25">
      <c r="A59" s="76" t="s">
        <v>89</v>
      </c>
      <c r="B59" s="77">
        <v>5977.96</v>
      </c>
      <c r="C59" s="78">
        <f>IFERROR(B59/B327, "NA")</f>
        <v>1.5442066200513601E-3</v>
      </c>
      <c r="D59" s="79"/>
      <c r="E59" s="77">
        <v>6299.15</v>
      </c>
      <c r="F59" s="78">
        <f>IFERROR(E59/E327, "NA")</f>
        <v>2.1355379235314322E-3</v>
      </c>
      <c r="G59" s="79"/>
      <c r="H59" s="77">
        <v>8580.8700000000008</v>
      </c>
      <c r="I59" s="78">
        <f>IFERROR(H59/H327, "NA")</f>
        <v>1.8601650578227986E-3</v>
      </c>
      <c r="J59" s="79"/>
      <c r="K59" s="77">
        <v>5996.15</v>
      </c>
      <c r="L59" s="78">
        <f>IFERROR(K59/K327, "NA")</f>
        <v>1.8917844582221968E-3</v>
      </c>
      <c r="M59" s="79"/>
      <c r="N59" s="77">
        <v>6328.11</v>
      </c>
      <c r="O59" s="78">
        <f>IFERROR(N59/N327, "NA")</f>
        <v>1.5987722289491067E-3</v>
      </c>
      <c r="P59" s="79"/>
      <c r="Q59" s="77">
        <v>6373.94</v>
      </c>
      <c r="R59" s="78">
        <f>IFERROR(Q59/Q327, "NA")</f>
        <v>1.8683828388704722E-3</v>
      </c>
      <c r="T59" s="80">
        <f t="shared" si="0"/>
        <v>39556.180000000008</v>
      </c>
      <c r="U59" s="80">
        <f t="shared" si="1"/>
        <v>217.34164835164842</v>
      </c>
    </row>
    <row r="60" spans="1:21" x14ac:dyDescent="0.25">
      <c r="A60" s="76" t="s">
        <v>90</v>
      </c>
      <c r="B60" s="77">
        <v>120543.5</v>
      </c>
      <c r="C60" s="78">
        <f>IFERROR(B60/B327, "NA")</f>
        <v>3.1138393482753501E-2</v>
      </c>
      <c r="D60" s="79"/>
      <c r="E60" s="77">
        <v>120453.93</v>
      </c>
      <c r="F60" s="78">
        <f>IFERROR(E60/E327, "NA")</f>
        <v>4.0836293079764802E-2</v>
      </c>
      <c r="G60" s="79"/>
      <c r="H60" s="77">
        <v>165326.85999999999</v>
      </c>
      <c r="I60" s="78">
        <f>IFERROR(H60/H327, "NA")</f>
        <v>3.5839634919485053E-2</v>
      </c>
      <c r="J60" s="79"/>
      <c r="K60" s="77">
        <v>147796.10999999999</v>
      </c>
      <c r="L60" s="78">
        <f>IFERROR(K60/K327, "NA")</f>
        <v>4.6629651340226341E-2</v>
      </c>
      <c r="M60" s="79"/>
      <c r="N60" s="77">
        <v>110128.81</v>
      </c>
      <c r="O60" s="78">
        <f>IFERROR(N60/N327, "NA")</f>
        <v>2.7823612901041968E-2</v>
      </c>
      <c r="P60" s="79"/>
      <c r="Q60" s="77">
        <v>142063.72</v>
      </c>
      <c r="R60" s="78">
        <f>IFERROR(Q60/Q327, "NA")</f>
        <v>4.164291105252009E-2</v>
      </c>
      <c r="T60" s="80">
        <f t="shared" si="0"/>
        <v>806312.92999999993</v>
      </c>
      <c r="U60" s="80">
        <f t="shared" si="1"/>
        <v>4430.2908241758241</v>
      </c>
    </row>
    <row r="61" spans="1:21" x14ac:dyDescent="0.25">
      <c r="A61" s="76" t="s">
        <v>91</v>
      </c>
      <c r="B61" s="77">
        <v>44874.53</v>
      </c>
      <c r="C61" s="78">
        <f>IFERROR(B61/B327, "NA")</f>
        <v>1.1591838402681409E-2</v>
      </c>
      <c r="D61" s="79"/>
      <c r="E61" s="77">
        <v>50255.85</v>
      </c>
      <c r="F61" s="78">
        <f>IFERROR(E61/E327, "NA")</f>
        <v>1.7037738989277462E-2</v>
      </c>
      <c r="G61" s="79"/>
      <c r="H61" s="77">
        <v>80103.69</v>
      </c>
      <c r="I61" s="78">
        <f>IFERROR(H61/H327, "NA")</f>
        <v>1.7364915811644916E-2</v>
      </c>
      <c r="J61" s="79"/>
      <c r="K61" s="77">
        <v>58891.91</v>
      </c>
      <c r="L61" s="78">
        <f>IFERROR(K61/K327, "NA")</f>
        <v>1.8580389091837325E-2</v>
      </c>
      <c r="M61" s="79"/>
      <c r="N61" s="77">
        <v>52312.25</v>
      </c>
      <c r="O61" s="78">
        <f>IFERROR(N61/N327, "NA")</f>
        <v>1.3216485259239E-2</v>
      </c>
      <c r="P61" s="79"/>
      <c r="Q61" s="77">
        <v>63465.41</v>
      </c>
      <c r="R61" s="78">
        <f>IFERROR(Q61/Q327, "NA")</f>
        <v>1.860351413817489E-2</v>
      </c>
      <c r="T61" s="80">
        <f t="shared" si="0"/>
        <v>349903.64</v>
      </c>
      <c r="U61" s="80">
        <f t="shared" si="1"/>
        <v>1922.5474725274726</v>
      </c>
    </row>
    <row r="62" spans="1:21" x14ac:dyDescent="0.25">
      <c r="A62" s="76" t="s">
        <v>92</v>
      </c>
      <c r="B62" s="77">
        <v>8858.19</v>
      </c>
      <c r="C62" s="78">
        <f>IFERROR(B62/B327, "NA")</f>
        <v>2.2882179940435796E-3</v>
      </c>
      <c r="D62" s="79"/>
      <c r="E62" s="77">
        <v>8333.19</v>
      </c>
      <c r="F62" s="78">
        <f>IFERROR(E62/E327, "NA")</f>
        <v>2.825118193564671E-3</v>
      </c>
      <c r="G62" s="79"/>
      <c r="H62" s="77">
        <v>11943.49</v>
      </c>
      <c r="I62" s="78">
        <f>IFERROR(H62/H327, "NA")</f>
        <v>2.5891154121267441E-3</v>
      </c>
      <c r="J62" s="79"/>
      <c r="K62" s="77">
        <v>9387.8799999999992</v>
      </c>
      <c r="L62" s="78">
        <f>IFERROR(K62/K327, "NA")</f>
        <v>2.9618747829282116E-3</v>
      </c>
      <c r="M62" s="79"/>
      <c r="N62" s="77">
        <v>5278.18</v>
      </c>
      <c r="O62" s="78">
        <f>IFERROR(N62/N327, "NA")</f>
        <v>1.3335115229341141E-3</v>
      </c>
      <c r="P62" s="79"/>
      <c r="Q62" s="77">
        <v>13137.02</v>
      </c>
      <c r="R62" s="78">
        <f>IFERROR(Q62/Q327, "NA")</f>
        <v>3.8508336636206447E-3</v>
      </c>
      <c r="T62" s="80">
        <f t="shared" si="0"/>
        <v>56937.95</v>
      </c>
      <c r="U62" s="80">
        <f t="shared" si="1"/>
        <v>312.84587912087909</v>
      </c>
    </row>
    <row r="63" spans="1:21" x14ac:dyDescent="0.25">
      <c r="A63" s="76" t="s">
        <v>93</v>
      </c>
      <c r="B63" s="77">
        <v>13043.65</v>
      </c>
      <c r="C63" s="78">
        <f>IFERROR(B63/B327, "NA")</f>
        <v>3.3693920132675565E-3</v>
      </c>
      <c r="D63" s="79"/>
      <c r="E63" s="77">
        <v>13813.34</v>
      </c>
      <c r="F63" s="78">
        <f>IFERROR(E63/E327, "NA")</f>
        <v>4.6829987253254289E-3</v>
      </c>
      <c r="G63" s="79"/>
      <c r="H63" s="77">
        <v>15235.89</v>
      </c>
      <c r="I63" s="78">
        <f>IFERROR(H63/H327, "NA")</f>
        <v>3.302843441612773E-3</v>
      </c>
      <c r="J63" s="79"/>
      <c r="K63" s="77">
        <v>13009.23</v>
      </c>
      <c r="L63" s="78">
        <f>IFERROR(K63/K327, "NA")</f>
        <v>4.1044101844413417E-3</v>
      </c>
      <c r="M63" s="79"/>
      <c r="N63" s="77">
        <v>13170.64</v>
      </c>
      <c r="O63" s="78">
        <f>IFERROR(N63/N327, "NA")</f>
        <v>3.3275106579193888E-3</v>
      </c>
      <c r="P63" s="79"/>
      <c r="Q63" s="77">
        <v>11180.25</v>
      </c>
      <c r="R63" s="78">
        <f>IFERROR(Q63/Q327, "NA")</f>
        <v>3.2772488028255048E-3</v>
      </c>
      <c r="T63" s="80">
        <f t="shared" si="0"/>
        <v>79453</v>
      </c>
      <c r="U63" s="80">
        <f t="shared" si="1"/>
        <v>436.55494505494505</v>
      </c>
    </row>
    <row r="64" spans="1:21" x14ac:dyDescent="0.25">
      <c r="A64" s="76" t="s">
        <v>94</v>
      </c>
      <c r="B64" s="77">
        <v>0</v>
      </c>
      <c r="C64" s="78">
        <f>IFERROR(B64/B327, "NA")</f>
        <v>0</v>
      </c>
      <c r="D64" s="79"/>
      <c r="E64" s="77">
        <v>0</v>
      </c>
      <c r="F64" s="78">
        <f>IFERROR(E64/E327, "NA")</f>
        <v>0</v>
      </c>
      <c r="G64" s="79"/>
      <c r="H64" s="77">
        <v>0</v>
      </c>
      <c r="I64" s="78">
        <f>IFERROR(H64/H327, "NA")</f>
        <v>0</v>
      </c>
      <c r="J64" s="79"/>
      <c r="K64" s="77">
        <v>0</v>
      </c>
      <c r="L64" s="78">
        <f>IFERROR(K64/K327, "NA")</f>
        <v>0</v>
      </c>
      <c r="M64" s="79"/>
      <c r="N64" s="77">
        <v>0</v>
      </c>
      <c r="O64" s="78">
        <f>IFERROR(N64/N327, "NA")</f>
        <v>0</v>
      </c>
      <c r="P64" s="79"/>
      <c r="Q64" s="77">
        <v>0</v>
      </c>
      <c r="R64" s="78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95</v>
      </c>
      <c r="B65" s="82">
        <f>IFERROR(B55+B56+B57+B58+B59+B60+B61+B62+B63+B64, "NA")</f>
        <v>376730.67</v>
      </c>
      <c r="C65" s="83">
        <f>IFERROR(B65/B327, "NA")</f>
        <v>9.7315805825128346E-2</v>
      </c>
      <c r="D65" s="72"/>
      <c r="E65" s="82">
        <f>IFERROR(E55+E56+E57+E58+E59+E60+E61+E62+E63+E64, "NA")</f>
        <v>352819.32999999996</v>
      </c>
      <c r="F65" s="83">
        <f>IFERROR(E65/E327, "NA")</f>
        <v>0.11961281432732211</v>
      </c>
      <c r="G65" s="72"/>
      <c r="H65" s="82">
        <f>IFERROR(H55+H56+H57+H58+H59+H60+H61+H62+H63+H64, "NA")</f>
        <v>504479.27999999997</v>
      </c>
      <c r="I65" s="83">
        <f>IFERROR(H65/H327, "NA")</f>
        <v>0.10936125696480703</v>
      </c>
      <c r="J65" s="72"/>
      <c r="K65" s="82">
        <f>IFERROR(K55+K56+K57+K58+K59+K60+K61+K62+K63+K64, "NA")</f>
        <v>386447.11</v>
      </c>
      <c r="L65" s="83">
        <f>IFERROR(K65/K327, "NA")</f>
        <v>0.12192400734185831</v>
      </c>
      <c r="M65" s="72"/>
      <c r="N65" s="82">
        <f>IFERROR(N55+N56+N57+N58+N59+N60+N61+N62+N63+N64, "NA")</f>
        <v>337839.75</v>
      </c>
      <c r="O65" s="83">
        <f>IFERROR(N65/N327, "NA")</f>
        <v>8.5353890835511551E-2</v>
      </c>
      <c r="P65" s="72"/>
      <c r="Q65" s="82">
        <f>IFERROR(Q55+Q56+Q57+Q58+Q59+Q60+Q61+Q62+Q63+Q64, "NA")</f>
        <v>388649.45000000007</v>
      </c>
      <c r="R65" s="83">
        <f>IFERROR(Q65/Q327, "NA")</f>
        <v>0.11392419174269726</v>
      </c>
      <c r="T65" s="80">
        <f t="shared" si="0"/>
        <v>2346965.5900000003</v>
      </c>
      <c r="U65" s="80">
        <f t="shared" si="1"/>
        <v>12895.415329670332</v>
      </c>
    </row>
    <row r="66" spans="1:21" x14ac:dyDescent="0.25">
      <c r="A66" s="84" t="s">
        <v>96</v>
      </c>
      <c r="B66" s="77">
        <v>29556.49</v>
      </c>
      <c r="C66" s="78">
        <f>IFERROR(B66/B327, "NA")</f>
        <v>7.6349335765849595E-3</v>
      </c>
      <c r="D66" s="79"/>
      <c r="E66" s="77">
        <v>17185.78</v>
      </c>
      <c r="F66" s="78">
        <f>IFERROR(E66/E327, "NA")</f>
        <v>5.8263233825941617E-3</v>
      </c>
      <c r="G66" s="79"/>
      <c r="H66" s="77">
        <v>41400.01</v>
      </c>
      <c r="I66" s="78">
        <f>IFERROR(H66/H327, "NA")</f>
        <v>8.974713752278549E-3</v>
      </c>
      <c r="J66" s="79"/>
      <c r="K66" s="77">
        <v>27791.85</v>
      </c>
      <c r="L66" s="78">
        <f>IFERROR(K66/K327, "NA")</f>
        <v>8.7683246575290079E-3</v>
      </c>
      <c r="M66" s="79"/>
      <c r="N66" s="77">
        <v>28104.19</v>
      </c>
      <c r="O66" s="78">
        <f>IFERROR(N66/N327, "NA")</f>
        <v>7.1004136288890674E-3</v>
      </c>
      <c r="P66" s="79"/>
      <c r="Q66" s="77">
        <v>35196.550000000003</v>
      </c>
      <c r="R66" s="78">
        <f>IFERROR(Q66/Q327, "NA")</f>
        <v>1.0317108414488766E-2</v>
      </c>
      <c r="T66" s="80">
        <f t="shared" si="0"/>
        <v>179234.87</v>
      </c>
      <c r="U66" s="80">
        <f t="shared" si="1"/>
        <v>984.8069780219779</v>
      </c>
    </row>
    <row r="67" spans="1:21" x14ac:dyDescent="0.25">
      <c r="A67" s="75" t="s">
        <v>16</v>
      </c>
      <c r="B67" s="72"/>
      <c r="C67" s="73"/>
      <c r="D67" s="74"/>
      <c r="E67" s="72"/>
      <c r="F67" s="73"/>
      <c r="G67" s="74"/>
      <c r="H67" s="72"/>
      <c r="I67" s="73"/>
      <c r="J67" s="74"/>
      <c r="K67" s="72"/>
      <c r="L67" s="73"/>
      <c r="M67" s="74"/>
      <c r="N67" s="72"/>
      <c r="O67" s="73"/>
      <c r="P67" s="74"/>
      <c r="Q67" s="72"/>
      <c r="R67" s="73"/>
      <c r="T67" s="80">
        <f t="shared" si="0"/>
        <v>0</v>
      </c>
      <c r="U67" s="80">
        <f t="shared" si="1"/>
        <v>0</v>
      </c>
    </row>
    <row r="68" spans="1:21" x14ac:dyDescent="0.25">
      <c r="A68" s="76" t="s">
        <v>97</v>
      </c>
      <c r="B68" s="77">
        <v>0</v>
      </c>
      <c r="C68" s="78">
        <f>IFERROR(B68/B327, "NA")</f>
        <v>0</v>
      </c>
      <c r="D68" s="79"/>
      <c r="E68" s="77">
        <v>0</v>
      </c>
      <c r="F68" s="78">
        <f>IFERROR(E68/E327, "NA")</f>
        <v>0</v>
      </c>
      <c r="G68" s="79"/>
      <c r="H68" s="77">
        <v>0</v>
      </c>
      <c r="I68" s="78">
        <f>IFERROR(H68/H327, "NA")</f>
        <v>0</v>
      </c>
      <c r="J68" s="79"/>
      <c r="K68" s="77">
        <v>0</v>
      </c>
      <c r="L68" s="78">
        <f>IFERROR(K68/K327, "NA")</f>
        <v>0</v>
      </c>
      <c r="M68" s="79"/>
      <c r="N68" s="77">
        <v>0</v>
      </c>
      <c r="O68" s="78">
        <f>IFERROR(N68/N327, "NA")</f>
        <v>0</v>
      </c>
      <c r="P68" s="79"/>
      <c r="Q68" s="77">
        <v>0</v>
      </c>
      <c r="R68" s="78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98</v>
      </c>
      <c r="B69" s="77">
        <v>1879.43</v>
      </c>
      <c r="C69" s="78">
        <f>IFERROR(B69/B327, "NA")</f>
        <v>4.8548806748842876E-4</v>
      </c>
      <c r="D69" s="79"/>
      <c r="E69" s="77">
        <v>1593.76</v>
      </c>
      <c r="F69" s="78">
        <f>IFERROR(E69/E327, "NA")</f>
        <v>5.4031653810553094E-4</v>
      </c>
      <c r="G69" s="79"/>
      <c r="H69" s="77">
        <v>3124.62</v>
      </c>
      <c r="I69" s="78">
        <f>IFERROR(H69/H327, "NA")</f>
        <v>6.7735660171687397E-4</v>
      </c>
      <c r="J69" s="79"/>
      <c r="K69" s="77">
        <v>1749.4</v>
      </c>
      <c r="L69" s="78">
        <f>IFERROR(K69/K327, "NA")</f>
        <v>5.5193544711421689E-4</v>
      </c>
      <c r="M69" s="79"/>
      <c r="N69" s="77">
        <v>3135.35</v>
      </c>
      <c r="O69" s="78">
        <f>IFERROR(N69/N327, "NA")</f>
        <v>7.9213390855019622E-4</v>
      </c>
      <c r="P69" s="79"/>
      <c r="Q69" s="77">
        <v>2040.01</v>
      </c>
      <c r="R69" s="78">
        <f>IFERROR(Q69/Q327, "NA")</f>
        <v>5.9798486887610363E-4</v>
      </c>
      <c r="T69" s="80">
        <f t="shared" si="0"/>
        <v>13522.57</v>
      </c>
      <c r="U69" s="80">
        <f t="shared" si="1"/>
        <v>74.299835164835159</v>
      </c>
    </row>
    <row r="70" spans="1:21" x14ac:dyDescent="0.25">
      <c r="A70" s="76" t="s">
        <v>99</v>
      </c>
      <c r="B70" s="77">
        <v>37164.36</v>
      </c>
      <c r="C70" s="78">
        <f>IFERROR(B70/B327, "NA")</f>
        <v>9.6001730928229629E-3</v>
      </c>
      <c r="D70" s="79"/>
      <c r="E70" s="77">
        <v>21062.18</v>
      </c>
      <c r="F70" s="78">
        <f>IFERROR(E70/E327, "NA")</f>
        <v>7.1405005663058132E-3</v>
      </c>
      <c r="G70" s="79"/>
      <c r="H70" s="77">
        <v>71894.080000000002</v>
      </c>
      <c r="I70" s="78">
        <f>IFERROR(H70/H327, "NA")</f>
        <v>1.558523267224849E-2</v>
      </c>
      <c r="J70" s="79"/>
      <c r="K70" s="77">
        <v>68726.070000000007</v>
      </c>
      <c r="L70" s="78">
        <f>IFERROR(K70/K327, "NA")</f>
        <v>2.1683065150253211E-2</v>
      </c>
      <c r="M70" s="79"/>
      <c r="N70" s="77">
        <v>97350.24</v>
      </c>
      <c r="O70" s="78">
        <f>IFERROR(N70/N327, "NA")</f>
        <v>2.4595157194411996E-2</v>
      </c>
      <c r="P70" s="79"/>
      <c r="Q70" s="77">
        <v>-16689.259999999998</v>
      </c>
      <c r="R70" s="78">
        <f>IFERROR(Q70/Q327, "NA")</f>
        <v>-4.8920960940089511E-3</v>
      </c>
      <c r="T70" s="80">
        <f t="shared" si="0"/>
        <v>279507.67</v>
      </c>
      <c r="U70" s="80">
        <f t="shared" si="1"/>
        <v>1535.7564285714286</v>
      </c>
    </row>
    <row r="71" spans="1:21" x14ac:dyDescent="0.25">
      <c r="A71" s="76" t="s">
        <v>100</v>
      </c>
      <c r="B71" s="77">
        <v>80144.63</v>
      </c>
      <c r="C71" s="78">
        <f>IFERROR(B71/B327, "NA")</f>
        <v>2.0702692592049265E-2</v>
      </c>
      <c r="D71" s="79"/>
      <c r="E71" s="77">
        <v>55756.38</v>
      </c>
      <c r="F71" s="78">
        <f>IFERROR(E71/E327, "NA")</f>
        <v>1.890252874893112E-2</v>
      </c>
      <c r="G71" s="79"/>
      <c r="H71" s="77">
        <v>-2354.0100000000002</v>
      </c>
      <c r="I71" s="78">
        <f>IFERROR(H71/H327, "NA")</f>
        <v>-5.103034013760197E-4</v>
      </c>
      <c r="J71" s="79"/>
      <c r="K71" s="77">
        <v>13615.23</v>
      </c>
      <c r="L71" s="78">
        <f>IFERROR(K71/K327, "NA")</f>
        <v>4.2956030968405732E-3</v>
      </c>
      <c r="M71" s="79"/>
      <c r="N71" s="77">
        <v>37007.19</v>
      </c>
      <c r="O71" s="78">
        <f>IFERROR(N71/N327, "NA")</f>
        <v>9.3497217405264926E-3</v>
      </c>
      <c r="P71" s="79"/>
      <c r="Q71" s="77">
        <v>132704.07999999999</v>
      </c>
      <c r="R71" s="78">
        <f>IFERROR(Q71/Q327, "NA")</f>
        <v>3.8899334747439451E-2</v>
      </c>
      <c r="T71" s="80">
        <f t="shared" si="0"/>
        <v>316873.5</v>
      </c>
      <c r="U71" s="80">
        <f t="shared" si="1"/>
        <v>1741.063186813187</v>
      </c>
    </row>
    <row r="72" spans="1:21" x14ac:dyDescent="0.25">
      <c r="A72" s="76" t="s">
        <v>101</v>
      </c>
      <c r="B72" s="77">
        <v>9102</v>
      </c>
      <c r="C72" s="78">
        <f>IFERROR(B72/B327, "NA")</f>
        <v>2.3511981772556989E-3</v>
      </c>
      <c r="D72" s="79"/>
      <c r="E72" s="77">
        <v>11209.02</v>
      </c>
      <c r="F72" s="78">
        <f>IFERROR(E72/E327, "NA")</f>
        <v>3.8000821214961215E-3</v>
      </c>
      <c r="G72" s="79"/>
      <c r="H72" s="77">
        <v>34568.699999999997</v>
      </c>
      <c r="I72" s="78">
        <f>IFERROR(H72/H327, "NA")</f>
        <v>7.4938191388937217E-3</v>
      </c>
      <c r="J72" s="79"/>
      <c r="K72" s="77">
        <v>5202</v>
      </c>
      <c r="L72" s="78">
        <f>IFERROR(K72/K327, "NA")</f>
        <v>1.6412302480211249E-3</v>
      </c>
      <c r="M72" s="79"/>
      <c r="N72" s="77">
        <v>-10170</v>
      </c>
      <c r="O72" s="78">
        <f>IFERROR(N72/N327, "NA")</f>
        <v>-2.5694107037349881E-3</v>
      </c>
      <c r="P72" s="79"/>
      <c r="Q72" s="77">
        <v>2347.5</v>
      </c>
      <c r="R72" s="78">
        <f>IFERROR(Q72/Q327, "NA")</f>
        <v>6.8811892083208087E-4</v>
      </c>
      <c r="T72" s="80">
        <f t="shared" si="0"/>
        <v>52259.22</v>
      </c>
      <c r="U72" s="80">
        <f t="shared" si="1"/>
        <v>287.13857142857142</v>
      </c>
    </row>
    <row r="73" spans="1:21" x14ac:dyDescent="0.25">
      <c r="A73" s="76" t="s">
        <v>102</v>
      </c>
      <c r="B73" s="77">
        <v>141627.9</v>
      </c>
      <c r="C73" s="78">
        <f>IFERROR(B73/B327, "NA")</f>
        <v>3.658484512508816E-2</v>
      </c>
      <c r="D73" s="79"/>
      <c r="E73" s="77">
        <v>78553.3</v>
      </c>
      <c r="F73" s="78">
        <f>IFERROR(E73/E327, "NA")</f>
        <v>2.6631140894968632E-2</v>
      </c>
      <c r="G73" s="79"/>
      <c r="H73" s="77">
        <v>181812.76</v>
      </c>
      <c r="I73" s="78">
        <f>IFERROR(H73/H327, "NA")</f>
        <v>3.9413456120221214E-2</v>
      </c>
      <c r="J73" s="79"/>
      <c r="K73" s="77">
        <v>84901.62</v>
      </c>
      <c r="L73" s="78">
        <f>IFERROR(K73/K327, "NA")</f>
        <v>2.6786448836984871E-2</v>
      </c>
      <c r="M73" s="79"/>
      <c r="N73" s="77">
        <v>157672.65</v>
      </c>
      <c r="O73" s="78">
        <f>IFERROR(N73/N327, "NA")</f>
        <v>3.9835378033063959E-2</v>
      </c>
      <c r="P73" s="79"/>
      <c r="Q73" s="77">
        <v>104469.02</v>
      </c>
      <c r="R73" s="78">
        <f>IFERROR(Q73/Q327, "NA")</f>
        <v>3.0622836763699715E-2</v>
      </c>
      <c r="T73" s="80">
        <f t="shared" ref="T73:T136" si="2">IFERROR(B73+E73+H73+K73+N73+Q73, "NA")</f>
        <v>749037.25</v>
      </c>
      <c r="U73" s="80">
        <f t="shared" ref="U73:U136" si="3">(T73/$V$1)/7</f>
        <v>4115.5892857142853</v>
      </c>
    </row>
    <row r="74" spans="1:21" x14ac:dyDescent="0.25">
      <c r="A74" s="76" t="s">
        <v>103</v>
      </c>
      <c r="B74" s="77">
        <v>17257.04</v>
      </c>
      <c r="C74" s="78">
        <f>IFERROR(B74/B327, "NA")</f>
        <v>4.4577808166148857E-3</v>
      </c>
      <c r="D74" s="79"/>
      <c r="E74" s="77">
        <v>15097.07</v>
      </c>
      <c r="F74" s="78">
        <f>IFERROR(E74/E327, "NA")</f>
        <v>5.1182088883752058E-3</v>
      </c>
      <c r="G74" s="79"/>
      <c r="H74" s="77">
        <v>19369.810000000001</v>
      </c>
      <c r="I74" s="78">
        <f>IFERROR(H74/H327, "NA")</f>
        <v>4.1989965747839817E-3</v>
      </c>
      <c r="J74" s="79"/>
      <c r="K74" s="77">
        <v>20325.169999999998</v>
      </c>
      <c r="L74" s="78">
        <f>IFERROR(K74/K327, "NA")</f>
        <v>6.4125881968803396E-3</v>
      </c>
      <c r="M74" s="79"/>
      <c r="N74" s="77">
        <v>21047.47</v>
      </c>
      <c r="O74" s="78">
        <f>IFERROR(N74/N327, "NA")</f>
        <v>5.3175609345664752E-3</v>
      </c>
      <c r="P74" s="79"/>
      <c r="Q74" s="77">
        <v>32198.85</v>
      </c>
      <c r="R74" s="78">
        <f>IFERROR(Q74/Q327, "NA")</f>
        <v>9.4383974074692418E-3</v>
      </c>
      <c r="T74" s="80">
        <f t="shared" si="2"/>
        <v>125295.41</v>
      </c>
      <c r="U74" s="80">
        <f t="shared" si="3"/>
        <v>688.43631868131877</v>
      </c>
    </row>
    <row r="75" spans="1:21" x14ac:dyDescent="0.25">
      <c r="A75" s="76" t="s">
        <v>104</v>
      </c>
      <c r="B75" s="77">
        <v>9926.39</v>
      </c>
      <c r="C75" s="78">
        <f>IFERROR(B75/B327, "NA")</f>
        <v>2.5641518429717859E-3</v>
      </c>
      <c r="D75" s="79"/>
      <c r="E75" s="77">
        <v>11169.71</v>
      </c>
      <c r="F75" s="78">
        <f>IFERROR(E75/E327, "NA")</f>
        <v>3.7867552447311578E-3</v>
      </c>
      <c r="G75" s="79"/>
      <c r="H75" s="77">
        <v>16021.49</v>
      </c>
      <c r="I75" s="78">
        <f>IFERROR(H75/H327, "NA")</f>
        <v>3.4731461812447205E-3</v>
      </c>
      <c r="J75" s="79"/>
      <c r="K75" s="77">
        <v>9885.68</v>
      </c>
      <c r="L75" s="78">
        <f>IFERROR(K75/K327, "NA")</f>
        <v>3.1189306109683729E-3</v>
      </c>
      <c r="M75" s="79"/>
      <c r="N75" s="77">
        <v>10355.68</v>
      </c>
      <c r="O75" s="78">
        <f>IFERROR(N75/N327, "NA")</f>
        <v>2.6163220291498864E-3</v>
      </c>
      <c r="P75" s="79"/>
      <c r="Q75" s="77">
        <v>14318.58</v>
      </c>
      <c r="R75" s="78">
        <f>IFERROR(Q75/Q327, "NA")</f>
        <v>4.1971824568467798E-3</v>
      </c>
      <c r="T75" s="80">
        <f t="shared" si="2"/>
        <v>71677.53</v>
      </c>
      <c r="U75" s="80">
        <f t="shared" si="3"/>
        <v>393.83258241758239</v>
      </c>
    </row>
    <row r="76" spans="1:21" x14ac:dyDescent="0.25">
      <c r="A76" s="81" t="s">
        <v>105</v>
      </c>
      <c r="B76" s="82">
        <f>IFERROR(B68+B69+B70+B71+B72+B73+B74+B75, "NA")</f>
        <v>297101.75</v>
      </c>
      <c r="C76" s="83">
        <f>IFERROR(B76/B327, "NA")</f>
        <v>7.6746329714291184E-2</v>
      </c>
      <c r="D76" s="72"/>
      <c r="E76" s="82">
        <f>IFERROR(E68+E69+E70+E71+E72+E73+E74+E75, "NA")</f>
        <v>194441.42</v>
      </c>
      <c r="F76" s="83">
        <f>IFERROR(E76/E327, "NA")</f>
        <v>6.5919533002913588E-2</v>
      </c>
      <c r="G76" s="72"/>
      <c r="H76" s="82">
        <f>IFERROR(H68+H69+H70+H71+H72+H73+H74+H75, "NA")</f>
        <v>324437.45</v>
      </c>
      <c r="I76" s="83">
        <f>IFERROR(H76/H327, "NA")</f>
        <v>7.033170388773298E-2</v>
      </c>
      <c r="J76" s="72"/>
      <c r="K76" s="82">
        <f>IFERROR(K68+K69+K70+K71+K72+K73+K74+K75, "NA")</f>
        <v>204405.16999999998</v>
      </c>
      <c r="L76" s="83">
        <f>IFERROR(K76/K327, "NA")</f>
        <v>6.4489801587062703E-2</v>
      </c>
      <c r="M76" s="72"/>
      <c r="N76" s="82">
        <f>IFERROR(N68+N69+N70+N71+N72+N73+N74+N75, "NA")</f>
        <v>316398.58</v>
      </c>
      <c r="O76" s="83">
        <f>IFERROR(N76/N327, "NA")</f>
        <v>7.9936863136534017E-2</v>
      </c>
      <c r="P76" s="72"/>
      <c r="Q76" s="82">
        <f>IFERROR(Q68+Q69+Q70+Q71+Q72+Q73+Q74+Q75, "NA")</f>
        <v>271388.77999999997</v>
      </c>
      <c r="R76" s="83">
        <f>IFERROR(Q76/Q327, "NA")</f>
        <v>7.9551759071154415E-2</v>
      </c>
      <c r="T76" s="80">
        <f t="shared" si="2"/>
        <v>1608173.1500000001</v>
      </c>
      <c r="U76" s="80">
        <f t="shared" si="3"/>
        <v>8836.1162087912107</v>
      </c>
    </row>
    <row r="77" spans="1:21" x14ac:dyDescent="0.25">
      <c r="A77" s="75" t="s">
        <v>106</v>
      </c>
      <c r="B77" s="72"/>
      <c r="C77" s="73"/>
      <c r="D77" s="74"/>
      <c r="E77" s="72"/>
      <c r="F77" s="73"/>
      <c r="G77" s="74"/>
      <c r="H77" s="72"/>
      <c r="I77" s="73"/>
      <c r="J77" s="74"/>
      <c r="K77" s="72"/>
      <c r="L77" s="73"/>
      <c r="M77" s="74"/>
      <c r="N77" s="72"/>
      <c r="O77" s="73"/>
      <c r="P77" s="74"/>
      <c r="Q77" s="72"/>
      <c r="R77" s="73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107</v>
      </c>
      <c r="B78" s="77">
        <v>0</v>
      </c>
      <c r="C78" s="78">
        <f>IFERROR(B78/B327, "NA")</f>
        <v>0</v>
      </c>
      <c r="D78" s="79"/>
      <c r="E78" s="77">
        <v>0</v>
      </c>
      <c r="F78" s="78">
        <f>IFERROR(E78/E327, "NA")</f>
        <v>0</v>
      </c>
      <c r="G78" s="79"/>
      <c r="H78" s="77">
        <v>0</v>
      </c>
      <c r="I78" s="78">
        <f>IFERROR(H78/H327, "NA")</f>
        <v>0</v>
      </c>
      <c r="J78" s="79"/>
      <c r="K78" s="77">
        <v>0</v>
      </c>
      <c r="L78" s="78">
        <f>IFERROR(K78/K327, "NA")</f>
        <v>0</v>
      </c>
      <c r="M78" s="79"/>
      <c r="N78" s="77">
        <v>0</v>
      </c>
      <c r="O78" s="78">
        <f>IFERROR(N78/N327, "NA")</f>
        <v>0</v>
      </c>
      <c r="P78" s="79"/>
      <c r="Q78" s="77">
        <v>0</v>
      </c>
      <c r="R78" s="78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108</v>
      </c>
      <c r="B79" s="77">
        <v>0</v>
      </c>
      <c r="C79" s="78">
        <f>IFERROR(B79/B327, "NA")</f>
        <v>0</v>
      </c>
      <c r="D79" s="79"/>
      <c r="E79" s="77">
        <v>0</v>
      </c>
      <c r="F79" s="78">
        <f>IFERROR(E79/E327, "NA")</f>
        <v>0</v>
      </c>
      <c r="G79" s="79"/>
      <c r="H79" s="77">
        <v>0</v>
      </c>
      <c r="I79" s="78">
        <f>IFERROR(H79/H327, "NA")</f>
        <v>0</v>
      </c>
      <c r="J79" s="79"/>
      <c r="K79" s="77">
        <v>0</v>
      </c>
      <c r="L79" s="78">
        <f>IFERROR(K79/K327, "NA")</f>
        <v>0</v>
      </c>
      <c r="M79" s="79"/>
      <c r="N79" s="77">
        <v>0</v>
      </c>
      <c r="O79" s="78">
        <f>IFERROR(N79/N327, "NA")</f>
        <v>0</v>
      </c>
      <c r="P79" s="79"/>
      <c r="Q79" s="77">
        <v>0</v>
      </c>
      <c r="R79" s="78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109</v>
      </c>
      <c r="B80" s="82">
        <f>IFERROR(B78+B79, "NA")</f>
        <v>0</v>
      </c>
      <c r="C80" s="83">
        <f>IFERROR(B80/B327, "NA")</f>
        <v>0</v>
      </c>
      <c r="D80" s="72"/>
      <c r="E80" s="82">
        <f>IFERROR(E78+E79, "NA")</f>
        <v>0</v>
      </c>
      <c r="F80" s="83">
        <f>IFERROR(E80/E327, "NA")</f>
        <v>0</v>
      </c>
      <c r="G80" s="72"/>
      <c r="H80" s="82">
        <f>IFERROR(H78+H79, "NA")</f>
        <v>0</v>
      </c>
      <c r="I80" s="83">
        <f>IFERROR(H80/H327, "NA")</f>
        <v>0</v>
      </c>
      <c r="J80" s="72"/>
      <c r="K80" s="82">
        <f>IFERROR(K78+K79, "NA")</f>
        <v>0</v>
      </c>
      <c r="L80" s="83">
        <f>IFERROR(K80/K327, "NA")</f>
        <v>0</v>
      </c>
      <c r="M80" s="72"/>
      <c r="N80" s="82">
        <f>IFERROR(N78+N79, "NA")</f>
        <v>0</v>
      </c>
      <c r="O80" s="83">
        <f>IFERROR(N80/N327, "NA")</f>
        <v>0</v>
      </c>
      <c r="P80" s="72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B81" s="72"/>
      <c r="C81" s="73"/>
      <c r="D81" s="74"/>
      <c r="E81" s="72"/>
      <c r="F81" s="73"/>
      <c r="G81" s="74"/>
      <c r="H81" s="72"/>
      <c r="I81" s="73"/>
      <c r="J81" s="74"/>
      <c r="K81" s="72"/>
      <c r="L81" s="73"/>
      <c r="M81" s="74"/>
      <c r="N81" s="72"/>
      <c r="O81" s="73"/>
      <c r="P81" s="74"/>
      <c r="Q81" s="72"/>
      <c r="R81" s="73"/>
      <c r="T81" s="80">
        <f t="shared" si="2"/>
        <v>0</v>
      </c>
      <c r="U81" s="80">
        <f t="shared" si="3"/>
        <v>0</v>
      </c>
    </row>
    <row r="82" spans="1:21" x14ac:dyDescent="0.25">
      <c r="A82" s="76" t="s">
        <v>110</v>
      </c>
      <c r="B82" s="77">
        <v>0</v>
      </c>
      <c r="C82" s="78">
        <f>IFERROR(B82/B327, "NA")</f>
        <v>0</v>
      </c>
      <c r="D82" s="79"/>
      <c r="E82" s="77">
        <v>0</v>
      </c>
      <c r="F82" s="78">
        <f>IFERROR(E82/E327, "NA")</f>
        <v>0</v>
      </c>
      <c r="G82" s="79"/>
      <c r="H82" s="77">
        <v>0</v>
      </c>
      <c r="I82" s="78">
        <f>IFERROR(H82/H327, "NA")</f>
        <v>0</v>
      </c>
      <c r="J82" s="79"/>
      <c r="K82" s="77">
        <v>0</v>
      </c>
      <c r="L82" s="78">
        <f>IFERROR(K82/K327, "NA")</f>
        <v>0</v>
      </c>
      <c r="M82" s="79"/>
      <c r="N82" s="77">
        <v>0</v>
      </c>
      <c r="O82" s="78">
        <f>IFERROR(N82/N327, "NA")</f>
        <v>0</v>
      </c>
      <c r="P82" s="79"/>
      <c r="Q82" s="77">
        <v>0</v>
      </c>
      <c r="R82" s="78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111</v>
      </c>
      <c r="B83" s="72"/>
      <c r="C83" s="73"/>
      <c r="D83" s="74"/>
      <c r="E83" s="72"/>
      <c r="F83" s="73"/>
      <c r="G83" s="74"/>
      <c r="H83" s="72"/>
      <c r="I83" s="73"/>
      <c r="J83" s="74"/>
      <c r="K83" s="72"/>
      <c r="L83" s="73"/>
      <c r="M83" s="74"/>
      <c r="N83" s="72"/>
      <c r="O83" s="73"/>
      <c r="P83" s="74"/>
      <c r="Q83" s="72"/>
      <c r="R83" s="73"/>
      <c r="T83" s="80">
        <f t="shared" si="2"/>
        <v>0</v>
      </c>
      <c r="U83" s="80">
        <f t="shared" si="3"/>
        <v>0</v>
      </c>
    </row>
    <row r="84" spans="1:21" x14ac:dyDescent="0.25">
      <c r="A84" s="87" t="s">
        <v>112</v>
      </c>
      <c r="B84" s="77">
        <v>0</v>
      </c>
      <c r="C84" s="78">
        <f>IFERROR(B84/B327, "NA")</f>
        <v>0</v>
      </c>
      <c r="D84" s="79"/>
      <c r="E84" s="77">
        <v>0</v>
      </c>
      <c r="F84" s="78">
        <f>IFERROR(E84/E327, "NA")</f>
        <v>0</v>
      </c>
      <c r="G84" s="79"/>
      <c r="H84" s="77">
        <v>0</v>
      </c>
      <c r="I84" s="78">
        <f>IFERROR(H84/H327, "NA")</f>
        <v>0</v>
      </c>
      <c r="J84" s="79"/>
      <c r="K84" s="77">
        <v>0</v>
      </c>
      <c r="L84" s="78">
        <f>IFERROR(K84/K327, "NA")</f>
        <v>0</v>
      </c>
      <c r="M84" s="79"/>
      <c r="N84" s="77">
        <v>0</v>
      </c>
      <c r="O84" s="78">
        <f>IFERROR(N84/N327, "NA")</f>
        <v>0</v>
      </c>
      <c r="P84" s="79"/>
      <c r="Q84" s="77">
        <v>0</v>
      </c>
      <c r="R84" s="78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113</v>
      </c>
      <c r="B85" s="77">
        <v>122585.71</v>
      </c>
      <c r="C85" s="78">
        <f>IFERROR(B85/B327, "NA")</f>
        <v>3.1665930335046777E-2</v>
      </c>
      <c r="D85" s="79"/>
      <c r="E85" s="77">
        <v>105652.21</v>
      </c>
      <c r="F85" s="78">
        <f>IFERROR(E85/E327, "NA")</f>
        <v>3.5818213752634373E-2</v>
      </c>
      <c r="G85" s="79"/>
      <c r="H85" s="77">
        <v>143351.18</v>
      </c>
      <c r="I85" s="78">
        <f>IFERROR(H85/H327, "NA")</f>
        <v>3.1075736613381439E-2</v>
      </c>
      <c r="J85" s="79"/>
      <c r="K85" s="77">
        <v>122989.38</v>
      </c>
      <c r="L85" s="78">
        <f>IFERROR(K85/K327, "NA")</f>
        <v>3.8803131611181159E-2</v>
      </c>
      <c r="M85" s="79"/>
      <c r="N85" s="77">
        <v>116816.25</v>
      </c>
      <c r="O85" s="78">
        <f>IFERROR(N85/N327, "NA")</f>
        <v>2.9513168448395508E-2</v>
      </c>
      <c r="P85" s="79"/>
      <c r="Q85" s="77">
        <v>129121.2</v>
      </c>
      <c r="R85" s="78">
        <f>IFERROR(Q85/Q327, "NA")</f>
        <v>3.7849090862851237E-2</v>
      </c>
      <c r="T85" s="80">
        <f t="shared" si="2"/>
        <v>740515.92999999993</v>
      </c>
      <c r="U85" s="80">
        <f t="shared" si="3"/>
        <v>4068.768846153846</v>
      </c>
    </row>
    <row r="86" spans="1:21" x14ac:dyDescent="0.25">
      <c r="A86" s="87" t="s">
        <v>114</v>
      </c>
      <c r="B86" s="77">
        <v>40928.720000000001</v>
      </c>
      <c r="C86" s="78">
        <f>IFERROR(B86/B327, "NA")</f>
        <v>1.0572569969392319E-2</v>
      </c>
      <c r="D86" s="79"/>
      <c r="E86" s="77">
        <v>39792.339999999997</v>
      </c>
      <c r="F86" s="78">
        <f>IFERROR(E86/E327, "NA")</f>
        <v>1.3490399678695815E-2</v>
      </c>
      <c r="G86" s="79"/>
      <c r="H86" s="77">
        <v>51242.33</v>
      </c>
      <c r="I86" s="78">
        <f>IFERROR(H86/H327, "NA")</f>
        <v>1.110833653783648E-2</v>
      </c>
      <c r="J86" s="79"/>
      <c r="K86" s="77">
        <v>33546.75</v>
      </c>
      <c r="L86" s="78">
        <f>IFERROR(K86/K327, "NA")</f>
        <v>1.0583994775625273E-2</v>
      </c>
      <c r="M86" s="79"/>
      <c r="N86" s="77">
        <v>33810.29</v>
      </c>
      <c r="O86" s="78">
        <f>IFERROR(N86/N327, "NA")</f>
        <v>8.5420374653278307E-3</v>
      </c>
      <c r="P86" s="79"/>
      <c r="Q86" s="77">
        <v>35219.56</v>
      </c>
      <c r="R86" s="78">
        <f>IFERROR(Q86/Q327, "NA")</f>
        <v>1.0323853298990722E-2</v>
      </c>
      <c r="T86" s="80">
        <f t="shared" si="2"/>
        <v>234539.99000000002</v>
      </c>
      <c r="U86" s="80">
        <f t="shared" si="3"/>
        <v>1288.6812637362639</v>
      </c>
    </row>
    <row r="87" spans="1:21" x14ac:dyDescent="0.25">
      <c r="A87" s="87" t="s">
        <v>115</v>
      </c>
      <c r="B87" s="77">
        <v>19716.900000000001</v>
      </c>
      <c r="C87" s="78">
        <f>IFERROR(B87/B327, "NA")</f>
        <v>5.0932036191093056E-3</v>
      </c>
      <c r="D87" s="79"/>
      <c r="E87" s="77">
        <v>17248.07</v>
      </c>
      <c r="F87" s="78">
        <f>IFERROR(E87/E327, "NA")</f>
        <v>5.8474409392893943E-3</v>
      </c>
      <c r="G87" s="79"/>
      <c r="H87" s="77">
        <v>25393.37</v>
      </c>
      <c r="I87" s="78">
        <f>IFERROR(H87/H327, "NA")</f>
        <v>5.5047867610586937E-3</v>
      </c>
      <c r="J87" s="79"/>
      <c r="K87" s="77">
        <v>20879.560000000001</v>
      </c>
      <c r="L87" s="78">
        <f>IFERROR(K87/K327, "NA")</f>
        <v>6.5874981617400925E-3</v>
      </c>
      <c r="M87" s="79"/>
      <c r="N87" s="77">
        <v>21502.7</v>
      </c>
      <c r="O87" s="78">
        <f>IFERROR(N87/N327, "NA")</f>
        <v>5.4325730127042608E-3</v>
      </c>
      <c r="P87" s="79"/>
      <c r="Q87" s="77">
        <v>19063.88</v>
      </c>
      <c r="R87" s="78">
        <f>IFERROR(Q87/Q327, "NA")</f>
        <v>5.5881646570701982E-3</v>
      </c>
      <c r="T87" s="80">
        <f t="shared" si="2"/>
        <v>123804.48</v>
      </c>
      <c r="U87" s="80">
        <f t="shared" si="3"/>
        <v>680.24439560439555</v>
      </c>
    </row>
    <row r="88" spans="1:21" x14ac:dyDescent="0.25">
      <c r="A88" s="87" t="s">
        <v>116</v>
      </c>
      <c r="B88" s="77">
        <v>27564.880000000001</v>
      </c>
      <c r="C88" s="78">
        <f>IFERROR(B88/B327, "NA")</f>
        <v>7.1204675469426579E-3</v>
      </c>
      <c r="D88" s="79"/>
      <c r="E88" s="77">
        <v>24590.86</v>
      </c>
      <c r="F88" s="78">
        <f>IFERROR(E88/E327, "NA")</f>
        <v>8.3367937106200284E-3</v>
      </c>
      <c r="G88" s="79"/>
      <c r="H88" s="77">
        <v>32003.16</v>
      </c>
      <c r="I88" s="78">
        <f>IFERROR(H88/H327, "NA")</f>
        <v>6.9376601640523941E-3</v>
      </c>
      <c r="J88" s="79"/>
      <c r="K88" s="77">
        <v>30066.47</v>
      </c>
      <c r="L88" s="78">
        <f>IFERROR(K88/K327, "NA")</f>
        <v>9.4859669387196682E-3</v>
      </c>
      <c r="M88" s="79"/>
      <c r="N88" s="77">
        <v>30674.57</v>
      </c>
      <c r="O88" s="78">
        <f>IFERROR(N88/N327, "NA")</f>
        <v>7.7498100777254825E-3</v>
      </c>
      <c r="P88" s="79"/>
      <c r="Q88" s="77">
        <v>31534.880000000001</v>
      </c>
      <c r="R88" s="78">
        <f>IFERROR(Q88/Q327, "NA")</f>
        <v>9.243768943203055E-3</v>
      </c>
      <c r="T88" s="80">
        <f t="shared" si="2"/>
        <v>176434.82</v>
      </c>
      <c r="U88" s="80">
        <f t="shared" si="3"/>
        <v>969.42208791208793</v>
      </c>
    </row>
    <row r="89" spans="1:21" x14ac:dyDescent="0.25">
      <c r="A89" s="87" t="s">
        <v>117</v>
      </c>
      <c r="B89" s="77">
        <v>36646.03</v>
      </c>
      <c r="C89" s="78">
        <f>IFERROR(B89/B327, "NA")</f>
        <v>9.4662798219795272E-3</v>
      </c>
      <c r="D89" s="79"/>
      <c r="E89" s="77">
        <v>31736.43</v>
      </c>
      <c r="F89" s="78">
        <f>IFERROR(E89/E327, "NA")</f>
        <v>1.0759284954716215E-2</v>
      </c>
      <c r="G89" s="79"/>
      <c r="H89" s="77">
        <v>43968.69</v>
      </c>
      <c r="I89" s="78">
        <f>IFERROR(H89/H327, "NA")</f>
        <v>9.5315534178052694E-3</v>
      </c>
      <c r="J89" s="79"/>
      <c r="K89" s="77">
        <v>33262.120000000003</v>
      </c>
      <c r="L89" s="78">
        <f>IFERROR(K89/K327, "NA")</f>
        <v>1.049419405177017E-2</v>
      </c>
      <c r="M89" s="79"/>
      <c r="N89" s="77">
        <v>34580.269999999997</v>
      </c>
      <c r="O89" s="78">
        <f>IFERROR(N89/N327, "NA")</f>
        <v>8.7365698993162131E-3</v>
      </c>
      <c r="P89" s="79"/>
      <c r="Q89" s="77">
        <v>39180.519999999997</v>
      </c>
      <c r="R89" s="78">
        <f>IFERROR(Q89/Q327, "NA")</f>
        <v>1.148492316934601E-2</v>
      </c>
      <c r="T89" s="80">
        <f t="shared" si="2"/>
        <v>219374.05999999997</v>
      </c>
      <c r="U89" s="80">
        <f t="shared" si="3"/>
        <v>1205.3519780219779</v>
      </c>
    </row>
    <row r="90" spans="1:21" x14ac:dyDescent="0.25">
      <c r="A90" s="87" t="s">
        <v>118</v>
      </c>
      <c r="B90" s="77">
        <v>6672.4</v>
      </c>
      <c r="C90" s="78">
        <f>IFERROR(B90/B327, "NA")</f>
        <v>1.7235920366865441E-3</v>
      </c>
      <c r="D90" s="79"/>
      <c r="E90" s="77">
        <v>5632.4</v>
      </c>
      <c r="F90" s="78">
        <f>IFERROR(E90/E327, "NA")</f>
        <v>1.909496328948896E-3</v>
      </c>
      <c r="G90" s="79"/>
      <c r="H90" s="77">
        <v>12066.64</v>
      </c>
      <c r="I90" s="78">
        <f>IFERROR(H90/H327, "NA")</f>
        <v>2.6158119273834578E-3</v>
      </c>
      <c r="J90" s="79"/>
      <c r="K90" s="77">
        <v>8167.22</v>
      </c>
      <c r="L90" s="78">
        <f>IFERROR(K90/K327, "NA")</f>
        <v>2.5767567293816019E-3</v>
      </c>
      <c r="M90" s="79"/>
      <c r="N90" s="77">
        <v>8394.4500000000007</v>
      </c>
      <c r="O90" s="78">
        <f>IFERROR(N90/N327, "NA")</f>
        <v>2.1208249441463296E-3</v>
      </c>
      <c r="P90" s="79"/>
      <c r="Q90" s="77">
        <v>8706.58</v>
      </c>
      <c r="R90" s="78">
        <f>IFERROR(Q90/Q327, "NA")</f>
        <v>2.5521458716669557E-3</v>
      </c>
      <c r="T90" s="80">
        <f t="shared" si="2"/>
        <v>49639.69</v>
      </c>
      <c r="U90" s="80">
        <f t="shared" si="3"/>
        <v>272.74554945054945</v>
      </c>
    </row>
    <row r="91" spans="1:21" x14ac:dyDescent="0.25">
      <c r="A91" s="87" t="s">
        <v>119</v>
      </c>
      <c r="B91" s="77">
        <v>2530.89</v>
      </c>
      <c r="C91" s="78">
        <f>IFERROR(B91/B327, "NA")</f>
        <v>6.5377103436988306E-4</v>
      </c>
      <c r="D91" s="79"/>
      <c r="E91" s="77">
        <v>0</v>
      </c>
      <c r="F91" s="78">
        <f>IFERROR(E91/E327, "NA")</f>
        <v>0</v>
      </c>
      <c r="G91" s="79"/>
      <c r="H91" s="77">
        <v>164.68</v>
      </c>
      <c r="I91" s="78">
        <f>IFERROR(H91/H327, "NA")</f>
        <v>3.5699408302684745E-5</v>
      </c>
      <c r="J91" s="79"/>
      <c r="K91" s="77">
        <v>2746.32</v>
      </c>
      <c r="L91" s="78">
        <f>IFERROR(K91/K327, "NA")</f>
        <v>8.6646356300372474E-4</v>
      </c>
      <c r="M91" s="79"/>
      <c r="N91" s="77">
        <v>7327</v>
      </c>
      <c r="O91" s="78">
        <f>IFERROR(N91/N327, "NA")</f>
        <v>1.8511378786889143E-3</v>
      </c>
      <c r="P91" s="79"/>
      <c r="Q91" s="77">
        <v>10800.73</v>
      </c>
      <c r="R91" s="78">
        <f>IFERROR(Q91/Q327, "NA")</f>
        <v>3.1660007121613125E-3</v>
      </c>
      <c r="T91" s="80">
        <f t="shared" si="2"/>
        <v>23569.62</v>
      </c>
      <c r="U91" s="80">
        <f t="shared" si="3"/>
        <v>129.50340659340659</v>
      </c>
    </row>
    <row r="92" spans="1:21" x14ac:dyDescent="0.25">
      <c r="A92" s="87" t="s">
        <v>120</v>
      </c>
      <c r="B92" s="77">
        <v>42568.95</v>
      </c>
      <c r="C92" s="78">
        <f>IFERROR(B92/B327, "NA")</f>
        <v>1.0996268693439792E-2</v>
      </c>
      <c r="D92" s="79"/>
      <c r="E92" s="77">
        <v>44401.72</v>
      </c>
      <c r="F92" s="78">
        <f>IFERROR(E92/E327, "NA")</f>
        <v>1.5053071752541862E-2</v>
      </c>
      <c r="G92" s="79"/>
      <c r="H92" s="77">
        <v>58316.09</v>
      </c>
      <c r="I92" s="78">
        <f>IFERROR(H92/H327, "NA")</f>
        <v>1.2641789576913472E-2</v>
      </c>
      <c r="J92" s="79"/>
      <c r="K92" s="77">
        <v>47835.37</v>
      </c>
      <c r="L92" s="78">
        <f>IFERROR(K92/K327, "NA")</f>
        <v>1.5092052320123469E-2</v>
      </c>
      <c r="M92" s="79"/>
      <c r="N92" s="77">
        <v>49347.28</v>
      </c>
      <c r="O92" s="78">
        <f>IFERROR(N92/N327, "NA")</f>
        <v>1.2467397190974189E-2</v>
      </c>
      <c r="P92" s="79"/>
      <c r="Q92" s="77">
        <v>58981.440000000002</v>
      </c>
      <c r="R92" s="78">
        <f>IFERROR(Q92/Q327, "NA")</f>
        <v>1.7289135182927424E-2</v>
      </c>
      <c r="T92" s="80">
        <f t="shared" si="2"/>
        <v>301450.84999999998</v>
      </c>
      <c r="U92" s="80">
        <f t="shared" si="3"/>
        <v>1656.3233516483517</v>
      </c>
    </row>
    <row r="93" spans="1:21" x14ac:dyDescent="0.25">
      <c r="A93" s="87" t="s">
        <v>121</v>
      </c>
      <c r="B93" s="77">
        <v>10872.52</v>
      </c>
      <c r="C93" s="78">
        <f>IFERROR(B93/B327, "NA")</f>
        <v>2.8085529780461586E-3</v>
      </c>
      <c r="D93" s="79"/>
      <c r="E93" s="77">
        <v>9567.8799999999992</v>
      </c>
      <c r="F93" s="78">
        <f>IFERROR(E93/E327, "NA")</f>
        <v>3.2437028151096445E-3</v>
      </c>
      <c r="G93" s="79"/>
      <c r="H93" s="77">
        <v>15136.28</v>
      </c>
      <c r="I93" s="78">
        <f>IFERROR(H93/H327, "NA")</f>
        <v>3.2812499386917723E-3</v>
      </c>
      <c r="J93" s="79"/>
      <c r="K93" s="77">
        <v>12399.92</v>
      </c>
      <c r="L93" s="78">
        <f>IFERROR(K93/K327, "NA")</f>
        <v>3.9121729675205899E-3</v>
      </c>
      <c r="M93" s="79"/>
      <c r="N93" s="77">
        <v>12089.72</v>
      </c>
      <c r="O93" s="78">
        <f>IFERROR(N93/N327, "NA")</f>
        <v>3.054420449671481E-3</v>
      </c>
      <c r="P93" s="79"/>
      <c r="Q93" s="77">
        <v>14855.53</v>
      </c>
      <c r="R93" s="78">
        <f>IFERROR(Q93/Q327, "NA")</f>
        <v>4.3545777516458377E-3</v>
      </c>
      <c r="T93" s="80">
        <f t="shared" si="2"/>
        <v>74921.850000000006</v>
      </c>
      <c r="U93" s="80">
        <f t="shared" si="3"/>
        <v>411.65851648351651</v>
      </c>
    </row>
    <row r="94" spans="1:21" x14ac:dyDescent="0.25">
      <c r="A94" s="87" t="s">
        <v>122</v>
      </c>
      <c r="B94" s="77">
        <v>0</v>
      </c>
      <c r="C94" s="78">
        <f>IFERROR(B94/B327, "NA")</f>
        <v>0</v>
      </c>
      <c r="D94" s="79"/>
      <c r="E94" s="77">
        <v>17784.09</v>
      </c>
      <c r="F94" s="78">
        <f>IFERROR(E94/E327, "NA")</f>
        <v>6.0291624473930777E-3</v>
      </c>
      <c r="G94" s="79"/>
      <c r="H94" s="77">
        <v>6998.89</v>
      </c>
      <c r="I94" s="78">
        <f>IFERROR(H94/H327, "NA")</f>
        <v>1.5172226850593711E-3</v>
      </c>
      <c r="J94" s="79"/>
      <c r="K94" s="77">
        <v>7822.92</v>
      </c>
      <c r="L94" s="78">
        <f>IFERROR(K94/K327, "NA")</f>
        <v>2.4681301291521376E-3</v>
      </c>
      <c r="M94" s="79"/>
      <c r="N94" s="77">
        <v>7773.92</v>
      </c>
      <c r="O94" s="78">
        <f>IFERROR(N94/N327, "NA")</f>
        <v>1.9640504678445918E-3</v>
      </c>
      <c r="P94" s="79"/>
      <c r="Q94" s="77">
        <v>12861.42</v>
      </c>
      <c r="R94" s="78">
        <f>IFERROR(Q94/Q327, "NA")</f>
        <v>3.7700474763655554E-3</v>
      </c>
      <c r="T94" s="80">
        <f t="shared" si="2"/>
        <v>53241.24</v>
      </c>
      <c r="U94" s="80">
        <f t="shared" si="3"/>
        <v>292.53428571428572</v>
      </c>
    </row>
    <row r="95" spans="1:21" x14ac:dyDescent="0.25">
      <c r="A95" s="87" t="s">
        <v>123</v>
      </c>
      <c r="B95" s="77">
        <v>0</v>
      </c>
      <c r="C95" s="78">
        <f>IFERROR(B95/B327, "NA")</f>
        <v>0</v>
      </c>
      <c r="D95" s="79"/>
      <c r="E95" s="77">
        <v>0</v>
      </c>
      <c r="F95" s="78">
        <f>IFERROR(E95/E327, "NA")</f>
        <v>0</v>
      </c>
      <c r="G95" s="79"/>
      <c r="H95" s="77">
        <v>0</v>
      </c>
      <c r="I95" s="78">
        <f>IFERROR(H95/H327, "NA")</f>
        <v>0</v>
      </c>
      <c r="J95" s="79"/>
      <c r="K95" s="77">
        <v>0</v>
      </c>
      <c r="L95" s="78">
        <f>IFERROR(K95/K327, "NA")</f>
        <v>0</v>
      </c>
      <c r="M95" s="79"/>
      <c r="N95" s="77">
        <v>0</v>
      </c>
      <c r="O95" s="78">
        <f>IFERROR(N95/N327, "NA")</f>
        <v>0</v>
      </c>
      <c r="P95" s="79"/>
      <c r="Q95" s="77">
        <v>0</v>
      </c>
      <c r="R95" s="78">
        <f>IFERROR(Q95/Q327, "NA")</f>
        <v>0</v>
      </c>
      <c r="T95" s="80">
        <f t="shared" si="2"/>
        <v>0</v>
      </c>
      <c r="U95" s="80">
        <f t="shared" si="3"/>
        <v>0</v>
      </c>
    </row>
    <row r="96" spans="1:21" x14ac:dyDescent="0.25">
      <c r="A96" s="87" t="s">
        <v>124</v>
      </c>
      <c r="B96" s="77">
        <v>4675</v>
      </c>
      <c r="C96" s="78">
        <f>IFERROR(B96/B327, "NA")</f>
        <v>1.207630353622324E-3</v>
      </c>
      <c r="D96" s="79"/>
      <c r="E96" s="77">
        <v>5642</v>
      </c>
      <c r="F96" s="78">
        <f>IFERROR(E96/E327, "NA")</f>
        <v>1.9127509210868673E-3</v>
      </c>
      <c r="G96" s="79"/>
      <c r="H96" s="77">
        <v>7588</v>
      </c>
      <c r="I96" s="78">
        <f>IFERROR(H96/H327, "NA")</f>
        <v>1.6449302295407568E-3</v>
      </c>
      <c r="J96" s="79"/>
      <c r="K96" s="77">
        <v>6070</v>
      </c>
      <c r="L96" s="78">
        <f>IFERROR(K96/K327, "NA")</f>
        <v>1.9150841225467567E-3</v>
      </c>
      <c r="M96" s="79"/>
      <c r="N96" s="77">
        <v>6070</v>
      </c>
      <c r="O96" s="78">
        <f>IFERROR(N96/N327, "NA")</f>
        <v>1.5335617474603125E-3</v>
      </c>
      <c r="P96" s="79"/>
      <c r="Q96" s="77">
        <v>6070</v>
      </c>
      <c r="R96" s="78">
        <f>IFERROR(Q96/Q327, "NA")</f>
        <v>1.7792893927372655E-3</v>
      </c>
      <c r="T96" s="80">
        <f t="shared" si="2"/>
        <v>36115</v>
      </c>
      <c r="U96" s="80">
        <f t="shared" si="3"/>
        <v>198.43406593406593</v>
      </c>
    </row>
    <row r="97" spans="1:21" x14ac:dyDescent="0.25">
      <c r="A97" s="87" t="s">
        <v>125</v>
      </c>
      <c r="B97" s="77">
        <v>30813.98</v>
      </c>
      <c r="C97" s="78">
        <f>IFERROR(B97/B327, "NA")</f>
        <v>7.9597641847938428E-3</v>
      </c>
      <c r="D97" s="79"/>
      <c r="E97" s="77">
        <v>29937.88</v>
      </c>
      <c r="F97" s="78">
        <f>IFERROR(E97/E327, "NA")</f>
        <v>1.0149540507867441E-2</v>
      </c>
      <c r="G97" s="79"/>
      <c r="H97" s="77">
        <v>26306.19</v>
      </c>
      <c r="I97" s="78">
        <f>IFERROR(H97/H327, "NA")</f>
        <v>5.7026683124726885E-3</v>
      </c>
      <c r="J97" s="79"/>
      <c r="K97" s="77">
        <v>23886.07</v>
      </c>
      <c r="L97" s="78">
        <f>IFERROR(K97/K327, "NA")</f>
        <v>7.5360516321318627E-3</v>
      </c>
      <c r="M97" s="79"/>
      <c r="N97" s="77">
        <v>25785.25</v>
      </c>
      <c r="O97" s="78">
        <f>IFERROR(N97/N327, "NA")</f>
        <v>6.5145425121418488E-3</v>
      </c>
      <c r="P97" s="79"/>
      <c r="Q97" s="77">
        <v>29480.49</v>
      </c>
      <c r="R97" s="78">
        <f>IFERROR(Q97/Q327, "NA")</f>
        <v>8.6415688879237281E-3</v>
      </c>
      <c r="T97" s="80">
        <f t="shared" si="2"/>
        <v>166209.85999999999</v>
      </c>
      <c r="U97" s="80">
        <f t="shared" si="3"/>
        <v>913.24098901098898</v>
      </c>
    </row>
    <row r="98" spans="1:21" x14ac:dyDescent="0.25">
      <c r="A98" s="87" t="s">
        <v>126</v>
      </c>
      <c r="B98" s="77">
        <v>0</v>
      </c>
      <c r="C98" s="78">
        <f>IFERROR(B98/B327, "NA")</f>
        <v>0</v>
      </c>
      <c r="D98" s="79"/>
      <c r="E98" s="77">
        <v>12253</v>
      </c>
      <c r="F98" s="78">
        <f>IFERROR(E98/E327, "NA")</f>
        <v>4.15401223610021E-3</v>
      </c>
      <c r="G98" s="79"/>
      <c r="H98" s="77">
        <v>18639.48</v>
      </c>
      <c r="I98" s="78">
        <f>IFERROR(H98/H327, "NA")</f>
        <v>4.040675291897779E-3</v>
      </c>
      <c r="J98" s="79"/>
      <c r="K98" s="77">
        <v>12207</v>
      </c>
      <c r="L98" s="78">
        <f>IFERROR(K98/K327, "NA")</f>
        <v>3.8513067354082799E-3</v>
      </c>
      <c r="M98" s="79"/>
      <c r="N98" s="77">
        <v>10495.28</v>
      </c>
      <c r="O98" s="78">
        <f>IFERROR(N98/N327, "NA")</f>
        <v>2.6515914228806047E-3</v>
      </c>
      <c r="P98" s="79"/>
      <c r="Q98" s="77">
        <v>15289</v>
      </c>
      <c r="R98" s="78">
        <f>IFERROR(Q98/Q327, "NA")</f>
        <v>4.4816401195321345E-3</v>
      </c>
      <c r="T98" s="80">
        <f t="shared" si="2"/>
        <v>68883.759999999995</v>
      </c>
      <c r="U98" s="80">
        <f t="shared" si="3"/>
        <v>378.48219780219779</v>
      </c>
    </row>
    <row r="99" spans="1:21" x14ac:dyDescent="0.25">
      <c r="A99" s="87" t="s">
        <v>127</v>
      </c>
      <c r="B99" s="77">
        <v>0</v>
      </c>
      <c r="C99" s="78">
        <f>IFERROR(B99/B327, "NA")</f>
        <v>0</v>
      </c>
      <c r="D99" s="79"/>
      <c r="E99" s="77">
        <v>0</v>
      </c>
      <c r="F99" s="78">
        <f>IFERROR(E99/E327, "NA")</f>
        <v>0</v>
      </c>
      <c r="G99" s="79"/>
      <c r="H99" s="77">
        <v>0</v>
      </c>
      <c r="I99" s="78">
        <f>IFERROR(H99/H327, "NA")</f>
        <v>0</v>
      </c>
      <c r="J99" s="79"/>
      <c r="K99" s="77">
        <v>0</v>
      </c>
      <c r="L99" s="78">
        <f>IFERROR(K99/K327, "NA")</f>
        <v>0</v>
      </c>
      <c r="M99" s="79"/>
      <c r="N99" s="77">
        <v>0</v>
      </c>
      <c r="O99" s="78">
        <f>IFERROR(N99/N327, "NA")</f>
        <v>0</v>
      </c>
      <c r="P99" s="79"/>
      <c r="Q99" s="77">
        <v>0</v>
      </c>
      <c r="R99" s="78">
        <f>IFERROR(Q99/Q327, "NA")</f>
        <v>0</v>
      </c>
      <c r="T99" s="80">
        <f t="shared" si="2"/>
        <v>0</v>
      </c>
      <c r="U99" s="80">
        <f t="shared" si="3"/>
        <v>0</v>
      </c>
    </row>
    <row r="100" spans="1:21" x14ac:dyDescent="0.25">
      <c r="A100" s="87" t="s">
        <v>128</v>
      </c>
      <c r="B100" s="77">
        <v>0</v>
      </c>
      <c r="C100" s="78">
        <f>IFERROR(B100/B327, "NA")</f>
        <v>0</v>
      </c>
      <c r="D100" s="79"/>
      <c r="E100" s="77">
        <v>0</v>
      </c>
      <c r="F100" s="78">
        <f>IFERROR(E100/E327, "NA")</f>
        <v>0</v>
      </c>
      <c r="G100" s="79"/>
      <c r="H100" s="77">
        <v>0</v>
      </c>
      <c r="I100" s="78">
        <f>IFERROR(H100/H327, "NA")</f>
        <v>0</v>
      </c>
      <c r="J100" s="79"/>
      <c r="K100" s="77">
        <v>0</v>
      </c>
      <c r="L100" s="78">
        <f>IFERROR(K100/K327, "NA")</f>
        <v>0</v>
      </c>
      <c r="M100" s="79"/>
      <c r="N100" s="77">
        <v>0</v>
      </c>
      <c r="O100" s="78">
        <f>IFERROR(N100/N327, "NA")</f>
        <v>0</v>
      </c>
      <c r="P100" s="79"/>
      <c r="Q100" s="77">
        <v>0</v>
      </c>
      <c r="R100" s="78">
        <f>IFERROR(Q100/Q327, "NA")</f>
        <v>0</v>
      </c>
      <c r="T100" s="80">
        <f t="shared" si="2"/>
        <v>0</v>
      </c>
      <c r="U100" s="80">
        <f t="shared" si="3"/>
        <v>0</v>
      </c>
    </row>
    <row r="101" spans="1:21" x14ac:dyDescent="0.25">
      <c r="A101" s="87" t="s">
        <v>129</v>
      </c>
      <c r="B101" s="77">
        <v>0</v>
      </c>
      <c r="C101" s="78">
        <f>IFERROR(B101/B327, "NA")</f>
        <v>0</v>
      </c>
      <c r="D101" s="79"/>
      <c r="E101" s="77">
        <v>0</v>
      </c>
      <c r="F101" s="78">
        <f>IFERROR(E101/E327, "NA")</f>
        <v>0</v>
      </c>
      <c r="G101" s="79"/>
      <c r="H101" s="77">
        <v>0</v>
      </c>
      <c r="I101" s="78">
        <f>IFERROR(H101/H327, "NA")</f>
        <v>0</v>
      </c>
      <c r="J101" s="79"/>
      <c r="K101" s="77">
        <v>0</v>
      </c>
      <c r="L101" s="78">
        <f>IFERROR(K101/K327, "NA")</f>
        <v>0</v>
      </c>
      <c r="M101" s="79"/>
      <c r="N101" s="77">
        <v>0</v>
      </c>
      <c r="O101" s="78">
        <f>IFERROR(N101/N327, "NA")</f>
        <v>0</v>
      </c>
      <c r="P101" s="79"/>
      <c r="Q101" s="77">
        <v>0</v>
      </c>
      <c r="R101" s="78">
        <f>IFERROR(Q101/Q327, "NA")</f>
        <v>0</v>
      </c>
      <c r="T101" s="80">
        <f t="shared" si="2"/>
        <v>0</v>
      </c>
      <c r="U101" s="80">
        <f t="shared" si="3"/>
        <v>0</v>
      </c>
    </row>
    <row r="102" spans="1:21" x14ac:dyDescent="0.25">
      <c r="A102" s="87" t="s">
        <v>130</v>
      </c>
      <c r="B102" s="77">
        <v>0</v>
      </c>
      <c r="C102" s="78">
        <f>IFERROR(B102/B327, "NA")</f>
        <v>0</v>
      </c>
      <c r="D102" s="79"/>
      <c r="E102" s="77">
        <v>0</v>
      </c>
      <c r="F102" s="78">
        <f>IFERROR(E102/E327, "NA")</f>
        <v>0</v>
      </c>
      <c r="G102" s="79"/>
      <c r="H102" s="77">
        <v>0</v>
      </c>
      <c r="I102" s="78">
        <f>IFERROR(H102/H327, "NA")</f>
        <v>0</v>
      </c>
      <c r="J102" s="79"/>
      <c r="K102" s="77">
        <v>0</v>
      </c>
      <c r="L102" s="78">
        <f>IFERROR(K102/K327, "NA")</f>
        <v>0</v>
      </c>
      <c r="M102" s="79"/>
      <c r="N102" s="77">
        <v>0</v>
      </c>
      <c r="O102" s="78">
        <f>IFERROR(N102/N327, "NA")</f>
        <v>0</v>
      </c>
      <c r="P102" s="79"/>
      <c r="Q102" s="77">
        <v>0</v>
      </c>
      <c r="R102" s="78">
        <f>IFERROR(Q102/Q327, "NA")</f>
        <v>0</v>
      </c>
      <c r="T102" s="80">
        <f t="shared" si="2"/>
        <v>0</v>
      </c>
      <c r="U102" s="80">
        <f t="shared" si="3"/>
        <v>0</v>
      </c>
    </row>
    <row r="103" spans="1:21" x14ac:dyDescent="0.25">
      <c r="A103" s="87" t="s">
        <v>131</v>
      </c>
      <c r="B103" s="77">
        <v>0</v>
      </c>
      <c r="C103" s="78">
        <f>IFERROR(B103/B327, "NA")</f>
        <v>0</v>
      </c>
      <c r="D103" s="79"/>
      <c r="E103" s="77">
        <v>0</v>
      </c>
      <c r="F103" s="78">
        <f>IFERROR(E103/E327, "NA")</f>
        <v>0</v>
      </c>
      <c r="G103" s="79"/>
      <c r="H103" s="77">
        <v>0</v>
      </c>
      <c r="I103" s="78">
        <f>IFERROR(H103/H327, "NA")</f>
        <v>0</v>
      </c>
      <c r="J103" s="79"/>
      <c r="K103" s="77">
        <v>0</v>
      </c>
      <c r="L103" s="78">
        <f>IFERROR(K103/K327, "NA")</f>
        <v>0</v>
      </c>
      <c r="M103" s="79"/>
      <c r="N103" s="77">
        <v>0</v>
      </c>
      <c r="O103" s="78">
        <f>IFERROR(N103/N327, "NA")</f>
        <v>0</v>
      </c>
      <c r="P103" s="79"/>
      <c r="Q103" s="77">
        <v>0</v>
      </c>
      <c r="R103" s="78">
        <f>IFERROR(Q103/Q327, "NA")</f>
        <v>0</v>
      </c>
      <c r="T103" s="80">
        <f t="shared" si="2"/>
        <v>0</v>
      </c>
      <c r="U103" s="80">
        <f t="shared" si="3"/>
        <v>0</v>
      </c>
    </row>
    <row r="104" spans="1:21" x14ac:dyDescent="0.25">
      <c r="A104" s="87" t="s">
        <v>132</v>
      </c>
      <c r="B104" s="77">
        <v>0</v>
      </c>
      <c r="C104" s="78">
        <f>IFERROR(B104/B327, "NA")</f>
        <v>0</v>
      </c>
      <c r="D104" s="79"/>
      <c r="E104" s="77">
        <v>0</v>
      </c>
      <c r="F104" s="78">
        <f>IFERROR(E104/E327, "NA")</f>
        <v>0</v>
      </c>
      <c r="G104" s="79"/>
      <c r="H104" s="77">
        <v>0</v>
      </c>
      <c r="I104" s="78">
        <f>IFERROR(H104/H327, "NA")</f>
        <v>0</v>
      </c>
      <c r="J104" s="79"/>
      <c r="K104" s="77">
        <v>0</v>
      </c>
      <c r="L104" s="78">
        <f>IFERROR(K104/K327, "NA")</f>
        <v>0</v>
      </c>
      <c r="M104" s="79"/>
      <c r="N104" s="77">
        <v>0</v>
      </c>
      <c r="O104" s="78">
        <f>IFERROR(N104/N327, "NA")</f>
        <v>0</v>
      </c>
      <c r="P104" s="79"/>
      <c r="Q104" s="77">
        <v>0</v>
      </c>
      <c r="R104" s="78">
        <f>IFERROR(Q104/Q327, "NA")</f>
        <v>0</v>
      </c>
      <c r="T104" s="80">
        <f t="shared" si="2"/>
        <v>0</v>
      </c>
      <c r="U104" s="80">
        <f t="shared" si="3"/>
        <v>0</v>
      </c>
    </row>
    <row r="105" spans="1:21" x14ac:dyDescent="0.25">
      <c r="A105" s="87" t="s">
        <v>133</v>
      </c>
      <c r="B105" s="77">
        <v>0</v>
      </c>
      <c r="C105" s="78">
        <f>IFERROR(B105/B327, "NA")</f>
        <v>0</v>
      </c>
      <c r="D105" s="79"/>
      <c r="E105" s="77">
        <v>0</v>
      </c>
      <c r="F105" s="78">
        <f>IFERROR(E105/E327, "NA")</f>
        <v>0</v>
      </c>
      <c r="G105" s="79"/>
      <c r="H105" s="77">
        <v>0</v>
      </c>
      <c r="I105" s="78">
        <f>IFERROR(H105/H327, "NA")</f>
        <v>0</v>
      </c>
      <c r="J105" s="79"/>
      <c r="K105" s="77">
        <v>0</v>
      </c>
      <c r="L105" s="78">
        <f>IFERROR(K105/K327, "NA")</f>
        <v>0</v>
      </c>
      <c r="M105" s="79"/>
      <c r="N105" s="77">
        <v>0</v>
      </c>
      <c r="O105" s="78">
        <f>IFERROR(N105/N327, "NA")</f>
        <v>0</v>
      </c>
      <c r="P105" s="79"/>
      <c r="Q105" s="77">
        <v>0</v>
      </c>
      <c r="R105" s="78">
        <f>IFERROR(Q105/Q327, "NA")</f>
        <v>0</v>
      </c>
      <c r="T105" s="80">
        <f t="shared" si="2"/>
        <v>0</v>
      </c>
      <c r="U105" s="80">
        <f t="shared" si="3"/>
        <v>0</v>
      </c>
    </row>
    <row r="106" spans="1:21" x14ac:dyDescent="0.25">
      <c r="A106" s="87" t="s">
        <v>134</v>
      </c>
      <c r="B106" s="77">
        <v>0</v>
      </c>
      <c r="C106" s="78">
        <f>IFERROR(B106/B327, "NA")</f>
        <v>0</v>
      </c>
      <c r="D106" s="79"/>
      <c r="E106" s="77">
        <v>0</v>
      </c>
      <c r="F106" s="78">
        <f>IFERROR(E106/E327, "NA")</f>
        <v>0</v>
      </c>
      <c r="G106" s="79"/>
      <c r="H106" s="77">
        <v>0</v>
      </c>
      <c r="I106" s="78">
        <f>IFERROR(H106/H327, "NA")</f>
        <v>0</v>
      </c>
      <c r="J106" s="79"/>
      <c r="K106" s="77">
        <v>0</v>
      </c>
      <c r="L106" s="78">
        <f>IFERROR(K106/K327, "NA")</f>
        <v>0</v>
      </c>
      <c r="M106" s="79"/>
      <c r="N106" s="77">
        <v>0</v>
      </c>
      <c r="O106" s="78">
        <f>IFERROR(N106/N327, "NA")</f>
        <v>0</v>
      </c>
      <c r="P106" s="79"/>
      <c r="Q106" s="77">
        <v>0</v>
      </c>
      <c r="R106" s="78">
        <f>IFERROR(Q106/Q327, "NA")</f>
        <v>0</v>
      </c>
      <c r="T106" s="80">
        <f t="shared" si="2"/>
        <v>0</v>
      </c>
      <c r="U106" s="80">
        <f t="shared" si="3"/>
        <v>0</v>
      </c>
    </row>
    <row r="107" spans="1:21" x14ac:dyDescent="0.25">
      <c r="A107" s="87" t="s">
        <v>135</v>
      </c>
      <c r="B107" s="77">
        <v>5884.32</v>
      </c>
      <c r="C107" s="78">
        <f>IFERROR(B107/B327, "NA")</f>
        <v>1.5200178486474681E-3</v>
      </c>
      <c r="D107" s="79"/>
      <c r="E107" s="77">
        <v>-840.85</v>
      </c>
      <c r="F107" s="78">
        <f>IFERROR(E107/E327, "NA")</f>
        <v>-2.8506497908470266E-4</v>
      </c>
      <c r="G107" s="79"/>
      <c r="H107" s="77">
        <v>-1714.73</v>
      </c>
      <c r="I107" s="78">
        <f>IFERROR(H107/H327, "NA")</f>
        <v>-3.717199805614684E-4</v>
      </c>
      <c r="J107" s="79"/>
      <c r="K107" s="77">
        <v>0</v>
      </c>
      <c r="L107" s="78">
        <f>IFERROR(K107/K327, "NA")</f>
        <v>0</v>
      </c>
      <c r="M107" s="79"/>
      <c r="N107" s="77">
        <v>0</v>
      </c>
      <c r="O107" s="78">
        <f>IFERROR(N107/N327, "NA")</f>
        <v>0</v>
      </c>
      <c r="P107" s="79"/>
      <c r="Q107" s="77">
        <v>2020.13</v>
      </c>
      <c r="R107" s="78">
        <f>IFERROR(Q107/Q327, "NA")</f>
        <v>5.9215747626858853E-4</v>
      </c>
      <c r="T107" s="80">
        <f t="shared" si="2"/>
        <v>5348.869999999999</v>
      </c>
      <c r="U107" s="80">
        <f t="shared" si="3"/>
        <v>29.389395604395599</v>
      </c>
    </row>
    <row r="108" spans="1:21" x14ac:dyDescent="0.25">
      <c r="A108" s="87" t="s">
        <v>136</v>
      </c>
      <c r="B108" s="77">
        <v>0</v>
      </c>
      <c r="C108" s="78">
        <f>IFERROR(B108/B327, "NA")</f>
        <v>0</v>
      </c>
      <c r="D108" s="79"/>
      <c r="E108" s="77">
        <v>0</v>
      </c>
      <c r="F108" s="78">
        <f>IFERROR(E108/E327, "NA")</f>
        <v>0</v>
      </c>
      <c r="G108" s="79"/>
      <c r="H108" s="77">
        <v>0</v>
      </c>
      <c r="I108" s="78">
        <f>IFERROR(H108/H327, "NA")</f>
        <v>0</v>
      </c>
      <c r="J108" s="79"/>
      <c r="K108" s="77">
        <v>0</v>
      </c>
      <c r="L108" s="78">
        <f>IFERROR(K108/K327, "NA")</f>
        <v>0</v>
      </c>
      <c r="M108" s="79"/>
      <c r="N108" s="77">
        <v>0</v>
      </c>
      <c r="O108" s="78">
        <f>IFERROR(N108/N327, "NA")</f>
        <v>0</v>
      </c>
      <c r="P108" s="79"/>
      <c r="Q108" s="77">
        <v>0</v>
      </c>
      <c r="R108" s="78">
        <f>IFERROR(Q108/Q327, "NA")</f>
        <v>0</v>
      </c>
      <c r="T108" s="80">
        <f t="shared" si="2"/>
        <v>0</v>
      </c>
      <c r="U108" s="80">
        <f t="shared" si="3"/>
        <v>0</v>
      </c>
    </row>
    <row r="109" spans="1:21" x14ac:dyDescent="0.25">
      <c r="A109" s="87" t="s">
        <v>137</v>
      </c>
      <c r="B109" s="77">
        <v>0</v>
      </c>
      <c r="C109" s="78">
        <f>IFERROR(B109/B327, "NA")</f>
        <v>0</v>
      </c>
      <c r="D109" s="79"/>
      <c r="E109" s="77">
        <v>0</v>
      </c>
      <c r="F109" s="78">
        <f>IFERROR(E109/E327, "NA")</f>
        <v>0</v>
      </c>
      <c r="G109" s="79"/>
      <c r="H109" s="77">
        <v>0</v>
      </c>
      <c r="I109" s="78">
        <f>IFERROR(H109/H327, "NA")</f>
        <v>0</v>
      </c>
      <c r="J109" s="79"/>
      <c r="K109" s="77">
        <v>0</v>
      </c>
      <c r="L109" s="78">
        <f>IFERROR(K109/K327, "NA")</f>
        <v>0</v>
      </c>
      <c r="M109" s="79"/>
      <c r="N109" s="77">
        <v>0</v>
      </c>
      <c r="O109" s="78">
        <f>IFERROR(N109/N327, "NA")</f>
        <v>0</v>
      </c>
      <c r="P109" s="79"/>
      <c r="Q109" s="77">
        <v>0</v>
      </c>
      <c r="R109" s="78">
        <f>IFERROR(Q109/Q327, "NA")</f>
        <v>0</v>
      </c>
      <c r="T109" s="80">
        <f t="shared" si="2"/>
        <v>0</v>
      </c>
      <c r="U109" s="80">
        <f t="shared" si="3"/>
        <v>0</v>
      </c>
    </row>
    <row r="110" spans="1:21" x14ac:dyDescent="0.25">
      <c r="A110" s="87" t="s">
        <v>138</v>
      </c>
      <c r="B110" s="77">
        <v>10034.9</v>
      </c>
      <c r="C110" s="78">
        <f>IFERROR(B110/B327, "NA")</f>
        <v>2.592181783008483E-3</v>
      </c>
      <c r="D110" s="79"/>
      <c r="E110" s="77">
        <v>5909.51</v>
      </c>
      <c r="F110" s="78">
        <f>IFERROR(E110/E327, "NA")</f>
        <v>2.0034421651315233E-3</v>
      </c>
      <c r="G110" s="79"/>
      <c r="H110" s="77">
        <v>22056.43</v>
      </c>
      <c r="I110" s="78">
        <f>IFERROR(H110/H327, "NA")</f>
        <v>4.7814033293027986E-3</v>
      </c>
      <c r="J110" s="79"/>
      <c r="K110" s="77">
        <v>15571.53</v>
      </c>
      <c r="L110" s="78">
        <f>IFERROR(K110/K327, "NA")</f>
        <v>4.9128154640462104E-3</v>
      </c>
      <c r="M110" s="79"/>
      <c r="N110" s="77">
        <v>14853.66</v>
      </c>
      <c r="O110" s="78">
        <f>IFERROR(N110/N327, "NA")</f>
        <v>3.7527190750875363E-3</v>
      </c>
      <c r="P110" s="79"/>
      <c r="Q110" s="77">
        <v>17690.86</v>
      </c>
      <c r="R110" s="78">
        <f>IFERROR(Q110/Q327, "NA")</f>
        <v>5.1856935002306398E-3</v>
      </c>
      <c r="T110" s="80">
        <f t="shared" si="2"/>
        <v>86116.89</v>
      </c>
      <c r="U110" s="80">
        <f t="shared" si="3"/>
        <v>473.16972527472529</v>
      </c>
    </row>
    <row r="111" spans="1:21" x14ac:dyDescent="0.25">
      <c r="A111" s="87" t="s">
        <v>139</v>
      </c>
      <c r="B111" s="77">
        <v>5431.16</v>
      </c>
      <c r="C111" s="78">
        <f>IFERROR(B111/B327, "NA")</f>
        <v>1.4029590740918547E-3</v>
      </c>
      <c r="D111" s="79"/>
      <c r="E111" s="77">
        <v>5514.22</v>
      </c>
      <c r="F111" s="78">
        <f>IFERROR(E111/E327, "NA")</f>
        <v>1.8694309436504122E-3</v>
      </c>
      <c r="G111" s="79"/>
      <c r="H111" s="77">
        <v>7960.44</v>
      </c>
      <c r="I111" s="78">
        <f>IFERROR(H111/H327, "NA")</f>
        <v>1.7256679489253324E-3</v>
      </c>
      <c r="J111" s="79"/>
      <c r="K111" s="77">
        <v>8869.49</v>
      </c>
      <c r="L111" s="78">
        <f>IFERROR(K111/K327, "NA")</f>
        <v>2.7983228128644535E-3</v>
      </c>
      <c r="M111" s="79"/>
      <c r="N111" s="77">
        <v>9468.92</v>
      </c>
      <c r="O111" s="78">
        <f>IFERROR(N111/N327, "NA")</f>
        <v>2.3922855851337566E-3</v>
      </c>
      <c r="P111" s="79"/>
      <c r="Q111" s="77">
        <v>8442.61</v>
      </c>
      <c r="R111" s="78">
        <f>IFERROR(Q111/Q327, "NA")</f>
        <v>2.4747687677129436E-3</v>
      </c>
      <c r="T111" s="80">
        <f t="shared" si="2"/>
        <v>45686.84</v>
      </c>
      <c r="U111" s="80">
        <f t="shared" si="3"/>
        <v>251.02659340659338</v>
      </c>
    </row>
    <row r="112" spans="1:21" x14ac:dyDescent="0.25">
      <c r="A112" s="87" t="s">
        <v>140</v>
      </c>
      <c r="B112" s="77">
        <v>11621.99</v>
      </c>
      <c r="C112" s="78">
        <f>IFERROR(B112/B327, "NA")</f>
        <v>3.0021535601059066E-3</v>
      </c>
      <c r="D112" s="79"/>
      <c r="E112" s="77">
        <v>11378.05</v>
      </c>
      <c r="F112" s="78">
        <f>IFERROR(E112/E327, "NA")</f>
        <v>3.8573866745254216E-3</v>
      </c>
      <c r="G112" s="79"/>
      <c r="H112" s="77">
        <v>15185.97</v>
      </c>
      <c r="I112" s="78">
        <f>IFERROR(H112/H327, "NA")</f>
        <v>3.2920217603978714E-3</v>
      </c>
      <c r="J112" s="79"/>
      <c r="K112" s="77">
        <v>12141.43</v>
      </c>
      <c r="L112" s="78">
        <f>IFERROR(K112/K327, "NA")</f>
        <v>3.8306194098867989E-3</v>
      </c>
      <c r="M112" s="79"/>
      <c r="N112" s="77">
        <v>11260.39</v>
      </c>
      <c r="O112" s="78">
        <f>IFERROR(N112/N327, "NA")</f>
        <v>2.8448934704258036E-3</v>
      </c>
      <c r="P112" s="79"/>
      <c r="Q112" s="77">
        <v>13971.1</v>
      </c>
      <c r="R112" s="78">
        <f>IFERROR(Q112/Q327, "NA")</f>
        <v>4.0953262001435934E-3</v>
      </c>
      <c r="T112" s="80">
        <f t="shared" si="2"/>
        <v>75558.930000000008</v>
      </c>
      <c r="U112" s="80">
        <f t="shared" si="3"/>
        <v>415.1589560439561</v>
      </c>
    </row>
    <row r="113" spans="1:21" x14ac:dyDescent="0.25">
      <c r="A113" s="87" t="s">
        <v>141</v>
      </c>
      <c r="B113" s="77">
        <v>0</v>
      </c>
      <c r="C113" s="78">
        <f>IFERROR(B113/B327, "NA")</f>
        <v>0</v>
      </c>
      <c r="D113" s="79"/>
      <c r="E113" s="77">
        <v>0</v>
      </c>
      <c r="F113" s="78">
        <f>IFERROR(E113/E327, "NA")</f>
        <v>0</v>
      </c>
      <c r="G113" s="79"/>
      <c r="H113" s="77">
        <v>0</v>
      </c>
      <c r="I113" s="78">
        <f>IFERROR(H113/H327, "NA")</f>
        <v>0</v>
      </c>
      <c r="J113" s="79"/>
      <c r="K113" s="77">
        <v>0</v>
      </c>
      <c r="L113" s="78">
        <f>IFERROR(K113/K327, "NA")</f>
        <v>0</v>
      </c>
      <c r="M113" s="79"/>
      <c r="N113" s="77">
        <v>0</v>
      </c>
      <c r="O113" s="78">
        <f>IFERROR(N113/N327, "NA")</f>
        <v>0</v>
      </c>
      <c r="P113" s="79"/>
      <c r="Q113" s="77">
        <v>0</v>
      </c>
      <c r="R113" s="78">
        <f>IFERROR(Q113/Q327, "NA")</f>
        <v>0</v>
      </c>
      <c r="T113" s="80">
        <f t="shared" si="2"/>
        <v>0</v>
      </c>
      <c r="U113" s="80">
        <f t="shared" si="3"/>
        <v>0</v>
      </c>
    </row>
    <row r="114" spans="1:21" x14ac:dyDescent="0.25">
      <c r="A114" s="87" t="s">
        <v>142</v>
      </c>
      <c r="B114" s="77">
        <v>1407.55</v>
      </c>
      <c r="C114" s="78">
        <f>IFERROR(B114/B327, "NA")</f>
        <v>3.6359360518526247E-4</v>
      </c>
      <c r="D114" s="79"/>
      <c r="E114" s="77">
        <v>3264.77</v>
      </c>
      <c r="F114" s="78">
        <f>IFERROR(E114/E327, "NA")</f>
        <v>1.1068223723212996E-3</v>
      </c>
      <c r="G114" s="79"/>
      <c r="H114" s="77">
        <v>5160.25</v>
      </c>
      <c r="I114" s="78">
        <f>IFERROR(H114/H327, "NA")</f>
        <v>1.1186414360816672E-3</v>
      </c>
      <c r="J114" s="79"/>
      <c r="K114" s="77">
        <v>3357.24</v>
      </c>
      <c r="L114" s="78">
        <f>IFERROR(K114/K327, "NA")</f>
        <v>1.0592087346917418E-3</v>
      </c>
      <c r="M114" s="79"/>
      <c r="N114" s="77">
        <v>3462.54</v>
      </c>
      <c r="O114" s="78">
        <f>IFERROR(N114/N327, "NA")</f>
        <v>8.7479718172178429E-4</v>
      </c>
      <c r="P114" s="79"/>
      <c r="Q114" s="77">
        <v>7011.57</v>
      </c>
      <c r="R114" s="78">
        <f>IFERROR(Q114/Q327, "NA")</f>
        <v>2.0552903010601035E-3</v>
      </c>
      <c r="T114" s="80">
        <f t="shared" si="2"/>
        <v>23663.919999999998</v>
      </c>
      <c r="U114" s="80">
        <f t="shared" si="3"/>
        <v>130.02153846153846</v>
      </c>
    </row>
    <row r="115" spans="1:21" x14ac:dyDescent="0.25">
      <c r="A115" s="87" t="s">
        <v>143</v>
      </c>
      <c r="B115" s="77">
        <v>0</v>
      </c>
      <c r="C115" s="78">
        <f>IFERROR(B115/B327, "NA")</f>
        <v>0</v>
      </c>
      <c r="D115" s="79"/>
      <c r="E115" s="77">
        <v>0</v>
      </c>
      <c r="F115" s="78">
        <f>IFERROR(E115/E327, "NA")</f>
        <v>0</v>
      </c>
      <c r="G115" s="79"/>
      <c r="H115" s="77">
        <v>0</v>
      </c>
      <c r="I115" s="78">
        <f>IFERROR(H115/H327, "NA")</f>
        <v>0</v>
      </c>
      <c r="J115" s="79"/>
      <c r="K115" s="77">
        <v>0</v>
      </c>
      <c r="L115" s="78">
        <f>IFERROR(K115/K327, "NA")</f>
        <v>0</v>
      </c>
      <c r="M115" s="79"/>
      <c r="N115" s="77">
        <v>0</v>
      </c>
      <c r="O115" s="78">
        <f>IFERROR(N115/N327, "NA")</f>
        <v>0</v>
      </c>
      <c r="P115" s="79"/>
      <c r="Q115" s="77">
        <v>0</v>
      </c>
      <c r="R115" s="78">
        <f>IFERROR(Q115/Q327, "NA")</f>
        <v>0</v>
      </c>
      <c r="T115" s="80">
        <f t="shared" si="2"/>
        <v>0</v>
      </c>
      <c r="U115" s="80">
        <f t="shared" si="3"/>
        <v>0</v>
      </c>
    </row>
    <row r="116" spans="1:21" x14ac:dyDescent="0.25">
      <c r="A116" s="87" t="s">
        <v>144</v>
      </c>
      <c r="B116" s="77">
        <v>3964.85</v>
      </c>
      <c r="C116" s="78">
        <f>IFERROR(B116/B327, "NA")</f>
        <v>1.0241867823656623E-3</v>
      </c>
      <c r="D116" s="79"/>
      <c r="E116" s="77">
        <v>4018.83</v>
      </c>
      <c r="F116" s="78">
        <f>IFERROR(E116/E327, "NA")</f>
        <v>1.3624638043586556E-3</v>
      </c>
      <c r="G116" s="79"/>
      <c r="H116" s="77">
        <v>612.35</v>
      </c>
      <c r="I116" s="78">
        <f>IFERROR(H116/H327, "NA")</f>
        <v>1.3274552267518219E-4</v>
      </c>
      <c r="J116" s="79"/>
      <c r="K116" s="77">
        <v>3782.01</v>
      </c>
      <c r="L116" s="78">
        <f>IFERROR(K116/K327, "NA")</f>
        <v>1.1932236082888071E-3</v>
      </c>
      <c r="M116" s="79"/>
      <c r="N116" s="77">
        <v>6002.99</v>
      </c>
      <c r="O116" s="78">
        <f>IFERROR(N116/N327, "NA")</f>
        <v>1.5166319331773939E-3</v>
      </c>
      <c r="P116" s="79"/>
      <c r="Q116" s="77">
        <v>6513.84</v>
      </c>
      <c r="R116" s="78">
        <f>IFERROR(Q116/Q327, "NA")</f>
        <v>1.9093915021396557E-3</v>
      </c>
      <c r="T116" s="80">
        <f t="shared" si="2"/>
        <v>24894.87</v>
      </c>
      <c r="U116" s="80">
        <f t="shared" si="3"/>
        <v>136.785</v>
      </c>
    </row>
    <row r="117" spans="1:21" x14ac:dyDescent="0.25">
      <c r="A117" s="87" t="s">
        <v>145</v>
      </c>
      <c r="B117" s="77">
        <v>0</v>
      </c>
      <c r="C117" s="78">
        <f>IFERROR(B117/B327, "NA")</f>
        <v>0</v>
      </c>
      <c r="D117" s="79"/>
      <c r="E117" s="77">
        <v>0</v>
      </c>
      <c r="F117" s="78">
        <f>IFERROR(E117/E327, "NA")</f>
        <v>0</v>
      </c>
      <c r="G117" s="79"/>
      <c r="H117" s="77">
        <v>0</v>
      </c>
      <c r="I117" s="78">
        <f>IFERROR(H117/H327, "NA")</f>
        <v>0</v>
      </c>
      <c r="J117" s="79"/>
      <c r="K117" s="77">
        <v>0</v>
      </c>
      <c r="L117" s="78">
        <f>IFERROR(K117/K327, "NA")</f>
        <v>0</v>
      </c>
      <c r="M117" s="79"/>
      <c r="N117" s="77">
        <v>0</v>
      </c>
      <c r="O117" s="78">
        <f>IFERROR(N117/N327, "NA")</f>
        <v>0</v>
      </c>
      <c r="P117" s="79"/>
      <c r="Q117" s="77">
        <v>0</v>
      </c>
      <c r="R117" s="78">
        <f>IFERROR(Q117/Q327, "NA")</f>
        <v>0</v>
      </c>
      <c r="T117" s="80">
        <f t="shared" si="2"/>
        <v>0</v>
      </c>
      <c r="U117" s="80">
        <f t="shared" si="3"/>
        <v>0</v>
      </c>
    </row>
    <row r="118" spans="1:21" x14ac:dyDescent="0.25">
      <c r="A118" s="87" t="s">
        <v>146</v>
      </c>
      <c r="B118" s="77">
        <v>8111.28</v>
      </c>
      <c r="C118" s="78">
        <f>IFERROR(B118/B327, "NA")</f>
        <v>2.0952787026159753E-3</v>
      </c>
      <c r="D118" s="79"/>
      <c r="E118" s="77">
        <v>11068.74</v>
      </c>
      <c r="F118" s="78">
        <f>IFERROR(E118/E327, "NA")</f>
        <v>3.7525243938800164E-3</v>
      </c>
      <c r="G118" s="79"/>
      <c r="H118" s="77">
        <v>7585.53</v>
      </c>
      <c r="I118" s="78">
        <f>IFERROR(H118/H327, "NA")</f>
        <v>1.6443947817723111E-3</v>
      </c>
      <c r="J118" s="79"/>
      <c r="K118" s="77">
        <v>7951.41</v>
      </c>
      <c r="L118" s="78">
        <f>IFERROR(K118/K327, "NA")</f>
        <v>2.5086687055781722E-3</v>
      </c>
      <c r="M118" s="79"/>
      <c r="N118" s="77">
        <v>3465.44</v>
      </c>
      <c r="O118" s="78">
        <f>IFERROR(N118/N327, "NA")</f>
        <v>8.7552985537378341E-4</v>
      </c>
      <c r="P118" s="79"/>
      <c r="Q118" s="77">
        <v>7923.42</v>
      </c>
      <c r="R118" s="78">
        <f>IFERROR(Q118/Q327, "NA")</f>
        <v>2.3225794333117471E-3</v>
      </c>
      <c r="T118" s="80">
        <f t="shared" si="2"/>
        <v>46105.82</v>
      </c>
      <c r="U118" s="80">
        <f t="shared" si="3"/>
        <v>253.3286813186813</v>
      </c>
    </row>
    <row r="119" spans="1:21" x14ac:dyDescent="0.25">
      <c r="A119" s="88" t="s">
        <v>147</v>
      </c>
      <c r="B119" s="82">
        <f>IFERROR(B84+B85+B86+B87+B88+B89+B90+B91+B92+B93+B94+B95+B96+B97+B98+B99+B100+B101+B102+B103+B104+B105+B106+B107+B108+B109+B110+B111+B112+B113+B114+B115+B116+B117+B118, "NA")</f>
        <v>392032.02999999997</v>
      </c>
      <c r="C119" s="83">
        <f>IFERROR(B119/B327, "NA")</f>
        <v>0.10126840192944973</v>
      </c>
      <c r="D119" s="72"/>
      <c r="E119" s="82">
        <f>IFERROR(E84+E85+E86+E87+E88+E89+E90+E91+E92+E93+E94+E95+E96+E97+E98+E99+E100+E101+E102+E103+E104+E105+E106+E107+E108+E109+E110+E111+E112+E113+E114+E115+E116+E117+E118, "NA")</f>
        <v>384552.15</v>
      </c>
      <c r="F119" s="83">
        <f>IFERROR(E119/E327, "NA")</f>
        <v>0.13037087541978645</v>
      </c>
      <c r="G119" s="72"/>
      <c r="H119" s="82">
        <f>IFERROR(H84+H85+H86+H87+H88+H89+H90+H91+H92+H93+H94+H95+H96+H97+H98+H99+H100+H101+H102+H103+H104+H105+H106+H107+H108+H109+H110+H111+H112+H113+H114+H115+H116+H117+H118, "NA")</f>
        <v>498021.22000000003</v>
      </c>
      <c r="I119" s="83">
        <f>IFERROR(H119/H327, "NA")</f>
        <v>0.10796127566298996</v>
      </c>
      <c r="J119" s="72"/>
      <c r="K119" s="82">
        <f>IFERROR(K84+K85+K86+K87+K88+K89+K90+K91+K92+K93+K94+K95+K96+K97+K98+K99+K100+K101+K102+K103+K104+K105+K106+K107+K108+K109+K110+K111+K112+K113+K114+K115+K116+K117+K118, "NA")</f>
        <v>413552.20999999996</v>
      </c>
      <c r="L119" s="83">
        <f>IFERROR(K119/K327, "NA")</f>
        <v>0.13047566247366096</v>
      </c>
      <c r="M119" s="72"/>
      <c r="N119" s="82">
        <f>IFERROR(N84+N85+N86+N87+N88+N89+N90+N91+N92+N93+N94+N95+N96+N97+N98+N99+N100+N101+N102+N103+N104+N105+N106+N107+N108+N109+N110+N111+N112+N113+N114+N115+N116+N117+N118, "NA")</f>
        <v>413180.92</v>
      </c>
      <c r="O119" s="83">
        <f>IFERROR(N119/N327, "NA")</f>
        <v>0.10438854261819762</v>
      </c>
      <c r="P119" s="72"/>
      <c r="Q119" s="82">
        <f>IFERROR(Q84+Q85+Q86+Q87+Q88+Q89+Q90+Q91+Q92+Q93+Q94+Q95+Q96+Q97+Q98+Q99+Q100+Q101+Q102+Q103+Q104+Q105+Q106+Q107+Q108+Q109+Q110+Q111+Q112+Q113+Q114+Q115+Q116+Q117+Q118, "NA")</f>
        <v>474738.75999999995</v>
      </c>
      <c r="R119" s="83">
        <f>IFERROR(Q119/Q327, "NA")</f>
        <v>0.13915941350728869</v>
      </c>
      <c r="T119" s="80">
        <f t="shared" si="2"/>
        <v>2576077.2899999996</v>
      </c>
      <c r="U119" s="80">
        <f t="shared" si="3"/>
        <v>14154.270824175823</v>
      </c>
    </row>
    <row r="120" spans="1:21" x14ac:dyDescent="0.25">
      <c r="A120" s="81" t="s">
        <v>26</v>
      </c>
      <c r="B120" s="82">
        <f>IFERROR(B82+B84+B85+B86+B87+B88+B89+B90+B91+B92+B93+B94+B95+B96+B97+B98+B99+B100+B101+B102+B103+B104+B105+B106+B107+B108+B109+B110+B111+B112+B113+B114+B115+B116+B117+B118, "NA")</f>
        <v>392032.02999999997</v>
      </c>
      <c r="C120" s="83">
        <f>IFERROR(B120/B327, "NA")</f>
        <v>0.10126840192944973</v>
      </c>
      <c r="D120" s="72"/>
      <c r="E120" s="82">
        <f>IFERROR(E82+E84+E85+E86+E87+E88+E89+E90+E91+E92+E93+E94+E95+E96+E97+E98+E99+E100+E101+E102+E103+E104+E105+E106+E107+E108+E109+E110+E111+E112+E113+E114+E115+E116+E117+E118, "NA")</f>
        <v>384552.15</v>
      </c>
      <c r="F120" s="83">
        <f>IFERROR(E120/E327, "NA")</f>
        <v>0.13037087541978645</v>
      </c>
      <c r="G120" s="72"/>
      <c r="H120" s="82">
        <f>IFERROR(H82+H84+H85+H86+H87+H88+H89+H90+H91+H92+H93+H94+H95+H96+H97+H98+H99+H100+H101+H102+H103+H104+H105+H106+H107+H108+H109+H110+H111+H112+H113+H114+H115+H116+H117+H118, "NA")</f>
        <v>498021.22000000003</v>
      </c>
      <c r="I120" s="83">
        <f>IFERROR(H120/H327, "NA")</f>
        <v>0.10796127566298996</v>
      </c>
      <c r="J120" s="72"/>
      <c r="K120" s="82">
        <f>IFERROR(K82+K84+K85+K86+K87+K88+K89+K90+K91+K92+K93+K94+K95+K96+K97+K98+K99+K100+K101+K102+K103+K104+K105+K106+K107+K108+K109+K110+K111+K112+K113+K114+K115+K116+K117+K118, "NA")</f>
        <v>413552.20999999996</v>
      </c>
      <c r="L120" s="83">
        <f>IFERROR(K120/K327, "NA")</f>
        <v>0.13047566247366096</v>
      </c>
      <c r="M120" s="72"/>
      <c r="N120" s="82">
        <f>IFERROR(N82+N84+N85+N86+N87+N88+N89+N90+N91+N92+N93+N94+N95+N96+N97+N98+N99+N100+N101+N102+N103+N104+N105+N106+N107+N108+N109+N110+N111+N112+N113+N114+N115+N116+N117+N118, "NA")</f>
        <v>413180.92</v>
      </c>
      <c r="O120" s="83">
        <f>IFERROR(N120/N327, "NA")</f>
        <v>0.10438854261819762</v>
      </c>
      <c r="P120" s="72"/>
      <c r="Q120" s="82">
        <f>IFERROR(Q82+Q84+Q85+Q86+Q87+Q88+Q89+Q90+Q91+Q92+Q93+Q94+Q95+Q96+Q97+Q98+Q99+Q100+Q101+Q102+Q103+Q104+Q105+Q106+Q107+Q108+Q109+Q110+Q111+Q112+Q113+Q114+Q115+Q116+Q117+Q118, "NA")</f>
        <v>474738.75999999995</v>
      </c>
      <c r="R120" s="83">
        <f>IFERROR(Q120/Q327, "NA")</f>
        <v>0.13915941350728869</v>
      </c>
      <c r="T120" s="80">
        <f t="shared" si="2"/>
        <v>2576077.2899999996</v>
      </c>
      <c r="U120" s="80">
        <f t="shared" si="3"/>
        <v>14154.270824175823</v>
      </c>
    </row>
    <row r="121" spans="1:21" x14ac:dyDescent="0.25">
      <c r="A121" s="75" t="s">
        <v>148</v>
      </c>
      <c r="B121" s="72"/>
      <c r="C121" s="73"/>
      <c r="D121" s="74"/>
      <c r="E121" s="72"/>
      <c r="F121" s="73"/>
      <c r="G121" s="74"/>
      <c r="H121" s="72"/>
      <c r="I121" s="73"/>
      <c r="J121" s="74"/>
      <c r="K121" s="72"/>
      <c r="L121" s="73"/>
      <c r="M121" s="74"/>
      <c r="N121" s="72"/>
      <c r="O121" s="73"/>
      <c r="P121" s="74"/>
      <c r="Q121" s="72"/>
      <c r="R121" s="73"/>
      <c r="T121" s="80">
        <f t="shared" si="2"/>
        <v>0</v>
      </c>
      <c r="U121" s="80">
        <f t="shared" si="3"/>
        <v>0</v>
      </c>
    </row>
    <row r="122" spans="1:21" x14ac:dyDescent="0.25">
      <c r="A122" s="76" t="s">
        <v>149</v>
      </c>
      <c r="B122" s="77">
        <v>0</v>
      </c>
      <c r="C122" s="78">
        <f>IFERROR(B122/B327, "NA")</f>
        <v>0</v>
      </c>
      <c r="D122" s="79"/>
      <c r="E122" s="77">
        <v>0</v>
      </c>
      <c r="F122" s="78">
        <f>IFERROR(E122/E327, "NA")</f>
        <v>0</v>
      </c>
      <c r="G122" s="79"/>
      <c r="H122" s="77">
        <v>0</v>
      </c>
      <c r="I122" s="78">
        <f>IFERROR(H122/H327, "NA")</f>
        <v>0</v>
      </c>
      <c r="J122" s="79"/>
      <c r="K122" s="77">
        <v>0</v>
      </c>
      <c r="L122" s="78">
        <f>IFERROR(K122/K327, "NA")</f>
        <v>0</v>
      </c>
      <c r="M122" s="79"/>
      <c r="N122" s="77">
        <v>0</v>
      </c>
      <c r="O122" s="78">
        <f>IFERROR(N122/N327, "NA")</f>
        <v>0</v>
      </c>
      <c r="P122" s="79"/>
      <c r="Q122" s="77">
        <v>0</v>
      </c>
      <c r="R122" s="78">
        <f>IFERROR(Q122/Q327, "NA")</f>
        <v>0</v>
      </c>
      <c r="T122" s="80">
        <f t="shared" si="2"/>
        <v>0</v>
      </c>
      <c r="U122" s="80">
        <f t="shared" si="3"/>
        <v>0</v>
      </c>
    </row>
    <row r="123" spans="1:21" x14ac:dyDescent="0.25">
      <c r="A123" s="76" t="s">
        <v>150</v>
      </c>
      <c r="B123" s="77">
        <v>24819.42</v>
      </c>
      <c r="C123" s="78">
        <f>IFERROR(B123/B327, "NA")</f>
        <v>6.4112695082996747E-3</v>
      </c>
      <c r="D123" s="79"/>
      <c r="E123" s="77">
        <v>48812.95</v>
      </c>
      <c r="F123" s="78">
        <f>IFERROR(E123/E327, "NA")</f>
        <v>1.654856701054009E-2</v>
      </c>
      <c r="G123" s="79"/>
      <c r="H123" s="77">
        <v>54193.69</v>
      </c>
      <c r="I123" s="78">
        <f>IFERROR(H123/H327, "NA")</f>
        <v>1.1748133754791858E-2</v>
      </c>
      <c r="J123" s="79"/>
      <c r="K123" s="77">
        <v>7976.93</v>
      </c>
      <c r="L123" s="78">
        <f>IFERROR(K123/K327, "NA")</f>
        <v>2.5167202618891103E-3</v>
      </c>
      <c r="M123" s="79"/>
      <c r="N123" s="77">
        <v>12500.01</v>
      </c>
      <c r="O123" s="78">
        <f>IFERROR(N123/N327, "NA")</f>
        <v>3.1580786126641485E-3</v>
      </c>
      <c r="P123" s="79"/>
      <c r="Q123" s="77">
        <v>30480.79</v>
      </c>
      <c r="R123" s="78">
        <f>IFERROR(Q123/Q327, "NA")</f>
        <v>8.9347852272244014E-3</v>
      </c>
      <c r="T123" s="80">
        <f t="shared" si="2"/>
        <v>178783.79</v>
      </c>
      <c r="U123" s="80">
        <f t="shared" si="3"/>
        <v>982.32851648351664</v>
      </c>
    </row>
    <row r="124" spans="1:21" x14ac:dyDescent="0.25">
      <c r="A124" s="76" t="s">
        <v>151</v>
      </c>
      <c r="B124" s="77">
        <v>65769.279999999999</v>
      </c>
      <c r="C124" s="78">
        <f>IFERROR(B124/B327, "NA")</f>
        <v>1.6989300291740245E-2</v>
      </c>
      <c r="D124" s="79"/>
      <c r="E124" s="77">
        <v>68521.23</v>
      </c>
      <c r="F124" s="78">
        <f>IFERROR(E124/E327, "NA")</f>
        <v>2.3230068379387642E-2</v>
      </c>
      <c r="G124" s="79"/>
      <c r="H124" s="77">
        <v>76817.39</v>
      </c>
      <c r="I124" s="78">
        <f>IFERROR(H124/H327, "NA")</f>
        <v>1.6652510143044523E-2</v>
      </c>
      <c r="J124" s="79"/>
      <c r="K124" s="77">
        <v>57780.83</v>
      </c>
      <c r="L124" s="78">
        <f>IFERROR(K124/K327, "NA")</f>
        <v>1.82298435124503E-2</v>
      </c>
      <c r="M124" s="79"/>
      <c r="N124" s="77">
        <v>50861.58</v>
      </c>
      <c r="O124" s="78">
        <f>IFERROR(N124/N327, "NA")</f>
        <v>1.2849979160361201E-2</v>
      </c>
      <c r="P124" s="79"/>
      <c r="Q124" s="77">
        <v>61865.440000000002</v>
      </c>
      <c r="R124" s="78">
        <f>IFERROR(Q124/Q327, "NA")</f>
        <v>1.8134517490778213E-2</v>
      </c>
      <c r="T124" s="80">
        <f t="shared" si="2"/>
        <v>381615.75000000006</v>
      </c>
      <c r="U124" s="80">
        <f t="shared" si="3"/>
        <v>2096.7898351648355</v>
      </c>
    </row>
    <row r="125" spans="1:21" ht="31.5" x14ac:dyDescent="0.25">
      <c r="A125" s="76" t="s">
        <v>152</v>
      </c>
      <c r="B125" s="77">
        <v>0</v>
      </c>
      <c r="C125" s="78">
        <f>IFERROR(B125/B327, "NA")</f>
        <v>0</v>
      </c>
      <c r="D125" s="79"/>
      <c r="E125" s="77">
        <v>0</v>
      </c>
      <c r="F125" s="78">
        <f>IFERROR(E125/E327, "NA")</f>
        <v>0</v>
      </c>
      <c r="G125" s="79"/>
      <c r="H125" s="77">
        <v>0</v>
      </c>
      <c r="I125" s="78">
        <f>IFERROR(H125/H327, "NA")</f>
        <v>0</v>
      </c>
      <c r="J125" s="79"/>
      <c r="K125" s="77">
        <v>0</v>
      </c>
      <c r="L125" s="78">
        <f>IFERROR(K125/K327, "NA")</f>
        <v>0</v>
      </c>
      <c r="M125" s="79"/>
      <c r="N125" s="77">
        <v>0</v>
      </c>
      <c r="O125" s="78">
        <f>IFERROR(N125/N327, "NA")</f>
        <v>0</v>
      </c>
      <c r="P125" s="79"/>
      <c r="Q125" s="77">
        <v>0</v>
      </c>
      <c r="R125" s="78">
        <f>IFERROR(Q125/Q327, "NA")</f>
        <v>0</v>
      </c>
      <c r="T125" s="80">
        <f t="shared" si="2"/>
        <v>0</v>
      </c>
      <c r="U125" s="80">
        <f t="shared" si="3"/>
        <v>0</v>
      </c>
    </row>
    <row r="126" spans="1:21" x14ac:dyDescent="0.25">
      <c r="A126" s="76" t="s">
        <v>153</v>
      </c>
      <c r="B126" s="77">
        <v>0</v>
      </c>
      <c r="C126" s="78">
        <f>IFERROR(B126/B327, "NA")</f>
        <v>0</v>
      </c>
      <c r="D126" s="79"/>
      <c r="E126" s="77">
        <v>0</v>
      </c>
      <c r="F126" s="78">
        <f>IFERROR(E126/E327, "NA")</f>
        <v>0</v>
      </c>
      <c r="G126" s="79"/>
      <c r="H126" s="77">
        <v>0</v>
      </c>
      <c r="I126" s="78">
        <f>IFERROR(H126/H327, "NA")</f>
        <v>0</v>
      </c>
      <c r="J126" s="79"/>
      <c r="K126" s="77">
        <v>0</v>
      </c>
      <c r="L126" s="78">
        <f>IFERROR(K126/K327, "NA")</f>
        <v>0</v>
      </c>
      <c r="M126" s="79"/>
      <c r="N126" s="77">
        <v>0</v>
      </c>
      <c r="O126" s="78">
        <f>IFERROR(N126/N327, "NA")</f>
        <v>0</v>
      </c>
      <c r="P126" s="79"/>
      <c r="Q126" s="77">
        <v>0</v>
      </c>
      <c r="R126" s="78">
        <f>IFERROR(Q126/Q327, "NA")</f>
        <v>0</v>
      </c>
      <c r="T126" s="80">
        <f t="shared" si="2"/>
        <v>0</v>
      </c>
      <c r="U126" s="80">
        <f t="shared" si="3"/>
        <v>0</v>
      </c>
    </row>
    <row r="127" spans="1:21" x14ac:dyDescent="0.25">
      <c r="A127" s="76" t="s">
        <v>154</v>
      </c>
      <c r="B127" s="77">
        <v>0</v>
      </c>
      <c r="C127" s="78">
        <f>IFERROR(B127/B327, "NA")</f>
        <v>0</v>
      </c>
      <c r="D127" s="79"/>
      <c r="E127" s="77">
        <v>0</v>
      </c>
      <c r="F127" s="78">
        <f>IFERROR(E127/E327, "NA")</f>
        <v>0</v>
      </c>
      <c r="G127" s="79"/>
      <c r="H127" s="77">
        <v>0</v>
      </c>
      <c r="I127" s="78">
        <f>IFERROR(H127/H327, "NA")</f>
        <v>0</v>
      </c>
      <c r="J127" s="79"/>
      <c r="K127" s="77">
        <v>0</v>
      </c>
      <c r="L127" s="78">
        <f>IFERROR(K127/K327, "NA")</f>
        <v>0</v>
      </c>
      <c r="M127" s="79"/>
      <c r="N127" s="77">
        <v>0</v>
      </c>
      <c r="O127" s="78">
        <f>IFERROR(N127/N327, "NA")</f>
        <v>0</v>
      </c>
      <c r="P127" s="79"/>
      <c r="Q127" s="77">
        <v>0</v>
      </c>
      <c r="R127" s="78">
        <f>IFERROR(Q127/Q327, "NA")</f>
        <v>0</v>
      </c>
      <c r="T127" s="80">
        <f t="shared" si="2"/>
        <v>0</v>
      </c>
      <c r="U127" s="80">
        <f t="shared" si="3"/>
        <v>0</v>
      </c>
    </row>
    <row r="128" spans="1:21" x14ac:dyDescent="0.25">
      <c r="A128" s="76" t="s">
        <v>155</v>
      </c>
      <c r="B128" s="77">
        <v>0</v>
      </c>
      <c r="C128" s="78">
        <f>IFERROR(B128/B327, "NA")</f>
        <v>0</v>
      </c>
      <c r="D128" s="79"/>
      <c r="E128" s="77">
        <v>0</v>
      </c>
      <c r="F128" s="78">
        <f>IFERROR(E128/E327, "NA")</f>
        <v>0</v>
      </c>
      <c r="G128" s="79"/>
      <c r="H128" s="77">
        <v>0</v>
      </c>
      <c r="I128" s="78">
        <f>IFERROR(H128/H327, "NA")</f>
        <v>0</v>
      </c>
      <c r="J128" s="79"/>
      <c r="K128" s="77">
        <v>0</v>
      </c>
      <c r="L128" s="78">
        <f>IFERROR(K128/K327, "NA")</f>
        <v>0</v>
      </c>
      <c r="M128" s="79"/>
      <c r="N128" s="77">
        <v>0</v>
      </c>
      <c r="O128" s="78">
        <f>IFERROR(N128/N327, "NA")</f>
        <v>0</v>
      </c>
      <c r="P128" s="79"/>
      <c r="Q128" s="77">
        <v>0</v>
      </c>
      <c r="R128" s="78">
        <f>IFERROR(Q128/Q327, "NA")</f>
        <v>0</v>
      </c>
      <c r="T128" s="80">
        <f t="shared" si="2"/>
        <v>0</v>
      </c>
      <c r="U128" s="80">
        <f t="shared" si="3"/>
        <v>0</v>
      </c>
    </row>
    <row r="129" spans="1:21" x14ac:dyDescent="0.25">
      <c r="A129" s="76" t="s">
        <v>156</v>
      </c>
      <c r="B129" s="77">
        <v>0</v>
      </c>
      <c r="C129" s="78">
        <f>IFERROR(B129/B327, "NA")</f>
        <v>0</v>
      </c>
      <c r="D129" s="79"/>
      <c r="E129" s="77">
        <v>0</v>
      </c>
      <c r="F129" s="78">
        <f>IFERROR(E129/E327, "NA")</f>
        <v>0</v>
      </c>
      <c r="G129" s="79"/>
      <c r="H129" s="77">
        <v>0</v>
      </c>
      <c r="I129" s="78">
        <f>IFERROR(H129/H327, "NA")</f>
        <v>0</v>
      </c>
      <c r="J129" s="79"/>
      <c r="K129" s="77">
        <v>0</v>
      </c>
      <c r="L129" s="78">
        <f>IFERROR(K129/K327, "NA")</f>
        <v>0</v>
      </c>
      <c r="M129" s="79"/>
      <c r="N129" s="77">
        <v>0</v>
      </c>
      <c r="O129" s="78">
        <f>IFERROR(N129/N327, "NA")</f>
        <v>0</v>
      </c>
      <c r="P129" s="79"/>
      <c r="Q129" s="77">
        <v>0</v>
      </c>
      <c r="R129" s="78">
        <f>IFERROR(Q129/Q327, "NA")</f>
        <v>0</v>
      </c>
      <c r="T129" s="80">
        <f t="shared" si="2"/>
        <v>0</v>
      </c>
      <c r="U129" s="80">
        <f t="shared" si="3"/>
        <v>0</v>
      </c>
    </row>
    <row r="130" spans="1:21" x14ac:dyDescent="0.25">
      <c r="A130" s="76" t="s">
        <v>157</v>
      </c>
      <c r="B130" s="77">
        <v>4326.49</v>
      </c>
      <c r="C130" s="78">
        <f>IFERROR(B130/B327, "NA")</f>
        <v>1.1176044168221279E-3</v>
      </c>
      <c r="D130" s="79"/>
      <c r="E130" s="77">
        <v>8622.4500000000007</v>
      </c>
      <c r="F130" s="78">
        <f>IFERROR(E130/E327, "NA")</f>
        <v>2.9231831229219181E-3</v>
      </c>
      <c r="G130" s="79"/>
      <c r="H130" s="77">
        <v>7195.58</v>
      </c>
      <c r="I130" s="78">
        <f>IFERROR(H130/H327, "NA")</f>
        <v>1.5598612363045439E-3</v>
      </c>
      <c r="J130" s="79"/>
      <c r="K130" s="77">
        <v>0</v>
      </c>
      <c r="L130" s="78">
        <f>IFERROR(K130/K327, "NA")</f>
        <v>0</v>
      </c>
      <c r="M130" s="79"/>
      <c r="N130" s="77">
        <v>0</v>
      </c>
      <c r="O130" s="78">
        <f>IFERROR(N130/N327, "NA")</f>
        <v>0</v>
      </c>
      <c r="P130" s="79"/>
      <c r="Q130" s="77">
        <v>0</v>
      </c>
      <c r="R130" s="78">
        <f>IFERROR(Q130/Q327, "NA")</f>
        <v>0</v>
      </c>
      <c r="T130" s="80">
        <f t="shared" si="2"/>
        <v>20144.52</v>
      </c>
      <c r="U130" s="80">
        <f t="shared" si="3"/>
        <v>110.68417582417582</v>
      </c>
    </row>
    <row r="131" spans="1:21" x14ac:dyDescent="0.25">
      <c r="A131" s="76" t="s">
        <v>158</v>
      </c>
      <c r="B131" s="77">
        <v>0</v>
      </c>
      <c r="C131" s="78">
        <f>IFERROR(B131/B327, "NA")</f>
        <v>0</v>
      </c>
      <c r="D131" s="79"/>
      <c r="E131" s="77">
        <v>0</v>
      </c>
      <c r="F131" s="78">
        <f>IFERROR(E131/E327, "NA")</f>
        <v>0</v>
      </c>
      <c r="G131" s="79"/>
      <c r="H131" s="77">
        <v>0</v>
      </c>
      <c r="I131" s="78">
        <f>IFERROR(H131/H327, "NA")</f>
        <v>0</v>
      </c>
      <c r="J131" s="79"/>
      <c r="K131" s="77">
        <v>0</v>
      </c>
      <c r="L131" s="78">
        <f>IFERROR(K131/K327, "NA")</f>
        <v>0</v>
      </c>
      <c r="M131" s="79"/>
      <c r="N131" s="77">
        <v>0</v>
      </c>
      <c r="O131" s="78">
        <f>IFERROR(N131/N327, "NA")</f>
        <v>0</v>
      </c>
      <c r="P131" s="79"/>
      <c r="Q131" s="77">
        <v>0</v>
      </c>
      <c r="R131" s="78">
        <f>IFERROR(Q131/Q327, "NA")</f>
        <v>0</v>
      </c>
      <c r="T131" s="80">
        <f t="shared" si="2"/>
        <v>0</v>
      </c>
      <c r="U131" s="80">
        <f t="shared" si="3"/>
        <v>0</v>
      </c>
    </row>
    <row r="132" spans="1:21" x14ac:dyDescent="0.25">
      <c r="A132" s="76" t="s">
        <v>159</v>
      </c>
      <c r="B132" s="77">
        <v>0</v>
      </c>
      <c r="C132" s="78">
        <f>IFERROR(B132/B327, "NA")</f>
        <v>0</v>
      </c>
      <c r="D132" s="79"/>
      <c r="E132" s="77">
        <v>0</v>
      </c>
      <c r="F132" s="78">
        <f>IFERROR(E132/E327, "NA")</f>
        <v>0</v>
      </c>
      <c r="G132" s="79"/>
      <c r="H132" s="77">
        <v>0</v>
      </c>
      <c r="I132" s="78">
        <f>IFERROR(H132/H327, "NA")</f>
        <v>0</v>
      </c>
      <c r="J132" s="79"/>
      <c r="K132" s="77">
        <v>0</v>
      </c>
      <c r="L132" s="78">
        <f>IFERROR(K132/K327, "NA")</f>
        <v>0</v>
      </c>
      <c r="M132" s="79"/>
      <c r="N132" s="77">
        <v>0</v>
      </c>
      <c r="O132" s="78">
        <f>IFERROR(N132/N327, "NA")</f>
        <v>0</v>
      </c>
      <c r="P132" s="79"/>
      <c r="Q132" s="77">
        <v>0</v>
      </c>
      <c r="R132" s="78">
        <f>IFERROR(Q132/Q327, "NA")</f>
        <v>0</v>
      </c>
      <c r="T132" s="80">
        <f t="shared" si="2"/>
        <v>0</v>
      </c>
      <c r="U132" s="80">
        <f t="shared" si="3"/>
        <v>0</v>
      </c>
    </row>
    <row r="133" spans="1:21" x14ac:dyDescent="0.25">
      <c r="A133" s="76" t="s">
        <v>160</v>
      </c>
      <c r="B133" s="77">
        <v>0</v>
      </c>
      <c r="C133" s="78">
        <f>IFERROR(B133/B327, "NA")</f>
        <v>0</v>
      </c>
      <c r="D133" s="79"/>
      <c r="E133" s="77">
        <v>0</v>
      </c>
      <c r="F133" s="78">
        <f>IFERROR(E133/E327, "NA")</f>
        <v>0</v>
      </c>
      <c r="G133" s="79"/>
      <c r="H133" s="77">
        <v>0</v>
      </c>
      <c r="I133" s="78">
        <f>IFERROR(H133/H327, "NA")</f>
        <v>0</v>
      </c>
      <c r="J133" s="79"/>
      <c r="K133" s="77">
        <v>0</v>
      </c>
      <c r="L133" s="78">
        <f>IFERROR(K133/K327, "NA")</f>
        <v>0</v>
      </c>
      <c r="M133" s="79"/>
      <c r="N133" s="77">
        <v>0</v>
      </c>
      <c r="O133" s="78">
        <f>IFERROR(N133/N327, "NA")</f>
        <v>0</v>
      </c>
      <c r="P133" s="79"/>
      <c r="Q133" s="77">
        <v>0</v>
      </c>
      <c r="R133" s="78">
        <f>IFERROR(Q133/Q327, "NA")</f>
        <v>0</v>
      </c>
      <c r="T133" s="80">
        <f t="shared" si="2"/>
        <v>0</v>
      </c>
      <c r="U133" s="80">
        <f t="shared" si="3"/>
        <v>0</v>
      </c>
    </row>
    <row r="134" spans="1:21" x14ac:dyDescent="0.25">
      <c r="A134" s="76" t="s">
        <v>161</v>
      </c>
      <c r="B134" s="77">
        <v>0</v>
      </c>
      <c r="C134" s="78">
        <f>IFERROR(B134/B327, "NA")</f>
        <v>0</v>
      </c>
      <c r="D134" s="79"/>
      <c r="E134" s="77">
        <v>0</v>
      </c>
      <c r="F134" s="78">
        <f>IFERROR(E134/E327, "NA")</f>
        <v>0</v>
      </c>
      <c r="G134" s="79"/>
      <c r="H134" s="77">
        <v>0</v>
      </c>
      <c r="I134" s="78">
        <f>IFERROR(H134/H327, "NA")</f>
        <v>0</v>
      </c>
      <c r="J134" s="79"/>
      <c r="K134" s="77">
        <v>0</v>
      </c>
      <c r="L134" s="78">
        <f>IFERROR(K134/K327, "NA")</f>
        <v>0</v>
      </c>
      <c r="M134" s="79"/>
      <c r="N134" s="77">
        <v>0</v>
      </c>
      <c r="O134" s="78">
        <f>IFERROR(N134/N327, "NA")</f>
        <v>0</v>
      </c>
      <c r="P134" s="79"/>
      <c r="Q134" s="77">
        <v>0</v>
      </c>
      <c r="R134" s="78">
        <f>IFERROR(Q134/Q327, "NA")</f>
        <v>0</v>
      </c>
      <c r="T134" s="80">
        <f t="shared" si="2"/>
        <v>0</v>
      </c>
      <c r="U134" s="80">
        <f t="shared" si="3"/>
        <v>0</v>
      </c>
    </row>
    <row r="135" spans="1:21" x14ac:dyDescent="0.25">
      <c r="A135" s="76" t="s">
        <v>162</v>
      </c>
      <c r="B135" s="77">
        <v>0</v>
      </c>
      <c r="C135" s="78">
        <f>IFERROR(B135/B327, "NA")</f>
        <v>0</v>
      </c>
      <c r="D135" s="79"/>
      <c r="E135" s="77">
        <v>0</v>
      </c>
      <c r="F135" s="78">
        <f>IFERROR(E135/E327, "NA")</f>
        <v>0</v>
      </c>
      <c r="G135" s="79"/>
      <c r="H135" s="77">
        <v>0</v>
      </c>
      <c r="I135" s="78">
        <f>IFERROR(H135/H327, "NA")</f>
        <v>0</v>
      </c>
      <c r="J135" s="79"/>
      <c r="K135" s="77">
        <v>0</v>
      </c>
      <c r="L135" s="78">
        <f>IFERROR(K135/K327, "NA")</f>
        <v>0</v>
      </c>
      <c r="M135" s="79"/>
      <c r="N135" s="77">
        <v>0</v>
      </c>
      <c r="O135" s="78">
        <f>IFERROR(N135/N327, "NA")</f>
        <v>0</v>
      </c>
      <c r="P135" s="79"/>
      <c r="Q135" s="77">
        <v>0</v>
      </c>
      <c r="R135" s="78">
        <f>IFERROR(Q135/Q327, "NA")</f>
        <v>0</v>
      </c>
      <c r="T135" s="80">
        <f t="shared" si="2"/>
        <v>0</v>
      </c>
      <c r="U135" s="80">
        <f t="shared" si="3"/>
        <v>0</v>
      </c>
    </row>
    <row r="136" spans="1:21" x14ac:dyDescent="0.25">
      <c r="A136" s="76" t="s">
        <v>163</v>
      </c>
      <c r="B136" s="77">
        <v>0</v>
      </c>
      <c r="C136" s="78">
        <f>IFERROR(B136/B327, "NA")</f>
        <v>0</v>
      </c>
      <c r="D136" s="79"/>
      <c r="E136" s="77">
        <v>0</v>
      </c>
      <c r="F136" s="78">
        <f>IFERROR(E136/E327, "NA")</f>
        <v>0</v>
      </c>
      <c r="G136" s="79"/>
      <c r="H136" s="77">
        <v>0</v>
      </c>
      <c r="I136" s="78">
        <f>IFERROR(H136/H327, "NA")</f>
        <v>0</v>
      </c>
      <c r="J136" s="79"/>
      <c r="K136" s="77">
        <v>0</v>
      </c>
      <c r="L136" s="78">
        <f>IFERROR(K136/K327, "NA")</f>
        <v>0</v>
      </c>
      <c r="M136" s="79"/>
      <c r="N136" s="77">
        <v>0</v>
      </c>
      <c r="O136" s="78">
        <f>IFERROR(N136/N327, "NA")</f>
        <v>0</v>
      </c>
      <c r="P136" s="79"/>
      <c r="Q136" s="77">
        <v>0</v>
      </c>
      <c r="R136" s="78">
        <f>IFERROR(Q136/Q327, "NA")</f>
        <v>0</v>
      </c>
      <c r="T136" s="80">
        <f t="shared" si="2"/>
        <v>0</v>
      </c>
      <c r="U136" s="80">
        <f t="shared" si="3"/>
        <v>0</v>
      </c>
    </row>
    <row r="137" spans="1:21" x14ac:dyDescent="0.25">
      <c r="A137" s="76" t="s">
        <v>164</v>
      </c>
      <c r="B137" s="77">
        <v>0</v>
      </c>
      <c r="C137" s="78">
        <f>IFERROR(B137/B327, "NA")</f>
        <v>0</v>
      </c>
      <c r="D137" s="79"/>
      <c r="E137" s="77">
        <v>0</v>
      </c>
      <c r="F137" s="78">
        <f>IFERROR(E137/E327, "NA")</f>
        <v>0</v>
      </c>
      <c r="G137" s="79"/>
      <c r="H137" s="77">
        <v>0</v>
      </c>
      <c r="I137" s="78">
        <f>IFERROR(H137/H327, "NA")</f>
        <v>0</v>
      </c>
      <c r="J137" s="79"/>
      <c r="K137" s="77">
        <v>0</v>
      </c>
      <c r="L137" s="78">
        <f>IFERROR(K137/K327, "NA")</f>
        <v>0</v>
      </c>
      <c r="M137" s="79"/>
      <c r="N137" s="77">
        <v>0</v>
      </c>
      <c r="O137" s="78">
        <f>IFERROR(N137/N327, "NA")</f>
        <v>0</v>
      </c>
      <c r="P137" s="79"/>
      <c r="Q137" s="77">
        <v>0</v>
      </c>
      <c r="R137" s="78">
        <f>IFERROR(Q137/Q327, "NA")</f>
        <v>0</v>
      </c>
      <c r="T137" s="80">
        <f t="shared" ref="T137:T200" si="4">IFERROR(B137+E137+H137+K137+N137+Q137, "NA")</f>
        <v>0</v>
      </c>
      <c r="U137" s="80">
        <f t="shared" ref="U137:U200" si="5">(T137/$V$1)/7</f>
        <v>0</v>
      </c>
    </row>
    <row r="138" spans="1:21" x14ac:dyDescent="0.25">
      <c r="A138" s="76" t="s">
        <v>165</v>
      </c>
      <c r="B138" s="77">
        <v>0</v>
      </c>
      <c r="C138" s="78">
        <f>IFERROR(B138/B327, "NA")</f>
        <v>0</v>
      </c>
      <c r="D138" s="79"/>
      <c r="E138" s="77">
        <v>0</v>
      </c>
      <c r="F138" s="78">
        <f>IFERROR(E138/E327, "NA")</f>
        <v>0</v>
      </c>
      <c r="G138" s="79"/>
      <c r="H138" s="77">
        <v>0</v>
      </c>
      <c r="I138" s="78">
        <f>IFERROR(H138/H327, "NA")</f>
        <v>0</v>
      </c>
      <c r="J138" s="79"/>
      <c r="K138" s="77">
        <v>0</v>
      </c>
      <c r="L138" s="78">
        <f>IFERROR(K138/K327, "NA")</f>
        <v>0</v>
      </c>
      <c r="M138" s="79"/>
      <c r="N138" s="77">
        <v>0</v>
      </c>
      <c r="O138" s="78">
        <f>IFERROR(N138/N327, "NA")</f>
        <v>0</v>
      </c>
      <c r="P138" s="79"/>
      <c r="Q138" s="77">
        <v>0</v>
      </c>
      <c r="R138" s="78">
        <f>IFERROR(Q138/Q327, "NA")</f>
        <v>0</v>
      </c>
      <c r="T138" s="80">
        <f t="shared" si="4"/>
        <v>0</v>
      </c>
      <c r="U138" s="80">
        <f t="shared" si="5"/>
        <v>0</v>
      </c>
    </row>
    <row r="139" spans="1:21" x14ac:dyDescent="0.25">
      <c r="A139" s="76" t="s">
        <v>166</v>
      </c>
      <c r="B139" s="77">
        <v>140702.29</v>
      </c>
      <c r="C139" s="78">
        <f>IFERROR(B139/B327, "NA")</f>
        <v>3.6345744647737065E-2</v>
      </c>
      <c r="D139" s="79"/>
      <c r="E139" s="77">
        <v>108871.52</v>
      </c>
      <c r="F139" s="78">
        <f>IFERROR(E139/E327, "NA")</f>
        <v>3.6909624275102325E-2</v>
      </c>
      <c r="G139" s="79"/>
      <c r="H139" s="77">
        <v>155677.19</v>
      </c>
      <c r="I139" s="78">
        <f>IFERROR(H139/H327, "NA")</f>
        <v>3.3747774892061155E-2</v>
      </c>
      <c r="J139" s="79"/>
      <c r="K139" s="77">
        <v>124454.92</v>
      </c>
      <c r="L139" s="78">
        <f>IFERROR(K139/K327, "NA")</f>
        <v>3.9265509269328959E-2</v>
      </c>
      <c r="M139" s="79"/>
      <c r="N139" s="77">
        <v>149663.6</v>
      </c>
      <c r="O139" s="78">
        <f>IFERROR(N139/N327, "NA")</f>
        <v>3.7811922890807453E-2</v>
      </c>
      <c r="P139" s="79"/>
      <c r="Q139" s="77">
        <v>143880.54999999999</v>
      </c>
      <c r="R139" s="78">
        <f>IFERROR(Q139/Q327, "NA")</f>
        <v>4.2175475524910008E-2</v>
      </c>
      <c r="T139" s="80">
        <f t="shared" si="4"/>
        <v>823250.07000000007</v>
      </c>
      <c r="U139" s="80">
        <f t="shared" si="5"/>
        <v>4523.3520329670337</v>
      </c>
    </row>
    <row r="140" spans="1:21" x14ac:dyDescent="0.25">
      <c r="A140" s="76" t="s">
        <v>167</v>
      </c>
      <c r="B140" s="77">
        <v>0</v>
      </c>
      <c r="C140" s="78">
        <f>IFERROR(B140/B327, "NA")</f>
        <v>0</v>
      </c>
      <c r="D140" s="79"/>
      <c r="E140" s="77">
        <v>0</v>
      </c>
      <c r="F140" s="78">
        <f>IFERROR(E140/E327, "NA")</f>
        <v>0</v>
      </c>
      <c r="G140" s="79"/>
      <c r="H140" s="77">
        <v>0</v>
      </c>
      <c r="I140" s="78">
        <f>IFERROR(H140/H327, "NA")</f>
        <v>0</v>
      </c>
      <c r="J140" s="79"/>
      <c r="K140" s="77">
        <v>0</v>
      </c>
      <c r="L140" s="78">
        <f>IFERROR(K140/K327, "NA")</f>
        <v>0</v>
      </c>
      <c r="M140" s="79"/>
      <c r="N140" s="77">
        <v>0</v>
      </c>
      <c r="O140" s="78">
        <f>IFERROR(N140/N327, "NA")</f>
        <v>0</v>
      </c>
      <c r="P140" s="79"/>
      <c r="Q140" s="77">
        <v>0</v>
      </c>
      <c r="R140" s="78">
        <f>IFERROR(Q140/Q327, "NA")</f>
        <v>0</v>
      </c>
      <c r="T140" s="80">
        <f t="shared" si="4"/>
        <v>0</v>
      </c>
      <c r="U140" s="80">
        <f t="shared" si="5"/>
        <v>0</v>
      </c>
    </row>
    <row r="141" spans="1:21" x14ac:dyDescent="0.25">
      <c r="A141" s="76" t="s">
        <v>168</v>
      </c>
      <c r="B141" s="77">
        <v>34455.74</v>
      </c>
      <c r="C141" s="78">
        <f>IFERROR(B141/B327, "NA")</f>
        <v>8.900491439683177E-3</v>
      </c>
      <c r="D141" s="79"/>
      <c r="E141" s="77">
        <v>38775.120000000003</v>
      </c>
      <c r="F141" s="78">
        <f>IFERROR(E141/E327, "NA")</f>
        <v>1.3145541739676324E-2</v>
      </c>
      <c r="G141" s="79"/>
      <c r="H141" s="77">
        <v>40398.6</v>
      </c>
      <c r="I141" s="78">
        <f>IFERROR(H141/H327, "NA")</f>
        <v>8.7576276187566176E-3</v>
      </c>
      <c r="J141" s="79"/>
      <c r="K141" s="77">
        <v>39134.51</v>
      </c>
      <c r="L141" s="78">
        <f>IFERROR(K141/K327, "NA")</f>
        <v>1.2346932247882584E-2</v>
      </c>
      <c r="M141" s="79"/>
      <c r="N141" s="77">
        <v>37960.080000000002</v>
      </c>
      <c r="O141" s="78">
        <f>IFERROR(N141/N327, "NA")</f>
        <v>9.5904656702690723E-3</v>
      </c>
      <c r="P141" s="79"/>
      <c r="Q141" s="77">
        <v>50632.959999999999</v>
      </c>
      <c r="R141" s="78">
        <f>IFERROR(Q141/Q327, "NA")</f>
        <v>1.4841958591579944E-2</v>
      </c>
      <c r="T141" s="80">
        <f t="shared" si="4"/>
        <v>241357.00999999998</v>
      </c>
      <c r="U141" s="80">
        <f t="shared" si="5"/>
        <v>1326.1374175824174</v>
      </c>
    </row>
    <row r="142" spans="1:21" x14ac:dyDescent="0.25">
      <c r="A142" s="76" t="s">
        <v>169</v>
      </c>
      <c r="B142" s="77">
        <v>24424.959999999999</v>
      </c>
      <c r="C142" s="78">
        <f>IFERROR(B142/B327, "NA")</f>
        <v>6.3093739212858003E-3</v>
      </c>
      <c r="D142" s="79"/>
      <c r="E142" s="77">
        <v>24425</v>
      </c>
      <c r="F142" s="78">
        <f>IFERROR(E142/E327, "NA")</f>
        <v>8.2805638510362878E-3</v>
      </c>
      <c r="G142" s="79"/>
      <c r="H142" s="77">
        <v>30532</v>
      </c>
      <c r="I142" s="78">
        <f>IFERROR(H142/H327, "NA")</f>
        <v>6.6187414033129135E-3</v>
      </c>
      <c r="J142" s="79"/>
      <c r="K142" s="77">
        <v>24425</v>
      </c>
      <c r="L142" s="78">
        <f>IFERROR(K142/K327, "NA")</f>
        <v>7.7060839692264472E-3</v>
      </c>
      <c r="M142" s="79"/>
      <c r="N142" s="77">
        <v>24623</v>
      </c>
      <c r="O142" s="78">
        <f>IFERROR(N142/N327, "NA")</f>
        <v>6.2209045976466685E-3</v>
      </c>
      <c r="P142" s="79"/>
      <c r="Q142" s="77">
        <v>24852.82</v>
      </c>
      <c r="R142" s="78">
        <f>IFERROR(Q142/Q327, "NA")</f>
        <v>7.2850673814841135E-3</v>
      </c>
      <c r="T142" s="80">
        <f t="shared" si="4"/>
        <v>153282.78</v>
      </c>
      <c r="U142" s="80">
        <f t="shared" si="5"/>
        <v>842.21307692307698</v>
      </c>
    </row>
    <row r="143" spans="1:21" x14ac:dyDescent="0.25">
      <c r="A143" s="81" t="s">
        <v>170</v>
      </c>
      <c r="B143" s="82">
        <f>IFERROR(B122+B123+B124+B125+B126+B127+B128+B129+B130+B131+B132+B133+B134+B135+B136+B137+B138+B139+B140+B141+B142, "NA")</f>
        <v>294498.18000000005</v>
      </c>
      <c r="C143" s="83">
        <f>IFERROR(B143/B327, "NA")</f>
        <v>7.6073784225568097E-2</v>
      </c>
      <c r="D143" s="72"/>
      <c r="E143" s="82">
        <f>IFERROR(E122+E123+E124+E125+E126+E127+E128+E129+E130+E131+E132+E133+E134+E135+E136+E137+E138+E139+E140+E141+E142, "NA")</f>
        <v>298028.27</v>
      </c>
      <c r="F143" s="83">
        <f>IFERROR(E143/E327, "NA")</f>
        <v>0.10103754837866459</v>
      </c>
      <c r="G143" s="72"/>
      <c r="H143" s="82">
        <f>IFERROR(H122+H123+H124+H125+H126+H127+H128+H129+H130+H131+H132+H133+H134+H135+H136+H137+H138+H139+H140+H141+H142, "NA")</f>
        <v>364814.44999999995</v>
      </c>
      <c r="I143" s="83">
        <f>IFERROR(H143/H327, "NA")</f>
        <v>7.9084649048271602E-2</v>
      </c>
      <c r="J143" s="72"/>
      <c r="K143" s="82">
        <f>IFERROR(K122+K123+K124+K125+K126+K127+K128+K129+K130+K131+K132+K133+K134+K135+K136+K137+K138+K139+K140+K141+K142, "NA")</f>
        <v>253772.19</v>
      </c>
      <c r="L143" s="83">
        <f>IFERROR(K143/K327, "NA")</f>
        <v>8.0065089260777406E-2</v>
      </c>
      <c r="M143" s="72"/>
      <c r="N143" s="82">
        <f>IFERROR(N122+N123+N124+N125+N126+N127+N128+N129+N130+N131+N132+N133+N134+N135+N136+N137+N138+N139+N140+N141+N142, "NA")</f>
        <v>275608.27</v>
      </c>
      <c r="O143" s="83">
        <f>IFERROR(N143/N327, "NA")</f>
        <v>6.9631350931748548E-2</v>
      </c>
      <c r="P143" s="72"/>
      <c r="Q143" s="82">
        <f>IFERROR(Q122+Q123+Q124+Q125+Q126+Q127+Q128+Q129+Q130+Q131+Q132+Q133+Q134+Q135+Q136+Q137+Q138+Q139+Q140+Q141+Q142, "NA")</f>
        <v>311712.56</v>
      </c>
      <c r="R143" s="83">
        <f>IFERROR(Q143/Q327, "NA")</f>
        <v>9.1371804215976682E-2</v>
      </c>
      <c r="T143" s="80">
        <f t="shared" si="4"/>
        <v>1798433.9200000002</v>
      </c>
      <c r="U143" s="80">
        <f t="shared" si="5"/>
        <v>9881.5050549450552</v>
      </c>
    </row>
    <row r="144" spans="1:21" x14ac:dyDescent="0.25">
      <c r="A144" s="75" t="s">
        <v>171</v>
      </c>
      <c r="B144" s="72"/>
      <c r="C144" s="73"/>
      <c r="D144" s="74"/>
      <c r="E144" s="72"/>
      <c r="F144" s="73"/>
      <c r="G144" s="74"/>
      <c r="H144" s="72"/>
      <c r="I144" s="73"/>
      <c r="J144" s="74"/>
      <c r="K144" s="72"/>
      <c r="L144" s="73"/>
      <c r="M144" s="74"/>
      <c r="N144" s="72"/>
      <c r="O144" s="73"/>
      <c r="P144" s="74"/>
      <c r="Q144" s="72"/>
      <c r="R144" s="73"/>
      <c r="T144" s="80">
        <f t="shared" si="4"/>
        <v>0</v>
      </c>
      <c r="U144" s="80">
        <f t="shared" si="5"/>
        <v>0</v>
      </c>
    </row>
    <row r="145" spans="1:21" x14ac:dyDescent="0.25">
      <c r="A145" s="76" t="s">
        <v>172</v>
      </c>
      <c r="B145" s="77">
        <v>0</v>
      </c>
      <c r="C145" s="78">
        <f>IFERROR(B145/B327, "NA")</f>
        <v>0</v>
      </c>
      <c r="D145" s="79"/>
      <c r="E145" s="77">
        <v>0</v>
      </c>
      <c r="F145" s="78">
        <f>IFERROR(E145/E327, "NA")</f>
        <v>0</v>
      </c>
      <c r="G145" s="79"/>
      <c r="H145" s="77">
        <v>0</v>
      </c>
      <c r="I145" s="78">
        <f>IFERROR(H145/H327, "NA")</f>
        <v>0</v>
      </c>
      <c r="J145" s="79"/>
      <c r="K145" s="77">
        <v>0</v>
      </c>
      <c r="L145" s="78">
        <f>IFERROR(K145/K327, "NA")</f>
        <v>0</v>
      </c>
      <c r="M145" s="79"/>
      <c r="N145" s="77">
        <v>0</v>
      </c>
      <c r="O145" s="78">
        <f>IFERROR(N145/N327, "NA")</f>
        <v>0</v>
      </c>
      <c r="P145" s="79"/>
      <c r="Q145" s="77">
        <v>0</v>
      </c>
      <c r="R145" s="78">
        <f>IFERROR(Q145/Q327, "NA")</f>
        <v>0</v>
      </c>
      <c r="T145" s="80">
        <f t="shared" si="4"/>
        <v>0</v>
      </c>
      <c r="U145" s="80">
        <f t="shared" si="5"/>
        <v>0</v>
      </c>
    </row>
    <row r="146" spans="1:21" x14ac:dyDescent="0.25">
      <c r="A146" s="76" t="s">
        <v>173</v>
      </c>
      <c r="B146" s="77">
        <v>90353.88</v>
      </c>
      <c r="C146" s="78">
        <f>IFERROR(B146/B327, "NA")</f>
        <v>2.3339911883539899E-2</v>
      </c>
      <c r="D146" s="79"/>
      <c r="E146" s="77">
        <v>81970.289999999994</v>
      </c>
      <c r="F146" s="78">
        <f>IFERROR(E146/E327, "NA")</f>
        <v>2.7789568893877636E-2</v>
      </c>
      <c r="G146" s="79"/>
      <c r="H146" s="77">
        <v>101588.44</v>
      </c>
      <c r="I146" s="78">
        <f>IFERROR(H146/H327, "NA")</f>
        <v>2.2022390080111677E-2</v>
      </c>
      <c r="J146" s="79"/>
      <c r="K146" s="77">
        <v>74627.23</v>
      </c>
      <c r="L146" s="78">
        <f>IFERROR(K146/K327, "NA")</f>
        <v>2.3544880277206751E-2</v>
      </c>
      <c r="M146" s="79"/>
      <c r="N146" s="77">
        <v>84828.95</v>
      </c>
      <c r="O146" s="78">
        <f>IFERROR(N146/N327, "NA")</f>
        <v>2.1431702273018695E-2</v>
      </c>
      <c r="P146" s="79"/>
      <c r="Q146" s="77">
        <v>90280.13</v>
      </c>
      <c r="R146" s="78">
        <f>IFERROR(Q146/Q327, "NA")</f>
        <v>2.6463670129150147E-2</v>
      </c>
      <c r="T146" s="80">
        <f t="shared" si="4"/>
        <v>523648.92</v>
      </c>
      <c r="U146" s="80">
        <f t="shared" si="5"/>
        <v>2877.191868131868</v>
      </c>
    </row>
    <row r="147" spans="1:21" x14ac:dyDescent="0.25">
      <c r="A147" s="76" t="s">
        <v>174</v>
      </c>
      <c r="B147" s="77">
        <v>37385.480000000003</v>
      </c>
      <c r="C147" s="78">
        <f>IFERROR(B147/B327, "NA")</f>
        <v>9.6572920711744011E-3</v>
      </c>
      <c r="D147" s="79"/>
      <c r="E147" s="77">
        <v>13658.49</v>
      </c>
      <c r="F147" s="78">
        <f>IFERROR(E147/E327, "NA")</f>
        <v>4.6305014760999229E-3</v>
      </c>
      <c r="G147" s="79"/>
      <c r="H147" s="77">
        <v>-717.18</v>
      </c>
      <c r="I147" s="78">
        <f>IFERROR(H147/H327, "NA")</f>
        <v>-1.5547061966552977E-4</v>
      </c>
      <c r="J147" s="79"/>
      <c r="K147" s="77">
        <v>5206.3500000000004</v>
      </c>
      <c r="L147" s="78">
        <f>IFERROR(K147/K327, "NA")</f>
        <v>1.6426026723923076E-3</v>
      </c>
      <c r="M147" s="79"/>
      <c r="N147" s="77">
        <v>-1811.89</v>
      </c>
      <c r="O147" s="78">
        <f>IFERROR(N147/N327, "NA")</f>
        <v>-4.5776691838646884E-4</v>
      </c>
      <c r="P147" s="79"/>
      <c r="Q147" s="77">
        <v>-10203.23</v>
      </c>
      <c r="R147" s="78">
        <f>IFERROR(Q147/Q327, "NA")</f>
        <v>-2.9908564926949999E-3</v>
      </c>
      <c r="T147" s="80">
        <f t="shared" si="4"/>
        <v>43518.020000000004</v>
      </c>
      <c r="U147" s="80">
        <f t="shared" si="5"/>
        <v>239.11000000000004</v>
      </c>
    </row>
    <row r="148" spans="1:21" x14ac:dyDescent="0.25">
      <c r="A148" s="76" t="s">
        <v>175</v>
      </c>
      <c r="B148" s="77">
        <v>13419.97</v>
      </c>
      <c r="C148" s="78">
        <f>IFERROR(B148/B327, "NA")</f>
        <v>3.4666017361927228E-3</v>
      </c>
      <c r="D148" s="79"/>
      <c r="E148" s="77">
        <v>13878.27</v>
      </c>
      <c r="F148" s="78">
        <f>IFERROR(E148/E327, "NA")</f>
        <v>4.7050112948586031E-3</v>
      </c>
      <c r="G148" s="79"/>
      <c r="H148" s="77">
        <v>17832.47</v>
      </c>
      <c r="I148" s="78">
        <f>IFERROR(H148/H327, "NA")</f>
        <v>3.8657312823377255E-3</v>
      </c>
      <c r="J148" s="79"/>
      <c r="K148" s="77">
        <v>5400.39</v>
      </c>
      <c r="L148" s="78">
        <f>IFERROR(K148/K327, "NA")</f>
        <v>1.7038222643427151E-3</v>
      </c>
      <c r="M148" s="79"/>
      <c r="N148" s="77">
        <v>7913.1</v>
      </c>
      <c r="O148" s="78">
        <f>IFERROR(N148/N327, "NA")</f>
        <v>1.9992137502188138E-3</v>
      </c>
      <c r="P148" s="79"/>
      <c r="Q148" s="77">
        <v>8496.85</v>
      </c>
      <c r="R148" s="78">
        <f>IFERROR(Q148/Q327, "NA")</f>
        <v>2.4906680521712744E-3</v>
      </c>
      <c r="T148" s="80">
        <f t="shared" si="4"/>
        <v>66941.05</v>
      </c>
      <c r="U148" s="80">
        <f t="shared" si="5"/>
        <v>367.80796703296704</v>
      </c>
    </row>
    <row r="149" spans="1:21" x14ac:dyDescent="0.25">
      <c r="A149" s="76" t="s">
        <v>176</v>
      </c>
      <c r="B149" s="77">
        <v>13213.27</v>
      </c>
      <c r="C149" s="78">
        <f>IFERROR(B149/B327, "NA")</f>
        <v>3.4132076839801595E-3</v>
      </c>
      <c r="D149" s="79"/>
      <c r="E149" s="77">
        <v>13447.52</v>
      </c>
      <c r="F149" s="78">
        <f>IFERROR(E149/E327, "NA")</f>
        <v>4.5589784236678612E-3</v>
      </c>
      <c r="G149" s="79"/>
      <c r="H149" s="77">
        <v>7517.95</v>
      </c>
      <c r="I149" s="78">
        <f>IFERROR(H149/H327, "NA")</f>
        <v>1.6297447574032595E-3</v>
      </c>
      <c r="J149" s="79"/>
      <c r="K149" s="77">
        <v>3668.94</v>
      </c>
      <c r="L149" s="78">
        <f>IFERROR(K149/K327, "NA")</f>
        <v>1.1575500396337228E-3</v>
      </c>
      <c r="M149" s="79"/>
      <c r="N149" s="77">
        <v>2044</v>
      </c>
      <c r="O149" s="78">
        <f>IFERROR(N149/N327, "NA")</f>
        <v>5.1640860161596028E-4</v>
      </c>
      <c r="P149" s="79"/>
      <c r="Q149" s="77">
        <v>24592.59</v>
      </c>
      <c r="R149" s="78">
        <f>IFERROR(Q149/Q327, "NA")</f>
        <v>7.2087865777490196E-3</v>
      </c>
      <c r="T149" s="80">
        <f t="shared" si="4"/>
        <v>64484.270000000004</v>
      </c>
      <c r="U149" s="80">
        <f t="shared" si="5"/>
        <v>354.30917582417584</v>
      </c>
    </row>
    <row r="150" spans="1:21" x14ac:dyDescent="0.25">
      <c r="A150" s="76" t="s">
        <v>177</v>
      </c>
      <c r="B150" s="77">
        <v>13661</v>
      </c>
      <c r="C150" s="78">
        <f>IFERROR(B150/B327, "NA")</f>
        <v>3.5288637991089987E-3</v>
      </c>
      <c r="D150" s="79"/>
      <c r="E150" s="77">
        <v>11615.8</v>
      </c>
      <c r="F150" s="78">
        <f>IFERROR(E150/E327, "NA")</f>
        <v>3.9379886829423666E-3</v>
      </c>
      <c r="G150" s="79"/>
      <c r="H150" s="77">
        <v>13390.97</v>
      </c>
      <c r="I150" s="78">
        <f>IFERROR(H150/H327, "NA")</f>
        <v>2.902900811264284E-3</v>
      </c>
      <c r="J150" s="79"/>
      <c r="K150" s="77">
        <v>13065.02</v>
      </c>
      <c r="L150" s="78">
        <f>IFERROR(K150/K327, "NA")</f>
        <v>4.1220119213765775E-3</v>
      </c>
      <c r="M150" s="79"/>
      <c r="N150" s="77">
        <v>6732.31</v>
      </c>
      <c r="O150" s="78">
        <f>IFERROR(N150/N327, "NA")</f>
        <v>1.7008917772725761E-3</v>
      </c>
      <c r="P150" s="79"/>
      <c r="Q150" s="77">
        <v>7789.5</v>
      </c>
      <c r="R150" s="78">
        <f>IFERROR(Q150/Q327, "NA")</f>
        <v>2.2833236778792309E-3</v>
      </c>
      <c r="T150" s="80">
        <f t="shared" si="4"/>
        <v>66254.599999999991</v>
      </c>
      <c r="U150" s="80">
        <f t="shared" si="5"/>
        <v>364.03626373626366</v>
      </c>
    </row>
    <row r="151" spans="1:21" x14ac:dyDescent="0.25">
      <c r="A151" s="81" t="s">
        <v>178</v>
      </c>
      <c r="B151" s="82">
        <f>IFERROR(B145+B146+B147+B148+B149+B150, "NA")</f>
        <v>168033.6</v>
      </c>
      <c r="C151" s="83">
        <f>IFERROR(B151/B327, "NA")</f>
        <v>4.3405877173996181E-2</v>
      </c>
      <c r="D151" s="72"/>
      <c r="E151" s="82">
        <f>IFERROR(E145+E146+E147+E148+E149+E150, "NA")</f>
        <v>134570.37</v>
      </c>
      <c r="F151" s="83">
        <f>IFERROR(E151/E327, "NA")</f>
        <v>4.5622048771446391E-2</v>
      </c>
      <c r="G151" s="72"/>
      <c r="H151" s="82">
        <f>IFERROR(H145+H146+H147+H148+H149+H150, "NA")</f>
        <v>139612.65</v>
      </c>
      <c r="I151" s="83">
        <f>IFERROR(H151/H327, "NA")</f>
        <v>3.0265296311451417E-2</v>
      </c>
      <c r="J151" s="72"/>
      <c r="K151" s="82">
        <f>IFERROR(K145+K146+K147+K148+K149+K150, "NA")</f>
        <v>101967.93000000001</v>
      </c>
      <c r="L151" s="83">
        <f>IFERROR(K151/K327, "NA")</f>
        <v>3.2170867174952079E-2</v>
      </c>
      <c r="M151" s="72"/>
      <c r="N151" s="82">
        <f>IFERROR(N145+N146+N147+N148+N149+N150, "NA")</f>
        <v>99706.47</v>
      </c>
      <c r="O151" s="83">
        <f>IFERROR(N151/N327, "NA")</f>
        <v>2.5190449483739576E-2</v>
      </c>
      <c r="P151" s="72"/>
      <c r="Q151" s="82">
        <f>IFERROR(Q145+Q146+Q147+Q148+Q149+Q150, "NA")</f>
        <v>120955.84000000001</v>
      </c>
      <c r="R151" s="83">
        <f>IFERROR(Q151/Q327, "NA")</f>
        <v>3.5455591944254676E-2</v>
      </c>
      <c r="T151" s="80">
        <f t="shared" si="4"/>
        <v>764846.86</v>
      </c>
      <c r="U151" s="80">
        <f t="shared" si="5"/>
        <v>4202.4552747252746</v>
      </c>
    </row>
    <row r="152" spans="1:21" x14ac:dyDescent="0.25">
      <c r="A152" s="84" t="s">
        <v>179</v>
      </c>
      <c r="B152" s="77">
        <v>0</v>
      </c>
      <c r="C152" s="78">
        <f>IFERROR(B152/B327, "NA")</f>
        <v>0</v>
      </c>
      <c r="D152" s="79"/>
      <c r="E152" s="77">
        <v>0</v>
      </c>
      <c r="F152" s="78">
        <f>IFERROR(E152/E327, "NA")</f>
        <v>0</v>
      </c>
      <c r="G152" s="79"/>
      <c r="H152" s="77">
        <v>0</v>
      </c>
      <c r="I152" s="78">
        <f>IFERROR(H152/H327, "NA")</f>
        <v>0</v>
      </c>
      <c r="J152" s="79"/>
      <c r="K152" s="77">
        <v>0</v>
      </c>
      <c r="L152" s="78">
        <f>IFERROR(K152/K327, "NA")</f>
        <v>0</v>
      </c>
      <c r="M152" s="79"/>
      <c r="N152" s="77">
        <v>0</v>
      </c>
      <c r="O152" s="78">
        <f>IFERROR(N152/N327, "NA")</f>
        <v>0</v>
      </c>
      <c r="P152" s="79"/>
      <c r="Q152" s="77">
        <v>0</v>
      </c>
      <c r="R152" s="78">
        <f>IFERROR(Q152/Q327, "NA")</f>
        <v>0</v>
      </c>
      <c r="T152" s="80">
        <f t="shared" si="4"/>
        <v>0</v>
      </c>
      <c r="U152" s="80">
        <f t="shared" si="5"/>
        <v>0</v>
      </c>
    </row>
    <row r="153" spans="1:21" x14ac:dyDescent="0.25">
      <c r="A153" s="84" t="s">
        <v>180</v>
      </c>
      <c r="B153" s="77">
        <v>18188.060000000001</v>
      </c>
      <c r="C153" s="78">
        <f>IFERROR(B153/B327, "NA")</f>
        <v>4.6982787870596893E-3</v>
      </c>
      <c r="D153" s="79"/>
      <c r="E153" s="77">
        <v>15828.41</v>
      </c>
      <c r="F153" s="78">
        <f>IFERROR(E153/E327, "NA")</f>
        <v>5.3661477856860301E-3</v>
      </c>
      <c r="G153" s="79"/>
      <c r="H153" s="77">
        <v>1439.94</v>
      </c>
      <c r="I153" s="78">
        <f>IFERROR(H153/H327, "NA")</f>
        <v>3.1215087437070607E-4</v>
      </c>
      <c r="J153" s="79"/>
      <c r="K153" s="77">
        <v>16056.86</v>
      </c>
      <c r="L153" s="78">
        <f>IFERROR(K153/K327, "NA")</f>
        <v>5.0659370088889811E-3</v>
      </c>
      <c r="M153" s="79"/>
      <c r="N153" s="77">
        <v>14847.31</v>
      </c>
      <c r="O153" s="78">
        <f>IFERROR(N153/N327, "NA")</f>
        <v>3.751114772435745E-3</v>
      </c>
      <c r="P153" s="79"/>
      <c r="Q153" s="77">
        <v>17154.36</v>
      </c>
      <c r="R153" s="78">
        <f>IFERROR(Q153/Q327, "NA")</f>
        <v>5.0284301132119342E-3</v>
      </c>
      <c r="T153" s="80">
        <f t="shared" si="4"/>
        <v>83514.94</v>
      </c>
      <c r="U153" s="80">
        <f t="shared" si="5"/>
        <v>458.87329670329672</v>
      </c>
    </row>
    <row r="154" spans="1:21" x14ac:dyDescent="0.25">
      <c r="A154" s="84" t="s">
        <v>181</v>
      </c>
      <c r="B154" s="77">
        <v>685.93</v>
      </c>
      <c r="C154" s="78">
        <f>IFERROR(B154/B327, "NA")</f>
        <v>1.7718714191661191E-4</v>
      </c>
      <c r="D154" s="79"/>
      <c r="E154" s="77">
        <v>682.51</v>
      </c>
      <c r="F154" s="78">
        <f>IFERROR(E154/E327, "NA")</f>
        <v>2.3138455000903897E-4</v>
      </c>
      <c r="G154" s="79"/>
      <c r="H154" s="77">
        <v>-35.450000000000003</v>
      </c>
      <c r="I154" s="78">
        <f>IFERROR(H154/H327, "NA")</f>
        <v>-7.6848677697970268E-6</v>
      </c>
      <c r="J154" s="79"/>
      <c r="K154" s="77">
        <v>895.43</v>
      </c>
      <c r="L154" s="78">
        <f>IFERROR(K154/K327, "NA")</f>
        <v>2.8250803556046825E-4</v>
      </c>
      <c r="M154" s="79"/>
      <c r="N154" s="77">
        <v>1236.46</v>
      </c>
      <c r="O154" s="78">
        <f>IFERROR(N154/N327, "NA")</f>
        <v>3.1238678060375259E-4</v>
      </c>
      <c r="P154" s="79"/>
      <c r="Q154" s="77">
        <v>977.47</v>
      </c>
      <c r="R154" s="78">
        <f>IFERROR(Q154/Q327, "NA")</f>
        <v>2.8652421791085583E-4</v>
      </c>
      <c r="T154" s="80">
        <f t="shared" si="4"/>
        <v>4442.3500000000004</v>
      </c>
      <c r="U154" s="80">
        <f t="shared" si="5"/>
        <v>24.408516483516486</v>
      </c>
    </row>
    <row r="155" spans="1:21" x14ac:dyDescent="0.25">
      <c r="A155" s="84" t="s">
        <v>182</v>
      </c>
      <c r="B155" s="77">
        <v>69.650000000000006</v>
      </c>
      <c r="C155" s="78">
        <f>IFERROR(B155/B327, "NA")</f>
        <v>1.7991754894073769E-5</v>
      </c>
      <c r="D155" s="79"/>
      <c r="E155" s="77">
        <v>58.8</v>
      </c>
      <c r="F155" s="78">
        <f>IFERROR(E155/E327, "NA")</f>
        <v>1.9934376845074049E-5</v>
      </c>
      <c r="G155" s="79"/>
      <c r="H155" s="77">
        <v>-209.52</v>
      </c>
      <c r="I155" s="78">
        <f>IFERROR(H155/H327, "NA")</f>
        <v>-4.5419844714467502E-5</v>
      </c>
      <c r="J155" s="79"/>
      <c r="K155" s="77">
        <v>-132.03</v>
      </c>
      <c r="L155" s="78">
        <f>IFERROR(K155/K327, "NA")</f>
        <v>-4.1655445914307791E-5</v>
      </c>
      <c r="M155" s="79"/>
      <c r="N155" s="77">
        <v>-127.55</v>
      </c>
      <c r="O155" s="78">
        <f>IFERROR(N155/N327, "NA")</f>
        <v>-3.2225008383618267E-5</v>
      </c>
      <c r="P155" s="79"/>
      <c r="Q155" s="77">
        <v>-132.30000000000001</v>
      </c>
      <c r="R155" s="78">
        <f>IFERROR(Q155/Q327, "NA")</f>
        <v>-3.8780887423252102E-5</v>
      </c>
      <c r="T155" s="80">
        <f t="shared" si="4"/>
        <v>-472.95000000000005</v>
      </c>
      <c r="U155" s="80">
        <f t="shared" si="5"/>
        <v>-2.5986263736263737</v>
      </c>
    </row>
    <row r="156" spans="1:21" x14ac:dyDescent="0.25">
      <c r="A156" s="84" t="s">
        <v>183</v>
      </c>
      <c r="B156" s="77">
        <v>0</v>
      </c>
      <c r="C156" s="78">
        <f>IFERROR(B156/B327, "NA")</f>
        <v>0</v>
      </c>
      <c r="D156" s="79"/>
      <c r="E156" s="77">
        <v>0</v>
      </c>
      <c r="F156" s="78">
        <f>IFERROR(E156/E327, "NA")</f>
        <v>0</v>
      </c>
      <c r="G156" s="79"/>
      <c r="H156" s="77">
        <v>107.8</v>
      </c>
      <c r="I156" s="78">
        <f>IFERROR(H156/H327, "NA")</f>
        <v>2.3368934995320714E-5</v>
      </c>
      <c r="J156" s="79"/>
      <c r="K156" s="77">
        <v>0</v>
      </c>
      <c r="L156" s="78">
        <f>IFERROR(K156/K327, "NA")</f>
        <v>0</v>
      </c>
      <c r="M156" s="79"/>
      <c r="N156" s="77">
        <v>0</v>
      </c>
      <c r="O156" s="78">
        <f>IFERROR(N156/N327, "NA")</f>
        <v>0</v>
      </c>
      <c r="P156" s="79"/>
      <c r="Q156" s="77">
        <v>38.22</v>
      </c>
      <c r="R156" s="78">
        <f>IFERROR(Q156/Q327, "NA")</f>
        <v>1.1203367477828384E-5</v>
      </c>
      <c r="T156" s="80">
        <f t="shared" si="4"/>
        <v>146.01999999999998</v>
      </c>
      <c r="U156" s="80">
        <f t="shared" si="5"/>
        <v>0.80230769230769217</v>
      </c>
    </row>
    <row r="157" spans="1:21" x14ac:dyDescent="0.25">
      <c r="A157" s="85" t="s">
        <v>184</v>
      </c>
      <c r="B157" s="82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1576896.3599999999</v>
      </c>
      <c r="C157" s="83">
        <f>IFERROR(B157/B327, "NA")</f>
        <v>0.40733859012888884</v>
      </c>
      <c r="D157" s="72"/>
      <c r="E157" s="82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1398167.04</v>
      </c>
      <c r="F157" s="83">
        <f>IFERROR(E157/E327, "NA")</f>
        <v>0.47400660999526745</v>
      </c>
      <c r="G157" s="72"/>
      <c r="H157" s="82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1874067.8299999996</v>
      </c>
      <c r="I157" s="83">
        <f>IFERROR(H157/H327, "NA")</f>
        <v>0.40626131072441324</v>
      </c>
      <c r="J157" s="72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1404756.7200000002</v>
      </c>
      <c r="L157" s="83">
        <f>IFERROR(K157/K327, "NA")</f>
        <v>0.4432005420943757</v>
      </c>
      <c r="M157" s="72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1486794.4000000001</v>
      </c>
      <c r="O157" s="83">
        <f>IFERROR(N157/N327, "NA")</f>
        <v>0.37563278717927628</v>
      </c>
      <c r="P157" s="72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1620679.6900000006</v>
      </c>
      <c r="R157" s="83">
        <f>IFERROR(Q157/Q327, "NA")</f>
        <v>0.47506724570703807</v>
      </c>
      <c r="T157" s="80">
        <f t="shared" si="4"/>
        <v>9361362.040000001</v>
      </c>
      <c r="U157" s="80">
        <f t="shared" si="5"/>
        <v>51436.055164835168</v>
      </c>
    </row>
    <row r="158" spans="1:21" x14ac:dyDescent="0.25">
      <c r="A158" s="71" t="s">
        <v>185</v>
      </c>
      <c r="B158" s="72"/>
      <c r="C158" s="73"/>
      <c r="D158" s="74"/>
      <c r="E158" s="72"/>
      <c r="F158" s="73"/>
      <c r="G158" s="74"/>
      <c r="H158" s="72"/>
      <c r="I158" s="73"/>
      <c r="J158" s="74"/>
      <c r="K158" s="72"/>
      <c r="L158" s="73"/>
      <c r="M158" s="74"/>
      <c r="N158" s="72"/>
      <c r="O158" s="73"/>
      <c r="P158" s="74"/>
      <c r="Q158" s="72"/>
      <c r="R158" s="73"/>
      <c r="T158" s="80">
        <f t="shared" si="4"/>
        <v>0</v>
      </c>
      <c r="U158" s="80">
        <f t="shared" si="5"/>
        <v>0</v>
      </c>
    </row>
    <row r="159" spans="1:21" x14ac:dyDescent="0.25">
      <c r="A159" s="75" t="s">
        <v>186</v>
      </c>
      <c r="B159" s="72"/>
      <c r="C159" s="73"/>
      <c r="D159" s="74"/>
      <c r="E159" s="72"/>
      <c r="F159" s="73"/>
      <c r="G159" s="74"/>
      <c r="H159" s="72"/>
      <c r="I159" s="73"/>
      <c r="J159" s="74"/>
      <c r="K159" s="72"/>
      <c r="L159" s="73"/>
      <c r="M159" s="74"/>
      <c r="N159" s="72"/>
      <c r="O159" s="73"/>
      <c r="P159" s="74"/>
      <c r="Q159" s="72"/>
      <c r="R159" s="73"/>
      <c r="T159" s="80">
        <f t="shared" si="4"/>
        <v>0</v>
      </c>
      <c r="U159" s="80">
        <f t="shared" si="5"/>
        <v>0</v>
      </c>
    </row>
    <row r="160" spans="1:21" x14ac:dyDescent="0.25">
      <c r="A160" s="76" t="s">
        <v>187</v>
      </c>
      <c r="B160" s="77">
        <v>0</v>
      </c>
      <c r="C160" s="78">
        <f>IFERROR(B160/B327, "NA")</f>
        <v>0</v>
      </c>
      <c r="D160" s="79"/>
      <c r="E160" s="77">
        <v>0</v>
      </c>
      <c r="F160" s="78">
        <f>IFERROR(E160/E327, "NA")</f>
        <v>0</v>
      </c>
      <c r="G160" s="79"/>
      <c r="H160" s="77">
        <v>0</v>
      </c>
      <c r="I160" s="78">
        <f>IFERROR(H160/H327, "NA")</f>
        <v>0</v>
      </c>
      <c r="J160" s="79"/>
      <c r="K160" s="77">
        <v>0</v>
      </c>
      <c r="L160" s="78">
        <f>IFERROR(K160/K327, "NA")</f>
        <v>0</v>
      </c>
      <c r="M160" s="79"/>
      <c r="N160" s="77">
        <v>0</v>
      </c>
      <c r="O160" s="78">
        <f>IFERROR(N160/N327, "NA")</f>
        <v>0</v>
      </c>
      <c r="P160" s="79"/>
      <c r="Q160" s="77">
        <v>0</v>
      </c>
      <c r="R160" s="78">
        <f>IFERROR(Q160/Q327, "NA")</f>
        <v>0</v>
      </c>
      <c r="T160" s="80">
        <f t="shared" si="4"/>
        <v>0</v>
      </c>
      <c r="U160" s="80">
        <f t="shared" si="5"/>
        <v>0</v>
      </c>
    </row>
    <row r="161" spans="1:21" x14ac:dyDescent="0.25">
      <c r="A161" s="76" t="s">
        <v>188</v>
      </c>
      <c r="B161" s="77">
        <v>0</v>
      </c>
      <c r="C161" s="78">
        <f>IFERROR(B161/B327, "NA")</f>
        <v>0</v>
      </c>
      <c r="D161" s="79"/>
      <c r="E161" s="77">
        <v>0</v>
      </c>
      <c r="F161" s="78">
        <f>IFERROR(E161/E327, "NA")</f>
        <v>0</v>
      </c>
      <c r="G161" s="79"/>
      <c r="H161" s="77">
        <v>0</v>
      </c>
      <c r="I161" s="78">
        <f>IFERROR(H161/H327, "NA")</f>
        <v>0</v>
      </c>
      <c r="J161" s="79"/>
      <c r="K161" s="77">
        <v>9.9700000000000006</v>
      </c>
      <c r="L161" s="78">
        <f>IFERROR(K161/K327, "NA")</f>
        <v>3.1455335587794344E-6</v>
      </c>
      <c r="M161" s="79"/>
      <c r="N161" s="77">
        <v>0.71</v>
      </c>
      <c r="O161" s="78">
        <f>IFERROR(N161/N327, "NA")</f>
        <v>1.7937872169634626E-7</v>
      </c>
      <c r="P161" s="79"/>
      <c r="Q161" s="77">
        <v>0</v>
      </c>
      <c r="R161" s="78">
        <f>IFERROR(Q161/Q327, "NA")</f>
        <v>0</v>
      </c>
      <c r="T161" s="80">
        <f t="shared" si="4"/>
        <v>10.68</v>
      </c>
      <c r="U161" s="80">
        <f t="shared" si="5"/>
        <v>5.8681318681318685E-2</v>
      </c>
    </row>
    <row r="162" spans="1:21" x14ac:dyDescent="0.25">
      <c r="A162" s="76" t="s">
        <v>189</v>
      </c>
      <c r="B162" s="77">
        <v>15571.05</v>
      </c>
      <c r="C162" s="78">
        <f>IFERROR(B162/B327, "NA")</f>
        <v>4.0222615225178372E-3</v>
      </c>
      <c r="D162" s="79"/>
      <c r="E162" s="77">
        <v>19679.16</v>
      </c>
      <c r="F162" s="78">
        <f>IFERROR(E162/E327, "NA")</f>
        <v>6.6716291060290389E-3</v>
      </c>
      <c r="G162" s="79"/>
      <c r="H162" s="77">
        <v>10522.43</v>
      </c>
      <c r="I162" s="78">
        <f>IFERROR(H162/H327, "NA")</f>
        <v>2.281057353087315E-3</v>
      </c>
      <c r="J162" s="79"/>
      <c r="K162" s="77">
        <v>9436.5300000000007</v>
      </c>
      <c r="L162" s="78">
        <f>IFERROR(K162/K327, "NA")</f>
        <v>2.977223850895576E-3</v>
      </c>
      <c r="M162" s="79"/>
      <c r="N162" s="77">
        <v>25716.25</v>
      </c>
      <c r="O162" s="78">
        <f>IFERROR(N162/N327, "NA")</f>
        <v>6.4971099321460071E-3</v>
      </c>
      <c r="P162" s="79"/>
      <c r="Q162" s="77">
        <v>-5287.95</v>
      </c>
      <c r="R162" s="78">
        <f>IFERROR(Q162/Q327, "NA")</f>
        <v>-1.550048326906923E-3</v>
      </c>
      <c r="T162" s="80">
        <f t="shared" si="4"/>
        <v>75637.47</v>
      </c>
      <c r="U162" s="80">
        <f t="shared" si="5"/>
        <v>415.59049450549452</v>
      </c>
    </row>
    <row r="163" spans="1:21" x14ac:dyDescent="0.25">
      <c r="A163" s="76" t="s">
        <v>190</v>
      </c>
      <c r="B163" s="77">
        <v>10822.66</v>
      </c>
      <c r="C163" s="78">
        <f>IFERROR(B163/B327, "NA")</f>
        <v>2.7956733097185414E-3</v>
      </c>
      <c r="D163" s="79"/>
      <c r="E163" s="77">
        <v>22186.37</v>
      </c>
      <c r="F163" s="78">
        <f>IFERROR(E163/E327, "NA")</f>
        <v>7.5216234762626793E-3</v>
      </c>
      <c r="G163" s="79"/>
      <c r="H163" s="77">
        <v>17183.09</v>
      </c>
      <c r="I163" s="78">
        <f>IFERROR(H163/H327, "NA")</f>
        <v>3.7249583787453194E-3</v>
      </c>
      <c r="J163" s="79"/>
      <c r="K163" s="77">
        <v>5516.66</v>
      </c>
      <c r="L163" s="78">
        <f>IFERROR(K163/K327, "NA")</f>
        <v>1.7405054325352208E-3</v>
      </c>
      <c r="M163" s="79"/>
      <c r="N163" s="77">
        <v>12139.71</v>
      </c>
      <c r="O163" s="78">
        <f>IFERROR(N163/N327, "NA")</f>
        <v>3.067050227555425E-3</v>
      </c>
      <c r="P163" s="79"/>
      <c r="Q163" s="77">
        <v>3743.21</v>
      </c>
      <c r="R163" s="78">
        <f>IFERROR(Q163/Q327, "NA")</f>
        <v>1.0972411610853476E-3</v>
      </c>
      <c r="T163" s="80">
        <f t="shared" si="4"/>
        <v>71591.7</v>
      </c>
      <c r="U163" s="80">
        <f t="shared" si="5"/>
        <v>393.36098901098904</v>
      </c>
    </row>
    <row r="164" spans="1:21" x14ac:dyDescent="0.25">
      <c r="A164" s="76" t="s">
        <v>191</v>
      </c>
      <c r="B164" s="77">
        <v>384.34</v>
      </c>
      <c r="C164" s="78">
        <f>IFERROR(B164/B327, "NA")</f>
        <v>9.9281422483679999E-5</v>
      </c>
      <c r="D164" s="79"/>
      <c r="E164" s="77">
        <v>0</v>
      </c>
      <c r="F164" s="78">
        <f>IFERROR(E164/E327, "NA")</f>
        <v>0</v>
      </c>
      <c r="G164" s="79"/>
      <c r="H164" s="77">
        <v>-142.21</v>
      </c>
      <c r="I164" s="78">
        <f>IFERROR(H164/H327, "NA")</f>
        <v>-3.0828351073140621E-5</v>
      </c>
      <c r="J164" s="79"/>
      <c r="K164" s="77">
        <v>-529.97</v>
      </c>
      <c r="L164" s="78">
        <f>IFERROR(K164/K327, "NA")</f>
        <v>-1.6720545838980308E-4</v>
      </c>
      <c r="M164" s="79"/>
      <c r="N164" s="77">
        <v>-493.2</v>
      </c>
      <c r="O164" s="78">
        <f>IFERROR(N164/N327, "NA")</f>
        <v>-1.2460505005723659E-4</v>
      </c>
      <c r="P164" s="79"/>
      <c r="Q164" s="77">
        <v>7157.46</v>
      </c>
      <c r="R164" s="78">
        <f>IFERROR(Q164/Q327, "NA")</f>
        <v>2.0980548034499617E-3</v>
      </c>
      <c r="T164" s="80">
        <f t="shared" si="4"/>
        <v>6376.42</v>
      </c>
      <c r="U164" s="80">
        <f t="shared" si="5"/>
        <v>35.035274725274725</v>
      </c>
    </row>
    <row r="165" spans="1:21" x14ac:dyDescent="0.25">
      <c r="A165" s="76" t="s">
        <v>192</v>
      </c>
      <c r="B165" s="77">
        <v>1227.1400000000001</v>
      </c>
      <c r="C165" s="78">
        <f>IFERROR(B165/B327, "NA")</f>
        <v>3.1699069778483394E-4</v>
      </c>
      <c r="D165" s="79"/>
      <c r="E165" s="77">
        <v>3827.93</v>
      </c>
      <c r="F165" s="78">
        <f>IFERROR(E165/E327, "NA")</f>
        <v>1.2977448836150394E-3</v>
      </c>
      <c r="G165" s="79"/>
      <c r="H165" s="77">
        <v>604.69000000000005</v>
      </c>
      <c r="I165" s="78">
        <f>IFERROR(H165/H327, "NA")</f>
        <v>1.310849842515815E-4</v>
      </c>
      <c r="J165" s="79"/>
      <c r="K165" s="77">
        <v>2945.36</v>
      </c>
      <c r="L165" s="78">
        <f>IFERROR(K165/K327, "NA")</f>
        <v>9.2926065423135345E-4</v>
      </c>
      <c r="M165" s="79"/>
      <c r="N165" s="77">
        <v>591.25</v>
      </c>
      <c r="O165" s="78">
        <f>IFERROR(N165/N327, "NA")</f>
        <v>1.4937699887741514E-4</v>
      </c>
      <c r="P165" s="79"/>
      <c r="Q165" s="77">
        <v>777.73</v>
      </c>
      <c r="R165" s="78">
        <f>IFERROR(Q165/Q327, "NA")</f>
        <v>2.2797475113897094E-4</v>
      </c>
      <c r="T165" s="80">
        <f t="shared" si="4"/>
        <v>9974.1</v>
      </c>
      <c r="U165" s="80">
        <f t="shared" si="5"/>
        <v>54.80274725274726</v>
      </c>
    </row>
    <row r="166" spans="1:21" x14ac:dyDescent="0.25">
      <c r="A166" s="76" t="s">
        <v>193</v>
      </c>
      <c r="B166" s="77">
        <v>6148.5</v>
      </c>
      <c r="C166" s="78">
        <f>IFERROR(B166/B327, "NA")</f>
        <v>1.5882599420848896E-3</v>
      </c>
      <c r="D166" s="79"/>
      <c r="E166" s="77">
        <v>5549.2</v>
      </c>
      <c r="F166" s="78">
        <f>IFERROR(E166/E327, "NA")</f>
        <v>1.8812898637531449E-3</v>
      </c>
      <c r="G166" s="79"/>
      <c r="H166" s="77">
        <v>12134.69</v>
      </c>
      <c r="I166" s="78">
        <f>IFERROR(H166/H327, "NA")</f>
        <v>2.6305638385748457E-3</v>
      </c>
      <c r="J166" s="79"/>
      <c r="K166" s="77">
        <v>3255.01</v>
      </c>
      <c r="L166" s="78">
        <f>IFERROR(K166/K327, "NA")</f>
        <v>1.0269551844696737E-3</v>
      </c>
      <c r="M166" s="79"/>
      <c r="N166" s="77">
        <v>6658.3</v>
      </c>
      <c r="O166" s="78">
        <f>IFERROR(N166/N327, "NA")</f>
        <v>1.6821934403813837E-3</v>
      </c>
      <c r="P166" s="79"/>
      <c r="Q166" s="77">
        <v>10461.219999999999</v>
      </c>
      <c r="R166" s="78">
        <f>IFERROR(Q166/Q327, "NA")</f>
        <v>3.0664806888123452E-3</v>
      </c>
      <c r="T166" s="80">
        <f t="shared" si="4"/>
        <v>44206.920000000006</v>
      </c>
      <c r="U166" s="80">
        <f t="shared" si="5"/>
        <v>242.89516483516488</v>
      </c>
    </row>
    <row r="167" spans="1:21" x14ac:dyDescent="0.25">
      <c r="A167" s="76" t="s">
        <v>194</v>
      </c>
      <c r="B167" s="77">
        <v>4332.04</v>
      </c>
      <c r="C167" s="78">
        <f>IFERROR(B167/B327, "NA")</f>
        <v>1.119038074247284E-3</v>
      </c>
      <c r="D167" s="79"/>
      <c r="E167" s="77">
        <v>7000.87</v>
      </c>
      <c r="F167" s="78">
        <f>IFERROR(E167/E327, "NA")</f>
        <v>2.3734350480165574E-3</v>
      </c>
      <c r="G167" s="79"/>
      <c r="H167" s="77">
        <v>10637.33</v>
      </c>
      <c r="I167" s="78">
        <f>IFERROR(H167/H327, "NA")</f>
        <v>2.3059654294413255E-3</v>
      </c>
      <c r="J167" s="79"/>
      <c r="K167" s="77">
        <v>5633.87</v>
      </c>
      <c r="L167" s="78">
        <f>IFERROR(K167/K327, "NA")</f>
        <v>1.7774851705918446E-3</v>
      </c>
      <c r="M167" s="79"/>
      <c r="N167" s="77">
        <v>5089.5600000000004</v>
      </c>
      <c r="O167" s="78">
        <f>IFERROR(N167/N327, "NA")</f>
        <v>1.2858574180237411E-3</v>
      </c>
      <c r="P167" s="79"/>
      <c r="Q167" s="77">
        <v>7437.35</v>
      </c>
      <c r="R167" s="78">
        <f>IFERROR(Q167/Q327, "NA")</f>
        <v>2.180098511544399E-3</v>
      </c>
      <c r="T167" s="80">
        <f t="shared" si="4"/>
        <v>40131.019999999997</v>
      </c>
      <c r="U167" s="80">
        <f t="shared" si="5"/>
        <v>220.50010989010985</v>
      </c>
    </row>
    <row r="168" spans="1:21" x14ac:dyDescent="0.25">
      <c r="A168" s="76" t="s">
        <v>195</v>
      </c>
      <c r="B168" s="77">
        <v>16096.02</v>
      </c>
      <c r="C168" s="78">
        <f>IFERROR(B168/B327, "NA")</f>
        <v>4.1578700159383957E-3</v>
      </c>
      <c r="D168" s="79"/>
      <c r="E168" s="77">
        <v>11572.6</v>
      </c>
      <c r="F168" s="78">
        <f>IFERROR(E168/E327, "NA")</f>
        <v>3.9233430183214964E-3</v>
      </c>
      <c r="G168" s="79"/>
      <c r="H168" s="77">
        <v>22241.5</v>
      </c>
      <c r="I168" s="78">
        <f>IFERROR(H168/H327, "NA")</f>
        <v>4.8215228914510735E-3</v>
      </c>
      <c r="J168" s="79"/>
      <c r="K168" s="77">
        <v>7727.65</v>
      </c>
      <c r="L168" s="78">
        <f>IFERROR(K168/K327, "NA")</f>
        <v>2.4380724579239612E-3</v>
      </c>
      <c r="M168" s="79"/>
      <c r="N168" s="77">
        <v>13396.25</v>
      </c>
      <c r="O168" s="78">
        <f>IFERROR(N168/N327, "NA")</f>
        <v>3.3845101415840547E-3</v>
      </c>
      <c r="P168" s="79"/>
      <c r="Q168" s="77">
        <v>19209.849999999999</v>
      </c>
      <c r="R168" s="78">
        <f>IFERROR(Q168/Q327, "NA")</f>
        <v>5.6309526097321188E-3</v>
      </c>
      <c r="T168" s="80">
        <f t="shared" si="4"/>
        <v>90243.87</v>
      </c>
      <c r="U168" s="80">
        <f t="shared" si="5"/>
        <v>495.8454395604395</v>
      </c>
    </row>
    <row r="169" spans="1:21" x14ac:dyDescent="0.25">
      <c r="A169" s="76" t="s">
        <v>196</v>
      </c>
      <c r="B169" s="77">
        <v>2218.0100000000002</v>
      </c>
      <c r="C169" s="78">
        <f>IFERROR(B169/B327, "NA")</f>
        <v>5.7294891992253495E-4</v>
      </c>
      <c r="D169" s="79"/>
      <c r="E169" s="77">
        <v>2216</v>
      </c>
      <c r="F169" s="78">
        <f>IFERROR(E169/E327, "NA")</f>
        <v>7.5126835184836905E-4</v>
      </c>
      <c r="G169" s="79"/>
      <c r="H169" s="77">
        <v>-380.68</v>
      </c>
      <c r="I169" s="78">
        <f>IFERROR(H169/H327, "NA")</f>
        <v>-8.2523990482548149E-5</v>
      </c>
      <c r="J169" s="79"/>
      <c r="K169" s="77">
        <v>1674.6</v>
      </c>
      <c r="L169" s="78">
        <f>IFERROR(K169/K327, "NA")</f>
        <v>5.2833605792698495E-4</v>
      </c>
      <c r="M169" s="79"/>
      <c r="N169" s="77">
        <v>2190.0700000000002</v>
      </c>
      <c r="O169" s="78">
        <f>IFERROR(N169/N327, "NA")</f>
        <v>5.5331261552889731E-4</v>
      </c>
      <c r="P169" s="79"/>
      <c r="Q169" s="77">
        <v>331.82</v>
      </c>
      <c r="R169" s="78">
        <f>IFERROR(Q169/Q327, "NA")</f>
        <v>9.7265865946965309E-5</v>
      </c>
      <c r="T169" s="80">
        <f t="shared" si="4"/>
        <v>8249.82</v>
      </c>
      <c r="U169" s="80">
        <f t="shared" si="5"/>
        <v>45.328681318681319</v>
      </c>
    </row>
    <row r="170" spans="1:21" x14ac:dyDescent="0.25">
      <c r="A170" s="76" t="s">
        <v>197</v>
      </c>
      <c r="B170" s="77">
        <v>7410.83</v>
      </c>
      <c r="C170" s="78">
        <f>IFERROR(B170/B327, "NA")</f>
        <v>1.9143408028951716E-3</v>
      </c>
      <c r="D170" s="79"/>
      <c r="E170" s="77">
        <v>15864.78</v>
      </c>
      <c r="F170" s="78">
        <f>IFERROR(E170/E327, "NA")</f>
        <v>5.3784779436087402E-3</v>
      </c>
      <c r="G170" s="79"/>
      <c r="H170" s="77">
        <v>27839.68</v>
      </c>
      <c r="I170" s="78">
        <f>IFERROR(H170/H327, "NA")</f>
        <v>6.0350990000976826E-3</v>
      </c>
      <c r="J170" s="79"/>
      <c r="K170" s="77">
        <v>11309.81</v>
      </c>
      <c r="L170" s="78">
        <f>IFERROR(K170/K327, "NA")</f>
        <v>3.5682434201022295E-3</v>
      </c>
      <c r="M170" s="79"/>
      <c r="N170" s="77">
        <v>14313.93</v>
      </c>
      <c r="O170" s="78">
        <f>IFERROR(N170/N327, "NA")</f>
        <v>3.6163584026070168E-3</v>
      </c>
      <c r="P170" s="79"/>
      <c r="Q170" s="77">
        <v>9239.17</v>
      </c>
      <c r="R170" s="78">
        <f>IFERROR(Q170/Q327, "NA")</f>
        <v>2.70826312663861E-3</v>
      </c>
      <c r="T170" s="80">
        <f t="shared" si="4"/>
        <v>85978.2</v>
      </c>
      <c r="U170" s="80">
        <f t="shared" si="5"/>
        <v>472.40769230769229</v>
      </c>
    </row>
    <row r="171" spans="1:21" x14ac:dyDescent="0.25">
      <c r="A171" s="76" t="s">
        <v>198</v>
      </c>
      <c r="B171" s="77">
        <v>8687.1200000000008</v>
      </c>
      <c r="C171" s="78">
        <f>IFERROR(B171/B327, "NA")</f>
        <v>2.2440277641838642E-3</v>
      </c>
      <c r="D171" s="79"/>
      <c r="E171" s="77">
        <v>4144.84</v>
      </c>
      <c r="F171" s="78">
        <f>IFERROR(E171/E327, "NA")</f>
        <v>1.4051837163696723E-3</v>
      </c>
      <c r="G171" s="79"/>
      <c r="H171" s="77">
        <v>11245.79</v>
      </c>
      <c r="I171" s="78">
        <f>IFERROR(H171/H327, "NA")</f>
        <v>2.4378676760763245E-3</v>
      </c>
      <c r="J171" s="79"/>
      <c r="K171" s="77">
        <v>26777.52</v>
      </c>
      <c r="L171" s="78">
        <f>IFERROR(K171/K327, "NA")</f>
        <v>8.4483036891562155E-3</v>
      </c>
      <c r="M171" s="79"/>
      <c r="N171" s="77">
        <v>15199.25</v>
      </c>
      <c r="O171" s="78">
        <f>IFERROR(N171/N327, "NA")</f>
        <v>3.8400310362580159E-3</v>
      </c>
      <c r="P171" s="79"/>
      <c r="Q171" s="77">
        <v>9077.82</v>
      </c>
      <c r="R171" s="78">
        <f>IFERROR(Q171/Q327, "NA")</f>
        <v>2.660966859172686E-3</v>
      </c>
      <c r="T171" s="80">
        <f t="shared" si="4"/>
        <v>75132.34</v>
      </c>
      <c r="U171" s="80">
        <f t="shared" si="5"/>
        <v>412.8150549450549</v>
      </c>
    </row>
    <row r="172" spans="1:21" x14ac:dyDescent="0.25">
      <c r="A172" s="76" t="s">
        <v>199</v>
      </c>
      <c r="B172" s="77">
        <v>0</v>
      </c>
      <c r="C172" s="78">
        <f>IFERROR(B172/B327, "NA")</f>
        <v>0</v>
      </c>
      <c r="D172" s="79"/>
      <c r="E172" s="77">
        <v>0</v>
      </c>
      <c r="F172" s="78">
        <f>IFERROR(E172/E327, "NA")</f>
        <v>0</v>
      </c>
      <c r="G172" s="79"/>
      <c r="H172" s="77">
        <v>0</v>
      </c>
      <c r="I172" s="78">
        <f>IFERROR(H172/H327, "NA")</f>
        <v>0</v>
      </c>
      <c r="J172" s="79"/>
      <c r="K172" s="77">
        <v>0</v>
      </c>
      <c r="L172" s="78">
        <f>IFERROR(K172/K327, "NA")</f>
        <v>0</v>
      </c>
      <c r="M172" s="79"/>
      <c r="N172" s="77">
        <v>0</v>
      </c>
      <c r="O172" s="78">
        <f>IFERROR(N172/N327, "NA")</f>
        <v>0</v>
      </c>
      <c r="P172" s="79"/>
      <c r="Q172" s="77">
        <v>0</v>
      </c>
      <c r="R172" s="78">
        <f>IFERROR(Q172/Q327, "NA")</f>
        <v>0</v>
      </c>
      <c r="T172" s="80">
        <f t="shared" si="4"/>
        <v>0</v>
      </c>
      <c r="U172" s="80">
        <f t="shared" si="5"/>
        <v>0</v>
      </c>
    </row>
    <row r="173" spans="1:21" x14ac:dyDescent="0.25">
      <c r="A173" s="76" t="s">
        <v>200</v>
      </c>
      <c r="B173" s="77">
        <v>0</v>
      </c>
      <c r="C173" s="78">
        <f>IFERROR(B173/B327, "NA")</f>
        <v>0</v>
      </c>
      <c r="D173" s="79"/>
      <c r="E173" s="77">
        <v>0</v>
      </c>
      <c r="F173" s="78">
        <f>IFERROR(E173/E327, "NA")</f>
        <v>0</v>
      </c>
      <c r="G173" s="79"/>
      <c r="H173" s="77">
        <v>377.27</v>
      </c>
      <c r="I173" s="78">
        <f>IFERROR(H173/H327, "NA")</f>
        <v>8.1784769069430849E-5</v>
      </c>
      <c r="J173" s="79"/>
      <c r="K173" s="77">
        <v>0</v>
      </c>
      <c r="L173" s="78">
        <f>IFERROR(K173/K327, "NA")</f>
        <v>0</v>
      </c>
      <c r="M173" s="79"/>
      <c r="N173" s="77">
        <v>0</v>
      </c>
      <c r="O173" s="78">
        <f>IFERROR(N173/N327, "NA")</f>
        <v>0</v>
      </c>
      <c r="P173" s="79"/>
      <c r="Q173" s="77">
        <v>0</v>
      </c>
      <c r="R173" s="78">
        <f>IFERROR(Q173/Q327, "NA")</f>
        <v>0</v>
      </c>
      <c r="T173" s="80">
        <f t="shared" si="4"/>
        <v>377.27</v>
      </c>
      <c r="U173" s="80">
        <f t="shared" si="5"/>
        <v>2.0729120879120879</v>
      </c>
    </row>
    <row r="174" spans="1:21" x14ac:dyDescent="0.25">
      <c r="A174" s="76" t="s">
        <v>201</v>
      </c>
      <c r="B174" s="77">
        <v>4044</v>
      </c>
      <c r="C174" s="78">
        <f>IFERROR(B174/B327, "NA")</f>
        <v>1.0446325454649579E-3</v>
      </c>
      <c r="D174" s="79"/>
      <c r="E174" s="77">
        <v>498.16</v>
      </c>
      <c r="F174" s="78">
        <f>IFERROR(E174/E327, "NA")</f>
        <v>1.6888621035955934E-4</v>
      </c>
      <c r="G174" s="79"/>
      <c r="H174" s="77">
        <v>0</v>
      </c>
      <c r="I174" s="78">
        <f>IFERROR(H174/H327, "NA")</f>
        <v>0</v>
      </c>
      <c r="J174" s="79"/>
      <c r="K174" s="77">
        <v>11.76</v>
      </c>
      <c r="L174" s="78">
        <f>IFERROR(K174/K327, "NA")</f>
        <v>3.7102783000246884E-6</v>
      </c>
      <c r="M174" s="79"/>
      <c r="N174" s="77">
        <v>0</v>
      </c>
      <c r="O174" s="78">
        <f>IFERROR(N174/N327, "NA")</f>
        <v>0</v>
      </c>
      <c r="P174" s="79"/>
      <c r="Q174" s="77">
        <v>0</v>
      </c>
      <c r="R174" s="78">
        <f>IFERROR(Q174/Q327, "NA")</f>
        <v>0</v>
      </c>
      <c r="T174" s="80">
        <f t="shared" si="4"/>
        <v>4553.92</v>
      </c>
      <c r="U174" s="80">
        <f t="shared" si="5"/>
        <v>25.021538461538462</v>
      </c>
    </row>
    <row r="175" spans="1:21" x14ac:dyDescent="0.25">
      <c r="A175" s="76" t="s">
        <v>202</v>
      </c>
      <c r="B175" s="77">
        <v>10466.33</v>
      </c>
      <c r="C175" s="78">
        <f>IFERROR(B175/B327, "NA")</f>
        <v>2.7036273366904682E-3</v>
      </c>
      <c r="D175" s="79"/>
      <c r="E175" s="77">
        <v>3914.33</v>
      </c>
      <c r="F175" s="78">
        <f>IFERROR(E175/E327, "NA")</f>
        <v>1.3270362128567808E-3</v>
      </c>
      <c r="G175" s="79"/>
      <c r="H175" s="77">
        <v>11222.96</v>
      </c>
      <c r="I175" s="78">
        <f>IFERROR(H175/H327, "NA")</f>
        <v>2.4329185778764802E-3</v>
      </c>
      <c r="J175" s="79"/>
      <c r="K175" s="77">
        <v>4138.13</v>
      </c>
      <c r="L175" s="78">
        <f>IFERROR(K175/K327, "NA")</f>
        <v>1.3055794168096229E-3</v>
      </c>
      <c r="M175" s="79"/>
      <c r="N175" s="77">
        <v>6397.73</v>
      </c>
      <c r="O175" s="78">
        <f>IFERROR(N175/N327, "NA")</f>
        <v>1.6163614495188245E-3</v>
      </c>
      <c r="P175" s="79"/>
      <c r="Q175" s="77">
        <v>7301.25</v>
      </c>
      <c r="R175" s="78">
        <f>IFERROR(Q175/Q327, "NA")</f>
        <v>2.1402037361981812E-3</v>
      </c>
      <c r="T175" s="80">
        <f t="shared" si="4"/>
        <v>43440.729999999996</v>
      </c>
      <c r="U175" s="80">
        <f t="shared" si="5"/>
        <v>238.68532967032965</v>
      </c>
    </row>
    <row r="176" spans="1:21" x14ac:dyDescent="0.25">
      <c r="A176" s="76" t="s">
        <v>203</v>
      </c>
      <c r="B176" s="77">
        <v>10724.66</v>
      </c>
      <c r="C176" s="78">
        <f>IFERROR(B176/B327, "NA")</f>
        <v>2.7703582777067791E-3</v>
      </c>
      <c r="D176" s="79"/>
      <c r="E176" s="77">
        <v>3005.34</v>
      </c>
      <c r="F176" s="78">
        <f>IFERROR(E176/E327, "NA")</f>
        <v>1.0188704099927696E-3</v>
      </c>
      <c r="G176" s="79"/>
      <c r="H176" s="77">
        <v>14932.18</v>
      </c>
      <c r="I176" s="78">
        <f>IFERROR(H176/H327, "NA")</f>
        <v>3.2370050441412625E-3</v>
      </c>
      <c r="J176" s="79"/>
      <c r="K176" s="77">
        <v>7722.36</v>
      </c>
      <c r="L176" s="78">
        <f>IFERROR(K176/K327, "NA")</f>
        <v>2.436403463688661E-3</v>
      </c>
      <c r="M176" s="79"/>
      <c r="N176" s="77">
        <v>1498.23</v>
      </c>
      <c r="O176" s="78">
        <f>IFERROR(N176/N327, "NA")</f>
        <v>3.7852194677058716E-4</v>
      </c>
      <c r="P176" s="79"/>
      <c r="Q176" s="77">
        <v>-4310.62</v>
      </c>
      <c r="R176" s="78">
        <f>IFERROR(Q176/Q327, "NA")</f>
        <v>-1.2635651469721765E-3</v>
      </c>
      <c r="T176" s="80">
        <f t="shared" si="4"/>
        <v>33572.15</v>
      </c>
      <c r="U176" s="80">
        <f t="shared" si="5"/>
        <v>184.46236263736265</v>
      </c>
    </row>
    <row r="177" spans="1:21" x14ac:dyDescent="0.25">
      <c r="A177" s="76" t="s">
        <v>204</v>
      </c>
      <c r="B177" s="77">
        <v>18626.87</v>
      </c>
      <c r="C177" s="78">
        <f>IFERROR(B177/B327, "NA")</f>
        <v>4.8116307176421513E-3</v>
      </c>
      <c r="D177" s="79"/>
      <c r="E177" s="77">
        <v>3057.81</v>
      </c>
      <c r="F177" s="78">
        <f>IFERROR(E177/E327, "NA")</f>
        <v>1.0366587901468687E-3</v>
      </c>
      <c r="G177" s="79"/>
      <c r="H177" s="77">
        <v>15960.45</v>
      </c>
      <c r="I177" s="78">
        <f>IFERROR(H177/H327, "NA")</f>
        <v>3.4599139011694483E-3</v>
      </c>
      <c r="J177" s="79"/>
      <c r="K177" s="77">
        <v>12301.89</v>
      </c>
      <c r="L177" s="78">
        <f>IFERROR(K177/K327, "NA")</f>
        <v>3.881244516691387E-3</v>
      </c>
      <c r="M177" s="79"/>
      <c r="N177" s="77">
        <v>9113.5400000000009</v>
      </c>
      <c r="O177" s="78">
        <f>IFERROR(N177/N327, "NA")</f>
        <v>2.3025002187725633E-3</v>
      </c>
      <c r="P177" s="79"/>
      <c r="Q177" s="77">
        <v>14092.72</v>
      </c>
      <c r="R177" s="78">
        <f>IFERROR(Q177/Q327, "NA")</f>
        <v>4.1309764762465099E-3</v>
      </c>
      <c r="T177" s="80">
        <f t="shared" si="4"/>
        <v>73153.279999999999</v>
      </c>
      <c r="U177" s="80">
        <f t="shared" si="5"/>
        <v>401.94109890109888</v>
      </c>
    </row>
    <row r="178" spans="1:21" x14ac:dyDescent="0.25">
      <c r="A178" s="76" t="s">
        <v>205</v>
      </c>
      <c r="B178" s="77">
        <v>14121.96</v>
      </c>
      <c r="C178" s="78">
        <f>IFERROR(B178/B327, "NA")</f>
        <v>3.6479374435594253E-3</v>
      </c>
      <c r="D178" s="79"/>
      <c r="E178" s="77">
        <v>14564.6</v>
      </c>
      <c r="F178" s="78">
        <f>IFERROR(E178/E327, "NA")</f>
        <v>4.9376909013225433E-3</v>
      </c>
      <c r="G178" s="79"/>
      <c r="H178" s="77">
        <v>53725.91</v>
      </c>
      <c r="I178" s="78">
        <f>IFERROR(H178/H327, "NA")</f>
        <v>1.1646728185106228E-2</v>
      </c>
      <c r="J178" s="79"/>
      <c r="K178" s="77">
        <v>3122.7</v>
      </c>
      <c r="L178" s="78">
        <f>IFERROR(K178/K327, "NA")</f>
        <v>9.8521139859584139E-4</v>
      </c>
      <c r="M178" s="79"/>
      <c r="N178" s="77">
        <v>-1190.92</v>
      </c>
      <c r="O178" s="78">
        <f>IFERROR(N178/N327, "NA")</f>
        <v>-3.008812778064968E-4</v>
      </c>
      <c r="P178" s="79"/>
      <c r="Q178" s="77">
        <v>-1411.29</v>
      </c>
      <c r="R178" s="78">
        <f>IFERROR(Q178/Q327, "NA")</f>
        <v>-4.1368918073742596E-4</v>
      </c>
      <c r="T178" s="80">
        <f t="shared" si="4"/>
        <v>82932.960000000006</v>
      </c>
      <c r="U178" s="80">
        <f t="shared" si="5"/>
        <v>455.67560439560441</v>
      </c>
    </row>
    <row r="179" spans="1:21" x14ac:dyDescent="0.25">
      <c r="A179" s="76" t="s">
        <v>206</v>
      </c>
      <c r="B179" s="77">
        <v>7442</v>
      </c>
      <c r="C179" s="78">
        <f>IFERROR(B179/B327, "NA")</f>
        <v>1.9223925329748311E-3</v>
      </c>
      <c r="D179" s="79"/>
      <c r="E179" s="77">
        <v>5786</v>
      </c>
      <c r="F179" s="78">
        <f>IFERROR(E179/E327, "NA")</f>
        <v>1.9615698031564366E-3</v>
      </c>
      <c r="G179" s="79"/>
      <c r="H179" s="77">
        <v>5448</v>
      </c>
      <c r="I179" s="78">
        <f>IFERROR(H179/H327, "NA")</f>
        <v>1.1810200172032213E-3</v>
      </c>
      <c r="J179" s="79"/>
      <c r="K179" s="77">
        <v>3726.46</v>
      </c>
      <c r="L179" s="78">
        <f>IFERROR(K179/K327, "NA")</f>
        <v>1.1756975913188776E-3</v>
      </c>
      <c r="M179" s="79"/>
      <c r="N179" s="77">
        <v>9272.34</v>
      </c>
      <c r="O179" s="78">
        <f>IFERROR(N179/N327, "NA")</f>
        <v>2.3426204173716894E-3</v>
      </c>
      <c r="P179" s="79"/>
      <c r="Q179" s="77">
        <v>3556.35</v>
      </c>
      <c r="R179" s="78">
        <f>IFERROR(Q179/Q327, "NA")</f>
        <v>1.0424671881155147E-3</v>
      </c>
      <c r="T179" s="80">
        <f t="shared" si="4"/>
        <v>35231.15</v>
      </c>
      <c r="U179" s="80">
        <f t="shared" si="5"/>
        <v>193.57774725274726</v>
      </c>
    </row>
    <row r="180" spans="1:21" x14ac:dyDescent="0.25">
      <c r="A180" s="76" t="s">
        <v>207</v>
      </c>
      <c r="B180" s="77">
        <v>39685.4</v>
      </c>
      <c r="C180" s="78">
        <f>IFERROR(B180/B327, "NA")</f>
        <v>1.0251399708159012E-2</v>
      </c>
      <c r="D180" s="79"/>
      <c r="E180" s="77">
        <v>26688.17</v>
      </c>
      <c r="F180" s="78">
        <f>IFERROR(E180/E327, "NA")</f>
        <v>9.0478237769625828E-3</v>
      </c>
      <c r="G180" s="79"/>
      <c r="H180" s="77">
        <v>40676.25</v>
      </c>
      <c r="I180" s="78">
        <f>IFERROR(H180/H327, "NA")</f>
        <v>8.8178167171003175E-3</v>
      </c>
      <c r="J180" s="79"/>
      <c r="K180" s="77">
        <v>25770.67</v>
      </c>
      <c r="L180" s="78">
        <f>IFERROR(K180/K327, "NA")</f>
        <v>8.1306426597021458E-3</v>
      </c>
      <c r="M180" s="79"/>
      <c r="N180" s="77">
        <v>49017.1</v>
      </c>
      <c r="O180" s="78">
        <f>IFERROR(N180/N327, "NA")</f>
        <v>1.2383978506002782E-2</v>
      </c>
      <c r="P180" s="79"/>
      <c r="Q180" s="77">
        <v>45809.73</v>
      </c>
      <c r="R180" s="78">
        <f>IFERROR(Q180/Q327, "NA")</f>
        <v>1.3428132895083707E-2</v>
      </c>
      <c r="T180" s="80">
        <f t="shared" si="4"/>
        <v>227647.32</v>
      </c>
      <c r="U180" s="80">
        <f t="shared" si="5"/>
        <v>1250.8094505494505</v>
      </c>
    </row>
    <row r="181" spans="1:21" x14ac:dyDescent="0.25">
      <c r="A181" s="76" t="s">
        <v>208</v>
      </c>
      <c r="B181" s="77">
        <v>0</v>
      </c>
      <c r="C181" s="78">
        <f>IFERROR(B181/B327, "NA")</f>
        <v>0</v>
      </c>
      <c r="D181" s="79"/>
      <c r="E181" s="77">
        <v>1000</v>
      </c>
      <c r="F181" s="78">
        <f>IFERROR(E181/E327, "NA")</f>
        <v>3.390200143720077E-4</v>
      </c>
      <c r="G181" s="79"/>
      <c r="H181" s="77">
        <v>0</v>
      </c>
      <c r="I181" s="78">
        <f>IFERROR(H181/H327, "NA")</f>
        <v>0</v>
      </c>
      <c r="J181" s="79"/>
      <c r="K181" s="77">
        <v>0</v>
      </c>
      <c r="L181" s="78">
        <f>IFERROR(K181/K327, "NA")</f>
        <v>0</v>
      </c>
      <c r="M181" s="79"/>
      <c r="N181" s="77">
        <v>0</v>
      </c>
      <c r="O181" s="78">
        <f>IFERROR(N181/N327, "NA")</f>
        <v>0</v>
      </c>
      <c r="P181" s="79"/>
      <c r="Q181" s="77">
        <v>0</v>
      </c>
      <c r="R181" s="78">
        <f>IFERROR(Q181/Q327, "NA")</f>
        <v>0</v>
      </c>
      <c r="T181" s="80">
        <f t="shared" si="4"/>
        <v>1000</v>
      </c>
      <c r="U181" s="80">
        <f t="shared" si="5"/>
        <v>5.4945054945054945</v>
      </c>
    </row>
    <row r="182" spans="1:21" x14ac:dyDescent="0.25">
      <c r="A182" s="76" t="s">
        <v>209</v>
      </c>
      <c r="B182" s="77">
        <v>142.86000000000001</v>
      </c>
      <c r="C182" s="78">
        <f>IFERROR(B182/B327, "NA")</f>
        <v>3.6903117073472772E-5</v>
      </c>
      <c r="D182" s="79"/>
      <c r="E182" s="77">
        <v>410.2</v>
      </c>
      <c r="F182" s="78">
        <f>IFERROR(E182/E327, "NA")</f>
        <v>1.3906600989539754E-4</v>
      </c>
      <c r="G182" s="79"/>
      <c r="H182" s="77">
        <v>142.86000000000001</v>
      </c>
      <c r="I182" s="78">
        <f>IFERROR(H182/H327, "NA")</f>
        <v>3.0969258380626324E-5</v>
      </c>
      <c r="J182" s="79"/>
      <c r="K182" s="77">
        <v>231.75</v>
      </c>
      <c r="L182" s="78">
        <f>IFERROR(K182/K327, "NA")</f>
        <v>7.3117091499211011E-5</v>
      </c>
      <c r="M182" s="79"/>
      <c r="N182" s="77">
        <v>188.03</v>
      </c>
      <c r="O182" s="78">
        <f>IFERROR(N182/N327, "NA")</f>
        <v>4.750504371910421E-5</v>
      </c>
      <c r="P182" s="79"/>
      <c r="Q182" s="77">
        <v>356.34</v>
      </c>
      <c r="R182" s="78">
        <f>IFERROR(Q182/Q327, "NA")</f>
        <v>1.0445337433410168E-4</v>
      </c>
      <c r="T182" s="80">
        <f t="shared" si="4"/>
        <v>1472.04</v>
      </c>
      <c r="U182" s="80">
        <f t="shared" si="5"/>
        <v>8.0881318681318675</v>
      </c>
    </row>
    <row r="183" spans="1:21" x14ac:dyDescent="0.25">
      <c r="A183" s="76" t="s">
        <v>210</v>
      </c>
      <c r="B183" s="77">
        <v>6462.55</v>
      </c>
      <c r="C183" s="78">
        <f>IFERROR(B183/B327, "NA")</f>
        <v>1.66938428701646E-3</v>
      </c>
      <c r="D183" s="79"/>
      <c r="E183" s="77">
        <v>5515.55</v>
      </c>
      <c r="F183" s="78">
        <f>IFERROR(E183/E327, "NA")</f>
        <v>1.869881840269527E-3</v>
      </c>
      <c r="G183" s="79"/>
      <c r="H183" s="77">
        <v>9792.7000000000007</v>
      </c>
      <c r="I183" s="78">
        <f>IFERROR(H183/H327, "NA")</f>
        <v>2.1228661384849463E-3</v>
      </c>
      <c r="J183" s="79"/>
      <c r="K183" s="77">
        <v>7458.94</v>
      </c>
      <c r="L183" s="78">
        <f>IFERROR(K183/K327, "NA")</f>
        <v>2.3532944917675296E-3</v>
      </c>
      <c r="M183" s="79"/>
      <c r="N183" s="77">
        <v>6624.15</v>
      </c>
      <c r="O183" s="78">
        <f>IFERROR(N183/N327, "NA")</f>
        <v>1.6735655765138763E-3</v>
      </c>
      <c r="P183" s="79"/>
      <c r="Q183" s="77">
        <v>8499.42</v>
      </c>
      <c r="R183" s="78">
        <f>IFERROR(Q183/Q327, "NA")</f>
        <v>2.4914213921612802E-3</v>
      </c>
      <c r="T183" s="80">
        <f t="shared" si="4"/>
        <v>44353.31</v>
      </c>
      <c r="U183" s="80">
        <f t="shared" si="5"/>
        <v>243.69950549450547</v>
      </c>
    </row>
    <row r="184" spans="1:21" x14ac:dyDescent="0.25">
      <c r="A184" s="76" t="s">
        <v>211</v>
      </c>
      <c r="B184" s="77">
        <v>1323.85</v>
      </c>
      <c r="C184" s="78">
        <f>IFERROR(B184/B327, "NA")</f>
        <v>3.4197250131399217E-4</v>
      </c>
      <c r="D184" s="79"/>
      <c r="E184" s="77">
        <v>78.400000000000006</v>
      </c>
      <c r="F184" s="78">
        <f>IFERROR(E184/E327, "NA")</f>
        <v>2.6579169126765406E-5</v>
      </c>
      <c r="G184" s="79"/>
      <c r="H184" s="77">
        <v>779.78</v>
      </c>
      <c r="I184" s="78">
        <f>IFERROR(H184/H327, "NA")</f>
        <v>1.6904107727876798E-4</v>
      </c>
      <c r="J184" s="79"/>
      <c r="K184" s="77">
        <v>997.52</v>
      </c>
      <c r="L184" s="78">
        <f>IFERROR(K184/K327, "NA")</f>
        <v>3.1471741580277443E-4</v>
      </c>
      <c r="M184" s="79"/>
      <c r="N184" s="77">
        <v>703.66</v>
      </c>
      <c r="O184" s="78">
        <f>IFERROR(N184/N327, "NA")</f>
        <v>1.7777694550542397E-4</v>
      </c>
      <c r="P184" s="79"/>
      <c r="Q184" s="77">
        <v>722.32</v>
      </c>
      <c r="R184" s="78">
        <f>IFERROR(Q184/Q327, "NA")</f>
        <v>2.1173250645172681E-4</v>
      </c>
      <c r="T184" s="80">
        <f t="shared" si="4"/>
        <v>4605.53</v>
      </c>
      <c r="U184" s="80">
        <f t="shared" si="5"/>
        <v>25.30510989010989</v>
      </c>
    </row>
    <row r="185" spans="1:21" x14ac:dyDescent="0.25">
      <c r="A185" s="76" t="s">
        <v>212</v>
      </c>
      <c r="B185" s="77">
        <v>0</v>
      </c>
      <c r="C185" s="78">
        <f>IFERROR(B185/B327, "NA")</f>
        <v>0</v>
      </c>
      <c r="D185" s="79"/>
      <c r="E185" s="77">
        <v>0</v>
      </c>
      <c r="F185" s="78">
        <f>IFERROR(E185/E327, "NA")</f>
        <v>0</v>
      </c>
      <c r="G185" s="79"/>
      <c r="H185" s="77">
        <v>0</v>
      </c>
      <c r="I185" s="78">
        <f>IFERROR(H185/H327, "NA")</f>
        <v>0</v>
      </c>
      <c r="J185" s="79"/>
      <c r="K185" s="77">
        <v>6853</v>
      </c>
      <c r="L185" s="78">
        <f>IFERROR(K185/K327, "NA")</f>
        <v>2.1621205093596248E-3</v>
      </c>
      <c r="M185" s="79"/>
      <c r="N185" s="77">
        <v>0</v>
      </c>
      <c r="O185" s="78">
        <f>IFERROR(N185/N327, "NA")</f>
        <v>0</v>
      </c>
      <c r="P185" s="79"/>
      <c r="Q185" s="77">
        <v>2202.9499999999998</v>
      </c>
      <c r="R185" s="78">
        <f>IFERROR(Q185/Q327, "NA")</f>
        <v>6.4574721049926831E-4</v>
      </c>
      <c r="T185" s="80">
        <f t="shared" si="4"/>
        <v>9055.9500000000007</v>
      </c>
      <c r="U185" s="80">
        <f t="shared" si="5"/>
        <v>49.757967032967038</v>
      </c>
    </row>
    <row r="186" spans="1:21" x14ac:dyDescent="0.25">
      <c r="A186" s="76" t="s">
        <v>213</v>
      </c>
      <c r="B186" s="77">
        <v>0</v>
      </c>
      <c r="C186" s="78">
        <f>IFERROR(B186/B327, "NA")</f>
        <v>0</v>
      </c>
      <c r="D186" s="79"/>
      <c r="E186" s="77">
        <v>0</v>
      </c>
      <c r="F186" s="78">
        <f>IFERROR(E186/E327, "NA")</f>
        <v>0</v>
      </c>
      <c r="G186" s="79"/>
      <c r="H186" s="77">
        <v>0</v>
      </c>
      <c r="I186" s="78">
        <f>IFERROR(H186/H327, "NA")</f>
        <v>0</v>
      </c>
      <c r="J186" s="79"/>
      <c r="K186" s="77">
        <v>0</v>
      </c>
      <c r="L186" s="78">
        <f>IFERROR(K186/K327, "NA")</f>
        <v>0</v>
      </c>
      <c r="M186" s="79"/>
      <c r="N186" s="77">
        <v>0</v>
      </c>
      <c r="O186" s="78">
        <f>IFERROR(N186/N327, "NA")</f>
        <v>0</v>
      </c>
      <c r="P186" s="79"/>
      <c r="Q186" s="77">
        <v>0</v>
      </c>
      <c r="R186" s="78">
        <f>IFERROR(Q186/Q327, "NA")</f>
        <v>0</v>
      </c>
      <c r="T186" s="80">
        <f t="shared" si="4"/>
        <v>0</v>
      </c>
      <c r="U186" s="80">
        <f t="shared" si="5"/>
        <v>0</v>
      </c>
    </row>
    <row r="187" spans="1:21" x14ac:dyDescent="0.25">
      <c r="A187" s="76" t="s">
        <v>214</v>
      </c>
      <c r="B187" s="77">
        <v>1378.32</v>
      </c>
      <c r="C187" s="78">
        <f>IFERROR(B187/B327, "NA")</f>
        <v>3.5604300941277466E-4</v>
      </c>
      <c r="D187" s="79"/>
      <c r="E187" s="77">
        <v>5295.95</v>
      </c>
      <c r="F187" s="78">
        <f>IFERROR(E187/E327, "NA")</f>
        <v>1.795433045113434E-3</v>
      </c>
      <c r="G187" s="79"/>
      <c r="H187" s="77">
        <v>4268.51</v>
      </c>
      <c r="I187" s="78">
        <f>IFERROR(H187/H327, "NA")</f>
        <v>9.2532961703967003E-4</v>
      </c>
      <c r="J187" s="79"/>
      <c r="K187" s="77">
        <v>5717.47</v>
      </c>
      <c r="L187" s="78">
        <f>IFERROR(K187/K327, "NA")</f>
        <v>1.803860958506986E-3</v>
      </c>
      <c r="M187" s="79"/>
      <c r="N187" s="77">
        <v>5563.26</v>
      </c>
      <c r="O187" s="78">
        <f>IFERROR(N187/N327, "NA")</f>
        <v>1.4055358693865006E-3</v>
      </c>
      <c r="P187" s="79"/>
      <c r="Q187" s="77">
        <v>3402.3</v>
      </c>
      <c r="R187" s="78">
        <f>IFERROR(Q187/Q327, "NA")</f>
        <v>9.9731075797528817E-4</v>
      </c>
      <c r="T187" s="80">
        <f t="shared" si="4"/>
        <v>25625.81</v>
      </c>
      <c r="U187" s="80">
        <f t="shared" si="5"/>
        <v>140.80115384615385</v>
      </c>
    </row>
    <row r="188" spans="1:21" x14ac:dyDescent="0.25">
      <c r="A188" s="76" t="s">
        <v>215</v>
      </c>
      <c r="B188" s="77">
        <v>1207.53</v>
      </c>
      <c r="C188" s="78">
        <f>IFERROR(B188/B327, "NA")</f>
        <v>3.1192510821594972E-4</v>
      </c>
      <c r="D188" s="79"/>
      <c r="E188" s="77">
        <v>19240.23</v>
      </c>
      <c r="F188" s="78">
        <f>IFERROR(E188/E327, "NA")</f>
        <v>6.5228230511207332E-3</v>
      </c>
      <c r="G188" s="79"/>
      <c r="H188" s="77">
        <v>8283.52</v>
      </c>
      <c r="I188" s="78">
        <f>IFERROR(H188/H327, "NA")</f>
        <v>1.7957053841599171E-3</v>
      </c>
      <c r="J188" s="79"/>
      <c r="K188" s="77">
        <v>985.55</v>
      </c>
      <c r="L188" s="78">
        <f>IFERROR(K188/K327, "NA")</f>
        <v>3.1094088253310644E-4</v>
      </c>
      <c r="M188" s="79"/>
      <c r="N188" s="77">
        <v>5098.49</v>
      </c>
      <c r="O188" s="78">
        <f>IFERROR(N188/N327, "NA")</f>
        <v>1.2881135475797246E-3</v>
      </c>
      <c r="P188" s="79"/>
      <c r="Q188" s="77">
        <v>6212.95</v>
      </c>
      <c r="R188" s="78">
        <f>IFERROR(Q188/Q327, "NA")</f>
        <v>1.8211920976288294E-3</v>
      </c>
      <c r="T188" s="80">
        <f t="shared" si="4"/>
        <v>41028.269999999997</v>
      </c>
      <c r="U188" s="80">
        <f t="shared" si="5"/>
        <v>225.43005494505493</v>
      </c>
    </row>
    <row r="189" spans="1:21" x14ac:dyDescent="0.25">
      <c r="A189" s="76" t="s">
        <v>216</v>
      </c>
      <c r="B189" s="77">
        <v>19972.02</v>
      </c>
      <c r="C189" s="78">
        <f>IFERROR(B189/B327, "NA")</f>
        <v>5.1591053636689047E-3</v>
      </c>
      <c r="D189" s="79"/>
      <c r="E189" s="77">
        <v>16907</v>
      </c>
      <c r="F189" s="78">
        <f>IFERROR(E189/E327, "NA")</f>
        <v>5.7318113829875339E-3</v>
      </c>
      <c r="G189" s="79"/>
      <c r="H189" s="77">
        <v>34611.26</v>
      </c>
      <c r="I189" s="78">
        <f>IFERROR(H189/H327, "NA")</f>
        <v>7.50304531582694E-3</v>
      </c>
      <c r="J189" s="79"/>
      <c r="K189" s="77">
        <v>9167.98</v>
      </c>
      <c r="L189" s="78">
        <f>IFERROR(K189/K327, "NA")</f>
        <v>2.8924963647160152E-3</v>
      </c>
      <c r="M189" s="79"/>
      <c r="N189" s="77">
        <v>29200.07</v>
      </c>
      <c r="O189" s="78">
        <f>IFERROR(N189/N327, "NA")</f>
        <v>7.3772834225969437E-3</v>
      </c>
      <c r="P189" s="79"/>
      <c r="Q189" s="77">
        <v>17551.599999999999</v>
      </c>
      <c r="R189" s="78">
        <f>IFERROR(Q189/Q327, "NA")</f>
        <v>5.1448724391379552E-3</v>
      </c>
      <c r="T189" s="80">
        <f t="shared" si="4"/>
        <v>127409.93</v>
      </c>
      <c r="U189" s="80">
        <f t="shared" si="5"/>
        <v>700.05456043956042</v>
      </c>
    </row>
    <row r="190" spans="1:21" x14ac:dyDescent="0.25">
      <c r="A190" s="76" t="s">
        <v>217</v>
      </c>
      <c r="B190" s="77">
        <v>0</v>
      </c>
      <c r="C190" s="78">
        <f>IFERROR(B190/B327, "NA")</f>
        <v>0</v>
      </c>
      <c r="D190" s="79"/>
      <c r="E190" s="77">
        <v>1584.88</v>
      </c>
      <c r="F190" s="78">
        <f>IFERROR(E190/E327, "NA")</f>
        <v>5.373060403779076E-4</v>
      </c>
      <c r="G190" s="79"/>
      <c r="H190" s="77">
        <v>1802</v>
      </c>
      <c r="I190" s="78">
        <f>IFERROR(H190/H327, "NA")</f>
        <v>3.9063841244497152E-4</v>
      </c>
      <c r="J190" s="79"/>
      <c r="K190" s="77">
        <v>3855.75</v>
      </c>
      <c r="L190" s="78">
        <f>IFERROR(K190/K327, "NA")</f>
        <v>1.216488567629268E-3</v>
      </c>
      <c r="M190" s="79"/>
      <c r="N190" s="77">
        <v>0</v>
      </c>
      <c r="O190" s="78">
        <f>IFERROR(N190/N327, "NA")</f>
        <v>0</v>
      </c>
      <c r="P190" s="79"/>
      <c r="Q190" s="77">
        <v>0</v>
      </c>
      <c r="R190" s="78">
        <f>IFERROR(Q190/Q327, "NA")</f>
        <v>0</v>
      </c>
      <c r="T190" s="80">
        <f t="shared" si="4"/>
        <v>7242.63</v>
      </c>
      <c r="U190" s="80">
        <f t="shared" si="5"/>
        <v>39.794670329670332</v>
      </c>
    </row>
    <row r="191" spans="1:21" x14ac:dyDescent="0.25">
      <c r="A191" s="76" t="s">
        <v>218</v>
      </c>
      <c r="B191" s="77">
        <v>0</v>
      </c>
      <c r="C191" s="78">
        <f>IFERROR(B191/B327, "NA")</f>
        <v>0</v>
      </c>
      <c r="D191" s="79"/>
      <c r="E191" s="77">
        <v>0</v>
      </c>
      <c r="F191" s="78">
        <f>IFERROR(E191/E327, "NA")</f>
        <v>0</v>
      </c>
      <c r="G191" s="79"/>
      <c r="H191" s="77">
        <v>0</v>
      </c>
      <c r="I191" s="78">
        <f>IFERROR(H191/H327, "NA")</f>
        <v>0</v>
      </c>
      <c r="J191" s="79"/>
      <c r="K191" s="77">
        <v>0</v>
      </c>
      <c r="L191" s="78">
        <f>IFERROR(K191/K327, "NA")</f>
        <v>0</v>
      </c>
      <c r="M191" s="79"/>
      <c r="N191" s="77">
        <v>0</v>
      </c>
      <c r="O191" s="78">
        <f>IFERROR(N191/N327, "NA")</f>
        <v>0</v>
      </c>
      <c r="P191" s="79"/>
      <c r="Q191" s="77">
        <v>0</v>
      </c>
      <c r="R191" s="78">
        <f>IFERROR(Q191/Q327, "NA")</f>
        <v>0</v>
      </c>
      <c r="T191" s="80">
        <f t="shared" si="4"/>
        <v>0</v>
      </c>
      <c r="U191" s="80">
        <f t="shared" si="5"/>
        <v>0</v>
      </c>
    </row>
    <row r="192" spans="1:21" x14ac:dyDescent="0.25">
      <c r="A192" s="76" t="s">
        <v>219</v>
      </c>
      <c r="B192" s="77">
        <v>6495.25</v>
      </c>
      <c r="C192" s="78">
        <f>IFERROR(B192/B327, "NA")</f>
        <v>1.6778312415754867E-3</v>
      </c>
      <c r="D192" s="79"/>
      <c r="E192" s="77">
        <v>13061.06</v>
      </c>
      <c r="F192" s="78">
        <f>IFERROR(E192/E327, "NA")</f>
        <v>4.4279607489136541E-3</v>
      </c>
      <c r="G192" s="79"/>
      <c r="H192" s="77">
        <v>7930.77</v>
      </c>
      <c r="I192" s="78">
        <f>IFERROR(H192/H327, "NA")</f>
        <v>1.7192360722897929E-3</v>
      </c>
      <c r="J192" s="79"/>
      <c r="K192" s="77">
        <v>6432.69</v>
      </c>
      <c r="L192" s="78">
        <f>IFERROR(K192/K327, "NA")</f>
        <v>2.0295127651178413E-3</v>
      </c>
      <c r="M192" s="79"/>
      <c r="N192" s="77">
        <v>8177.18</v>
      </c>
      <c r="O192" s="78">
        <f>IFERROR(N192/N327, "NA")</f>
        <v>2.0659325288463789E-3</v>
      </c>
      <c r="P192" s="79"/>
      <c r="Q192" s="77">
        <v>10189.82</v>
      </c>
      <c r="R192" s="78">
        <f>IFERROR(Q192/Q327, "NA")</f>
        <v>2.9869256408405344E-3</v>
      </c>
      <c r="T192" s="80">
        <f t="shared" si="4"/>
        <v>52286.77</v>
      </c>
      <c r="U192" s="80">
        <f t="shared" si="5"/>
        <v>287.28994505494501</v>
      </c>
    </row>
    <row r="193" spans="1:21" x14ac:dyDescent="0.25">
      <c r="A193" s="76" t="s">
        <v>220</v>
      </c>
      <c r="B193" s="77">
        <v>33253.199999999997</v>
      </c>
      <c r="C193" s="78">
        <f>IFERROR(B193/B327, "NA")</f>
        <v>8.589855331566601E-3</v>
      </c>
      <c r="D193" s="79"/>
      <c r="E193" s="77">
        <v>32803.199999999997</v>
      </c>
      <c r="F193" s="78">
        <f>IFERROR(E193/E327, "NA")</f>
        <v>1.1120941335447842E-2</v>
      </c>
      <c r="G193" s="79"/>
      <c r="H193" s="77">
        <v>64064.480000000003</v>
      </c>
      <c r="I193" s="78">
        <f>IFERROR(H193/H327, "NA")</f>
        <v>1.3887928280417664E-2</v>
      </c>
      <c r="J193" s="79"/>
      <c r="K193" s="77">
        <v>38344</v>
      </c>
      <c r="L193" s="78">
        <f>IFERROR(K193/K327, "NA")</f>
        <v>1.2097526457155328E-2</v>
      </c>
      <c r="M193" s="79"/>
      <c r="N193" s="77">
        <v>38824.94</v>
      </c>
      <c r="O193" s="78">
        <f>IFERROR(N193/N327, "NA")</f>
        <v>9.8089691649821727E-3</v>
      </c>
      <c r="P193" s="79"/>
      <c r="Q193" s="77">
        <v>50328.160000000003</v>
      </c>
      <c r="R193" s="78">
        <f>IFERROR(Q193/Q327, "NA")</f>
        <v>1.4752613055022066E-2</v>
      </c>
      <c r="T193" s="80">
        <f t="shared" si="4"/>
        <v>257617.98</v>
      </c>
      <c r="U193" s="80">
        <f t="shared" si="5"/>
        <v>1415.4834065934067</v>
      </c>
    </row>
    <row r="194" spans="1:21" x14ac:dyDescent="0.25">
      <c r="A194" s="76" t="s">
        <v>221</v>
      </c>
      <c r="B194" s="77">
        <v>12271.63</v>
      </c>
      <c r="C194" s="78">
        <f>IFERROR(B194/B327, "NA")</f>
        <v>3.1699663906785708E-3</v>
      </c>
      <c r="D194" s="79"/>
      <c r="E194" s="77">
        <v>20959.32</v>
      </c>
      <c r="F194" s="78">
        <f>IFERROR(E194/E327, "NA")</f>
        <v>7.1056289676275078E-3</v>
      </c>
      <c r="G194" s="79"/>
      <c r="H194" s="77">
        <v>17307.86</v>
      </c>
      <c r="I194" s="78">
        <f>IFERROR(H194/H327, "NA")</f>
        <v>3.7520060783683825E-3</v>
      </c>
      <c r="J194" s="79"/>
      <c r="K194" s="77">
        <v>22966.62</v>
      </c>
      <c r="L194" s="78">
        <f>IFERROR(K194/K327, "NA")</f>
        <v>7.2459652900436228E-3</v>
      </c>
      <c r="M194" s="79"/>
      <c r="N194" s="77">
        <v>16623.98</v>
      </c>
      <c r="O194" s="78">
        <f>IFERROR(N194/N327, "NA")</f>
        <v>4.1999834956417273E-3</v>
      </c>
      <c r="P194" s="79"/>
      <c r="Q194" s="77">
        <v>35243.31</v>
      </c>
      <c r="R194" s="78">
        <f>IFERROR(Q194/Q327, "NA")</f>
        <v>1.0330815098509258E-2</v>
      </c>
      <c r="T194" s="80">
        <f t="shared" si="4"/>
        <v>125372.71999999999</v>
      </c>
      <c r="U194" s="80">
        <f t="shared" si="5"/>
        <v>688.86109890109879</v>
      </c>
    </row>
    <row r="195" spans="1:21" x14ac:dyDescent="0.25">
      <c r="A195" s="76" t="s">
        <v>222</v>
      </c>
      <c r="B195" s="77">
        <v>964.5</v>
      </c>
      <c r="C195" s="78">
        <f>IFERROR(B195/B327, "NA")</f>
        <v>2.4914641199331154E-4</v>
      </c>
      <c r="D195" s="79"/>
      <c r="E195" s="77">
        <v>1198.79</v>
      </c>
      <c r="F195" s="78">
        <f>IFERROR(E195/E327, "NA")</f>
        <v>4.0641380302901909E-4</v>
      </c>
      <c r="G195" s="79"/>
      <c r="H195" s="77">
        <v>4573.9799999999996</v>
      </c>
      <c r="I195" s="78">
        <f>IFERROR(H195/H327, "NA")</f>
        <v>9.9154954814375737E-4</v>
      </c>
      <c r="J195" s="79"/>
      <c r="K195" s="77">
        <v>1819.08</v>
      </c>
      <c r="L195" s="78">
        <f>IFERROR(K195/K327, "NA")</f>
        <v>5.7391947704157399E-4</v>
      </c>
      <c r="M195" s="79"/>
      <c r="N195" s="77">
        <v>2069.9299999999998</v>
      </c>
      <c r="O195" s="78">
        <f>IFERROR(N195/N327, "NA")</f>
        <v>5.2295971464918036E-4</v>
      </c>
      <c r="P195" s="79"/>
      <c r="Q195" s="77">
        <v>190.82</v>
      </c>
      <c r="R195" s="78">
        <f>IFERROR(Q195/Q327, "NA")</f>
        <v>5.5934761436923398E-5</v>
      </c>
      <c r="T195" s="80">
        <f t="shared" si="4"/>
        <v>10817.099999999999</v>
      </c>
      <c r="U195" s="80">
        <f t="shared" si="5"/>
        <v>59.434615384615377</v>
      </c>
    </row>
    <row r="196" spans="1:21" x14ac:dyDescent="0.25">
      <c r="A196" s="76" t="s">
        <v>223</v>
      </c>
      <c r="B196" s="77">
        <v>633717.78</v>
      </c>
      <c r="C196" s="78">
        <f>IFERROR(B196/B327, "NA")</f>
        <v>0.16369985599104903</v>
      </c>
      <c r="D196" s="79"/>
      <c r="E196" s="77">
        <v>234848.9</v>
      </c>
      <c r="F196" s="78">
        <f>IFERROR(E196/E327, "NA")</f>
        <v>7.9618477453250194E-2</v>
      </c>
      <c r="G196" s="79"/>
      <c r="H196" s="77">
        <v>644959.52</v>
      </c>
      <c r="I196" s="78">
        <f>IFERROR(H196/H327, "NA")</f>
        <v>0.13981462984687618</v>
      </c>
      <c r="J196" s="79"/>
      <c r="K196" s="77">
        <v>212641.69</v>
      </c>
      <c r="L196" s="78">
        <f>IFERROR(K196/K327, "NA")</f>
        <v>6.70884224564266E-2</v>
      </c>
      <c r="M196" s="79"/>
      <c r="N196" s="77">
        <v>398321.53</v>
      </c>
      <c r="O196" s="78">
        <f>IFERROR(N196/N327, "NA")</f>
        <v>0.10063437588103219</v>
      </c>
      <c r="P196" s="79"/>
      <c r="Q196" s="77">
        <v>167020.28</v>
      </c>
      <c r="R196" s="78">
        <f>IFERROR(Q196/Q327, "NA")</f>
        <v>4.8958387574301161E-2</v>
      </c>
      <c r="T196" s="80">
        <f t="shared" si="4"/>
        <v>2291509.6999999997</v>
      </c>
      <c r="U196" s="80">
        <f t="shared" si="5"/>
        <v>12590.712637362636</v>
      </c>
    </row>
    <row r="197" spans="1:21" x14ac:dyDescent="0.25">
      <c r="A197" s="76" t="s">
        <v>224</v>
      </c>
      <c r="B197" s="77">
        <v>0</v>
      </c>
      <c r="C197" s="78">
        <f>IFERROR(B197/B327, "NA")</f>
        <v>0</v>
      </c>
      <c r="D197" s="79"/>
      <c r="E197" s="77">
        <v>2.13</v>
      </c>
      <c r="F197" s="78">
        <f>IFERROR(E197/E327, "NA")</f>
        <v>7.2211263061237635E-7</v>
      </c>
      <c r="G197" s="79"/>
      <c r="H197" s="77">
        <v>0</v>
      </c>
      <c r="I197" s="78">
        <f>IFERROR(H197/H327, "NA")</f>
        <v>0</v>
      </c>
      <c r="J197" s="79"/>
      <c r="K197" s="77">
        <v>0</v>
      </c>
      <c r="L197" s="78">
        <f>IFERROR(K197/K327, "NA")</f>
        <v>0</v>
      </c>
      <c r="M197" s="79"/>
      <c r="N197" s="77">
        <v>0</v>
      </c>
      <c r="O197" s="78">
        <f>IFERROR(N197/N327, "NA")</f>
        <v>0</v>
      </c>
      <c r="P197" s="79"/>
      <c r="Q197" s="77">
        <v>0</v>
      </c>
      <c r="R197" s="78">
        <f>IFERROR(Q197/Q327, "NA")</f>
        <v>0</v>
      </c>
      <c r="T197" s="80">
        <f t="shared" si="4"/>
        <v>2.13</v>
      </c>
      <c r="U197" s="80">
        <f t="shared" si="5"/>
        <v>1.1703296703296702E-2</v>
      </c>
    </row>
    <row r="198" spans="1:21" x14ac:dyDescent="0.25">
      <c r="A198" s="76" t="s">
        <v>225</v>
      </c>
      <c r="B198" s="77">
        <v>0</v>
      </c>
      <c r="C198" s="78">
        <f>IFERROR(B198/B327, "NA")</f>
        <v>0</v>
      </c>
      <c r="D198" s="79"/>
      <c r="E198" s="77">
        <v>0</v>
      </c>
      <c r="F198" s="78">
        <f>IFERROR(E198/E327, "NA")</f>
        <v>0</v>
      </c>
      <c r="G198" s="79"/>
      <c r="H198" s="77">
        <v>0</v>
      </c>
      <c r="I198" s="78">
        <f>IFERROR(H198/H327, "NA")</f>
        <v>0</v>
      </c>
      <c r="J198" s="79"/>
      <c r="K198" s="77">
        <v>0</v>
      </c>
      <c r="L198" s="78">
        <f>IFERROR(K198/K327, "NA")</f>
        <v>0</v>
      </c>
      <c r="M198" s="79"/>
      <c r="N198" s="77">
        <v>0</v>
      </c>
      <c r="O198" s="78">
        <f>IFERROR(N198/N327, "NA")</f>
        <v>0</v>
      </c>
      <c r="P198" s="79"/>
      <c r="Q198" s="77">
        <v>0</v>
      </c>
      <c r="R198" s="78">
        <f>IFERROR(Q198/Q327, "NA")</f>
        <v>0</v>
      </c>
      <c r="T198" s="80">
        <f t="shared" si="4"/>
        <v>0</v>
      </c>
      <c r="U198" s="80">
        <f t="shared" si="5"/>
        <v>0</v>
      </c>
    </row>
    <row r="199" spans="1:21" x14ac:dyDescent="0.25">
      <c r="A199" s="76" t="s">
        <v>226</v>
      </c>
      <c r="B199" s="77">
        <v>0</v>
      </c>
      <c r="C199" s="78">
        <f>IFERROR(B199/B327, "NA")</f>
        <v>0</v>
      </c>
      <c r="D199" s="79"/>
      <c r="E199" s="77">
        <v>0</v>
      </c>
      <c r="F199" s="78">
        <f>IFERROR(E199/E327, "NA")</f>
        <v>0</v>
      </c>
      <c r="G199" s="79"/>
      <c r="H199" s="77">
        <v>0</v>
      </c>
      <c r="I199" s="78">
        <f>IFERROR(H199/H327, "NA")</f>
        <v>0</v>
      </c>
      <c r="J199" s="79"/>
      <c r="K199" s="77">
        <v>0</v>
      </c>
      <c r="L199" s="78">
        <f>IFERROR(K199/K327, "NA")</f>
        <v>0</v>
      </c>
      <c r="M199" s="79"/>
      <c r="N199" s="77">
        <v>0</v>
      </c>
      <c r="O199" s="78">
        <f>IFERROR(N199/N327, "NA")</f>
        <v>0</v>
      </c>
      <c r="P199" s="79"/>
      <c r="Q199" s="77">
        <v>0</v>
      </c>
      <c r="R199" s="78">
        <f>IFERROR(Q199/Q327, "NA")</f>
        <v>0</v>
      </c>
      <c r="T199" s="80">
        <f t="shared" si="4"/>
        <v>0</v>
      </c>
      <c r="U199" s="80">
        <f t="shared" si="5"/>
        <v>0</v>
      </c>
    </row>
    <row r="200" spans="1:21" x14ac:dyDescent="0.25">
      <c r="A200" s="76" t="s">
        <v>227</v>
      </c>
      <c r="B200" s="77">
        <v>0</v>
      </c>
      <c r="C200" s="78">
        <f>IFERROR(B200/B327, "NA")</f>
        <v>0</v>
      </c>
      <c r="D200" s="79"/>
      <c r="E200" s="77">
        <v>0</v>
      </c>
      <c r="F200" s="78">
        <f>IFERROR(E200/E327, "NA")</f>
        <v>0</v>
      </c>
      <c r="G200" s="79"/>
      <c r="H200" s="77">
        <v>0</v>
      </c>
      <c r="I200" s="78">
        <f>IFERROR(H200/H327, "NA")</f>
        <v>0</v>
      </c>
      <c r="J200" s="79"/>
      <c r="K200" s="77">
        <v>0</v>
      </c>
      <c r="L200" s="78">
        <f>IFERROR(K200/K327, "NA")</f>
        <v>0</v>
      </c>
      <c r="M200" s="79"/>
      <c r="N200" s="77">
        <v>0</v>
      </c>
      <c r="O200" s="78">
        <f>IFERROR(N200/N327, "NA")</f>
        <v>0</v>
      </c>
      <c r="P200" s="79"/>
      <c r="Q200" s="77">
        <v>0</v>
      </c>
      <c r="R200" s="78">
        <f>IFERROR(Q200/Q327, "NA")</f>
        <v>0</v>
      </c>
      <c r="T200" s="80">
        <f t="shared" si="4"/>
        <v>0</v>
      </c>
      <c r="U200" s="80">
        <f t="shared" si="5"/>
        <v>0</v>
      </c>
    </row>
    <row r="201" spans="1:21" x14ac:dyDescent="0.25">
      <c r="A201" s="76" t="s">
        <v>228</v>
      </c>
      <c r="B201" s="77">
        <v>846.3</v>
      </c>
      <c r="C201" s="78">
        <f>IFERROR(B201/B327, "NA")</f>
        <v>2.1861338358728828E-4</v>
      </c>
      <c r="D201" s="79"/>
      <c r="E201" s="77">
        <v>760.23</v>
      </c>
      <c r="F201" s="78">
        <f>IFERROR(E201/E327, "NA")</f>
        <v>2.5773318552603139E-4</v>
      </c>
      <c r="G201" s="79"/>
      <c r="H201" s="77">
        <v>1192.0999999999999</v>
      </c>
      <c r="I201" s="78">
        <f>IFERROR(H201/H327, "NA")</f>
        <v>2.5842400192877386E-4</v>
      </c>
      <c r="J201" s="79"/>
      <c r="K201" s="77">
        <v>48.8</v>
      </c>
      <c r="L201" s="78">
        <f>IFERROR(K201/K327, "NA")</f>
        <v>1.539639294568068E-5</v>
      </c>
      <c r="M201" s="79"/>
      <c r="N201" s="77">
        <v>5580.66</v>
      </c>
      <c r="O201" s="78">
        <f>IFERROR(N201/N327, "NA")</f>
        <v>1.4099319112984956E-3</v>
      </c>
      <c r="P201" s="79"/>
      <c r="Q201" s="77">
        <v>1074.42</v>
      </c>
      <c r="R201" s="78">
        <f>IFERROR(Q201/Q327, "NA")</f>
        <v>3.1494301636651945E-4</v>
      </c>
      <c r="T201" s="80">
        <f t="shared" ref="T201:T264" si="6">IFERROR(B201+E201+H201+K201+N201+Q201, "NA")</f>
        <v>9502.51</v>
      </c>
      <c r="U201" s="80">
        <f t="shared" ref="U201:U264" si="7">(T201/$V$1)/7</f>
        <v>52.211593406593408</v>
      </c>
    </row>
    <row r="202" spans="1:21" x14ac:dyDescent="0.25">
      <c r="A202" s="76" t="s">
        <v>229</v>
      </c>
      <c r="B202" s="77">
        <v>0</v>
      </c>
      <c r="C202" s="78">
        <f>IFERROR(B202/B327, "NA")</f>
        <v>0</v>
      </c>
      <c r="D202" s="79"/>
      <c r="E202" s="77">
        <v>0</v>
      </c>
      <c r="F202" s="78">
        <f>IFERROR(E202/E327, "NA")</f>
        <v>0</v>
      </c>
      <c r="G202" s="79"/>
      <c r="H202" s="77">
        <v>0</v>
      </c>
      <c r="I202" s="78">
        <f>IFERROR(H202/H327, "NA")</f>
        <v>0</v>
      </c>
      <c r="J202" s="79"/>
      <c r="K202" s="77">
        <v>0</v>
      </c>
      <c r="L202" s="78">
        <f>IFERROR(K202/K327, "NA")</f>
        <v>0</v>
      </c>
      <c r="M202" s="79"/>
      <c r="N202" s="77">
        <v>0</v>
      </c>
      <c r="O202" s="78">
        <f>IFERROR(N202/N327, "NA")</f>
        <v>0</v>
      </c>
      <c r="P202" s="79"/>
      <c r="Q202" s="77">
        <v>0</v>
      </c>
      <c r="R202" s="78">
        <f>IFERROR(Q202/Q327, "NA")</f>
        <v>0</v>
      </c>
      <c r="T202" s="80">
        <f t="shared" si="6"/>
        <v>0</v>
      </c>
      <c r="U202" s="80">
        <f t="shared" si="7"/>
        <v>0</v>
      </c>
    </row>
    <row r="203" spans="1:21" x14ac:dyDescent="0.25">
      <c r="A203" s="76" t="s">
        <v>230</v>
      </c>
      <c r="B203" s="77">
        <v>0</v>
      </c>
      <c r="C203" s="78">
        <f>IFERROR(B203/B327, "NA")</f>
        <v>0</v>
      </c>
      <c r="D203" s="79"/>
      <c r="E203" s="77">
        <v>0</v>
      </c>
      <c r="F203" s="78">
        <f>IFERROR(E203/E327, "NA")</f>
        <v>0</v>
      </c>
      <c r="G203" s="79"/>
      <c r="H203" s="77">
        <v>0</v>
      </c>
      <c r="I203" s="78">
        <f>IFERROR(H203/H327, "NA")</f>
        <v>0</v>
      </c>
      <c r="J203" s="79"/>
      <c r="K203" s="77">
        <v>0</v>
      </c>
      <c r="L203" s="78">
        <f>IFERROR(K203/K327, "NA")</f>
        <v>0</v>
      </c>
      <c r="M203" s="79"/>
      <c r="N203" s="77">
        <v>0</v>
      </c>
      <c r="O203" s="78">
        <f>IFERROR(N203/N327, "NA")</f>
        <v>0</v>
      </c>
      <c r="P203" s="79"/>
      <c r="Q203" s="77">
        <v>0</v>
      </c>
      <c r="R203" s="78">
        <f>IFERROR(Q203/Q327, "NA")</f>
        <v>0</v>
      </c>
      <c r="T203" s="80">
        <f t="shared" si="6"/>
        <v>0</v>
      </c>
      <c r="U203" s="80">
        <f t="shared" si="7"/>
        <v>0</v>
      </c>
    </row>
    <row r="204" spans="1:21" x14ac:dyDescent="0.25">
      <c r="A204" s="76" t="s">
        <v>231</v>
      </c>
      <c r="B204" s="77">
        <v>0</v>
      </c>
      <c r="C204" s="78">
        <f>IFERROR(B204/B327, "NA")</f>
        <v>0</v>
      </c>
      <c r="D204" s="79"/>
      <c r="E204" s="77">
        <v>0</v>
      </c>
      <c r="F204" s="78">
        <f>IFERROR(E204/E327, "NA")</f>
        <v>0</v>
      </c>
      <c r="G204" s="79"/>
      <c r="H204" s="77">
        <v>0</v>
      </c>
      <c r="I204" s="78">
        <f>IFERROR(H204/H327, "NA")</f>
        <v>0</v>
      </c>
      <c r="J204" s="79"/>
      <c r="K204" s="77">
        <v>0</v>
      </c>
      <c r="L204" s="78">
        <f>IFERROR(K204/K327, "NA")</f>
        <v>0</v>
      </c>
      <c r="M204" s="79"/>
      <c r="N204" s="77">
        <v>0</v>
      </c>
      <c r="O204" s="78">
        <f>IFERROR(N204/N327, "NA")</f>
        <v>0</v>
      </c>
      <c r="P204" s="79"/>
      <c r="Q204" s="77">
        <v>0</v>
      </c>
      <c r="R204" s="78">
        <f>IFERROR(Q204/Q327, "NA")</f>
        <v>0</v>
      </c>
      <c r="T204" s="80">
        <f t="shared" si="6"/>
        <v>0</v>
      </c>
      <c r="U204" s="80">
        <f t="shared" si="7"/>
        <v>0</v>
      </c>
    </row>
    <row r="205" spans="1:21" x14ac:dyDescent="0.25">
      <c r="A205" s="76" t="s">
        <v>232</v>
      </c>
      <c r="B205" s="77">
        <v>0</v>
      </c>
      <c r="C205" s="78">
        <f>IFERROR(B205/B327, "NA")</f>
        <v>0</v>
      </c>
      <c r="D205" s="79"/>
      <c r="E205" s="77">
        <v>0</v>
      </c>
      <c r="F205" s="78">
        <f>IFERROR(E205/E327, "NA")</f>
        <v>0</v>
      </c>
      <c r="G205" s="79"/>
      <c r="H205" s="77">
        <v>0</v>
      </c>
      <c r="I205" s="78">
        <f>IFERROR(H205/H327, "NA")</f>
        <v>0</v>
      </c>
      <c r="J205" s="79"/>
      <c r="K205" s="77">
        <v>0</v>
      </c>
      <c r="L205" s="78">
        <f>IFERROR(K205/K327, "NA")</f>
        <v>0</v>
      </c>
      <c r="M205" s="79"/>
      <c r="N205" s="77">
        <v>0</v>
      </c>
      <c r="O205" s="78">
        <f>IFERROR(N205/N327, "NA")</f>
        <v>0</v>
      </c>
      <c r="P205" s="79"/>
      <c r="Q205" s="77">
        <v>0</v>
      </c>
      <c r="R205" s="78">
        <f>IFERROR(Q205/Q327, "NA")</f>
        <v>0</v>
      </c>
      <c r="T205" s="80">
        <f t="shared" si="6"/>
        <v>0</v>
      </c>
      <c r="U205" s="80">
        <f t="shared" si="7"/>
        <v>0</v>
      </c>
    </row>
    <row r="206" spans="1:21" x14ac:dyDescent="0.25">
      <c r="A206" s="76" t="s">
        <v>233</v>
      </c>
      <c r="B206" s="77">
        <v>0</v>
      </c>
      <c r="C206" s="78">
        <f>IFERROR(B206/B327, "NA")</f>
        <v>0</v>
      </c>
      <c r="D206" s="79"/>
      <c r="E206" s="77">
        <v>0</v>
      </c>
      <c r="F206" s="78">
        <f>IFERROR(E206/E327, "NA")</f>
        <v>0</v>
      </c>
      <c r="G206" s="79"/>
      <c r="H206" s="77">
        <v>0</v>
      </c>
      <c r="I206" s="78">
        <f>IFERROR(H206/H327, "NA")</f>
        <v>0</v>
      </c>
      <c r="J206" s="79"/>
      <c r="K206" s="77">
        <v>0</v>
      </c>
      <c r="L206" s="78">
        <f>IFERROR(K206/K327, "NA")</f>
        <v>0</v>
      </c>
      <c r="M206" s="79"/>
      <c r="N206" s="77">
        <v>0</v>
      </c>
      <c r="O206" s="78">
        <f>IFERROR(N206/N327, "NA")</f>
        <v>0</v>
      </c>
      <c r="P206" s="79"/>
      <c r="Q206" s="77">
        <v>0</v>
      </c>
      <c r="R206" s="78">
        <f>IFERROR(Q206/Q327, "NA")</f>
        <v>0</v>
      </c>
      <c r="T206" s="80">
        <f t="shared" si="6"/>
        <v>0</v>
      </c>
      <c r="U206" s="80">
        <f t="shared" si="7"/>
        <v>0</v>
      </c>
    </row>
    <row r="207" spans="1:21" x14ac:dyDescent="0.25">
      <c r="A207" s="76" t="s">
        <v>234</v>
      </c>
      <c r="B207" s="77">
        <v>0</v>
      </c>
      <c r="C207" s="78">
        <f>IFERROR(B207/B327, "NA")</f>
        <v>0</v>
      </c>
      <c r="D207" s="79"/>
      <c r="E207" s="77">
        <v>0</v>
      </c>
      <c r="F207" s="78">
        <f>IFERROR(E207/E327, "NA")</f>
        <v>0</v>
      </c>
      <c r="G207" s="79"/>
      <c r="H207" s="77">
        <v>0</v>
      </c>
      <c r="I207" s="78">
        <f>IFERROR(H207/H327, "NA")</f>
        <v>0</v>
      </c>
      <c r="J207" s="79"/>
      <c r="K207" s="77">
        <v>0</v>
      </c>
      <c r="L207" s="78">
        <f>IFERROR(K207/K327, "NA")</f>
        <v>0</v>
      </c>
      <c r="M207" s="79"/>
      <c r="N207" s="77">
        <v>0</v>
      </c>
      <c r="O207" s="78">
        <f>IFERROR(N207/N327, "NA")</f>
        <v>0</v>
      </c>
      <c r="P207" s="79"/>
      <c r="Q207" s="77">
        <v>0</v>
      </c>
      <c r="R207" s="78">
        <f>IFERROR(Q207/Q327, "NA")</f>
        <v>0</v>
      </c>
      <c r="T207" s="80">
        <f t="shared" si="6"/>
        <v>0</v>
      </c>
      <c r="U207" s="80">
        <f t="shared" si="7"/>
        <v>0</v>
      </c>
    </row>
    <row r="208" spans="1:21" x14ac:dyDescent="0.25">
      <c r="A208" s="76" t="s">
        <v>235</v>
      </c>
      <c r="B208" s="77">
        <v>0</v>
      </c>
      <c r="C208" s="78">
        <f>IFERROR(B208/B327, "NA")</f>
        <v>0</v>
      </c>
      <c r="D208" s="79"/>
      <c r="E208" s="77">
        <v>0</v>
      </c>
      <c r="F208" s="78">
        <f>IFERROR(E208/E327, "NA")</f>
        <v>0</v>
      </c>
      <c r="G208" s="79"/>
      <c r="H208" s="77">
        <v>0</v>
      </c>
      <c r="I208" s="78">
        <f>IFERROR(H208/H327, "NA")</f>
        <v>0</v>
      </c>
      <c r="J208" s="79"/>
      <c r="K208" s="77">
        <v>0</v>
      </c>
      <c r="L208" s="78">
        <f>IFERROR(K208/K327, "NA")</f>
        <v>0</v>
      </c>
      <c r="M208" s="79"/>
      <c r="N208" s="77">
        <v>0</v>
      </c>
      <c r="O208" s="78">
        <f>IFERROR(N208/N327, "NA")</f>
        <v>0</v>
      </c>
      <c r="P208" s="79"/>
      <c r="Q208" s="77">
        <v>0</v>
      </c>
      <c r="R208" s="78">
        <f>IFERROR(Q208/Q327, "NA")</f>
        <v>0</v>
      </c>
      <c r="T208" s="80">
        <f t="shared" si="6"/>
        <v>0</v>
      </c>
      <c r="U208" s="80">
        <f t="shared" si="7"/>
        <v>0</v>
      </c>
    </row>
    <row r="209" spans="1:21" x14ac:dyDescent="0.25">
      <c r="A209" s="81" t="s">
        <v>236</v>
      </c>
      <c r="B209" s="82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896044.72</v>
      </c>
      <c r="C209" s="83">
        <f>IFERROR(B209/B327, "NA")</f>
        <v>0.23146327317112647</v>
      </c>
      <c r="D209" s="72"/>
      <c r="E209" s="82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503222</v>
      </c>
      <c r="F209" s="83">
        <f>IFERROR(E209/E327, "NA")</f>
        <v>0.17060232967231045</v>
      </c>
      <c r="G209" s="72"/>
      <c r="H209" s="82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1053938.6700000002</v>
      </c>
      <c r="I209" s="83">
        <f>IFERROR(H209/H327, "NA")</f>
        <v>0.22847332345347657</v>
      </c>
      <c r="J209" s="72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448071.81999999995</v>
      </c>
      <c r="L209" s="83">
        <f>IFERROR(K209/K327, "NA")</f>
        <v>0.14136659443865374</v>
      </c>
      <c r="M209" s="72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685885.9800000001</v>
      </c>
      <c r="O209" s="83">
        <f>IFERROR(N209/N327, "NA")</f>
        <v>0.17328640890400809</v>
      </c>
      <c r="P209" s="72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430180.51000000007</v>
      </c>
      <c r="R209" s="83">
        <f>IFERROR(Q209/Q327, "NA")</f>
        <v>0.12609812494321374</v>
      </c>
      <c r="T209" s="80">
        <f t="shared" si="6"/>
        <v>4017343.7</v>
      </c>
      <c r="U209" s="80">
        <f t="shared" si="7"/>
        <v>22073.317032967032</v>
      </c>
    </row>
    <row r="210" spans="1:21" x14ac:dyDescent="0.25">
      <c r="A210" s="84" t="s">
        <v>237</v>
      </c>
      <c r="B210" s="77">
        <v>0</v>
      </c>
      <c r="C210" s="78">
        <f>IFERROR(B210/B327, "NA")</f>
        <v>0</v>
      </c>
      <c r="D210" s="79"/>
      <c r="E210" s="77">
        <v>0</v>
      </c>
      <c r="F210" s="78">
        <f>IFERROR(E210/E327, "NA")</f>
        <v>0</v>
      </c>
      <c r="G210" s="79"/>
      <c r="H210" s="77">
        <v>0</v>
      </c>
      <c r="I210" s="78">
        <f>IFERROR(H210/H327, "NA")</f>
        <v>0</v>
      </c>
      <c r="J210" s="79"/>
      <c r="K210" s="77">
        <v>0</v>
      </c>
      <c r="L210" s="78">
        <f>IFERROR(K210/K327, "NA")</f>
        <v>0</v>
      </c>
      <c r="M210" s="79"/>
      <c r="N210" s="77">
        <v>0</v>
      </c>
      <c r="O210" s="78">
        <f>IFERROR(N210/N327, "NA")</f>
        <v>0</v>
      </c>
      <c r="P210" s="79"/>
      <c r="Q210" s="77">
        <v>0</v>
      </c>
      <c r="R210" s="78">
        <f>IFERROR(Q210/Q327, "NA")</f>
        <v>0</v>
      </c>
      <c r="T210" s="80">
        <f t="shared" si="6"/>
        <v>0</v>
      </c>
      <c r="U210" s="80">
        <f t="shared" si="7"/>
        <v>0</v>
      </c>
    </row>
    <row r="211" spans="1:21" x14ac:dyDescent="0.25">
      <c r="A211" s="85" t="s">
        <v>238</v>
      </c>
      <c r="B211" s="82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896044.72</v>
      </c>
      <c r="C211" s="83">
        <f>IFERROR(B211/B327, "NA")</f>
        <v>0.23146327317112647</v>
      </c>
      <c r="D211" s="72"/>
      <c r="E211" s="82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503222</v>
      </c>
      <c r="F211" s="83">
        <f>IFERROR(E211/E327, "NA")</f>
        <v>0.17060232967231045</v>
      </c>
      <c r="G211" s="72"/>
      <c r="H211" s="82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1053938.6700000002</v>
      </c>
      <c r="I211" s="83">
        <f>IFERROR(H211/H327, "NA")</f>
        <v>0.22847332345347657</v>
      </c>
      <c r="J211" s="72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448071.81999999995</v>
      </c>
      <c r="L211" s="83">
        <f>IFERROR(K211/K327, "NA")</f>
        <v>0.14136659443865374</v>
      </c>
      <c r="M211" s="72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685885.9800000001</v>
      </c>
      <c r="O211" s="83">
        <f>IFERROR(N211/N327, "NA")</f>
        <v>0.17328640890400809</v>
      </c>
      <c r="P211" s="72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430180.51000000007</v>
      </c>
      <c r="R211" s="83">
        <f>IFERROR(Q211/Q327, "NA")</f>
        <v>0.12609812494321374</v>
      </c>
      <c r="T211" s="80">
        <f t="shared" si="6"/>
        <v>4017343.7</v>
      </c>
      <c r="U211" s="80">
        <f t="shared" si="7"/>
        <v>22073.317032967032</v>
      </c>
    </row>
    <row r="212" spans="1:21" x14ac:dyDescent="0.25">
      <c r="A212" s="71" t="s">
        <v>239</v>
      </c>
      <c r="B212" s="72"/>
      <c r="C212" s="73"/>
      <c r="D212" s="74"/>
      <c r="E212" s="72"/>
      <c r="F212" s="73"/>
      <c r="G212" s="74"/>
      <c r="H212" s="72"/>
      <c r="I212" s="73"/>
      <c r="J212" s="74"/>
      <c r="K212" s="72"/>
      <c r="L212" s="73"/>
      <c r="M212" s="74"/>
      <c r="N212" s="72"/>
      <c r="O212" s="73"/>
      <c r="P212" s="74"/>
      <c r="Q212" s="72"/>
      <c r="R212" s="73"/>
      <c r="T212" s="80">
        <f t="shared" si="6"/>
        <v>0</v>
      </c>
      <c r="U212" s="80">
        <f t="shared" si="7"/>
        <v>0</v>
      </c>
    </row>
    <row r="213" spans="1:21" x14ac:dyDescent="0.25">
      <c r="A213" s="75" t="s">
        <v>240</v>
      </c>
      <c r="B213" s="72"/>
      <c r="C213" s="73"/>
      <c r="D213" s="74"/>
      <c r="E213" s="72"/>
      <c r="F213" s="73"/>
      <c r="G213" s="74"/>
      <c r="H213" s="72"/>
      <c r="I213" s="73"/>
      <c r="J213" s="74"/>
      <c r="K213" s="72"/>
      <c r="L213" s="73"/>
      <c r="M213" s="74"/>
      <c r="N213" s="72"/>
      <c r="O213" s="73"/>
      <c r="P213" s="74"/>
      <c r="Q213" s="72"/>
      <c r="R213" s="73"/>
      <c r="T213" s="80">
        <f t="shared" si="6"/>
        <v>0</v>
      </c>
      <c r="U213" s="80">
        <f t="shared" si="7"/>
        <v>0</v>
      </c>
    </row>
    <row r="214" spans="1:21" x14ac:dyDescent="0.25">
      <c r="A214" s="76" t="s">
        <v>241</v>
      </c>
      <c r="B214" s="77">
        <v>0</v>
      </c>
      <c r="C214" s="78">
        <f>IFERROR(B214/B327, "NA")</f>
        <v>0</v>
      </c>
      <c r="D214" s="79"/>
      <c r="E214" s="77">
        <v>0</v>
      </c>
      <c r="F214" s="78">
        <f>IFERROR(E214/E327, "NA")</f>
        <v>0</v>
      </c>
      <c r="G214" s="79"/>
      <c r="H214" s="77">
        <v>0</v>
      </c>
      <c r="I214" s="78">
        <f>IFERROR(H214/H327, "NA")</f>
        <v>0</v>
      </c>
      <c r="J214" s="79"/>
      <c r="K214" s="77">
        <v>0</v>
      </c>
      <c r="L214" s="78">
        <f>IFERROR(K214/K327, "NA")</f>
        <v>0</v>
      </c>
      <c r="M214" s="79"/>
      <c r="N214" s="77">
        <v>0</v>
      </c>
      <c r="O214" s="78">
        <f>IFERROR(N214/N327, "NA")</f>
        <v>0</v>
      </c>
      <c r="P214" s="79"/>
      <c r="Q214" s="77">
        <v>0</v>
      </c>
      <c r="R214" s="78">
        <f>IFERROR(Q214/Q327, "NA")</f>
        <v>0</v>
      </c>
      <c r="T214" s="80">
        <f t="shared" si="6"/>
        <v>0</v>
      </c>
      <c r="U214" s="80">
        <f t="shared" si="7"/>
        <v>0</v>
      </c>
    </row>
    <row r="215" spans="1:21" x14ac:dyDescent="0.25">
      <c r="A215" s="76" t="s">
        <v>242</v>
      </c>
      <c r="B215" s="77">
        <v>96356.76</v>
      </c>
      <c r="C215" s="78">
        <f>IFERROR(B215/B327, "NA")</f>
        <v>2.4890555754588536E-2</v>
      </c>
      <c r="D215" s="79"/>
      <c r="E215" s="77">
        <v>86674.76</v>
      </c>
      <c r="F215" s="78">
        <f>IFERROR(E215/E327, "NA")</f>
        <v>2.9384478380890314E-2</v>
      </c>
      <c r="G215" s="79"/>
      <c r="H215" s="77">
        <v>99545.11</v>
      </c>
      <c r="I215" s="78">
        <f>IFERROR(H215/H327, "NA")</f>
        <v>2.1579436036104363E-2</v>
      </c>
      <c r="J215" s="79"/>
      <c r="K215" s="77">
        <v>94787.99</v>
      </c>
      <c r="L215" s="78">
        <f>IFERROR(K215/K327, "NA")</f>
        <v>2.9905597142853502E-2</v>
      </c>
      <c r="M215" s="79"/>
      <c r="N215" s="77">
        <v>98097.79</v>
      </c>
      <c r="O215" s="78">
        <f>IFERROR(N215/N327, "NA")</f>
        <v>2.4784022776671296E-2</v>
      </c>
      <c r="P215" s="79"/>
      <c r="Q215" s="77">
        <v>90595.65</v>
      </c>
      <c r="R215" s="78">
        <f>IFERROR(Q215/Q327, "NA")</f>
        <v>2.655615800216439E-2</v>
      </c>
      <c r="T215" s="80">
        <f t="shared" si="6"/>
        <v>566058.05999999994</v>
      </c>
      <c r="U215" s="80">
        <f t="shared" si="7"/>
        <v>3110.2091208791207</v>
      </c>
    </row>
    <row r="216" spans="1:21" x14ac:dyDescent="0.25">
      <c r="A216" s="76" t="s">
        <v>243</v>
      </c>
      <c r="B216" s="77">
        <v>11336.9</v>
      </c>
      <c r="C216" s="78">
        <f>IFERROR(B216/B327, "NA")</f>
        <v>2.928510065450465E-3</v>
      </c>
      <c r="D216" s="79"/>
      <c r="E216" s="77">
        <v>931.75</v>
      </c>
      <c r="F216" s="78">
        <f>IFERROR(E216/E327, "NA")</f>
        <v>3.1588189839111818E-4</v>
      </c>
      <c r="G216" s="79"/>
      <c r="H216" s="77">
        <v>5223.5200000000004</v>
      </c>
      <c r="I216" s="78">
        <f>IFERROR(H216/H327, "NA")</f>
        <v>1.1323571366118523E-3</v>
      </c>
      <c r="J216" s="79"/>
      <c r="K216" s="77">
        <v>9451.1</v>
      </c>
      <c r="L216" s="78">
        <f>IFERROR(K216/K327, "NA")</f>
        <v>2.9818206837893993E-3</v>
      </c>
      <c r="M216" s="79"/>
      <c r="N216" s="77">
        <v>12459.1</v>
      </c>
      <c r="O216" s="78">
        <f>IFERROR(N216/N327, "NA")</f>
        <v>3.1477428612492224E-3</v>
      </c>
      <c r="P216" s="79"/>
      <c r="Q216" s="77">
        <v>-27.6</v>
      </c>
      <c r="R216" s="78">
        <f>IFERROR(Q216/Q327, "NA")</f>
        <v>-8.0903438615401199E-6</v>
      </c>
      <c r="T216" s="80">
        <f t="shared" si="6"/>
        <v>39374.769999999997</v>
      </c>
      <c r="U216" s="80">
        <f t="shared" si="7"/>
        <v>216.34489010989009</v>
      </c>
    </row>
    <row r="217" spans="1:21" x14ac:dyDescent="0.25">
      <c r="A217" s="76" t="s">
        <v>244</v>
      </c>
      <c r="B217" s="77">
        <v>20533.990000000002</v>
      </c>
      <c r="C217" s="78">
        <f>IFERROR(B217/B327, "NA")</f>
        <v>5.3042715732571693E-3</v>
      </c>
      <c r="D217" s="79"/>
      <c r="E217" s="77">
        <v>21246.98</v>
      </c>
      <c r="F217" s="78">
        <f>IFERROR(E217/E327, "NA")</f>
        <v>7.2031514649617597E-3</v>
      </c>
      <c r="G217" s="79"/>
      <c r="H217" s="77">
        <v>12214.15</v>
      </c>
      <c r="I217" s="78">
        <f>IFERROR(H217/H327, "NA")</f>
        <v>2.6477892149637896E-3</v>
      </c>
      <c r="J217" s="79"/>
      <c r="K217" s="77">
        <v>15455.41</v>
      </c>
      <c r="L217" s="78">
        <f>IFERROR(K217/K327, "NA")</f>
        <v>4.8761796208320208E-3</v>
      </c>
      <c r="M217" s="79"/>
      <c r="N217" s="77">
        <v>13344.3</v>
      </c>
      <c r="O217" s="78">
        <f>IFERROR(N217/N327, "NA")</f>
        <v>3.3713851773697935E-3</v>
      </c>
      <c r="P217" s="79"/>
      <c r="Q217" s="77">
        <v>24618.84</v>
      </c>
      <c r="R217" s="78">
        <f>IFERROR(Q217/Q327, "NA")</f>
        <v>7.2164811982695061E-3</v>
      </c>
      <c r="T217" s="80">
        <f t="shared" si="6"/>
        <v>107413.67</v>
      </c>
      <c r="U217" s="80">
        <f t="shared" si="7"/>
        <v>590.18500000000006</v>
      </c>
    </row>
    <row r="218" spans="1:21" x14ac:dyDescent="0.25">
      <c r="A218" s="76" t="s">
        <v>245</v>
      </c>
      <c r="B218" s="77">
        <v>7033.78</v>
      </c>
      <c r="C218" s="78">
        <f>IFERROR(B218/B327, "NA")</f>
        <v>1.8169425088131828E-3</v>
      </c>
      <c r="D218" s="79"/>
      <c r="E218" s="77">
        <v>4777.47</v>
      </c>
      <c r="F218" s="78">
        <f>IFERROR(E218/E327, "NA")</f>
        <v>1.6196579480618357E-3</v>
      </c>
      <c r="G218" s="79"/>
      <c r="H218" s="77">
        <v>7123.11</v>
      </c>
      <c r="I218" s="78">
        <f>IFERROR(H218/H327, "NA")</f>
        <v>1.5441511554222535E-3</v>
      </c>
      <c r="J218" s="79"/>
      <c r="K218" s="77">
        <v>6322.93</v>
      </c>
      <c r="L218" s="78">
        <f>IFERROR(K218/K327, "NA")</f>
        <v>1.9948835009842777E-3</v>
      </c>
      <c r="M218" s="79"/>
      <c r="N218" s="77">
        <v>4436.4799999999996</v>
      </c>
      <c r="O218" s="78">
        <f>IFERROR(N218/N327, "NA")</f>
        <v>1.1208593115935299E-3</v>
      </c>
      <c r="P218" s="79"/>
      <c r="Q218" s="77">
        <v>4921.6899999999996</v>
      </c>
      <c r="R218" s="78">
        <f>IFERROR(Q218/Q327, "NA")</f>
        <v>1.4426871188370795E-3</v>
      </c>
      <c r="T218" s="80">
        <f t="shared" si="6"/>
        <v>34615.46</v>
      </c>
      <c r="U218" s="80">
        <f t="shared" si="7"/>
        <v>190.19483516483518</v>
      </c>
    </row>
    <row r="219" spans="1:21" x14ac:dyDescent="0.25">
      <c r="A219" s="76" t="s">
        <v>246</v>
      </c>
      <c r="B219" s="77">
        <v>54739.71</v>
      </c>
      <c r="C219" s="78">
        <f>IFERROR(B219/B327, "NA")</f>
        <v>1.4140178683311971E-2</v>
      </c>
      <c r="D219" s="79"/>
      <c r="E219" s="77">
        <v>54691.5</v>
      </c>
      <c r="F219" s="78">
        <f>IFERROR(E219/E327, "NA")</f>
        <v>1.854151311602666E-2</v>
      </c>
      <c r="G219" s="79"/>
      <c r="H219" s="77">
        <v>15829.01</v>
      </c>
      <c r="I219" s="78">
        <f>IFERROR(H219/H327, "NA")</f>
        <v>3.4314202757911093E-3</v>
      </c>
      <c r="J219" s="79"/>
      <c r="K219" s="77">
        <v>54760.54</v>
      </c>
      <c r="L219" s="78">
        <f>IFERROR(K219/K327, "NA")</f>
        <v>1.7276942454050506E-2</v>
      </c>
      <c r="M219" s="79"/>
      <c r="N219" s="77">
        <v>57734.6</v>
      </c>
      <c r="O219" s="78">
        <f>IFERROR(N219/N327, "NA")</f>
        <v>1.4586420768520949E-2</v>
      </c>
      <c r="P219" s="79"/>
      <c r="Q219" s="77">
        <v>37151.019999999997</v>
      </c>
      <c r="R219" s="78">
        <f>IFERROR(Q219/Q327, "NA")</f>
        <v>1.0890019079962109E-2</v>
      </c>
      <c r="T219" s="80">
        <f t="shared" si="6"/>
        <v>274906.38</v>
      </c>
      <c r="U219" s="80">
        <f t="shared" si="7"/>
        <v>1510.4746153846154</v>
      </c>
    </row>
    <row r="220" spans="1:21" x14ac:dyDescent="0.25">
      <c r="A220" s="76" t="s">
        <v>247</v>
      </c>
      <c r="B220" s="77">
        <v>161.32</v>
      </c>
      <c r="C220" s="78">
        <f>IFERROR(B220/B327, "NA")</f>
        <v>4.1671642491198564E-5</v>
      </c>
      <c r="D220" s="79"/>
      <c r="E220" s="77">
        <v>4719.3900000000003</v>
      </c>
      <c r="F220" s="78">
        <f>IFERROR(E220/E327, "NA")</f>
        <v>1.5999676656271095E-3</v>
      </c>
      <c r="G220" s="79"/>
      <c r="H220" s="77">
        <v>-4095.43</v>
      </c>
      <c r="I220" s="78">
        <f>IFERROR(H220/H327, "NA")</f>
        <v>-8.8780925276332387E-4</v>
      </c>
      <c r="J220" s="79"/>
      <c r="K220" s="77">
        <v>331.4</v>
      </c>
      <c r="L220" s="78">
        <f>IFERROR(K220/K327, "NA")</f>
        <v>1.0455665209423314E-4</v>
      </c>
      <c r="M220" s="79"/>
      <c r="N220" s="77">
        <v>-254.35</v>
      </c>
      <c r="O220" s="78">
        <f>IFERROR(N220/N327, "NA")</f>
        <v>-6.4260532202064331E-5</v>
      </c>
      <c r="P220" s="79"/>
      <c r="Q220" s="77">
        <v>-261.77</v>
      </c>
      <c r="R220" s="78">
        <f>IFERROR(Q220/Q327, "NA")</f>
        <v>-7.673222147229555E-5</v>
      </c>
      <c r="T220" s="80">
        <f t="shared" si="6"/>
        <v>600.56000000000029</v>
      </c>
      <c r="U220" s="80">
        <f t="shared" si="7"/>
        <v>3.2997802197802213</v>
      </c>
    </row>
    <row r="221" spans="1:21" x14ac:dyDescent="0.25">
      <c r="A221" s="76" t="s">
        <v>248</v>
      </c>
      <c r="B221" s="77">
        <v>11419.98</v>
      </c>
      <c r="C221" s="78">
        <f>IFERROR(B221/B327, "NA")</f>
        <v>2.949971012996763E-3</v>
      </c>
      <c r="D221" s="79"/>
      <c r="E221" s="77">
        <v>11409.98</v>
      </c>
      <c r="F221" s="78">
        <f>IFERROR(E221/E327, "NA")</f>
        <v>3.8682115835843201E-3</v>
      </c>
      <c r="G221" s="79"/>
      <c r="H221" s="77">
        <v>4993.0200000000004</v>
      </c>
      <c r="I221" s="78">
        <f>IFERROR(H221/H327, "NA")</f>
        <v>1.0823892375726924E-3</v>
      </c>
      <c r="J221" s="79"/>
      <c r="K221" s="77">
        <v>4287.4799999999996</v>
      </c>
      <c r="L221" s="78">
        <f>IFERROR(K221/K327, "NA")</f>
        <v>1.3526993202202253E-3</v>
      </c>
      <c r="M221" s="79"/>
      <c r="N221" s="77">
        <v>9243.18</v>
      </c>
      <c r="O221" s="78">
        <f>IFERROR(N221/N327, "NA")</f>
        <v>2.3352532574777945E-3</v>
      </c>
      <c r="P221" s="79"/>
      <c r="Q221" s="77">
        <v>11566.79</v>
      </c>
      <c r="R221" s="78">
        <f>IFERROR(Q221/Q327, "NA")</f>
        <v>3.3905546548631759E-3</v>
      </c>
      <c r="T221" s="80">
        <f t="shared" si="6"/>
        <v>52920.43</v>
      </c>
      <c r="U221" s="80">
        <f t="shared" si="7"/>
        <v>290.77159340659341</v>
      </c>
    </row>
    <row r="222" spans="1:21" x14ac:dyDescent="0.25">
      <c r="A222" s="76" t="s">
        <v>249</v>
      </c>
      <c r="B222" s="77">
        <v>1477.31</v>
      </c>
      <c r="C222" s="78">
        <f>IFERROR(B222/B327, "NA")</f>
        <v>3.8161377491118616E-4</v>
      </c>
      <c r="D222" s="79"/>
      <c r="E222" s="77">
        <v>838.58</v>
      </c>
      <c r="F222" s="78">
        <f>IFERROR(E222/E327, "NA")</f>
        <v>2.8429540365207824E-4</v>
      </c>
      <c r="G222" s="79"/>
      <c r="H222" s="77">
        <v>2138.0300000000002</v>
      </c>
      <c r="I222" s="78">
        <f>IFERROR(H222/H327, "NA")</f>
        <v>4.6348315480561737E-4</v>
      </c>
      <c r="J222" s="79"/>
      <c r="K222" s="77">
        <v>-90.09</v>
      </c>
      <c r="L222" s="78">
        <f>IFERROR(K222/K327, "NA")</f>
        <v>-2.8423381976974846E-5</v>
      </c>
      <c r="M222" s="79"/>
      <c r="N222" s="77">
        <v>467.38</v>
      </c>
      <c r="O222" s="78">
        <f>IFERROR(N222/N327, "NA")</f>
        <v>1.1808172809357511E-4</v>
      </c>
      <c r="P222" s="79"/>
      <c r="Q222" s="77">
        <v>988.39</v>
      </c>
      <c r="R222" s="78">
        <f>IFERROR(Q222/Q327, "NA")</f>
        <v>2.8972518004737822E-4</v>
      </c>
      <c r="T222" s="80">
        <f t="shared" si="6"/>
        <v>5819.6</v>
      </c>
      <c r="U222" s="80">
        <f t="shared" si="7"/>
        <v>31.975824175824179</v>
      </c>
    </row>
    <row r="223" spans="1:21" x14ac:dyDescent="0.25">
      <c r="A223" s="76" t="s">
        <v>250</v>
      </c>
      <c r="B223" s="77">
        <v>225</v>
      </c>
      <c r="C223" s="78">
        <f>IFERROR(B223/B327, "NA")</f>
        <v>5.81212469657803E-5</v>
      </c>
      <c r="D223" s="79"/>
      <c r="E223" s="77">
        <v>1531.21</v>
      </c>
      <c r="F223" s="78">
        <f>IFERROR(E223/E327, "NA")</f>
        <v>5.1911083620656193E-4</v>
      </c>
      <c r="G223" s="79"/>
      <c r="H223" s="77">
        <v>19.18</v>
      </c>
      <c r="I223" s="78">
        <f>IFERROR(H223/H327, "NA")</f>
        <v>4.1578494731934264E-6</v>
      </c>
      <c r="J223" s="79"/>
      <c r="K223" s="77">
        <v>0</v>
      </c>
      <c r="L223" s="78">
        <f>IFERROR(K223/K327, "NA")</f>
        <v>0</v>
      </c>
      <c r="M223" s="79"/>
      <c r="N223" s="77">
        <v>1581.68</v>
      </c>
      <c r="O223" s="78">
        <f>IFERROR(N223/N327, "NA")</f>
        <v>3.9960526272208029E-4</v>
      </c>
      <c r="P223" s="79"/>
      <c r="Q223" s="77">
        <v>653.78</v>
      </c>
      <c r="R223" s="78">
        <f>IFERROR(Q223/Q327, "NA")</f>
        <v>1.916414858622355E-4</v>
      </c>
      <c r="T223" s="80">
        <f t="shared" si="6"/>
        <v>4010.8500000000004</v>
      </c>
      <c r="U223" s="80">
        <f t="shared" si="7"/>
        <v>22.037637362637362</v>
      </c>
    </row>
    <row r="224" spans="1:21" x14ac:dyDescent="0.25">
      <c r="A224" s="76" t="s">
        <v>251</v>
      </c>
      <c r="B224" s="77">
        <v>0</v>
      </c>
      <c r="C224" s="78">
        <f>IFERROR(B224/B327, "NA")</f>
        <v>0</v>
      </c>
      <c r="D224" s="79"/>
      <c r="E224" s="77">
        <v>520.17999999999995</v>
      </c>
      <c r="F224" s="78">
        <f>IFERROR(E224/E327, "NA")</f>
        <v>1.7635143107603093E-4</v>
      </c>
      <c r="G224" s="79"/>
      <c r="H224" s="77">
        <v>289.27999999999997</v>
      </c>
      <c r="I224" s="78">
        <f>IFERROR(H224/H327, "NA")</f>
        <v>6.271025524532817E-5</v>
      </c>
      <c r="J224" s="79"/>
      <c r="K224" s="77">
        <v>182.25</v>
      </c>
      <c r="L224" s="78">
        <f>IFERROR(K224/K327, "NA")</f>
        <v>5.749984865471934E-5</v>
      </c>
      <c r="M224" s="79"/>
      <c r="N224" s="77">
        <v>156.25</v>
      </c>
      <c r="O224" s="78">
        <f>IFERROR(N224/N327, "NA")</f>
        <v>3.9475951077540993E-5</v>
      </c>
      <c r="P224" s="79"/>
      <c r="Q224" s="77">
        <v>-1.06</v>
      </c>
      <c r="R224" s="78">
        <f>IFERROR(Q224/Q327, "NA")</f>
        <v>-3.107161048272655E-7</v>
      </c>
      <c r="T224" s="80">
        <f t="shared" si="6"/>
        <v>1146.9000000000001</v>
      </c>
      <c r="U224" s="80">
        <f t="shared" si="7"/>
        <v>6.3016483516483524</v>
      </c>
    </row>
    <row r="225" spans="1:21" x14ac:dyDescent="0.25">
      <c r="A225" s="76" t="s">
        <v>252</v>
      </c>
      <c r="B225" s="77">
        <v>0</v>
      </c>
      <c r="C225" s="78">
        <f>IFERROR(B225/B327, "NA")</f>
        <v>0</v>
      </c>
      <c r="D225" s="79"/>
      <c r="E225" s="77">
        <v>0</v>
      </c>
      <c r="F225" s="78">
        <f>IFERROR(E225/E327, "NA")</f>
        <v>0</v>
      </c>
      <c r="G225" s="79"/>
      <c r="H225" s="77">
        <v>0</v>
      </c>
      <c r="I225" s="78">
        <f>IFERROR(H225/H327, "NA")</f>
        <v>0</v>
      </c>
      <c r="J225" s="79"/>
      <c r="K225" s="77">
        <v>0</v>
      </c>
      <c r="L225" s="78">
        <f>IFERROR(K225/K327, "NA")</f>
        <v>0</v>
      </c>
      <c r="M225" s="79"/>
      <c r="N225" s="77">
        <v>0</v>
      </c>
      <c r="O225" s="78">
        <f>IFERROR(N225/N327, "NA")</f>
        <v>0</v>
      </c>
      <c r="P225" s="79"/>
      <c r="Q225" s="77">
        <v>2007.78</v>
      </c>
      <c r="R225" s="78">
        <f>IFERROR(Q225/Q327, "NA")</f>
        <v>5.8853734051895004E-4</v>
      </c>
      <c r="T225" s="80">
        <f t="shared" si="6"/>
        <v>2007.78</v>
      </c>
      <c r="U225" s="80">
        <f t="shared" si="7"/>
        <v>11.031758241758242</v>
      </c>
    </row>
    <row r="226" spans="1:21" x14ac:dyDescent="0.25">
      <c r="A226" s="76" t="s">
        <v>253</v>
      </c>
      <c r="B226" s="77">
        <v>-114.21</v>
      </c>
      <c r="C226" s="78">
        <f>IFERROR(B226/B327, "NA")</f>
        <v>-2.9502344959830079E-5</v>
      </c>
      <c r="D226" s="79"/>
      <c r="E226" s="77">
        <v>-607.02</v>
      </c>
      <c r="F226" s="78">
        <f>IFERROR(E226/E327, "NA")</f>
        <v>-2.0579192912409608E-4</v>
      </c>
      <c r="G226" s="79"/>
      <c r="H226" s="77">
        <v>-107.9</v>
      </c>
      <c r="I226" s="78">
        <f>IFERROR(H226/H327, "NA")</f>
        <v>-2.339061304262621E-5</v>
      </c>
      <c r="J226" s="79"/>
      <c r="K226" s="77">
        <v>-256.05</v>
      </c>
      <c r="L226" s="78">
        <f>IFERROR(K226/K327, "NA")</f>
        <v>-8.0783737986506936E-5</v>
      </c>
      <c r="M226" s="79"/>
      <c r="N226" s="77">
        <v>73.03</v>
      </c>
      <c r="O226" s="78">
        <f>IFERROR(N226/N327, "NA")</f>
        <v>1.845074372603404E-5</v>
      </c>
      <c r="P226" s="79"/>
      <c r="Q226" s="77">
        <v>987.85</v>
      </c>
      <c r="R226" s="78">
        <f>IFERROR(Q226/Q327, "NA")</f>
        <v>2.8956689071095681E-4</v>
      </c>
      <c r="T226" s="80">
        <f t="shared" si="6"/>
        <v>-24.300000000000068</v>
      </c>
      <c r="U226" s="80">
        <f t="shared" si="7"/>
        <v>-0.1335164835164839</v>
      </c>
    </row>
    <row r="227" spans="1:21" x14ac:dyDescent="0.25">
      <c r="A227" s="76" t="s">
        <v>254</v>
      </c>
      <c r="B227" s="77">
        <v>8126.18</v>
      </c>
      <c r="C227" s="78">
        <f>IFERROR(B227/B327, "NA")</f>
        <v>2.099127620748376E-3</v>
      </c>
      <c r="D227" s="79"/>
      <c r="E227" s="77">
        <v>9001.32</v>
      </c>
      <c r="F227" s="78">
        <f>IFERROR(E227/E327, "NA")</f>
        <v>3.05162763576704E-3</v>
      </c>
      <c r="G227" s="79"/>
      <c r="H227" s="77">
        <v>3327.56</v>
      </c>
      <c r="I227" s="78">
        <f>IFERROR(H227/H327, "NA")</f>
        <v>7.213500309186401E-4</v>
      </c>
      <c r="J227" s="79"/>
      <c r="K227" s="77">
        <v>2405.65</v>
      </c>
      <c r="L227" s="78">
        <f>IFERROR(K227/K327, "NA")</f>
        <v>7.5898222724952319E-4</v>
      </c>
      <c r="M227" s="79"/>
      <c r="N227" s="77">
        <v>2713.65</v>
      </c>
      <c r="O227" s="78">
        <f>IFERROR(N227/N327, "NA")</f>
        <v>6.855930537060424E-4</v>
      </c>
      <c r="P227" s="79"/>
      <c r="Q227" s="77">
        <v>5378.71</v>
      </c>
      <c r="R227" s="78">
        <f>IFERROR(Q227/Q327, "NA")</f>
        <v>1.5766526605617559E-3</v>
      </c>
      <c r="T227" s="80">
        <f t="shared" si="6"/>
        <v>30953.070000000003</v>
      </c>
      <c r="U227" s="80">
        <f t="shared" si="7"/>
        <v>170.07181318681322</v>
      </c>
    </row>
    <row r="228" spans="1:21" x14ac:dyDescent="0.25">
      <c r="A228" s="76" t="s">
        <v>255</v>
      </c>
      <c r="B228" s="77">
        <v>1640.24</v>
      </c>
      <c r="C228" s="78">
        <f>IFERROR(B228/B327, "NA")</f>
        <v>4.2370130721400658E-4</v>
      </c>
      <c r="D228" s="79"/>
      <c r="E228" s="77">
        <v>-89.95</v>
      </c>
      <c r="F228" s="78">
        <f>IFERROR(E228/E327, "NA")</f>
        <v>-3.0494850292762093E-5</v>
      </c>
      <c r="G228" s="79"/>
      <c r="H228" s="77">
        <v>3592.22</v>
      </c>
      <c r="I228" s="78">
        <f>IFERROR(H228/H327, "NA")</f>
        <v>7.7872315091735602E-4</v>
      </c>
      <c r="J228" s="79"/>
      <c r="K228" s="77">
        <v>1615.81</v>
      </c>
      <c r="L228" s="78">
        <f>IFERROR(K228/K327, "NA")</f>
        <v>5.097878214254159E-4</v>
      </c>
      <c r="M228" s="79"/>
      <c r="N228" s="77">
        <v>3088.63</v>
      </c>
      <c r="O228" s="78">
        <f>IFERROR(N228/N327, "NA")</f>
        <v>7.8033028337040286E-4</v>
      </c>
      <c r="P228" s="79"/>
      <c r="Q228" s="77">
        <v>868.06</v>
      </c>
      <c r="R228" s="78">
        <f>IFERROR(Q228/Q327, "NA")</f>
        <v>2.5445303958146801E-4</v>
      </c>
      <c r="T228" s="80">
        <f t="shared" si="6"/>
        <v>10715.01</v>
      </c>
      <c r="U228" s="80">
        <f t="shared" si="7"/>
        <v>58.873681318681314</v>
      </c>
    </row>
    <row r="229" spans="1:21" x14ac:dyDescent="0.25">
      <c r="A229" s="76" t="s">
        <v>256</v>
      </c>
      <c r="B229" s="77">
        <v>0</v>
      </c>
      <c r="C229" s="78">
        <f>IFERROR(B229/B327, "NA")</f>
        <v>0</v>
      </c>
      <c r="D229" s="79"/>
      <c r="E229" s="77">
        <v>0</v>
      </c>
      <c r="F229" s="78">
        <f>IFERROR(E229/E327, "NA")</f>
        <v>0</v>
      </c>
      <c r="G229" s="79"/>
      <c r="H229" s="77">
        <v>0</v>
      </c>
      <c r="I229" s="78">
        <f>IFERROR(H229/H327, "NA")</f>
        <v>0</v>
      </c>
      <c r="J229" s="79"/>
      <c r="K229" s="77">
        <v>-33</v>
      </c>
      <c r="L229" s="78">
        <f>IFERROR(K229/K327, "NA")</f>
        <v>-1.0411495229661115E-5</v>
      </c>
      <c r="M229" s="79"/>
      <c r="N229" s="77">
        <v>231</v>
      </c>
      <c r="O229" s="78">
        <f>IFERROR(N229/N327, "NA")</f>
        <v>5.8361246073036607E-5</v>
      </c>
      <c r="P229" s="79"/>
      <c r="Q229" s="77">
        <v>0</v>
      </c>
      <c r="R229" s="78">
        <f>IFERROR(Q229/Q327, "NA")</f>
        <v>0</v>
      </c>
      <c r="T229" s="80">
        <f t="shared" si="6"/>
        <v>198</v>
      </c>
      <c r="U229" s="80">
        <f t="shared" si="7"/>
        <v>1.0879120879120878</v>
      </c>
    </row>
    <row r="230" spans="1:21" x14ac:dyDescent="0.25">
      <c r="A230" s="76" t="s">
        <v>257</v>
      </c>
      <c r="B230" s="77">
        <v>5172.71</v>
      </c>
      <c r="C230" s="78">
        <f>IFERROR(B230/B327, "NA")</f>
        <v>1.3361971350771618E-3</v>
      </c>
      <c r="D230" s="79"/>
      <c r="E230" s="77">
        <v>5185.3</v>
      </c>
      <c r="F230" s="78">
        <f>IFERROR(E230/E327, "NA")</f>
        <v>1.7579204805231714E-3</v>
      </c>
      <c r="G230" s="79"/>
      <c r="H230" s="77">
        <v>10552.98</v>
      </c>
      <c r="I230" s="78">
        <f>IFERROR(H230/H327, "NA")</f>
        <v>2.2876799965391428E-3</v>
      </c>
      <c r="J230" s="79"/>
      <c r="K230" s="77">
        <v>8372.82</v>
      </c>
      <c r="L230" s="78">
        <f>IFERROR(K230/K327, "NA")</f>
        <v>2.6416234996609446E-3</v>
      </c>
      <c r="M230" s="79"/>
      <c r="N230" s="77">
        <v>6097.6</v>
      </c>
      <c r="O230" s="78">
        <f>IFERROR(N230/N327, "NA")</f>
        <v>1.5405347794586494E-3</v>
      </c>
      <c r="P230" s="79"/>
      <c r="Q230" s="77">
        <v>8757.75</v>
      </c>
      <c r="R230" s="78">
        <f>IFERROR(Q230/Q327, "NA")</f>
        <v>2.5671452519348908E-3</v>
      </c>
      <c r="T230" s="80">
        <f t="shared" si="6"/>
        <v>44139.159999999996</v>
      </c>
      <c r="U230" s="80">
        <f t="shared" si="7"/>
        <v>242.52285714285713</v>
      </c>
    </row>
    <row r="231" spans="1:21" x14ac:dyDescent="0.25">
      <c r="A231" s="76" t="s">
        <v>258</v>
      </c>
      <c r="B231" s="77">
        <v>0</v>
      </c>
      <c r="C231" s="78">
        <f>IFERROR(B231/B327, "NA")</f>
        <v>0</v>
      </c>
      <c r="D231" s="79"/>
      <c r="E231" s="77">
        <v>0</v>
      </c>
      <c r="F231" s="78">
        <f>IFERROR(E231/E327, "NA")</f>
        <v>0</v>
      </c>
      <c r="G231" s="79"/>
      <c r="H231" s="77">
        <v>0</v>
      </c>
      <c r="I231" s="78">
        <f>IFERROR(H231/H327, "NA")</f>
        <v>0</v>
      </c>
      <c r="J231" s="79"/>
      <c r="K231" s="77">
        <v>0</v>
      </c>
      <c r="L231" s="78">
        <f>IFERROR(K231/K327, "NA")</f>
        <v>0</v>
      </c>
      <c r="M231" s="79"/>
      <c r="N231" s="77">
        <v>0</v>
      </c>
      <c r="O231" s="78">
        <f>IFERROR(N231/N327, "NA")</f>
        <v>0</v>
      </c>
      <c r="P231" s="79"/>
      <c r="Q231" s="77">
        <v>0</v>
      </c>
      <c r="R231" s="78">
        <f>IFERROR(Q231/Q327, "NA")</f>
        <v>0</v>
      </c>
      <c r="T231" s="80">
        <f t="shared" si="6"/>
        <v>0</v>
      </c>
      <c r="U231" s="80">
        <f t="shared" si="7"/>
        <v>0</v>
      </c>
    </row>
    <row r="232" spans="1:21" x14ac:dyDescent="0.25">
      <c r="A232" s="76" t="s">
        <v>259</v>
      </c>
      <c r="B232" s="77">
        <v>500</v>
      </c>
      <c r="C232" s="78">
        <f>IFERROR(B232/B327, "NA")</f>
        <v>1.2915832659062288E-4</v>
      </c>
      <c r="D232" s="79"/>
      <c r="E232" s="77">
        <v>0</v>
      </c>
      <c r="F232" s="78">
        <f>IFERROR(E232/E327, "NA")</f>
        <v>0</v>
      </c>
      <c r="G232" s="79"/>
      <c r="H232" s="77">
        <v>0</v>
      </c>
      <c r="I232" s="78">
        <f>IFERROR(H232/H327, "NA")</f>
        <v>0</v>
      </c>
      <c r="J232" s="79"/>
      <c r="K232" s="77">
        <v>0</v>
      </c>
      <c r="L232" s="78">
        <f>IFERROR(K232/K327, "NA")</f>
        <v>0</v>
      </c>
      <c r="M232" s="79"/>
      <c r="N232" s="77">
        <v>15000</v>
      </c>
      <c r="O232" s="78">
        <f>IFERROR(N232/N327, "NA")</f>
        <v>3.7896913034439353E-3</v>
      </c>
      <c r="P232" s="79"/>
      <c r="Q232" s="77">
        <v>300</v>
      </c>
      <c r="R232" s="78">
        <f>IFERROR(Q232/Q327, "NA")</f>
        <v>8.7938520234131745E-5</v>
      </c>
      <c r="T232" s="80">
        <f t="shared" si="6"/>
        <v>15800</v>
      </c>
      <c r="U232" s="80">
        <f t="shared" si="7"/>
        <v>86.813186813186817</v>
      </c>
    </row>
    <row r="233" spans="1:21" x14ac:dyDescent="0.25">
      <c r="A233" s="76" t="s">
        <v>260</v>
      </c>
      <c r="B233" s="77">
        <v>640.84</v>
      </c>
      <c r="C233" s="78">
        <f>IFERROR(B233/B327, "NA")</f>
        <v>1.6553964402466956E-4</v>
      </c>
      <c r="D233" s="79"/>
      <c r="E233" s="77">
        <v>846.08</v>
      </c>
      <c r="F233" s="78">
        <f>IFERROR(E233/E327, "NA")</f>
        <v>2.8683805375986828E-4</v>
      </c>
      <c r="G233" s="79"/>
      <c r="H233" s="77">
        <v>718.05</v>
      </c>
      <c r="I233" s="78">
        <f>IFERROR(H233/H327, "NA")</f>
        <v>1.5565921867708755E-4</v>
      </c>
      <c r="J233" s="79"/>
      <c r="K233" s="77">
        <v>558.54999999999995</v>
      </c>
      <c r="L233" s="78">
        <f>IFERROR(K233/K327, "NA")</f>
        <v>1.7622244425840046E-4</v>
      </c>
      <c r="M233" s="79"/>
      <c r="N233" s="77">
        <v>245.89</v>
      </c>
      <c r="O233" s="78">
        <f>IFERROR(N233/N327, "NA")</f>
        <v>6.2123146306921955E-5</v>
      </c>
      <c r="P233" s="79"/>
      <c r="Q233" s="77">
        <v>259.43</v>
      </c>
      <c r="R233" s="78">
        <f>IFERROR(Q233/Q327, "NA")</f>
        <v>7.6046301014469329E-5</v>
      </c>
      <c r="T233" s="80">
        <f t="shared" si="6"/>
        <v>3268.84</v>
      </c>
      <c r="U233" s="80">
        <f t="shared" si="7"/>
        <v>17.96065934065934</v>
      </c>
    </row>
    <row r="234" spans="1:21" x14ac:dyDescent="0.25">
      <c r="A234" s="76" t="s">
        <v>261</v>
      </c>
      <c r="B234" s="77">
        <v>92.62</v>
      </c>
      <c r="C234" s="78">
        <f>IFERROR(B234/B327, "NA")</f>
        <v>2.3925288417646986E-5</v>
      </c>
      <c r="D234" s="79"/>
      <c r="E234" s="77">
        <v>157.65</v>
      </c>
      <c r="F234" s="78">
        <f>IFERROR(E234/E327, "NA")</f>
        <v>5.344650526574701E-5</v>
      </c>
      <c r="G234" s="79"/>
      <c r="H234" s="77">
        <v>981.44</v>
      </c>
      <c r="I234" s="78">
        <f>IFERROR(H234/H327, "NA")</f>
        <v>2.127570274750238E-4</v>
      </c>
      <c r="J234" s="79"/>
      <c r="K234" s="77">
        <v>644.54</v>
      </c>
      <c r="L234" s="78">
        <f>IFERROR(K234/K327, "NA")</f>
        <v>2.0335227682805379E-4</v>
      </c>
      <c r="M234" s="79"/>
      <c r="N234" s="77">
        <v>639.4</v>
      </c>
      <c r="O234" s="78">
        <f>IFERROR(N234/N327, "NA")</f>
        <v>1.6154190796147016E-4</v>
      </c>
      <c r="P234" s="79"/>
      <c r="Q234" s="77">
        <v>1018.98</v>
      </c>
      <c r="R234" s="78">
        <f>IFERROR(Q234/Q327, "NA")</f>
        <v>2.9869197782725186E-4</v>
      </c>
      <c r="T234" s="80">
        <f t="shared" si="6"/>
        <v>3534.63</v>
      </c>
      <c r="U234" s="80">
        <f t="shared" si="7"/>
        <v>19.421043956043956</v>
      </c>
    </row>
    <row r="235" spans="1:21" x14ac:dyDescent="0.25">
      <c r="A235" s="76" t="s">
        <v>262</v>
      </c>
      <c r="B235" s="77">
        <v>1730.18</v>
      </c>
      <c r="C235" s="78">
        <f>IFERROR(B235/B327, "NA")</f>
        <v>4.4693430700112782E-4</v>
      </c>
      <c r="D235" s="79"/>
      <c r="E235" s="77">
        <v>1481.31</v>
      </c>
      <c r="F235" s="78">
        <f>IFERROR(E235/E327, "NA")</f>
        <v>5.0219373748939871E-4</v>
      </c>
      <c r="G235" s="79"/>
      <c r="H235" s="77">
        <v>3586.29</v>
      </c>
      <c r="I235" s="78">
        <f>IFERROR(H235/H327, "NA")</f>
        <v>7.7743764271214031E-4</v>
      </c>
      <c r="J235" s="79"/>
      <c r="K235" s="77">
        <v>4527.5600000000004</v>
      </c>
      <c r="L235" s="78">
        <f>IFERROR(K235/K327, "NA")</f>
        <v>1.4284445255152874E-3</v>
      </c>
      <c r="M235" s="79"/>
      <c r="N235" s="77">
        <v>2773.92</v>
      </c>
      <c r="O235" s="78">
        <f>IFERROR(N235/N327, "NA")</f>
        <v>7.0082003336328013E-4</v>
      </c>
      <c r="P235" s="79"/>
      <c r="Q235" s="77">
        <v>1566.75</v>
      </c>
      <c r="R235" s="78">
        <f>IFERROR(Q235/Q327, "NA")</f>
        <v>4.5925892192275302E-4</v>
      </c>
      <c r="T235" s="80">
        <f t="shared" si="6"/>
        <v>15666.01</v>
      </c>
      <c r="U235" s="80">
        <f t="shared" si="7"/>
        <v>86.076978021978022</v>
      </c>
    </row>
    <row r="236" spans="1:21" x14ac:dyDescent="0.25">
      <c r="A236" s="76" t="s">
        <v>263</v>
      </c>
      <c r="B236" s="77">
        <v>42005.06</v>
      </c>
      <c r="C236" s="78">
        <f>IFERROR(B236/B327, "NA")</f>
        <v>1.0850606515877419E-2</v>
      </c>
      <c r="D236" s="79"/>
      <c r="E236" s="77">
        <v>8947.81</v>
      </c>
      <c r="F236" s="78">
        <f>IFERROR(E236/E327, "NA")</f>
        <v>3.0334866747979937E-3</v>
      </c>
      <c r="G236" s="79"/>
      <c r="H236" s="77">
        <v>50128.66</v>
      </c>
      <c r="I236" s="78">
        <f>IFERROR(H236/H327, "NA")</f>
        <v>1.0866914628409404E-2</v>
      </c>
      <c r="J236" s="79"/>
      <c r="K236" s="77">
        <v>50128.66</v>
      </c>
      <c r="L236" s="78">
        <f>IFERROR(K236/K327, "NA")</f>
        <v>1.5815584983615273E-2</v>
      </c>
      <c r="M236" s="79"/>
      <c r="N236" s="77">
        <v>50128.66</v>
      </c>
      <c r="O236" s="78">
        <f>IFERROR(N236/N327, "NA")</f>
        <v>1.2664809790353192E-2</v>
      </c>
      <c r="P236" s="79"/>
      <c r="Q236" s="77">
        <v>50128.639999999999</v>
      </c>
      <c r="R236" s="78">
        <f>IFERROR(Q236/Q327, "NA")</f>
        <v>1.4694128076498352E-2</v>
      </c>
      <c r="T236" s="80">
        <f t="shared" si="6"/>
        <v>251467.49</v>
      </c>
      <c r="U236" s="80">
        <f t="shared" si="7"/>
        <v>1381.6895054945055</v>
      </c>
    </row>
    <row r="237" spans="1:21" x14ac:dyDescent="0.25">
      <c r="A237" s="76" t="s">
        <v>264</v>
      </c>
      <c r="B237" s="77">
        <v>13379.98</v>
      </c>
      <c r="C237" s="78">
        <f>IFERROR(B237/B327, "NA")</f>
        <v>3.4562716532320049E-3</v>
      </c>
      <c r="D237" s="79"/>
      <c r="E237" s="77">
        <v>15082.07</v>
      </c>
      <c r="F237" s="78">
        <f>IFERROR(E237/E327, "NA")</f>
        <v>5.1131235881596258E-3</v>
      </c>
      <c r="G237" s="79"/>
      <c r="H237" s="77">
        <v>18307.38</v>
      </c>
      <c r="I237" s="78">
        <f>IFERROR(H237/H327, "NA")</f>
        <v>3.968682496796239E-3</v>
      </c>
      <c r="J237" s="79"/>
      <c r="K237" s="77">
        <v>9648.4599999999991</v>
      </c>
      <c r="L237" s="78">
        <f>IFERROR(K237/K327, "NA")</f>
        <v>3.0440877352598812E-3</v>
      </c>
      <c r="M237" s="79"/>
      <c r="N237" s="77">
        <v>15726.46</v>
      </c>
      <c r="O237" s="78">
        <f>IFERROR(N237/N327, "NA")</f>
        <v>3.9732285797305939E-3</v>
      </c>
      <c r="P237" s="79"/>
      <c r="Q237" s="77">
        <v>16891</v>
      </c>
      <c r="R237" s="78">
        <f>IFERROR(Q237/Q327, "NA")</f>
        <v>4.9512318175823971E-3</v>
      </c>
      <c r="T237" s="80">
        <f t="shared" si="6"/>
        <v>89035.35</v>
      </c>
      <c r="U237" s="80">
        <f t="shared" si="7"/>
        <v>489.20521978021981</v>
      </c>
    </row>
    <row r="238" spans="1:21" x14ac:dyDescent="0.25">
      <c r="A238" s="76" t="s">
        <v>265</v>
      </c>
      <c r="B238" s="77">
        <v>53.14</v>
      </c>
      <c r="C238" s="78">
        <f>IFERROR(B238/B327, "NA")</f>
        <v>1.3726946950051401E-5</v>
      </c>
      <c r="D238" s="79"/>
      <c r="E238" s="77">
        <v>460.62</v>
      </c>
      <c r="F238" s="78">
        <f>IFERROR(E238/E327, "NA")</f>
        <v>1.5615939902003417E-4</v>
      </c>
      <c r="G238" s="79"/>
      <c r="H238" s="77">
        <v>1399.65</v>
      </c>
      <c r="I238" s="78">
        <f>IFERROR(H238/H327, "NA")</f>
        <v>3.034167891113232E-4</v>
      </c>
      <c r="J238" s="79"/>
      <c r="K238" s="77">
        <v>431.58</v>
      </c>
      <c r="L238" s="78">
        <f>IFERROR(K238/K327, "NA")</f>
        <v>1.3616342761264074E-4</v>
      </c>
      <c r="M238" s="79"/>
      <c r="N238" s="77">
        <v>851.78</v>
      </c>
      <c r="O238" s="78">
        <f>IFERROR(N238/N327, "NA")</f>
        <v>2.1519888389649836E-4</v>
      </c>
      <c r="P238" s="79"/>
      <c r="Q238" s="77">
        <v>1049.1300000000001</v>
      </c>
      <c r="R238" s="78">
        <f>IFERROR(Q238/Q327, "NA")</f>
        <v>3.0752979911078217E-4</v>
      </c>
      <c r="T238" s="80">
        <f t="shared" si="6"/>
        <v>4245.9000000000005</v>
      </c>
      <c r="U238" s="80">
        <f t="shared" si="7"/>
        <v>23.329120879120882</v>
      </c>
    </row>
    <row r="239" spans="1:21" x14ac:dyDescent="0.25">
      <c r="A239" s="76" t="s">
        <v>266</v>
      </c>
      <c r="B239" s="77">
        <v>3000</v>
      </c>
      <c r="C239" s="78">
        <f>IFERROR(B239/B327, "NA")</f>
        <v>7.7494995954373736E-4</v>
      </c>
      <c r="D239" s="79"/>
      <c r="E239" s="77">
        <v>3000</v>
      </c>
      <c r="F239" s="78">
        <f>IFERROR(E239/E327, "NA")</f>
        <v>1.0170600431160231E-3</v>
      </c>
      <c r="G239" s="79"/>
      <c r="H239" s="77">
        <v>3000</v>
      </c>
      <c r="I239" s="78">
        <f>IFERROR(H239/H327, "NA")</f>
        <v>6.5034141916476944E-4</v>
      </c>
      <c r="J239" s="79"/>
      <c r="K239" s="77">
        <v>2310</v>
      </c>
      <c r="L239" s="78">
        <f>IFERROR(K239/K327, "NA")</f>
        <v>7.2880466607627811E-4</v>
      </c>
      <c r="M239" s="79"/>
      <c r="N239" s="77">
        <v>2295</v>
      </c>
      <c r="O239" s="78">
        <f>IFERROR(N239/N327, "NA")</f>
        <v>5.7982276942692215E-4</v>
      </c>
      <c r="P239" s="79"/>
      <c r="Q239" s="77">
        <v>2310</v>
      </c>
      <c r="R239" s="78">
        <f>IFERROR(Q239/Q327, "NA")</f>
        <v>6.7712660580281439E-4</v>
      </c>
      <c r="T239" s="80">
        <f t="shared" si="6"/>
        <v>15915</v>
      </c>
      <c r="U239" s="80">
        <f t="shared" si="7"/>
        <v>87.445054945054949</v>
      </c>
    </row>
    <row r="240" spans="1:21" ht="31.5" x14ac:dyDescent="0.25">
      <c r="A240" s="76" t="s">
        <v>267</v>
      </c>
      <c r="B240" s="77">
        <v>0</v>
      </c>
      <c r="C240" s="78">
        <f>IFERROR(B240/B327, "NA")</f>
        <v>0</v>
      </c>
      <c r="D240" s="79"/>
      <c r="E240" s="77">
        <v>0</v>
      </c>
      <c r="F240" s="78">
        <f>IFERROR(E240/E327, "NA")</f>
        <v>0</v>
      </c>
      <c r="G240" s="79"/>
      <c r="H240" s="77">
        <v>0</v>
      </c>
      <c r="I240" s="78">
        <f>IFERROR(H240/H327, "NA")</f>
        <v>0</v>
      </c>
      <c r="J240" s="79"/>
      <c r="K240" s="77">
        <v>0</v>
      </c>
      <c r="L240" s="78">
        <f>IFERROR(K240/K327, "NA")</f>
        <v>0</v>
      </c>
      <c r="M240" s="79"/>
      <c r="N240" s="77">
        <v>0</v>
      </c>
      <c r="O240" s="78">
        <f>IFERROR(N240/N327, "NA")</f>
        <v>0</v>
      </c>
      <c r="P240" s="79"/>
      <c r="Q240" s="77">
        <v>0</v>
      </c>
      <c r="R240" s="78">
        <f>IFERROR(Q240/Q327, "NA")</f>
        <v>0</v>
      </c>
      <c r="T240" s="80">
        <f t="shared" si="6"/>
        <v>0</v>
      </c>
      <c r="U240" s="80">
        <f t="shared" si="7"/>
        <v>0</v>
      </c>
    </row>
    <row r="241" spans="1:21" x14ac:dyDescent="0.25">
      <c r="A241" s="81" t="s">
        <v>268</v>
      </c>
      <c r="B241" s="82">
        <f>IFERROR(B214+B215+B216+B217+B218+B219+B220+B221+B222+B223+B224+B225+B226+B227+B228+B229+B230+B231+B232+B233+B234+B235+B236+B237+B238+B239+B240, "NA")</f>
        <v>279511.49</v>
      </c>
      <c r="C241" s="83">
        <f>IFERROR(B241/B327, "NA")</f>
        <v>7.2202472622503247E-2</v>
      </c>
      <c r="D241" s="72"/>
      <c r="E241" s="82">
        <f>IFERROR(E214+E215+E216+E217+E218+E219+E220+E221+E222+E223+E224+E225+E226+E227+E228+E229+E230+E231+E232+E233+E234+E235+E236+E237+E238+E239+E240, "NA")</f>
        <v>230806.98999999996</v>
      </c>
      <c r="F241" s="83">
        <f>IFERROR(E241/E327, "NA")</f>
        <v>7.8248189066959822E-2</v>
      </c>
      <c r="G241" s="72"/>
      <c r="H241" s="82">
        <f>IFERROR(H214+H215+H216+H217+H218+H219+H220+H221+H222+H223+H224+H225+H226+H227+H228+H229+H230+H231+H232+H233+H234+H235+H236+H237+H238+H239+H240, "NA")</f>
        <v>238765.31</v>
      </c>
      <c r="I241" s="83">
        <f>IFERROR(H241/H327, "NA")</f>
        <v>5.1759656850905375E-2</v>
      </c>
      <c r="J241" s="72"/>
      <c r="K241" s="82">
        <f>IFERROR(K214+K215+K216+K217+K218+K219+K220+K221+K222+K223+K224+K225+K226+K227+K228+K229+K230+K231+K232+K233+K234+K235+K236+K237+K238+K239+K240, "NA")</f>
        <v>265843.59000000008</v>
      </c>
      <c r="L241" s="83">
        <f>IFERROR(K241/K327, "NA")</f>
        <v>8.387361421578747E-2</v>
      </c>
      <c r="M241" s="72"/>
      <c r="N241" s="82">
        <f>IFERROR(N214+N215+N216+N217+N218+N219+N220+N221+N222+N223+N224+N225+N226+N227+N228+N229+N230+N231+N232+N233+N234+N235+N236+N237+N238+N239+N240, "NA")</f>
        <v>297131.43000000005</v>
      </c>
      <c r="O241" s="83">
        <f>IFERROR(N241/N327, "NA")</f>
        <v>7.5069093083390714E-2</v>
      </c>
      <c r="P241" s="72"/>
      <c r="Q241" s="82">
        <f>IFERROR(Q214+Q215+Q216+Q217+Q218+Q219+Q220+Q221+Q222+Q223+Q224+Q225+Q226+Q227+Q228+Q229+Q230+Q231+Q232+Q233+Q234+Q235+Q236+Q237+Q238+Q239+Q240, "NA")</f>
        <v>261729.81</v>
      </c>
      <c r="R241" s="83">
        <f>IFERROR(Q241/Q327, "NA")</f>
        <v>7.6720440641868184E-2</v>
      </c>
      <c r="T241" s="80">
        <f t="shared" si="6"/>
        <v>1573788.62</v>
      </c>
      <c r="U241" s="80">
        <f t="shared" si="7"/>
        <v>8647.190219780221</v>
      </c>
    </row>
    <row r="242" spans="1:21" x14ac:dyDescent="0.25">
      <c r="A242" s="75" t="s">
        <v>269</v>
      </c>
      <c r="B242" s="72"/>
      <c r="C242" s="73"/>
      <c r="D242" s="74"/>
      <c r="E242" s="72"/>
      <c r="F242" s="73"/>
      <c r="G242" s="74"/>
      <c r="H242" s="72"/>
      <c r="I242" s="73"/>
      <c r="J242" s="74"/>
      <c r="K242" s="72"/>
      <c r="L242" s="73"/>
      <c r="M242" s="74"/>
      <c r="N242" s="72"/>
      <c r="O242" s="73"/>
      <c r="P242" s="74"/>
      <c r="Q242" s="72"/>
      <c r="R242" s="73"/>
      <c r="T242" s="80">
        <f t="shared" si="6"/>
        <v>0</v>
      </c>
      <c r="U242" s="80">
        <f t="shared" si="7"/>
        <v>0</v>
      </c>
    </row>
    <row r="243" spans="1:21" x14ac:dyDescent="0.25">
      <c r="A243" s="76" t="s">
        <v>270</v>
      </c>
      <c r="B243" s="77">
        <v>0</v>
      </c>
      <c r="C243" s="78">
        <f>IFERROR(B243/B327, "NA")</f>
        <v>0</v>
      </c>
      <c r="D243" s="79"/>
      <c r="E243" s="77">
        <v>0</v>
      </c>
      <c r="F243" s="78">
        <f>IFERROR(E243/E327, "NA")</f>
        <v>0</v>
      </c>
      <c r="G243" s="79"/>
      <c r="H243" s="77">
        <v>0</v>
      </c>
      <c r="I243" s="78">
        <f>IFERROR(H243/H327, "NA")</f>
        <v>0</v>
      </c>
      <c r="J243" s="79"/>
      <c r="K243" s="77">
        <v>0</v>
      </c>
      <c r="L243" s="78">
        <f>IFERROR(K243/K327, "NA")</f>
        <v>0</v>
      </c>
      <c r="M243" s="79"/>
      <c r="N243" s="77">
        <v>0</v>
      </c>
      <c r="O243" s="78">
        <f>IFERROR(N243/N327, "NA")</f>
        <v>0</v>
      </c>
      <c r="P243" s="79"/>
      <c r="Q243" s="77">
        <v>0</v>
      </c>
      <c r="R243" s="78">
        <f>IFERROR(Q243/Q327, "NA")</f>
        <v>0</v>
      </c>
      <c r="T243" s="80">
        <f t="shared" si="6"/>
        <v>0</v>
      </c>
      <c r="U243" s="80">
        <f t="shared" si="7"/>
        <v>0</v>
      </c>
    </row>
    <row r="244" spans="1:21" x14ac:dyDescent="0.25">
      <c r="A244" s="76" t="s">
        <v>271</v>
      </c>
      <c r="B244" s="77">
        <v>1691.13</v>
      </c>
      <c r="C244" s="78">
        <f>IFERROR(B244/B327, "NA")</f>
        <v>4.3684704169440018E-4</v>
      </c>
      <c r="D244" s="79"/>
      <c r="E244" s="77">
        <v>1969.45</v>
      </c>
      <c r="F244" s="78">
        <f>IFERROR(E244/E327, "NA")</f>
        <v>6.676829673049505E-4</v>
      </c>
      <c r="G244" s="79"/>
      <c r="H244" s="77">
        <v>1297.54</v>
      </c>
      <c r="I244" s="78">
        <f>IFERROR(H244/H327, "NA")</f>
        <v>2.8128133500768498E-4</v>
      </c>
      <c r="J244" s="79"/>
      <c r="K244" s="77">
        <v>862.96</v>
      </c>
      <c r="L244" s="78">
        <f>IFERROR(K244/K327, "NA")</f>
        <v>2.7226375525419265E-4</v>
      </c>
      <c r="M244" s="79"/>
      <c r="N244" s="77">
        <v>1138.8599999999999</v>
      </c>
      <c r="O244" s="78">
        <f>IFERROR(N244/N327, "NA")</f>
        <v>2.8772852252267731E-4</v>
      </c>
      <c r="P244" s="79"/>
      <c r="Q244" s="77">
        <v>1233.72</v>
      </c>
      <c r="R244" s="78">
        <f>IFERROR(Q244/Q327, "NA")</f>
        <v>3.616383706108434E-4</v>
      </c>
      <c r="T244" s="80">
        <f t="shared" si="6"/>
        <v>8193.66</v>
      </c>
      <c r="U244" s="80">
        <f t="shared" si="7"/>
        <v>45.020109890109893</v>
      </c>
    </row>
    <row r="245" spans="1:21" x14ac:dyDescent="0.25">
      <c r="A245" s="76" t="s">
        <v>272</v>
      </c>
      <c r="B245" s="77">
        <v>2099.58</v>
      </c>
      <c r="C245" s="78">
        <f>IFERROR(B245/B327, "NA")</f>
        <v>5.4235647868627998E-4</v>
      </c>
      <c r="D245" s="79"/>
      <c r="E245" s="77">
        <v>2100.3000000000002</v>
      </c>
      <c r="F245" s="78">
        <f>IFERROR(E245/E327, "NA")</f>
        <v>7.1204373618552778E-4</v>
      </c>
      <c r="G245" s="79"/>
      <c r="H245" s="77">
        <v>1181.49</v>
      </c>
      <c r="I245" s="78">
        <f>IFERROR(H245/H327, "NA")</f>
        <v>2.5612396110966118E-4</v>
      </c>
      <c r="J245" s="79"/>
      <c r="K245" s="77">
        <v>688.91</v>
      </c>
      <c r="L245" s="78">
        <f>IFERROR(K245/K327, "NA")</f>
        <v>2.1735100541411633E-4</v>
      </c>
      <c r="M245" s="79"/>
      <c r="N245" s="77">
        <v>2862.15</v>
      </c>
      <c r="O245" s="78">
        <f>IFERROR(N245/N327, "NA")</f>
        <v>7.231109976101373E-4</v>
      </c>
      <c r="P245" s="79"/>
      <c r="Q245" s="77">
        <v>2514.91</v>
      </c>
      <c r="R245" s="78">
        <f>IFERROR(Q245/Q327, "NA")</f>
        <v>7.371915464067342E-4</v>
      </c>
      <c r="T245" s="80">
        <f t="shared" si="6"/>
        <v>11447.34</v>
      </c>
      <c r="U245" s="80">
        <f t="shared" si="7"/>
        <v>62.89747252747253</v>
      </c>
    </row>
    <row r="246" spans="1:21" x14ac:dyDescent="0.25">
      <c r="A246" s="76" t="s">
        <v>273</v>
      </c>
      <c r="B246" s="77">
        <v>0</v>
      </c>
      <c r="C246" s="78">
        <f>IFERROR(B246/B327, "NA")</f>
        <v>0</v>
      </c>
      <c r="D246" s="79"/>
      <c r="E246" s="77">
        <v>0</v>
      </c>
      <c r="F246" s="78">
        <f>IFERROR(E246/E327, "NA")</f>
        <v>0</v>
      </c>
      <c r="G246" s="79"/>
      <c r="H246" s="77">
        <v>0</v>
      </c>
      <c r="I246" s="78">
        <f>IFERROR(H246/H327, "NA")</f>
        <v>0</v>
      </c>
      <c r="J246" s="79"/>
      <c r="K246" s="77">
        <v>0</v>
      </c>
      <c r="L246" s="78">
        <f>IFERROR(K246/K327, "NA")</f>
        <v>0</v>
      </c>
      <c r="M246" s="79"/>
      <c r="N246" s="77">
        <v>0</v>
      </c>
      <c r="O246" s="78">
        <f>IFERROR(N246/N327, "NA")</f>
        <v>0</v>
      </c>
      <c r="P246" s="79"/>
      <c r="Q246" s="77">
        <v>0</v>
      </c>
      <c r="R246" s="78">
        <f>IFERROR(Q246/Q327, "NA")</f>
        <v>0</v>
      </c>
      <c r="T246" s="80">
        <f t="shared" si="6"/>
        <v>0</v>
      </c>
      <c r="U246" s="80">
        <f t="shared" si="7"/>
        <v>0</v>
      </c>
    </row>
    <row r="247" spans="1:21" x14ac:dyDescent="0.25">
      <c r="A247" s="76" t="s">
        <v>274</v>
      </c>
      <c r="B247" s="77">
        <v>15000</v>
      </c>
      <c r="C247" s="78">
        <f>IFERROR(B247/B327, "NA")</f>
        <v>3.8747497977186865E-3</v>
      </c>
      <c r="D247" s="79"/>
      <c r="E247" s="77">
        <v>14999.88</v>
      </c>
      <c r="F247" s="78">
        <f>IFERROR(E247/E327, "NA")</f>
        <v>5.0852595331783903E-3</v>
      </c>
      <c r="G247" s="79"/>
      <c r="H247" s="77">
        <v>8710.85</v>
      </c>
      <c r="I247" s="78">
        <f>IFERROR(H247/H327, "NA")</f>
        <v>1.8883421837104775E-3</v>
      </c>
      <c r="J247" s="79"/>
      <c r="K247" s="77">
        <v>11513.65</v>
      </c>
      <c r="L247" s="78">
        <f>IFERROR(K247/K327, "NA")</f>
        <v>3.6325549106359907E-3</v>
      </c>
      <c r="M247" s="79"/>
      <c r="N247" s="77">
        <v>13977.66</v>
      </c>
      <c r="O247" s="78">
        <f>IFERROR(N247/N327, "NA")</f>
        <v>3.5314011029664106E-3</v>
      </c>
      <c r="P247" s="79"/>
      <c r="Q247" s="77">
        <v>15903.2</v>
      </c>
      <c r="R247" s="78">
        <f>IFERROR(Q247/Q327, "NA")</f>
        <v>4.6616795832914804E-3</v>
      </c>
      <c r="T247" s="80">
        <f t="shared" si="6"/>
        <v>80105.239999999991</v>
      </c>
      <c r="U247" s="80">
        <f t="shared" si="7"/>
        <v>440.13868131868128</v>
      </c>
    </row>
    <row r="248" spans="1:21" x14ac:dyDescent="0.25">
      <c r="A248" s="76" t="s">
        <v>275</v>
      </c>
      <c r="B248" s="77">
        <v>2300.4</v>
      </c>
      <c r="C248" s="78">
        <f>IFERROR(B248/B327, "NA")</f>
        <v>5.9423162897813777E-4</v>
      </c>
      <c r="D248" s="79"/>
      <c r="E248" s="77">
        <v>2299.5500000000002</v>
      </c>
      <c r="F248" s="78">
        <f>IFERROR(E248/E327, "NA")</f>
        <v>7.7959347404915028E-4</v>
      </c>
      <c r="G248" s="79"/>
      <c r="H248" s="77">
        <v>2154.4899999999998</v>
      </c>
      <c r="I248" s="78">
        <f>IFERROR(H248/H327, "NA")</f>
        <v>4.6705136139210131E-4</v>
      </c>
      <c r="J248" s="79"/>
      <c r="K248" s="77">
        <v>1846.11</v>
      </c>
      <c r="L248" s="78">
        <f>IFERROR(K248/K327, "NA")</f>
        <v>5.8244743813423271E-4</v>
      </c>
      <c r="M248" s="79"/>
      <c r="N248" s="77">
        <v>1437.22</v>
      </c>
      <c r="O248" s="78">
        <f>IFERROR(N248/N327, "NA")</f>
        <v>3.6310800900904623E-4</v>
      </c>
      <c r="P248" s="79"/>
      <c r="Q248" s="77">
        <v>2937.58</v>
      </c>
      <c r="R248" s="78">
        <f>IFERROR(Q248/Q327, "NA")</f>
        <v>8.6108812756460242E-4</v>
      </c>
      <c r="T248" s="80">
        <f t="shared" si="6"/>
        <v>12975.35</v>
      </c>
      <c r="U248" s="80">
        <f t="shared" si="7"/>
        <v>71.29313186813188</v>
      </c>
    </row>
    <row r="249" spans="1:21" x14ac:dyDescent="0.25">
      <c r="A249" s="76" t="s">
        <v>276</v>
      </c>
      <c r="B249" s="77">
        <v>8247.56</v>
      </c>
      <c r="C249" s="78">
        <f>IFERROR(B249/B327, "NA")</f>
        <v>2.1304820961115154E-3</v>
      </c>
      <c r="D249" s="79"/>
      <c r="E249" s="77">
        <v>8576.7900000000009</v>
      </c>
      <c r="F249" s="78">
        <f>IFERROR(E249/E327, "NA")</f>
        <v>2.9077034690656919E-3</v>
      </c>
      <c r="G249" s="79"/>
      <c r="H249" s="77">
        <v>9576.7900000000009</v>
      </c>
      <c r="I249" s="78">
        <f>IFERROR(H249/H327, "NA")</f>
        <v>2.0760610665476577E-3</v>
      </c>
      <c r="J249" s="79"/>
      <c r="K249" s="77">
        <v>2389.39</v>
      </c>
      <c r="L249" s="78">
        <f>IFERROR(K249/K327, "NA")</f>
        <v>7.5385219959999913E-4</v>
      </c>
      <c r="M249" s="79"/>
      <c r="N249" s="77">
        <v>6604.47</v>
      </c>
      <c r="O249" s="78">
        <f>IFERROR(N249/N327, "NA")</f>
        <v>1.668593501523758E-3</v>
      </c>
      <c r="P249" s="79"/>
      <c r="Q249" s="77">
        <v>6604.13</v>
      </c>
      <c r="R249" s="78">
        <f>IFERROR(Q249/Q327, "NA")</f>
        <v>1.9358580654461215E-3</v>
      </c>
      <c r="T249" s="80">
        <f t="shared" si="6"/>
        <v>41999.13</v>
      </c>
      <c r="U249" s="80">
        <f t="shared" si="7"/>
        <v>230.76445054945052</v>
      </c>
    </row>
    <row r="250" spans="1:21" x14ac:dyDescent="0.25">
      <c r="A250" s="76" t="s">
        <v>277</v>
      </c>
      <c r="B250" s="77">
        <v>15862</v>
      </c>
      <c r="C250" s="78">
        <f>IFERROR(B250/B327, "NA")</f>
        <v>4.0974187527609207E-3</v>
      </c>
      <c r="D250" s="79"/>
      <c r="E250" s="77">
        <v>15422.61</v>
      </c>
      <c r="F250" s="78">
        <f>IFERROR(E250/E327, "NA")</f>
        <v>5.2285734638538696E-3</v>
      </c>
      <c r="G250" s="79"/>
      <c r="H250" s="77">
        <v>18948.43</v>
      </c>
      <c r="I250" s="78">
        <f>IFERROR(H250/H327, "NA")</f>
        <v>4.1076496190480972E-3</v>
      </c>
      <c r="J250" s="79"/>
      <c r="K250" s="77">
        <v>13090</v>
      </c>
      <c r="L250" s="78">
        <f>IFERROR(K250/K327, "NA")</f>
        <v>4.1298931077655759E-3</v>
      </c>
      <c r="M250" s="79"/>
      <c r="N250" s="77">
        <v>8578.98</v>
      </c>
      <c r="O250" s="78">
        <f>IFERROR(N250/N327, "NA")</f>
        <v>2.1674457265612969E-3</v>
      </c>
      <c r="P250" s="79"/>
      <c r="Q250" s="77">
        <v>7100.73</v>
      </c>
      <c r="R250" s="78">
        <f>IFERROR(Q250/Q327, "NA")</f>
        <v>2.0814256292736874E-3</v>
      </c>
      <c r="T250" s="80">
        <f t="shared" si="6"/>
        <v>79002.75</v>
      </c>
      <c r="U250" s="80">
        <f t="shared" si="7"/>
        <v>434.08104395604397</v>
      </c>
    </row>
    <row r="251" spans="1:21" x14ac:dyDescent="0.25">
      <c r="A251" s="76" t="s">
        <v>278</v>
      </c>
      <c r="B251" s="77">
        <v>0</v>
      </c>
      <c r="C251" s="78">
        <f>IFERROR(B251/B327, "NA")</f>
        <v>0</v>
      </c>
      <c r="D251" s="79"/>
      <c r="E251" s="77">
        <v>0</v>
      </c>
      <c r="F251" s="78">
        <f>IFERROR(E251/E327, "NA")</f>
        <v>0</v>
      </c>
      <c r="G251" s="79"/>
      <c r="H251" s="77">
        <v>0</v>
      </c>
      <c r="I251" s="78">
        <f>IFERROR(H251/H327, "NA")</f>
        <v>0</v>
      </c>
      <c r="J251" s="79"/>
      <c r="K251" s="77">
        <v>0</v>
      </c>
      <c r="L251" s="78">
        <f>IFERROR(K251/K327, "NA")</f>
        <v>0</v>
      </c>
      <c r="M251" s="79"/>
      <c r="N251" s="77">
        <v>0</v>
      </c>
      <c r="O251" s="78">
        <f>IFERROR(N251/N327, "NA")</f>
        <v>0</v>
      </c>
      <c r="P251" s="79"/>
      <c r="Q251" s="77">
        <v>0</v>
      </c>
      <c r="R251" s="78">
        <f>IFERROR(Q251/Q327, "NA")</f>
        <v>0</v>
      </c>
      <c r="T251" s="80">
        <f t="shared" si="6"/>
        <v>0</v>
      </c>
      <c r="U251" s="80">
        <f t="shared" si="7"/>
        <v>0</v>
      </c>
    </row>
    <row r="252" spans="1:21" x14ac:dyDescent="0.25">
      <c r="A252" s="81" t="s">
        <v>279</v>
      </c>
      <c r="B252" s="82">
        <f>IFERROR(B243+B244+B245+B246+B247+B248+B249+B250+B251, "NA")</f>
        <v>45200.67</v>
      </c>
      <c r="C252" s="83">
        <f>IFERROR(B252/B327, "NA")</f>
        <v>1.1676085795949941E-2</v>
      </c>
      <c r="D252" s="72"/>
      <c r="E252" s="82">
        <f>IFERROR(E243+E244+E245+E246+E247+E248+E249+E250+E251, "NA")</f>
        <v>45368.58</v>
      </c>
      <c r="F252" s="83">
        <f>IFERROR(E252/E327, "NA")</f>
        <v>1.5380856643637581E-2</v>
      </c>
      <c r="G252" s="72"/>
      <c r="H252" s="82">
        <f>IFERROR(H243+H244+H245+H246+H247+H248+H249+H250+H251, "NA")</f>
        <v>41869.590000000004</v>
      </c>
      <c r="I252" s="83">
        <f>IFERROR(H252/H327, "NA")</f>
        <v>9.0765095268156813E-3</v>
      </c>
      <c r="J252" s="72"/>
      <c r="K252" s="82">
        <f>IFERROR(K243+K244+K245+K246+K247+K248+K249+K250+K251, "NA")</f>
        <v>30391.02</v>
      </c>
      <c r="L252" s="83">
        <f>IFERROR(K252/K327, "NA")</f>
        <v>9.5883624168041082E-3</v>
      </c>
      <c r="M252" s="72"/>
      <c r="N252" s="82">
        <f>IFERROR(N243+N244+N245+N246+N247+N248+N249+N250+N251, "NA")</f>
        <v>34599.339999999997</v>
      </c>
      <c r="O252" s="83">
        <f>IFERROR(N252/N327, "NA")</f>
        <v>8.7413878601933261E-3</v>
      </c>
      <c r="P252" s="72"/>
      <c r="Q252" s="82">
        <f>IFERROR(Q243+Q244+Q245+Q246+Q247+Q248+Q249+Q250+Q251, "NA")</f>
        <v>36294.270000000004</v>
      </c>
      <c r="R252" s="83">
        <f>IFERROR(Q252/Q327, "NA")</f>
        <v>1.063888132259347E-2</v>
      </c>
      <c r="T252" s="80">
        <f t="shared" si="6"/>
        <v>233723.46999999997</v>
      </c>
      <c r="U252" s="80">
        <f t="shared" si="7"/>
        <v>1284.1948901098899</v>
      </c>
    </row>
    <row r="253" spans="1:21" x14ac:dyDescent="0.25">
      <c r="A253" s="75" t="s">
        <v>280</v>
      </c>
      <c r="B253" s="72"/>
      <c r="C253" s="73"/>
      <c r="D253" s="74"/>
      <c r="E253" s="72"/>
      <c r="F253" s="73"/>
      <c r="G253" s="74"/>
      <c r="H253" s="72"/>
      <c r="I253" s="73"/>
      <c r="J253" s="74"/>
      <c r="K253" s="72"/>
      <c r="L253" s="73"/>
      <c r="M253" s="74"/>
      <c r="N253" s="72"/>
      <c r="O253" s="73"/>
      <c r="P253" s="74"/>
      <c r="Q253" s="72"/>
      <c r="R253" s="73"/>
      <c r="T253" s="80">
        <f t="shared" si="6"/>
        <v>0</v>
      </c>
      <c r="U253" s="80">
        <f t="shared" si="7"/>
        <v>0</v>
      </c>
    </row>
    <row r="254" spans="1:21" x14ac:dyDescent="0.25">
      <c r="A254" s="76" t="s">
        <v>281</v>
      </c>
      <c r="B254" s="77">
        <v>0</v>
      </c>
      <c r="C254" s="78">
        <f>IFERROR(B254/B327, "NA")</f>
        <v>0</v>
      </c>
      <c r="D254" s="79"/>
      <c r="E254" s="77">
        <v>0</v>
      </c>
      <c r="F254" s="78">
        <f>IFERROR(E254/E327, "NA")</f>
        <v>0</v>
      </c>
      <c r="G254" s="79"/>
      <c r="H254" s="77">
        <v>0</v>
      </c>
      <c r="I254" s="78">
        <f>IFERROR(H254/H327, "NA")</f>
        <v>0</v>
      </c>
      <c r="J254" s="79"/>
      <c r="K254" s="77">
        <v>0</v>
      </c>
      <c r="L254" s="78">
        <f>IFERROR(K254/K327, "NA")</f>
        <v>0</v>
      </c>
      <c r="M254" s="79"/>
      <c r="N254" s="77">
        <v>0</v>
      </c>
      <c r="O254" s="78">
        <f>IFERROR(N254/N327, "NA")</f>
        <v>0</v>
      </c>
      <c r="P254" s="79"/>
      <c r="Q254" s="77">
        <v>0</v>
      </c>
      <c r="R254" s="78">
        <f>IFERROR(Q254/Q327, "NA")</f>
        <v>0</v>
      </c>
      <c r="T254" s="80">
        <f t="shared" si="6"/>
        <v>0</v>
      </c>
      <c r="U254" s="80">
        <f t="shared" si="7"/>
        <v>0</v>
      </c>
    </row>
    <row r="255" spans="1:21" x14ac:dyDescent="0.25">
      <c r="A255" s="76" t="s">
        <v>282</v>
      </c>
      <c r="B255" s="77">
        <v>0</v>
      </c>
      <c r="C255" s="78">
        <f>IFERROR(B255/B327, "NA")</f>
        <v>0</v>
      </c>
      <c r="D255" s="79"/>
      <c r="E255" s="77">
        <v>0</v>
      </c>
      <c r="F255" s="78">
        <f>IFERROR(E255/E327, "NA")</f>
        <v>0</v>
      </c>
      <c r="G255" s="79"/>
      <c r="H255" s="77">
        <v>0</v>
      </c>
      <c r="I255" s="78">
        <f>IFERROR(H255/H327, "NA")</f>
        <v>0</v>
      </c>
      <c r="J255" s="79"/>
      <c r="K255" s="77">
        <v>0</v>
      </c>
      <c r="L255" s="78">
        <f>IFERROR(K255/K327, "NA")</f>
        <v>0</v>
      </c>
      <c r="M255" s="79"/>
      <c r="N255" s="77">
        <v>0</v>
      </c>
      <c r="O255" s="78">
        <f>IFERROR(N255/N327, "NA")</f>
        <v>0</v>
      </c>
      <c r="P255" s="79"/>
      <c r="Q255" s="77">
        <v>0</v>
      </c>
      <c r="R255" s="78">
        <f>IFERROR(Q255/Q327, "NA")</f>
        <v>0</v>
      </c>
      <c r="T255" s="80">
        <f t="shared" si="6"/>
        <v>0</v>
      </c>
      <c r="U255" s="80">
        <f t="shared" si="7"/>
        <v>0</v>
      </c>
    </row>
    <row r="256" spans="1:21" x14ac:dyDescent="0.25">
      <c r="A256" s="76" t="s">
        <v>283</v>
      </c>
      <c r="B256" s="77">
        <v>269009.21999999997</v>
      </c>
      <c r="C256" s="78">
        <f>IFERROR(B256/B327, "NA")</f>
        <v>6.9489561385297438E-2</v>
      </c>
      <c r="D256" s="79"/>
      <c r="E256" s="77">
        <v>185211.44</v>
      </c>
      <c r="F256" s="78">
        <f>IFERROR(E256/E327, "NA")</f>
        <v>6.2790385050660244E-2</v>
      </c>
      <c r="G256" s="79"/>
      <c r="H256" s="77">
        <v>274034.40999999997</v>
      </c>
      <c r="I256" s="78">
        <f>IFERROR(H256/H327, "NA")</f>
        <v>5.9405309033126762E-2</v>
      </c>
      <c r="J256" s="79"/>
      <c r="K256" s="77">
        <v>190367.38</v>
      </c>
      <c r="L256" s="78">
        <f>IFERROR(K256/K327, "NA")</f>
        <v>6.0060880871305601E-2</v>
      </c>
      <c r="M256" s="79"/>
      <c r="N256" s="77">
        <v>144516.06</v>
      </c>
      <c r="O256" s="78">
        <f>IFERROR(N256/N327, "NA")</f>
        <v>3.6511417052665467E-2</v>
      </c>
      <c r="P256" s="79"/>
      <c r="Q256" s="77">
        <v>0</v>
      </c>
      <c r="R256" s="78">
        <f>IFERROR(Q256/Q327, "NA")</f>
        <v>0</v>
      </c>
      <c r="T256" s="80">
        <f t="shared" si="6"/>
        <v>1063138.51</v>
      </c>
      <c r="U256" s="80">
        <f t="shared" si="7"/>
        <v>5841.4203846153841</v>
      </c>
    </row>
    <row r="257" spans="1:21" x14ac:dyDescent="0.25">
      <c r="A257" s="76" t="s">
        <v>284</v>
      </c>
      <c r="B257" s="77">
        <v>0</v>
      </c>
      <c r="C257" s="78">
        <f>IFERROR(B257/B327, "NA")</f>
        <v>0</v>
      </c>
      <c r="D257" s="79"/>
      <c r="E257" s="77">
        <v>0</v>
      </c>
      <c r="F257" s="78">
        <f>IFERROR(E257/E327, "NA")</f>
        <v>0</v>
      </c>
      <c r="G257" s="79"/>
      <c r="H257" s="77">
        <v>0</v>
      </c>
      <c r="I257" s="78">
        <f>IFERROR(H257/H327, "NA")</f>
        <v>0</v>
      </c>
      <c r="J257" s="79"/>
      <c r="K257" s="77">
        <v>0</v>
      </c>
      <c r="L257" s="78">
        <f>IFERROR(K257/K327, "NA")</f>
        <v>0</v>
      </c>
      <c r="M257" s="79"/>
      <c r="N257" s="77">
        <v>0</v>
      </c>
      <c r="O257" s="78">
        <f>IFERROR(N257/N327, "NA")</f>
        <v>0</v>
      </c>
      <c r="P257" s="79"/>
      <c r="Q257" s="77">
        <v>0</v>
      </c>
      <c r="R257" s="78">
        <f>IFERROR(Q257/Q327, "NA")</f>
        <v>0</v>
      </c>
      <c r="T257" s="80">
        <f t="shared" si="6"/>
        <v>0</v>
      </c>
      <c r="U257" s="80">
        <f t="shared" si="7"/>
        <v>0</v>
      </c>
    </row>
    <row r="258" spans="1:21" x14ac:dyDescent="0.25">
      <c r="A258" s="76" t="s">
        <v>285</v>
      </c>
      <c r="B258" s="77">
        <v>17190.740000000002</v>
      </c>
      <c r="C258" s="78">
        <f>IFERROR(B258/B327, "NA")</f>
        <v>4.4406544225089693E-3</v>
      </c>
      <c r="D258" s="79"/>
      <c r="E258" s="77">
        <v>17190.740000000002</v>
      </c>
      <c r="F258" s="78">
        <f>IFERROR(E258/E327, "NA")</f>
        <v>5.828004921865448E-3</v>
      </c>
      <c r="G258" s="79"/>
      <c r="H258" s="77">
        <v>17770.25</v>
      </c>
      <c r="I258" s="78">
        <f>IFERROR(H258/H327, "NA")</f>
        <v>3.852243201304248E-3</v>
      </c>
      <c r="J258" s="79"/>
      <c r="K258" s="77">
        <v>17760.77</v>
      </c>
      <c r="L258" s="78">
        <f>IFERROR(K258/K327, "NA")</f>
        <v>5.6035203675790382E-3</v>
      </c>
      <c r="M258" s="79"/>
      <c r="N258" s="77">
        <v>17760.77</v>
      </c>
      <c r="O258" s="78">
        <f>IFERROR(N258/N327, "NA")</f>
        <v>4.4871890407645297E-3</v>
      </c>
      <c r="P258" s="79"/>
      <c r="Q258" s="77">
        <v>31619.67</v>
      </c>
      <c r="R258" s="78">
        <f>IFERROR(Q258/Q327, "NA")</f>
        <v>9.268623300305227E-3</v>
      </c>
      <c r="T258" s="80">
        <f t="shared" si="6"/>
        <v>119292.94</v>
      </c>
      <c r="U258" s="80">
        <f t="shared" si="7"/>
        <v>655.45571428571441</v>
      </c>
    </row>
    <row r="259" spans="1:21" x14ac:dyDescent="0.25">
      <c r="A259" s="76" t="s">
        <v>286</v>
      </c>
      <c r="B259" s="77">
        <v>0</v>
      </c>
      <c r="C259" s="78">
        <f>IFERROR(B259/B327, "NA")</f>
        <v>0</v>
      </c>
      <c r="D259" s="79"/>
      <c r="E259" s="77">
        <v>0</v>
      </c>
      <c r="F259" s="78">
        <f>IFERROR(E259/E327, "NA")</f>
        <v>0</v>
      </c>
      <c r="G259" s="79"/>
      <c r="H259" s="77">
        <v>0</v>
      </c>
      <c r="I259" s="78">
        <f>IFERROR(H259/H327, "NA")</f>
        <v>0</v>
      </c>
      <c r="J259" s="79"/>
      <c r="K259" s="77">
        <v>0</v>
      </c>
      <c r="L259" s="78">
        <f>IFERROR(K259/K327, "NA")</f>
        <v>0</v>
      </c>
      <c r="M259" s="79"/>
      <c r="N259" s="77">
        <v>0</v>
      </c>
      <c r="O259" s="78">
        <f>IFERROR(N259/N327, "NA")</f>
        <v>0</v>
      </c>
      <c r="P259" s="79"/>
      <c r="Q259" s="77">
        <v>0</v>
      </c>
      <c r="R259" s="78">
        <f>IFERROR(Q259/Q327, "NA")</f>
        <v>0</v>
      </c>
      <c r="T259" s="80">
        <f t="shared" si="6"/>
        <v>0</v>
      </c>
      <c r="U259" s="80">
        <f t="shared" si="7"/>
        <v>0</v>
      </c>
    </row>
    <row r="260" spans="1:21" x14ac:dyDescent="0.25">
      <c r="A260" s="76" t="s">
        <v>287</v>
      </c>
      <c r="B260" s="77">
        <v>0</v>
      </c>
      <c r="C260" s="78">
        <f>IFERROR(B260/B327, "NA")</f>
        <v>0</v>
      </c>
      <c r="D260" s="79"/>
      <c r="E260" s="77">
        <v>0</v>
      </c>
      <c r="F260" s="78">
        <f>IFERROR(E260/E327, "NA")</f>
        <v>0</v>
      </c>
      <c r="G260" s="79"/>
      <c r="H260" s="77">
        <v>0</v>
      </c>
      <c r="I260" s="78">
        <f>IFERROR(H260/H327, "NA")</f>
        <v>0</v>
      </c>
      <c r="J260" s="79"/>
      <c r="K260" s="77">
        <v>0</v>
      </c>
      <c r="L260" s="78">
        <f>IFERROR(K260/K327, "NA")</f>
        <v>0</v>
      </c>
      <c r="M260" s="79"/>
      <c r="N260" s="77">
        <v>0</v>
      </c>
      <c r="O260" s="78">
        <f>IFERROR(N260/N327, "NA")</f>
        <v>0</v>
      </c>
      <c r="P260" s="79"/>
      <c r="Q260" s="77">
        <v>0</v>
      </c>
      <c r="R260" s="78">
        <f>IFERROR(Q260/Q327, "NA")</f>
        <v>0</v>
      </c>
      <c r="T260" s="80">
        <f t="shared" si="6"/>
        <v>0</v>
      </c>
      <c r="U260" s="80">
        <f t="shared" si="7"/>
        <v>0</v>
      </c>
    </row>
    <row r="261" spans="1:21" x14ac:dyDescent="0.25">
      <c r="A261" s="76" t="s">
        <v>288</v>
      </c>
      <c r="B261" s="77">
        <v>44095.41</v>
      </c>
      <c r="C261" s="78">
        <f>IFERROR(B261/B327, "NA")</f>
        <v>1.1390578731854837E-2</v>
      </c>
      <c r="D261" s="79"/>
      <c r="E261" s="77">
        <v>9819.35</v>
      </c>
      <c r="F261" s="78">
        <f>IFERROR(E261/E327, "NA")</f>
        <v>3.3289561781237736E-3</v>
      </c>
      <c r="G261" s="79"/>
      <c r="H261" s="77">
        <v>44241.62</v>
      </c>
      <c r="I261" s="78">
        <f>IFERROR(H261/H327, "NA")</f>
        <v>9.5907193123161497E-3</v>
      </c>
      <c r="J261" s="79"/>
      <c r="K261" s="77">
        <v>44342.15</v>
      </c>
      <c r="L261" s="78">
        <f>IFERROR(K261/K327, "NA")</f>
        <v>1.3989941915088414E-2</v>
      </c>
      <c r="M261" s="79"/>
      <c r="N261" s="77">
        <v>44443.46</v>
      </c>
      <c r="O261" s="78">
        <f>IFERROR(N261/N327, "NA")</f>
        <v>1.1228466257130561E-2</v>
      </c>
      <c r="P261" s="79"/>
      <c r="Q261" s="77">
        <v>44545.01</v>
      </c>
      <c r="R261" s="78">
        <f>IFERROR(Q261/Q327, "NA")</f>
        <v>1.3057407544048671E-2</v>
      </c>
      <c r="T261" s="80">
        <f t="shared" si="6"/>
        <v>231487</v>
      </c>
      <c r="U261" s="80">
        <f t="shared" si="7"/>
        <v>1271.9065934065934</v>
      </c>
    </row>
    <row r="262" spans="1:21" x14ac:dyDescent="0.25">
      <c r="A262" s="76" t="s">
        <v>289</v>
      </c>
      <c r="B262" s="77">
        <v>3997.07</v>
      </c>
      <c r="C262" s="78">
        <f>IFERROR(B262/B327, "NA")</f>
        <v>1.0325097449311621E-3</v>
      </c>
      <c r="D262" s="79"/>
      <c r="E262" s="77">
        <v>783.55</v>
      </c>
      <c r="F262" s="78">
        <f>IFERROR(E262/E327, "NA")</f>
        <v>2.6563913226118662E-4</v>
      </c>
      <c r="G262" s="79"/>
      <c r="H262" s="77">
        <v>3796.98</v>
      </c>
      <c r="I262" s="78">
        <f>IFERROR(H262/H327, "NA")</f>
        <v>8.2311112058008212E-4</v>
      </c>
      <c r="J262" s="79"/>
      <c r="K262" s="77">
        <v>3699.01</v>
      </c>
      <c r="L262" s="78">
        <f>IFERROR(K262/K327, "NA")</f>
        <v>1.1670371202869322E-3</v>
      </c>
      <c r="M262" s="79"/>
      <c r="N262" s="77">
        <v>3597.71</v>
      </c>
      <c r="O262" s="78">
        <f>IFERROR(N262/N327, "NA")</f>
        <v>9.0894735328755211E-4</v>
      </c>
      <c r="P262" s="79"/>
      <c r="Q262" s="77">
        <v>3496.15</v>
      </c>
      <c r="R262" s="78">
        <f>IFERROR(Q262/Q327, "NA")</f>
        <v>1.0248208583885324E-3</v>
      </c>
      <c r="T262" s="80">
        <f t="shared" si="6"/>
        <v>19370.47</v>
      </c>
      <c r="U262" s="80">
        <f t="shared" si="7"/>
        <v>106.43115384615385</v>
      </c>
    </row>
    <row r="263" spans="1:21" x14ac:dyDescent="0.25">
      <c r="A263" s="81" t="s">
        <v>290</v>
      </c>
      <c r="B263" s="82">
        <f>IFERROR(B254+B255+B256+B257+B258+B259+B260+B261+B262, "NA")</f>
        <v>334292.44</v>
      </c>
      <c r="C263" s="83">
        <f>IFERROR(B263/B327, "NA")</f>
        <v>8.6353304284592411E-2</v>
      </c>
      <c r="D263" s="72"/>
      <c r="E263" s="82">
        <f>IFERROR(E254+E255+E256+E257+E258+E259+E260+E261+E262, "NA")</f>
        <v>213005.08</v>
      </c>
      <c r="F263" s="83">
        <f>IFERROR(E263/E327, "NA")</f>
        <v>7.2212985282910647E-2</v>
      </c>
      <c r="G263" s="72"/>
      <c r="H263" s="82">
        <f>IFERROR(H254+H255+H256+H257+H258+H259+H260+H261+H262, "NA")</f>
        <v>339843.25999999995</v>
      </c>
      <c r="I263" s="83">
        <f>IFERROR(H263/H327, "NA")</f>
        <v>7.3671382667327229E-2</v>
      </c>
      <c r="J263" s="72"/>
      <c r="K263" s="82">
        <f>IFERROR(K254+K255+K256+K257+K258+K259+K260+K261+K262, "NA")</f>
        <v>256169.31</v>
      </c>
      <c r="L263" s="83">
        <f>IFERROR(K263/K327, "NA")</f>
        <v>8.0821380274259988E-2</v>
      </c>
      <c r="M263" s="72"/>
      <c r="N263" s="82">
        <f>IFERROR(N254+N255+N256+N257+N258+N259+N260+N261+N262, "NA")</f>
        <v>210317.99999999997</v>
      </c>
      <c r="O263" s="83">
        <f>IFERROR(N263/N327, "NA")</f>
        <v>5.3136019703848097E-2</v>
      </c>
      <c r="P263" s="72"/>
      <c r="Q263" s="82">
        <f>IFERROR(Q254+Q255+Q256+Q257+Q258+Q259+Q260+Q261+Q262, "NA")</f>
        <v>79660.829999999987</v>
      </c>
      <c r="R263" s="83">
        <f>IFERROR(Q263/Q327, "NA")</f>
        <v>2.3350851702742426E-2</v>
      </c>
      <c r="T263" s="80">
        <f t="shared" si="6"/>
        <v>1433288.9200000002</v>
      </c>
      <c r="U263" s="80">
        <f t="shared" si="7"/>
        <v>7875.213846153847</v>
      </c>
    </row>
    <row r="264" spans="1:21" x14ac:dyDescent="0.25">
      <c r="A264" s="75" t="s">
        <v>291</v>
      </c>
      <c r="B264" s="72"/>
      <c r="C264" s="73"/>
      <c r="D264" s="74"/>
      <c r="E264" s="72"/>
      <c r="F264" s="73"/>
      <c r="G264" s="74"/>
      <c r="H264" s="72"/>
      <c r="I264" s="73"/>
      <c r="J264" s="74"/>
      <c r="K264" s="72"/>
      <c r="L264" s="73"/>
      <c r="M264" s="74"/>
      <c r="N264" s="72"/>
      <c r="O264" s="73"/>
      <c r="P264" s="74"/>
      <c r="Q264" s="72"/>
      <c r="R264" s="73"/>
      <c r="T264" s="80">
        <f t="shared" si="6"/>
        <v>0</v>
      </c>
      <c r="U264" s="80">
        <f t="shared" si="7"/>
        <v>0</v>
      </c>
    </row>
    <row r="265" spans="1:21" x14ac:dyDescent="0.25">
      <c r="A265" s="76" t="s">
        <v>292</v>
      </c>
      <c r="B265" s="77">
        <v>0</v>
      </c>
      <c r="C265" s="78">
        <f>IFERROR(B265/B327, "NA")</f>
        <v>0</v>
      </c>
      <c r="D265" s="79"/>
      <c r="E265" s="77">
        <v>0</v>
      </c>
      <c r="F265" s="78">
        <f>IFERROR(E265/E327, "NA")</f>
        <v>0</v>
      </c>
      <c r="G265" s="79"/>
      <c r="H265" s="77">
        <v>0</v>
      </c>
      <c r="I265" s="78">
        <f>IFERROR(H265/H327, "NA")</f>
        <v>0</v>
      </c>
      <c r="J265" s="79"/>
      <c r="K265" s="77">
        <v>0</v>
      </c>
      <c r="L265" s="78">
        <f>IFERROR(K265/K327, "NA")</f>
        <v>0</v>
      </c>
      <c r="M265" s="79"/>
      <c r="N265" s="77">
        <v>0</v>
      </c>
      <c r="O265" s="78">
        <f>IFERROR(N265/N327, "NA")</f>
        <v>0</v>
      </c>
      <c r="P265" s="79"/>
      <c r="Q265" s="77">
        <v>0</v>
      </c>
      <c r="R265" s="78">
        <f>IFERROR(Q265/Q327, "NA")</f>
        <v>0</v>
      </c>
      <c r="T265" s="80">
        <f t="shared" ref="T265:T327" si="8">IFERROR(B265+E265+H265+K265+N265+Q265, "NA")</f>
        <v>0</v>
      </c>
      <c r="U265" s="80">
        <f t="shared" ref="U265:U327" si="9">(T265/$V$1)/7</f>
        <v>0</v>
      </c>
    </row>
    <row r="266" spans="1:21" x14ac:dyDescent="0.25">
      <c r="A266" s="76" t="s">
        <v>293</v>
      </c>
      <c r="B266" s="77">
        <v>0</v>
      </c>
      <c r="C266" s="78">
        <f>IFERROR(B266/B327, "NA")</f>
        <v>0</v>
      </c>
      <c r="D266" s="79"/>
      <c r="E266" s="77">
        <v>0</v>
      </c>
      <c r="F266" s="78">
        <f>IFERROR(E266/E327, "NA")</f>
        <v>0</v>
      </c>
      <c r="G266" s="79"/>
      <c r="H266" s="77">
        <v>0</v>
      </c>
      <c r="I266" s="78">
        <f>IFERROR(H266/H327, "NA")</f>
        <v>0</v>
      </c>
      <c r="J266" s="79"/>
      <c r="K266" s="77">
        <v>0</v>
      </c>
      <c r="L266" s="78">
        <f>IFERROR(K266/K327, "NA")</f>
        <v>0</v>
      </c>
      <c r="M266" s="79"/>
      <c r="N266" s="77">
        <v>0</v>
      </c>
      <c r="O266" s="78">
        <f>IFERROR(N266/N327, "NA")</f>
        <v>0</v>
      </c>
      <c r="P266" s="79"/>
      <c r="Q266" s="77">
        <v>0</v>
      </c>
      <c r="R266" s="78">
        <f>IFERROR(Q266/Q327, "NA")</f>
        <v>0</v>
      </c>
      <c r="T266" s="80">
        <f t="shared" si="8"/>
        <v>0</v>
      </c>
      <c r="U266" s="80">
        <f t="shared" si="9"/>
        <v>0</v>
      </c>
    </row>
    <row r="267" spans="1:21" ht="31.5" x14ac:dyDescent="0.25">
      <c r="A267" s="76" t="s">
        <v>294</v>
      </c>
      <c r="B267" s="77">
        <v>0</v>
      </c>
      <c r="C267" s="78">
        <f>IFERROR(B267/B327, "NA")</f>
        <v>0</v>
      </c>
      <c r="D267" s="79"/>
      <c r="E267" s="77">
        <v>0</v>
      </c>
      <c r="F267" s="78">
        <f>IFERROR(E267/E327, "NA")</f>
        <v>0</v>
      </c>
      <c r="G267" s="79"/>
      <c r="H267" s="77">
        <v>0</v>
      </c>
      <c r="I267" s="78">
        <f>IFERROR(H267/H327, "NA")</f>
        <v>0</v>
      </c>
      <c r="J267" s="79"/>
      <c r="K267" s="77">
        <v>0</v>
      </c>
      <c r="L267" s="78">
        <f>IFERROR(K267/K327, "NA")</f>
        <v>0</v>
      </c>
      <c r="M267" s="79"/>
      <c r="N267" s="77">
        <v>0</v>
      </c>
      <c r="O267" s="78">
        <f>IFERROR(N267/N327, "NA")</f>
        <v>0</v>
      </c>
      <c r="P267" s="79"/>
      <c r="Q267" s="77">
        <v>0</v>
      </c>
      <c r="R267" s="78">
        <f>IFERROR(Q267/Q327, "NA")</f>
        <v>0</v>
      </c>
      <c r="T267" s="80">
        <f t="shared" si="8"/>
        <v>0</v>
      </c>
      <c r="U267" s="80">
        <f t="shared" si="9"/>
        <v>0</v>
      </c>
    </row>
    <row r="268" spans="1:21" x14ac:dyDescent="0.25">
      <c r="A268" s="76" t="s">
        <v>295</v>
      </c>
      <c r="B268" s="77">
        <v>-6673.37</v>
      </c>
      <c r="C268" s="78">
        <f>IFERROR(B268/B327, "NA")</f>
        <v>-1.7238426038401302E-3</v>
      </c>
      <c r="D268" s="79"/>
      <c r="E268" s="77">
        <v>-822.37</v>
      </c>
      <c r="F268" s="78">
        <f>IFERROR(E268/E327, "NA")</f>
        <v>-2.7879988921910795E-4</v>
      </c>
      <c r="G268" s="79"/>
      <c r="H268" s="77">
        <v>-419.53</v>
      </c>
      <c r="I268" s="78">
        <f>IFERROR(H268/H327, "NA")</f>
        <v>-9.0945911860731906E-5</v>
      </c>
      <c r="J268" s="79"/>
      <c r="K268" s="77">
        <v>-40803.83</v>
      </c>
      <c r="L268" s="78">
        <f>IFERROR(K268/K327, "NA")</f>
        <v>-1.2873602466572822E-2</v>
      </c>
      <c r="M268" s="79"/>
      <c r="N268" s="77">
        <v>-1920.89</v>
      </c>
      <c r="O268" s="78">
        <f>IFERROR(N268/N327, "NA")</f>
        <v>-4.8530534185816146E-4</v>
      </c>
      <c r="P268" s="79"/>
      <c r="Q268" s="77">
        <v>-20491.310000000001</v>
      </c>
      <c r="R268" s="78">
        <f>IFERROR(Q268/Q327, "NA")</f>
        <v>-6.006584930196221E-3</v>
      </c>
      <c r="T268" s="80">
        <f t="shared" si="8"/>
        <v>-71131.3</v>
      </c>
      <c r="U268" s="80">
        <f t="shared" si="9"/>
        <v>-390.83131868131869</v>
      </c>
    </row>
    <row r="269" spans="1:21" x14ac:dyDescent="0.25">
      <c r="A269" s="76" t="s">
        <v>296</v>
      </c>
      <c r="B269" s="77">
        <v>0</v>
      </c>
      <c r="C269" s="78">
        <f>IFERROR(B269/B327, "NA")</f>
        <v>0</v>
      </c>
      <c r="D269" s="79"/>
      <c r="E269" s="77">
        <v>0</v>
      </c>
      <c r="F269" s="78">
        <f>IFERROR(E269/E327, "NA")</f>
        <v>0</v>
      </c>
      <c r="G269" s="79"/>
      <c r="H269" s="77">
        <v>0</v>
      </c>
      <c r="I269" s="78">
        <f>IFERROR(H269/H327, "NA")</f>
        <v>0</v>
      </c>
      <c r="J269" s="79"/>
      <c r="K269" s="77">
        <v>0</v>
      </c>
      <c r="L269" s="78">
        <f>IFERROR(K269/K327, "NA")</f>
        <v>0</v>
      </c>
      <c r="M269" s="79"/>
      <c r="N269" s="77">
        <v>0</v>
      </c>
      <c r="O269" s="78">
        <f>IFERROR(N269/N327, "NA")</f>
        <v>0</v>
      </c>
      <c r="P269" s="79"/>
      <c r="Q269" s="77">
        <v>0</v>
      </c>
      <c r="R269" s="78">
        <f>IFERROR(Q269/Q327, "NA")</f>
        <v>0</v>
      </c>
      <c r="T269" s="80">
        <f t="shared" si="8"/>
        <v>0</v>
      </c>
      <c r="U269" s="80">
        <f t="shared" si="9"/>
        <v>0</v>
      </c>
    </row>
    <row r="270" spans="1:21" x14ac:dyDescent="0.25">
      <c r="A270" s="76" t="s">
        <v>297</v>
      </c>
      <c r="B270" s="77">
        <v>0</v>
      </c>
      <c r="C270" s="78">
        <f>IFERROR(B270/B327, "NA")</f>
        <v>0</v>
      </c>
      <c r="D270" s="79"/>
      <c r="E270" s="77">
        <v>0</v>
      </c>
      <c r="F270" s="78">
        <f>IFERROR(E270/E327, "NA")</f>
        <v>0</v>
      </c>
      <c r="G270" s="79"/>
      <c r="H270" s="77">
        <v>0</v>
      </c>
      <c r="I270" s="78">
        <f>IFERROR(H270/H327, "NA")</f>
        <v>0</v>
      </c>
      <c r="J270" s="79"/>
      <c r="K270" s="77">
        <v>0</v>
      </c>
      <c r="L270" s="78">
        <f>IFERROR(K270/K327, "NA")</f>
        <v>0</v>
      </c>
      <c r="M270" s="79"/>
      <c r="N270" s="77">
        <v>0</v>
      </c>
      <c r="O270" s="78">
        <f>IFERROR(N270/N327, "NA")</f>
        <v>0</v>
      </c>
      <c r="P270" s="79"/>
      <c r="Q270" s="77">
        <v>0</v>
      </c>
      <c r="R270" s="78">
        <f>IFERROR(Q270/Q327, "NA")</f>
        <v>0</v>
      </c>
      <c r="T270" s="80">
        <f t="shared" si="8"/>
        <v>0</v>
      </c>
      <c r="U270" s="80">
        <f t="shared" si="9"/>
        <v>0</v>
      </c>
    </row>
    <row r="271" spans="1:21" x14ac:dyDescent="0.25">
      <c r="A271" s="76" t="s">
        <v>298</v>
      </c>
      <c r="B271" s="77">
        <v>0</v>
      </c>
      <c r="C271" s="78">
        <f>IFERROR(B271/B327, "NA")</f>
        <v>0</v>
      </c>
      <c r="D271" s="79"/>
      <c r="E271" s="77">
        <v>0</v>
      </c>
      <c r="F271" s="78">
        <f>IFERROR(E271/E327, "NA")</f>
        <v>0</v>
      </c>
      <c r="G271" s="79"/>
      <c r="H271" s="77">
        <v>0</v>
      </c>
      <c r="I271" s="78">
        <f>IFERROR(H271/H327, "NA")</f>
        <v>0</v>
      </c>
      <c r="J271" s="79"/>
      <c r="K271" s="77">
        <v>0</v>
      </c>
      <c r="L271" s="78">
        <f>IFERROR(K271/K327, "NA")</f>
        <v>0</v>
      </c>
      <c r="M271" s="79"/>
      <c r="N271" s="77">
        <v>0</v>
      </c>
      <c r="O271" s="78">
        <f>IFERROR(N271/N327, "NA")</f>
        <v>0</v>
      </c>
      <c r="P271" s="79"/>
      <c r="Q271" s="77">
        <v>0</v>
      </c>
      <c r="R271" s="78">
        <f>IFERROR(Q271/Q327, "NA")</f>
        <v>0</v>
      </c>
      <c r="T271" s="80">
        <f t="shared" si="8"/>
        <v>0</v>
      </c>
      <c r="U271" s="80">
        <f t="shared" si="9"/>
        <v>0</v>
      </c>
    </row>
    <row r="272" spans="1:21" x14ac:dyDescent="0.25">
      <c r="A272" s="76" t="s">
        <v>299</v>
      </c>
      <c r="B272" s="77">
        <v>0</v>
      </c>
      <c r="C272" s="78">
        <f>IFERROR(B272/B327, "NA")</f>
        <v>0</v>
      </c>
      <c r="D272" s="79"/>
      <c r="E272" s="77">
        <v>0</v>
      </c>
      <c r="F272" s="78">
        <f>IFERROR(E272/E327, "NA")</f>
        <v>0</v>
      </c>
      <c r="G272" s="79"/>
      <c r="H272" s="77">
        <v>0</v>
      </c>
      <c r="I272" s="78">
        <f>IFERROR(H272/H327, "NA")</f>
        <v>0</v>
      </c>
      <c r="J272" s="79"/>
      <c r="K272" s="77">
        <v>0</v>
      </c>
      <c r="L272" s="78">
        <f>IFERROR(K272/K327, "NA")</f>
        <v>0</v>
      </c>
      <c r="M272" s="79"/>
      <c r="N272" s="77">
        <v>0</v>
      </c>
      <c r="O272" s="78">
        <f>IFERROR(N272/N327, "NA")</f>
        <v>0</v>
      </c>
      <c r="P272" s="79"/>
      <c r="Q272" s="77">
        <v>0</v>
      </c>
      <c r="R272" s="78">
        <f>IFERROR(Q272/Q327, "NA")</f>
        <v>0</v>
      </c>
      <c r="T272" s="80">
        <f t="shared" si="8"/>
        <v>0</v>
      </c>
      <c r="U272" s="80">
        <f t="shared" si="9"/>
        <v>0</v>
      </c>
    </row>
    <row r="273" spans="1:21" x14ac:dyDescent="0.25">
      <c r="A273" s="76" t="s">
        <v>300</v>
      </c>
      <c r="B273" s="77">
        <v>0</v>
      </c>
      <c r="C273" s="78">
        <f>IFERROR(B273/B327, "NA")</f>
        <v>0</v>
      </c>
      <c r="D273" s="79"/>
      <c r="E273" s="77">
        <v>0</v>
      </c>
      <c r="F273" s="78">
        <f>IFERROR(E273/E327, "NA")</f>
        <v>0</v>
      </c>
      <c r="G273" s="79"/>
      <c r="H273" s="77">
        <v>0</v>
      </c>
      <c r="I273" s="78">
        <f>IFERROR(H273/H327, "NA")</f>
        <v>0</v>
      </c>
      <c r="J273" s="79"/>
      <c r="K273" s="77">
        <v>0</v>
      </c>
      <c r="L273" s="78">
        <f>IFERROR(K273/K327, "NA")</f>
        <v>0</v>
      </c>
      <c r="M273" s="79"/>
      <c r="N273" s="77">
        <v>0</v>
      </c>
      <c r="O273" s="78">
        <f>IFERROR(N273/N327, "NA")</f>
        <v>0</v>
      </c>
      <c r="P273" s="79"/>
      <c r="Q273" s="77">
        <v>0</v>
      </c>
      <c r="R273" s="78">
        <f>IFERROR(Q273/Q327, "NA")</f>
        <v>0</v>
      </c>
      <c r="T273" s="80">
        <f t="shared" si="8"/>
        <v>0</v>
      </c>
      <c r="U273" s="80">
        <f t="shared" si="9"/>
        <v>0</v>
      </c>
    </row>
    <row r="274" spans="1:21" x14ac:dyDescent="0.25">
      <c r="A274" s="76" t="s">
        <v>301</v>
      </c>
      <c r="B274" s="77">
        <v>0</v>
      </c>
      <c r="C274" s="78">
        <f>IFERROR(B274/B327, "NA")</f>
        <v>0</v>
      </c>
      <c r="D274" s="79"/>
      <c r="E274" s="77">
        <v>0</v>
      </c>
      <c r="F274" s="78">
        <f>IFERROR(E274/E327, "NA")</f>
        <v>0</v>
      </c>
      <c r="G274" s="79"/>
      <c r="H274" s="77">
        <v>0</v>
      </c>
      <c r="I274" s="78">
        <f>IFERROR(H274/H327, "NA")</f>
        <v>0</v>
      </c>
      <c r="J274" s="79"/>
      <c r="K274" s="77">
        <v>0</v>
      </c>
      <c r="L274" s="78">
        <f>IFERROR(K274/K327, "NA")</f>
        <v>0</v>
      </c>
      <c r="M274" s="79"/>
      <c r="N274" s="77">
        <v>0</v>
      </c>
      <c r="O274" s="78">
        <f>IFERROR(N274/N327, "NA")</f>
        <v>0</v>
      </c>
      <c r="P274" s="79"/>
      <c r="Q274" s="77">
        <v>0</v>
      </c>
      <c r="R274" s="78">
        <f>IFERROR(Q274/Q327, "NA")</f>
        <v>0</v>
      </c>
      <c r="T274" s="80">
        <f t="shared" si="8"/>
        <v>0</v>
      </c>
      <c r="U274" s="80">
        <f t="shared" si="9"/>
        <v>0</v>
      </c>
    </row>
    <row r="275" spans="1:21" x14ac:dyDescent="0.25">
      <c r="A275" s="76" t="s">
        <v>302</v>
      </c>
      <c r="B275" s="77">
        <v>0</v>
      </c>
      <c r="C275" s="78">
        <f>IFERROR(B275/B327, "NA")</f>
        <v>0</v>
      </c>
      <c r="D275" s="79"/>
      <c r="E275" s="77">
        <v>0</v>
      </c>
      <c r="F275" s="78">
        <f>IFERROR(E275/E327, "NA")</f>
        <v>0</v>
      </c>
      <c r="G275" s="79"/>
      <c r="H275" s="77">
        <v>0</v>
      </c>
      <c r="I275" s="78">
        <f>IFERROR(H275/H327, "NA")</f>
        <v>0</v>
      </c>
      <c r="J275" s="79"/>
      <c r="K275" s="77">
        <v>0</v>
      </c>
      <c r="L275" s="78">
        <f>IFERROR(K275/K327, "NA")</f>
        <v>0</v>
      </c>
      <c r="M275" s="79"/>
      <c r="N275" s="77">
        <v>0</v>
      </c>
      <c r="O275" s="78">
        <f>IFERROR(N275/N327, "NA")</f>
        <v>0</v>
      </c>
      <c r="P275" s="79"/>
      <c r="Q275" s="77">
        <v>0</v>
      </c>
      <c r="R275" s="78">
        <f>IFERROR(Q275/Q327, "NA")</f>
        <v>0</v>
      </c>
      <c r="T275" s="80">
        <f t="shared" si="8"/>
        <v>0</v>
      </c>
      <c r="U275" s="80">
        <f t="shared" si="9"/>
        <v>0</v>
      </c>
    </row>
    <row r="276" spans="1:21" x14ac:dyDescent="0.25">
      <c r="A276" s="76" t="s">
        <v>303</v>
      </c>
      <c r="B276" s="77">
        <v>0</v>
      </c>
      <c r="C276" s="78">
        <f>IFERROR(B276/B327, "NA")</f>
        <v>0</v>
      </c>
      <c r="D276" s="79"/>
      <c r="E276" s="77">
        <v>0</v>
      </c>
      <c r="F276" s="78">
        <f>IFERROR(E276/E327, "NA")</f>
        <v>0</v>
      </c>
      <c r="G276" s="79"/>
      <c r="H276" s="77">
        <v>0</v>
      </c>
      <c r="I276" s="78">
        <f>IFERROR(H276/H327, "NA")</f>
        <v>0</v>
      </c>
      <c r="J276" s="79"/>
      <c r="K276" s="77">
        <v>0</v>
      </c>
      <c r="L276" s="78">
        <f>IFERROR(K276/K327, "NA")</f>
        <v>0</v>
      </c>
      <c r="M276" s="79"/>
      <c r="N276" s="77">
        <v>0</v>
      </c>
      <c r="O276" s="78">
        <f>IFERROR(N276/N327, "NA")</f>
        <v>0</v>
      </c>
      <c r="P276" s="79"/>
      <c r="Q276" s="77">
        <v>0</v>
      </c>
      <c r="R276" s="78">
        <f>IFERROR(Q276/Q327, "NA")</f>
        <v>0</v>
      </c>
      <c r="T276" s="80">
        <f t="shared" si="8"/>
        <v>0</v>
      </c>
      <c r="U276" s="80">
        <f t="shared" si="9"/>
        <v>0</v>
      </c>
    </row>
    <row r="277" spans="1:21" x14ac:dyDescent="0.25">
      <c r="A277" s="76" t="s">
        <v>304</v>
      </c>
      <c r="B277" s="77">
        <v>0</v>
      </c>
      <c r="C277" s="78">
        <f>IFERROR(B277/B327, "NA")</f>
        <v>0</v>
      </c>
      <c r="D277" s="79"/>
      <c r="E277" s="77">
        <v>0</v>
      </c>
      <c r="F277" s="78">
        <f>IFERROR(E277/E327, "NA")</f>
        <v>0</v>
      </c>
      <c r="G277" s="79"/>
      <c r="H277" s="77">
        <v>0</v>
      </c>
      <c r="I277" s="78">
        <f>IFERROR(H277/H327, "NA")</f>
        <v>0</v>
      </c>
      <c r="J277" s="79"/>
      <c r="K277" s="77">
        <v>0</v>
      </c>
      <c r="L277" s="78">
        <f>IFERROR(K277/K327, "NA")</f>
        <v>0</v>
      </c>
      <c r="M277" s="79"/>
      <c r="N277" s="77">
        <v>0</v>
      </c>
      <c r="O277" s="78">
        <f>IFERROR(N277/N327, "NA")</f>
        <v>0</v>
      </c>
      <c r="P277" s="79"/>
      <c r="Q277" s="77">
        <v>0</v>
      </c>
      <c r="R277" s="78">
        <f>IFERROR(Q277/Q327, "NA")</f>
        <v>0</v>
      </c>
      <c r="T277" s="80">
        <f t="shared" si="8"/>
        <v>0</v>
      </c>
      <c r="U277" s="80">
        <f t="shared" si="9"/>
        <v>0</v>
      </c>
    </row>
    <row r="278" spans="1:21" x14ac:dyDescent="0.25">
      <c r="A278" s="76" t="s">
        <v>305</v>
      </c>
      <c r="B278" s="77">
        <v>-127258.63</v>
      </c>
      <c r="C278" s="78">
        <f>IFERROR(B278/B327, "NA")</f>
        <v>-3.2873023390030481E-2</v>
      </c>
      <c r="D278" s="79"/>
      <c r="E278" s="77">
        <v>-98258.55</v>
      </c>
      <c r="F278" s="78">
        <f>IFERROR(E278/E327, "NA")</f>
        <v>-3.3311615033172634E-2</v>
      </c>
      <c r="G278" s="79"/>
      <c r="H278" s="77">
        <v>-154010.57</v>
      </c>
      <c r="I278" s="78">
        <f>IFERROR(H278/H327, "NA")</f>
        <v>-3.3386484220058354E-2</v>
      </c>
      <c r="J278" s="79"/>
      <c r="K278" s="77">
        <v>-107354.4</v>
      </c>
      <c r="L278" s="78">
        <f>IFERROR(K278/K327, "NA")</f>
        <v>-3.3870297681307004E-2</v>
      </c>
      <c r="M278" s="79"/>
      <c r="N278" s="77">
        <v>-134472.57999999999</v>
      </c>
      <c r="O278" s="78">
        <f>IFERROR(N278/N327, "NA")</f>
        <v>-3.3973971131844589E-2</v>
      </c>
      <c r="P278" s="79"/>
      <c r="Q278" s="77">
        <v>-112916.16</v>
      </c>
      <c r="R278" s="78">
        <f>IFERROR(Q278/Q327, "NA")</f>
        <v>-3.3098933403068194E-2</v>
      </c>
      <c r="T278" s="80">
        <f t="shared" si="8"/>
        <v>-734270.89</v>
      </c>
      <c r="U278" s="80">
        <f t="shared" si="9"/>
        <v>-4034.4554395604396</v>
      </c>
    </row>
    <row r="279" spans="1:21" x14ac:dyDescent="0.25">
      <c r="A279" s="76" t="s">
        <v>306</v>
      </c>
      <c r="B279" s="77">
        <v>0</v>
      </c>
      <c r="C279" s="78">
        <f>IFERROR(B279/B327, "NA")</f>
        <v>0</v>
      </c>
      <c r="D279" s="79"/>
      <c r="E279" s="77">
        <v>0</v>
      </c>
      <c r="F279" s="78">
        <f>IFERROR(E279/E327, "NA")</f>
        <v>0</v>
      </c>
      <c r="G279" s="79"/>
      <c r="H279" s="77">
        <v>0</v>
      </c>
      <c r="I279" s="78">
        <f>IFERROR(H279/H327, "NA")</f>
        <v>0</v>
      </c>
      <c r="J279" s="79"/>
      <c r="K279" s="77">
        <v>0</v>
      </c>
      <c r="L279" s="78">
        <f>IFERROR(K279/K327, "NA")</f>
        <v>0</v>
      </c>
      <c r="M279" s="79"/>
      <c r="N279" s="77">
        <v>0</v>
      </c>
      <c r="O279" s="78">
        <f>IFERROR(N279/N327, "NA")</f>
        <v>0</v>
      </c>
      <c r="P279" s="79"/>
      <c r="Q279" s="77">
        <v>0</v>
      </c>
      <c r="R279" s="78">
        <f>IFERROR(Q279/Q327, "NA")</f>
        <v>0</v>
      </c>
      <c r="T279" s="80">
        <f t="shared" si="8"/>
        <v>0</v>
      </c>
      <c r="U279" s="80">
        <f t="shared" si="9"/>
        <v>0</v>
      </c>
    </row>
    <row r="280" spans="1:21" x14ac:dyDescent="0.25">
      <c r="A280" s="76" t="s">
        <v>307</v>
      </c>
      <c r="B280" s="77">
        <v>0</v>
      </c>
      <c r="C280" s="78">
        <f>IFERROR(B280/B327, "NA")</f>
        <v>0</v>
      </c>
      <c r="D280" s="79"/>
      <c r="E280" s="77">
        <v>0</v>
      </c>
      <c r="F280" s="78">
        <f>IFERROR(E280/E327, "NA")</f>
        <v>0</v>
      </c>
      <c r="G280" s="79"/>
      <c r="H280" s="77">
        <v>0</v>
      </c>
      <c r="I280" s="78">
        <f>IFERROR(H280/H327, "NA")</f>
        <v>0</v>
      </c>
      <c r="J280" s="79"/>
      <c r="K280" s="77">
        <v>0</v>
      </c>
      <c r="L280" s="78">
        <f>IFERROR(K280/K327, "NA")</f>
        <v>0</v>
      </c>
      <c r="M280" s="79"/>
      <c r="N280" s="77">
        <v>0</v>
      </c>
      <c r="O280" s="78">
        <f>IFERROR(N280/N327, "NA")</f>
        <v>0</v>
      </c>
      <c r="P280" s="79"/>
      <c r="Q280" s="77">
        <v>0</v>
      </c>
      <c r="R280" s="78">
        <f>IFERROR(Q280/Q327, "NA")</f>
        <v>0</v>
      </c>
      <c r="T280" s="80">
        <f t="shared" si="8"/>
        <v>0</v>
      </c>
      <c r="U280" s="80">
        <f t="shared" si="9"/>
        <v>0</v>
      </c>
    </row>
    <row r="281" spans="1:21" x14ac:dyDescent="0.25">
      <c r="A281" s="76" t="s">
        <v>308</v>
      </c>
      <c r="B281" s="77">
        <v>0</v>
      </c>
      <c r="C281" s="78">
        <f>IFERROR(B281/B327, "NA")</f>
        <v>0</v>
      </c>
      <c r="D281" s="79"/>
      <c r="E281" s="77">
        <v>0</v>
      </c>
      <c r="F281" s="78">
        <f>IFERROR(E281/E327, "NA")</f>
        <v>0</v>
      </c>
      <c r="G281" s="79"/>
      <c r="H281" s="77">
        <v>0</v>
      </c>
      <c r="I281" s="78">
        <f>IFERROR(H281/H327, "NA")</f>
        <v>0</v>
      </c>
      <c r="J281" s="79"/>
      <c r="K281" s="77">
        <v>0</v>
      </c>
      <c r="L281" s="78">
        <f>IFERROR(K281/K327, "NA")</f>
        <v>0</v>
      </c>
      <c r="M281" s="79"/>
      <c r="N281" s="77">
        <v>0</v>
      </c>
      <c r="O281" s="78">
        <f>IFERROR(N281/N327, "NA")</f>
        <v>0</v>
      </c>
      <c r="P281" s="79"/>
      <c r="Q281" s="77">
        <v>0</v>
      </c>
      <c r="R281" s="78">
        <f>IFERROR(Q281/Q327, "NA")</f>
        <v>0</v>
      </c>
      <c r="T281" s="80">
        <f t="shared" si="8"/>
        <v>0</v>
      </c>
      <c r="U281" s="80">
        <f t="shared" si="9"/>
        <v>0</v>
      </c>
    </row>
    <row r="282" spans="1:21" x14ac:dyDescent="0.25">
      <c r="A282" s="76" t="s">
        <v>309</v>
      </c>
      <c r="B282" s="77">
        <v>0</v>
      </c>
      <c r="C282" s="78">
        <f>IFERROR(B282/B327, "NA")</f>
        <v>0</v>
      </c>
      <c r="D282" s="79"/>
      <c r="E282" s="77">
        <v>0</v>
      </c>
      <c r="F282" s="78">
        <f>IFERROR(E282/E327, "NA")</f>
        <v>0</v>
      </c>
      <c r="G282" s="79"/>
      <c r="H282" s="77">
        <v>0</v>
      </c>
      <c r="I282" s="78">
        <f>IFERROR(H282/H327, "NA")</f>
        <v>0</v>
      </c>
      <c r="J282" s="79"/>
      <c r="K282" s="77">
        <v>0</v>
      </c>
      <c r="L282" s="78">
        <f>IFERROR(K282/K327, "NA")</f>
        <v>0</v>
      </c>
      <c r="M282" s="79"/>
      <c r="N282" s="77">
        <v>0</v>
      </c>
      <c r="O282" s="78">
        <f>IFERROR(N282/N327, "NA")</f>
        <v>0</v>
      </c>
      <c r="P282" s="79"/>
      <c r="Q282" s="77">
        <v>0</v>
      </c>
      <c r="R282" s="78">
        <f>IFERROR(Q282/Q327, "NA")</f>
        <v>0</v>
      </c>
      <c r="T282" s="80">
        <f t="shared" si="8"/>
        <v>0</v>
      </c>
      <c r="U282" s="80">
        <f t="shared" si="9"/>
        <v>0</v>
      </c>
    </row>
    <row r="283" spans="1:21" x14ac:dyDescent="0.25">
      <c r="A283" s="81" t="s">
        <v>310</v>
      </c>
      <c r="B283" s="82">
        <f>IFERROR(B265+B266+B267+B268+B269+B270+B271+B272+B273+B274+B275+B276+B277+B278+B279+B280+B281+B282, "NA")</f>
        <v>-133932</v>
      </c>
      <c r="C283" s="83">
        <f>IFERROR(B283/B327, "NA")</f>
        <v>-3.4596865993870608E-2</v>
      </c>
      <c r="D283" s="72"/>
      <c r="E283" s="82">
        <f>IFERROR(E265+E266+E267+E268+E269+E270+E271+E272+E273+E274+E275+E276+E277+E278+E279+E280+E281+E282, "NA")</f>
        <v>-99080.92</v>
      </c>
      <c r="F283" s="83">
        <f>IFERROR(E283/E327, "NA")</f>
        <v>-3.3590414922391745E-2</v>
      </c>
      <c r="G283" s="72"/>
      <c r="H283" s="82">
        <f>IFERROR(H265+H266+H267+H268+H269+H270+H271+H272+H273+H274+H275+H276+H277+H278+H279+H280+H281+H282, "NA")</f>
        <v>-154430.1</v>
      </c>
      <c r="I283" s="83">
        <f>IFERROR(H283/H327, "NA")</f>
        <v>-3.3477430131919089E-2</v>
      </c>
      <c r="J283" s="72"/>
      <c r="K283" s="82">
        <f>IFERROR(K265+K266+K267+K268+K269+K270+K271+K272+K273+K274+K275+K276+K277+K278+K279+K280+K281+K282, "NA")</f>
        <v>-148158.22999999998</v>
      </c>
      <c r="L283" s="83">
        <f>IFERROR(K283/K327, "NA")</f>
        <v>-4.6743900147879824E-2</v>
      </c>
      <c r="M283" s="72"/>
      <c r="N283" s="82">
        <f>IFERROR(N265+N266+N267+N268+N269+N270+N271+N272+N273+N274+N275+N276+N277+N278+N279+N280+N281+N282, "NA")</f>
        <v>-136393.47</v>
      </c>
      <c r="O283" s="83">
        <f>IFERROR(N283/N327, "NA")</f>
        <v>-3.4459276473702755E-2</v>
      </c>
      <c r="P283" s="72"/>
      <c r="Q283" s="82">
        <f>IFERROR(Q265+Q266+Q267+Q268+Q269+Q270+Q271+Q272+Q273+Q274+Q275+Q276+Q277+Q278+Q279+Q280+Q281+Q282, "NA")</f>
        <v>-133407.47</v>
      </c>
      <c r="R283" s="83">
        <f>IFERROR(Q283/Q327, "NA")</f>
        <v>-3.9105518333264415E-2</v>
      </c>
      <c r="T283" s="80">
        <f t="shared" si="8"/>
        <v>-805402.19</v>
      </c>
      <c r="U283" s="80">
        <f t="shared" si="9"/>
        <v>-4425.2867582417584</v>
      </c>
    </row>
    <row r="284" spans="1:21" x14ac:dyDescent="0.25">
      <c r="A284" s="85" t="s">
        <v>311</v>
      </c>
      <c r="B284" s="82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525072.6</v>
      </c>
      <c r="C284" s="83">
        <f>IFERROR(B284/B327, "NA")</f>
        <v>0.13563499670917498</v>
      </c>
      <c r="D284" s="72"/>
      <c r="E284" s="82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390099.72999999992</v>
      </c>
      <c r="F284" s="83">
        <f>IFERROR(E284/E327, "NA")</f>
        <v>0.1322516160711163</v>
      </c>
      <c r="G284" s="72"/>
      <c r="H284" s="82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466048.06</v>
      </c>
      <c r="I284" s="83">
        <f>IFERROR(H284/H327, "NA")</f>
        <v>0.10103011891312921</v>
      </c>
      <c r="J284" s="72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404245.69000000018</v>
      </c>
      <c r="L284" s="83">
        <f>IFERROR(K284/K327, "NA")</f>
        <v>0.12753945675897174</v>
      </c>
      <c r="M284" s="72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405655.29999999993</v>
      </c>
      <c r="O284" s="83">
        <f>IFERROR(N284/N327, "NA")</f>
        <v>0.10248722417372937</v>
      </c>
      <c r="P284" s="72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244277.43999999997</v>
      </c>
      <c r="R284" s="83">
        <f>IFERROR(Q284/Q327, "NA")</f>
        <v>7.1604655333939671E-2</v>
      </c>
      <c r="T284" s="80">
        <f t="shared" si="8"/>
        <v>2435398.8199999998</v>
      </c>
      <c r="U284" s="80">
        <f t="shared" si="9"/>
        <v>13381.312197802197</v>
      </c>
    </row>
    <row r="285" spans="1:21" x14ac:dyDescent="0.25">
      <c r="A285" s="71" t="s">
        <v>312</v>
      </c>
      <c r="B285" s="72"/>
      <c r="C285" s="73"/>
      <c r="D285" s="74"/>
      <c r="E285" s="72"/>
      <c r="F285" s="73"/>
      <c r="G285" s="74"/>
      <c r="H285" s="72"/>
      <c r="I285" s="73"/>
      <c r="J285" s="74"/>
      <c r="K285" s="72"/>
      <c r="L285" s="73"/>
      <c r="M285" s="74"/>
      <c r="N285" s="72"/>
      <c r="O285" s="73"/>
      <c r="P285" s="74"/>
      <c r="Q285" s="72"/>
      <c r="R285" s="73"/>
      <c r="T285" s="80">
        <f t="shared" si="8"/>
        <v>0</v>
      </c>
      <c r="U285" s="80">
        <f t="shared" si="9"/>
        <v>0</v>
      </c>
    </row>
    <row r="286" spans="1:21" x14ac:dyDescent="0.25">
      <c r="A286" s="75" t="s">
        <v>313</v>
      </c>
      <c r="B286" s="72"/>
      <c r="C286" s="73"/>
      <c r="D286" s="74"/>
      <c r="E286" s="72"/>
      <c r="F286" s="73"/>
      <c r="G286" s="74"/>
      <c r="H286" s="72"/>
      <c r="I286" s="73"/>
      <c r="J286" s="74"/>
      <c r="K286" s="72"/>
      <c r="L286" s="73"/>
      <c r="M286" s="74"/>
      <c r="N286" s="72"/>
      <c r="O286" s="73"/>
      <c r="P286" s="74"/>
      <c r="Q286" s="72"/>
      <c r="R286" s="73"/>
      <c r="T286" s="80">
        <f t="shared" si="8"/>
        <v>0</v>
      </c>
      <c r="U286" s="80">
        <f t="shared" si="9"/>
        <v>0</v>
      </c>
    </row>
    <row r="287" spans="1:21" x14ac:dyDescent="0.25">
      <c r="A287" s="76" t="s">
        <v>314</v>
      </c>
      <c r="B287" s="77">
        <v>0</v>
      </c>
      <c r="C287" s="78">
        <f>IFERROR(B287/B327, "NA")</f>
        <v>0</v>
      </c>
      <c r="D287" s="79"/>
      <c r="E287" s="77">
        <v>0</v>
      </c>
      <c r="F287" s="78">
        <f>IFERROR(E287/E327, "NA")</f>
        <v>0</v>
      </c>
      <c r="G287" s="79"/>
      <c r="H287" s="77">
        <v>0</v>
      </c>
      <c r="I287" s="78">
        <f>IFERROR(H287/H327, "NA")</f>
        <v>0</v>
      </c>
      <c r="J287" s="79"/>
      <c r="K287" s="77">
        <v>0</v>
      </c>
      <c r="L287" s="78">
        <f>IFERROR(K287/K327, "NA")</f>
        <v>0</v>
      </c>
      <c r="M287" s="79"/>
      <c r="N287" s="77">
        <v>0</v>
      </c>
      <c r="O287" s="78">
        <f>IFERROR(N287/N327, "NA")</f>
        <v>0</v>
      </c>
      <c r="P287" s="79"/>
      <c r="Q287" s="77">
        <v>0</v>
      </c>
      <c r="R287" s="78">
        <f>IFERROR(Q287/Q327, "NA")</f>
        <v>0</v>
      </c>
      <c r="T287" s="80">
        <f t="shared" si="8"/>
        <v>0</v>
      </c>
      <c r="U287" s="80">
        <f t="shared" si="9"/>
        <v>0</v>
      </c>
    </row>
    <row r="288" spans="1:21" x14ac:dyDescent="0.25">
      <c r="A288" s="76" t="s">
        <v>315</v>
      </c>
      <c r="B288" s="77">
        <v>0</v>
      </c>
      <c r="C288" s="78">
        <f>IFERROR(B288/B327, "NA")</f>
        <v>0</v>
      </c>
      <c r="D288" s="79"/>
      <c r="E288" s="77">
        <v>0</v>
      </c>
      <c r="F288" s="78">
        <f>IFERROR(E288/E327, "NA")</f>
        <v>0</v>
      </c>
      <c r="G288" s="79"/>
      <c r="H288" s="77">
        <v>0</v>
      </c>
      <c r="I288" s="78">
        <f>IFERROR(H288/H327, "NA")</f>
        <v>0</v>
      </c>
      <c r="J288" s="79"/>
      <c r="K288" s="77">
        <v>0</v>
      </c>
      <c r="L288" s="78">
        <f>IFERROR(K288/K327, "NA")</f>
        <v>0</v>
      </c>
      <c r="M288" s="79"/>
      <c r="N288" s="77">
        <v>0</v>
      </c>
      <c r="O288" s="78">
        <f>IFERROR(N288/N327, "NA")</f>
        <v>0</v>
      </c>
      <c r="P288" s="79"/>
      <c r="Q288" s="77">
        <v>0</v>
      </c>
      <c r="R288" s="78">
        <f>IFERROR(Q288/Q327, "NA")</f>
        <v>0</v>
      </c>
      <c r="T288" s="80">
        <f t="shared" si="8"/>
        <v>0</v>
      </c>
      <c r="U288" s="80">
        <f t="shared" si="9"/>
        <v>0</v>
      </c>
    </row>
    <row r="289" spans="1:21" x14ac:dyDescent="0.25">
      <c r="A289" s="76" t="s">
        <v>316</v>
      </c>
      <c r="B289" s="77">
        <v>6799.08</v>
      </c>
      <c r="C289" s="78">
        <f>IFERROR(B289/B327, "NA")</f>
        <v>1.7563155903115445E-3</v>
      </c>
      <c r="D289" s="79"/>
      <c r="E289" s="77">
        <v>7829.87</v>
      </c>
      <c r="F289" s="78">
        <f>IFERROR(E289/E327, "NA")</f>
        <v>2.6544826399309517E-3</v>
      </c>
      <c r="G289" s="79"/>
      <c r="H289" s="77">
        <v>12791.65</v>
      </c>
      <c r="I289" s="78">
        <f>IFERROR(H289/H327, "NA")</f>
        <v>2.7729799381530076E-3</v>
      </c>
      <c r="J289" s="79"/>
      <c r="K289" s="77">
        <v>4797.5</v>
      </c>
      <c r="L289" s="78">
        <f>IFERROR(K289/K327, "NA")</f>
        <v>1.5136105564939153E-3</v>
      </c>
      <c r="M289" s="79"/>
      <c r="N289" s="77">
        <v>43280.31</v>
      </c>
      <c r="O289" s="78">
        <f>IFERROR(N289/N327, "NA")</f>
        <v>1.0934600961157172E-2</v>
      </c>
      <c r="P289" s="79"/>
      <c r="Q289" s="77">
        <v>29627.31</v>
      </c>
      <c r="R289" s="78">
        <f>IFERROR(Q289/Q327, "NA")</f>
        <v>8.6846059997263136E-3</v>
      </c>
      <c r="T289" s="80">
        <f t="shared" si="8"/>
        <v>105125.72</v>
      </c>
      <c r="U289" s="80">
        <f t="shared" si="9"/>
        <v>577.61384615384611</v>
      </c>
    </row>
    <row r="290" spans="1:21" x14ac:dyDescent="0.25">
      <c r="A290" s="76" t="s">
        <v>317</v>
      </c>
      <c r="B290" s="77">
        <v>198221.96</v>
      </c>
      <c r="C290" s="78">
        <f>IFERROR(B290/B327, "NA")</f>
        <v>5.1204033294226771E-2</v>
      </c>
      <c r="D290" s="79"/>
      <c r="E290" s="77">
        <v>151967.54999999999</v>
      </c>
      <c r="F290" s="78">
        <f>IFERROR(E290/E327, "NA")</f>
        <v>5.1520040985078792E-2</v>
      </c>
      <c r="G290" s="79"/>
      <c r="H290" s="77">
        <v>237772.42</v>
      </c>
      <c r="I290" s="78">
        <f>IFERROR(H290/H327, "NA")</f>
        <v>5.1544417687013871E-2</v>
      </c>
      <c r="J290" s="79"/>
      <c r="K290" s="77">
        <v>165728.82</v>
      </c>
      <c r="L290" s="78">
        <f>IFERROR(K290/K327, "NA")</f>
        <v>5.2287418752950475E-2</v>
      </c>
      <c r="M290" s="79"/>
      <c r="N290" s="77">
        <v>204383.05</v>
      </c>
      <c r="O290" s="78">
        <f>IFERROR(N290/N327, "NA")</f>
        <v>5.1636577810423134E-2</v>
      </c>
      <c r="P290" s="79"/>
      <c r="Q290" s="77">
        <v>176789.55</v>
      </c>
      <c r="R290" s="78">
        <f>IFERROR(Q290/Q327, "NA")</f>
        <v>5.1822038066193482E-2</v>
      </c>
      <c r="T290" s="80">
        <f t="shared" si="8"/>
        <v>1134863.3500000001</v>
      </c>
      <c r="U290" s="80">
        <f t="shared" si="9"/>
        <v>6235.5129120879128</v>
      </c>
    </row>
    <row r="291" spans="1:21" x14ac:dyDescent="0.25">
      <c r="A291" s="76" t="s">
        <v>318</v>
      </c>
      <c r="B291" s="77">
        <v>550</v>
      </c>
      <c r="C291" s="78">
        <f>IFERROR(B291/B327, "NA")</f>
        <v>1.4207415924968517E-4</v>
      </c>
      <c r="D291" s="79"/>
      <c r="E291" s="77">
        <v>0</v>
      </c>
      <c r="F291" s="78">
        <f>IFERROR(E291/E327, "NA")</f>
        <v>0</v>
      </c>
      <c r="G291" s="79"/>
      <c r="H291" s="77">
        <v>0</v>
      </c>
      <c r="I291" s="78">
        <f>IFERROR(H291/H327, "NA")</f>
        <v>0</v>
      </c>
      <c r="J291" s="79"/>
      <c r="K291" s="77">
        <v>0</v>
      </c>
      <c r="L291" s="78">
        <f>IFERROR(K291/K327, "NA")</f>
        <v>0</v>
      </c>
      <c r="M291" s="79"/>
      <c r="N291" s="77">
        <v>0</v>
      </c>
      <c r="O291" s="78">
        <f>IFERROR(N291/N327, "NA")</f>
        <v>0</v>
      </c>
      <c r="P291" s="79"/>
      <c r="Q291" s="77">
        <v>0</v>
      </c>
      <c r="R291" s="78">
        <f>IFERROR(Q291/Q327, "NA")</f>
        <v>0</v>
      </c>
      <c r="T291" s="80">
        <f t="shared" si="8"/>
        <v>550</v>
      </c>
      <c r="U291" s="80">
        <f t="shared" si="9"/>
        <v>3.0219780219780219</v>
      </c>
    </row>
    <row r="292" spans="1:21" x14ac:dyDescent="0.25">
      <c r="A292" s="76" t="s">
        <v>319</v>
      </c>
      <c r="B292" s="77">
        <v>7</v>
      </c>
      <c r="C292" s="78">
        <f>IFERROR(B292/B327, "NA")</f>
        <v>1.8082165722687204E-6</v>
      </c>
      <c r="D292" s="79"/>
      <c r="E292" s="77">
        <v>0</v>
      </c>
      <c r="F292" s="78">
        <f>IFERROR(E292/E327, "NA")</f>
        <v>0</v>
      </c>
      <c r="G292" s="79"/>
      <c r="H292" s="77">
        <v>0</v>
      </c>
      <c r="I292" s="78">
        <f>IFERROR(H292/H327, "NA")</f>
        <v>0</v>
      </c>
      <c r="J292" s="79"/>
      <c r="K292" s="77">
        <v>6176</v>
      </c>
      <c r="L292" s="78">
        <f>IFERROR(K292/K327, "NA")</f>
        <v>1.9485271072238501E-3</v>
      </c>
      <c r="M292" s="79"/>
      <c r="N292" s="77">
        <v>6003</v>
      </c>
      <c r="O292" s="78">
        <f>IFERROR(N292/N327, "NA")</f>
        <v>1.516634459638263E-3</v>
      </c>
      <c r="P292" s="79"/>
      <c r="Q292" s="77">
        <v>4074.03</v>
      </c>
      <c r="R292" s="78">
        <f>IFERROR(Q292/Q327, "NA")</f>
        <v>1.1942138986315326E-3</v>
      </c>
      <c r="T292" s="80">
        <f t="shared" si="8"/>
        <v>16260.03</v>
      </c>
      <c r="U292" s="80">
        <f t="shared" si="9"/>
        <v>89.340824175824181</v>
      </c>
    </row>
    <row r="293" spans="1:21" x14ac:dyDescent="0.25">
      <c r="A293" s="76" t="s">
        <v>320</v>
      </c>
      <c r="B293" s="77">
        <v>0</v>
      </c>
      <c r="C293" s="78">
        <f>IFERROR(B293/B327, "NA")</f>
        <v>0</v>
      </c>
      <c r="D293" s="79"/>
      <c r="E293" s="77">
        <v>0</v>
      </c>
      <c r="F293" s="78">
        <f>IFERROR(E293/E327, "NA")</f>
        <v>0</v>
      </c>
      <c r="G293" s="79"/>
      <c r="H293" s="77">
        <v>785.33</v>
      </c>
      <c r="I293" s="78">
        <f>IFERROR(H293/H327, "NA")</f>
        <v>1.7024420890422281E-4</v>
      </c>
      <c r="J293" s="79"/>
      <c r="K293" s="77">
        <v>477.71</v>
      </c>
      <c r="L293" s="78">
        <f>IFERROR(K293/K327, "NA")</f>
        <v>1.507174359442852E-4</v>
      </c>
      <c r="M293" s="79"/>
      <c r="N293" s="77">
        <v>229.64</v>
      </c>
      <c r="O293" s="78">
        <f>IFERROR(N293/N327, "NA")</f>
        <v>5.8017647394857683E-5</v>
      </c>
      <c r="P293" s="79"/>
      <c r="Q293" s="77">
        <v>3807.51</v>
      </c>
      <c r="R293" s="78">
        <f>IFERROR(Q293/Q327, "NA")</f>
        <v>1.1160893172555298E-3</v>
      </c>
      <c r="T293" s="80">
        <f t="shared" si="8"/>
        <v>5300.1900000000005</v>
      </c>
      <c r="U293" s="80">
        <f t="shared" si="9"/>
        <v>29.121923076923078</v>
      </c>
    </row>
    <row r="294" spans="1:21" x14ac:dyDescent="0.25">
      <c r="A294" s="76" t="s">
        <v>321</v>
      </c>
      <c r="B294" s="77">
        <v>21692.560000000001</v>
      </c>
      <c r="C294" s="78">
        <f>IFERROR(B294/B327, "NA")</f>
        <v>5.6035494981333655E-3</v>
      </c>
      <c r="D294" s="79"/>
      <c r="E294" s="77">
        <v>7461.22</v>
      </c>
      <c r="F294" s="78">
        <f>IFERROR(E294/E327, "NA")</f>
        <v>2.529502911632711E-3</v>
      </c>
      <c r="G294" s="79"/>
      <c r="H294" s="77">
        <v>20724.2</v>
      </c>
      <c r="I294" s="78">
        <f>IFERROR(H294/H327, "NA")</f>
        <v>4.4926018796848386E-3</v>
      </c>
      <c r="J294" s="79"/>
      <c r="K294" s="77">
        <v>8853.17</v>
      </c>
      <c r="L294" s="78">
        <f>IFERROR(K294/K327, "NA")</f>
        <v>2.7931738552236028E-3</v>
      </c>
      <c r="M294" s="79"/>
      <c r="N294" s="77">
        <v>14576.44</v>
      </c>
      <c r="O294" s="78">
        <f>IFERROR(N294/N327, "NA")</f>
        <v>3.6826805268781546E-3</v>
      </c>
      <c r="P294" s="79"/>
      <c r="Q294" s="77">
        <v>14387.5</v>
      </c>
      <c r="R294" s="78">
        <f>IFERROR(Q294/Q327, "NA")</f>
        <v>4.2173848662285683E-3</v>
      </c>
      <c r="T294" s="80">
        <f t="shared" si="8"/>
        <v>87695.09</v>
      </c>
      <c r="U294" s="80">
        <f t="shared" si="9"/>
        <v>481.84115384615382</v>
      </c>
    </row>
    <row r="295" spans="1:21" x14ac:dyDescent="0.25">
      <c r="A295" s="76" t="s">
        <v>322</v>
      </c>
      <c r="B295" s="77">
        <v>0</v>
      </c>
      <c r="C295" s="78">
        <f>IFERROR(B295/B327, "NA")</f>
        <v>0</v>
      </c>
      <c r="D295" s="79"/>
      <c r="E295" s="77">
        <v>0</v>
      </c>
      <c r="F295" s="78">
        <f>IFERROR(E295/E327, "NA")</f>
        <v>0</v>
      </c>
      <c r="G295" s="79"/>
      <c r="H295" s="77">
        <v>0</v>
      </c>
      <c r="I295" s="78">
        <f>IFERROR(H295/H327, "NA")</f>
        <v>0</v>
      </c>
      <c r="J295" s="79"/>
      <c r="K295" s="77">
        <v>5164.96</v>
      </c>
      <c r="L295" s="78">
        <f>IFERROR(K295/K327, "NA")</f>
        <v>1.629544133375469E-3</v>
      </c>
      <c r="M295" s="79"/>
      <c r="N295" s="77">
        <v>0</v>
      </c>
      <c r="O295" s="78">
        <f>IFERROR(N295/N327, "NA")</f>
        <v>0</v>
      </c>
      <c r="P295" s="79"/>
      <c r="Q295" s="77">
        <v>993.05</v>
      </c>
      <c r="R295" s="78">
        <f>IFERROR(Q295/Q327, "NA")</f>
        <v>2.9109115839501509E-4</v>
      </c>
      <c r="T295" s="80">
        <f t="shared" si="8"/>
        <v>6158.01</v>
      </c>
      <c r="U295" s="80">
        <f t="shared" si="9"/>
        <v>33.835219780219781</v>
      </c>
    </row>
    <row r="296" spans="1:21" x14ac:dyDescent="0.25">
      <c r="A296" s="76" t="s">
        <v>323</v>
      </c>
      <c r="B296" s="77">
        <v>0</v>
      </c>
      <c r="C296" s="78">
        <f>IFERROR(B296/B327, "NA")</f>
        <v>0</v>
      </c>
      <c r="D296" s="79"/>
      <c r="E296" s="77">
        <v>0</v>
      </c>
      <c r="F296" s="78">
        <f>IFERROR(E296/E327, "NA")</f>
        <v>0</v>
      </c>
      <c r="G296" s="79"/>
      <c r="H296" s="77">
        <v>0</v>
      </c>
      <c r="I296" s="78">
        <f>IFERROR(H296/H327, "NA")</f>
        <v>0</v>
      </c>
      <c r="J296" s="79"/>
      <c r="K296" s="77">
        <v>0</v>
      </c>
      <c r="L296" s="78">
        <f>IFERROR(K296/K327, "NA")</f>
        <v>0</v>
      </c>
      <c r="M296" s="79"/>
      <c r="N296" s="77">
        <v>0</v>
      </c>
      <c r="O296" s="78">
        <f>IFERROR(N296/N327, "NA")</f>
        <v>0</v>
      </c>
      <c r="P296" s="79"/>
      <c r="Q296" s="77">
        <v>0</v>
      </c>
      <c r="R296" s="78">
        <f>IFERROR(Q296/Q327, "NA")</f>
        <v>0</v>
      </c>
      <c r="T296" s="80">
        <f t="shared" si="8"/>
        <v>0</v>
      </c>
      <c r="U296" s="80">
        <f t="shared" si="9"/>
        <v>0</v>
      </c>
    </row>
    <row r="297" spans="1:21" x14ac:dyDescent="0.25">
      <c r="A297" s="76" t="s">
        <v>324</v>
      </c>
      <c r="B297" s="77">
        <v>769</v>
      </c>
      <c r="C297" s="78">
        <f>IFERROR(B297/B327, "NA")</f>
        <v>1.9864550629637801E-4</v>
      </c>
      <c r="D297" s="79"/>
      <c r="E297" s="77">
        <v>666.8</v>
      </c>
      <c r="F297" s="78">
        <f>IFERROR(E297/E327, "NA")</f>
        <v>2.2605854558325472E-4</v>
      </c>
      <c r="G297" s="79"/>
      <c r="H297" s="77">
        <v>-769</v>
      </c>
      <c r="I297" s="78">
        <f>IFERROR(H297/H327, "NA")</f>
        <v>-1.6670418377923591E-4</v>
      </c>
      <c r="J297" s="79"/>
      <c r="K297" s="77">
        <v>2014.32</v>
      </c>
      <c r="L297" s="78">
        <f>IFERROR(K297/K327, "NA")</f>
        <v>6.3551766881851451E-4</v>
      </c>
      <c r="M297" s="79"/>
      <c r="N297" s="77">
        <v>0</v>
      </c>
      <c r="O297" s="78">
        <f>IFERROR(N297/N327, "NA")</f>
        <v>0</v>
      </c>
      <c r="P297" s="79"/>
      <c r="Q297" s="77">
        <v>0</v>
      </c>
      <c r="R297" s="78">
        <f>IFERROR(Q297/Q327, "NA")</f>
        <v>0</v>
      </c>
      <c r="T297" s="80">
        <f t="shared" si="8"/>
        <v>2681.12</v>
      </c>
      <c r="U297" s="80">
        <f t="shared" si="9"/>
        <v>14.73142857142857</v>
      </c>
    </row>
    <row r="298" spans="1:21" x14ac:dyDescent="0.25">
      <c r="A298" s="76" t="s">
        <v>325</v>
      </c>
      <c r="B298" s="77">
        <v>0</v>
      </c>
      <c r="C298" s="78">
        <f>IFERROR(B298/B327, "NA")</f>
        <v>0</v>
      </c>
      <c r="D298" s="79"/>
      <c r="E298" s="77">
        <v>0</v>
      </c>
      <c r="F298" s="78">
        <f>IFERROR(E298/E327, "NA")</f>
        <v>0</v>
      </c>
      <c r="G298" s="79"/>
      <c r="H298" s="77">
        <v>0</v>
      </c>
      <c r="I298" s="78">
        <f>IFERROR(H298/H327, "NA")</f>
        <v>0</v>
      </c>
      <c r="J298" s="79"/>
      <c r="K298" s="77">
        <v>0</v>
      </c>
      <c r="L298" s="78">
        <f>IFERROR(K298/K327, "NA")</f>
        <v>0</v>
      </c>
      <c r="M298" s="79"/>
      <c r="N298" s="77">
        <v>0</v>
      </c>
      <c r="O298" s="78">
        <f>IFERROR(N298/N327, "NA")</f>
        <v>0</v>
      </c>
      <c r="P298" s="79"/>
      <c r="Q298" s="77">
        <v>0</v>
      </c>
      <c r="R298" s="78">
        <f>IFERROR(Q298/Q327, "NA")</f>
        <v>0</v>
      </c>
      <c r="T298" s="80">
        <f t="shared" si="8"/>
        <v>0</v>
      </c>
      <c r="U298" s="80">
        <f t="shared" si="9"/>
        <v>0</v>
      </c>
    </row>
    <row r="299" spans="1:21" x14ac:dyDescent="0.25">
      <c r="A299" s="76" t="s">
        <v>326</v>
      </c>
      <c r="B299" s="77">
        <v>0</v>
      </c>
      <c r="C299" s="78">
        <f>IFERROR(B299/B327, "NA")</f>
        <v>0</v>
      </c>
      <c r="D299" s="79"/>
      <c r="E299" s="77">
        <v>0</v>
      </c>
      <c r="F299" s="78">
        <f>IFERROR(E299/E327, "NA")</f>
        <v>0</v>
      </c>
      <c r="G299" s="79"/>
      <c r="H299" s="77">
        <v>0</v>
      </c>
      <c r="I299" s="78">
        <f>IFERROR(H299/H327, "NA")</f>
        <v>0</v>
      </c>
      <c r="J299" s="79"/>
      <c r="K299" s="77">
        <v>0</v>
      </c>
      <c r="L299" s="78">
        <f>IFERROR(K299/K327, "NA")</f>
        <v>0</v>
      </c>
      <c r="M299" s="79"/>
      <c r="N299" s="77">
        <v>0</v>
      </c>
      <c r="O299" s="78">
        <f>IFERROR(N299/N327, "NA")</f>
        <v>0</v>
      </c>
      <c r="P299" s="79"/>
      <c r="Q299" s="77">
        <v>0</v>
      </c>
      <c r="R299" s="78">
        <f>IFERROR(Q299/Q327, "NA")</f>
        <v>0</v>
      </c>
      <c r="T299" s="80">
        <f t="shared" si="8"/>
        <v>0</v>
      </c>
      <c r="U299" s="80">
        <f t="shared" si="9"/>
        <v>0</v>
      </c>
    </row>
    <row r="300" spans="1:21" x14ac:dyDescent="0.25">
      <c r="A300" s="76" t="s">
        <v>327</v>
      </c>
      <c r="B300" s="77">
        <v>0</v>
      </c>
      <c r="C300" s="78">
        <f>IFERROR(B300/B327, "NA")</f>
        <v>0</v>
      </c>
      <c r="D300" s="79"/>
      <c r="E300" s="77">
        <v>0</v>
      </c>
      <c r="F300" s="78">
        <f>IFERROR(E300/E327, "NA")</f>
        <v>0</v>
      </c>
      <c r="G300" s="79"/>
      <c r="H300" s="77">
        <v>0</v>
      </c>
      <c r="I300" s="78">
        <f>IFERROR(H300/H327, "NA")</f>
        <v>0</v>
      </c>
      <c r="J300" s="79"/>
      <c r="K300" s="77">
        <v>0</v>
      </c>
      <c r="L300" s="78">
        <f>IFERROR(K300/K327, "NA")</f>
        <v>0</v>
      </c>
      <c r="M300" s="79"/>
      <c r="N300" s="77">
        <v>0</v>
      </c>
      <c r="O300" s="78">
        <f>IFERROR(N300/N327, "NA")</f>
        <v>0</v>
      </c>
      <c r="P300" s="79"/>
      <c r="Q300" s="77">
        <v>0</v>
      </c>
      <c r="R300" s="78">
        <f>IFERROR(Q300/Q327, "NA")</f>
        <v>0</v>
      </c>
      <c r="T300" s="80">
        <f t="shared" si="8"/>
        <v>0</v>
      </c>
      <c r="U300" s="80">
        <f t="shared" si="9"/>
        <v>0</v>
      </c>
    </row>
    <row r="301" spans="1:21" x14ac:dyDescent="0.25">
      <c r="A301" s="76" t="s">
        <v>328</v>
      </c>
      <c r="B301" s="77">
        <v>0</v>
      </c>
      <c r="C301" s="78">
        <f>IFERROR(B301/B327, "NA")</f>
        <v>0</v>
      </c>
      <c r="D301" s="79"/>
      <c r="E301" s="77">
        <v>0</v>
      </c>
      <c r="F301" s="78">
        <f>IFERROR(E301/E327, "NA")</f>
        <v>0</v>
      </c>
      <c r="G301" s="79"/>
      <c r="H301" s="77">
        <v>0</v>
      </c>
      <c r="I301" s="78">
        <f>IFERROR(H301/H327, "NA")</f>
        <v>0</v>
      </c>
      <c r="J301" s="79"/>
      <c r="K301" s="77">
        <v>0</v>
      </c>
      <c r="L301" s="78">
        <f>IFERROR(K301/K327, "NA")</f>
        <v>0</v>
      </c>
      <c r="M301" s="79"/>
      <c r="N301" s="77">
        <v>0</v>
      </c>
      <c r="O301" s="78">
        <f>IFERROR(N301/N327, "NA")</f>
        <v>0</v>
      </c>
      <c r="P301" s="79"/>
      <c r="Q301" s="77">
        <v>0</v>
      </c>
      <c r="R301" s="78">
        <f>IFERROR(Q301/Q327, "NA")</f>
        <v>0</v>
      </c>
      <c r="T301" s="80">
        <f t="shared" si="8"/>
        <v>0</v>
      </c>
      <c r="U301" s="80">
        <f t="shared" si="9"/>
        <v>0</v>
      </c>
    </row>
    <row r="302" spans="1:21" x14ac:dyDescent="0.25">
      <c r="A302" s="76" t="s">
        <v>329</v>
      </c>
      <c r="B302" s="77">
        <v>0</v>
      </c>
      <c r="C302" s="78">
        <f>IFERROR(B302/B327, "NA")</f>
        <v>0</v>
      </c>
      <c r="D302" s="79"/>
      <c r="E302" s="77">
        <v>0</v>
      </c>
      <c r="F302" s="78">
        <f>IFERROR(E302/E327, "NA")</f>
        <v>0</v>
      </c>
      <c r="G302" s="79"/>
      <c r="H302" s="77">
        <v>0</v>
      </c>
      <c r="I302" s="78">
        <f>IFERROR(H302/H327, "NA")</f>
        <v>0</v>
      </c>
      <c r="J302" s="79"/>
      <c r="K302" s="77">
        <v>0</v>
      </c>
      <c r="L302" s="78">
        <f>IFERROR(K302/K327, "NA")</f>
        <v>0</v>
      </c>
      <c r="M302" s="79"/>
      <c r="N302" s="77">
        <v>0</v>
      </c>
      <c r="O302" s="78">
        <f>IFERROR(N302/N327, "NA")</f>
        <v>0</v>
      </c>
      <c r="P302" s="79"/>
      <c r="Q302" s="77">
        <v>0</v>
      </c>
      <c r="R302" s="78">
        <f>IFERROR(Q302/Q327, "NA")</f>
        <v>0</v>
      </c>
      <c r="T302" s="80">
        <f t="shared" si="8"/>
        <v>0</v>
      </c>
      <c r="U302" s="80">
        <f t="shared" si="9"/>
        <v>0</v>
      </c>
    </row>
    <row r="303" spans="1:21" x14ac:dyDescent="0.25">
      <c r="A303" s="76" t="s">
        <v>330</v>
      </c>
      <c r="B303" s="77">
        <v>0</v>
      </c>
      <c r="C303" s="78">
        <f>IFERROR(B303/B327, "NA")</f>
        <v>0</v>
      </c>
      <c r="D303" s="79"/>
      <c r="E303" s="77">
        <v>0</v>
      </c>
      <c r="F303" s="78">
        <f>IFERROR(E303/E327, "NA")</f>
        <v>0</v>
      </c>
      <c r="G303" s="79"/>
      <c r="H303" s="77">
        <v>0</v>
      </c>
      <c r="I303" s="78">
        <f>IFERROR(H303/H327, "NA")</f>
        <v>0</v>
      </c>
      <c r="J303" s="79"/>
      <c r="K303" s="77">
        <v>0</v>
      </c>
      <c r="L303" s="78">
        <f>IFERROR(K303/K327, "NA")</f>
        <v>0</v>
      </c>
      <c r="M303" s="79"/>
      <c r="N303" s="77">
        <v>0</v>
      </c>
      <c r="O303" s="78">
        <f>IFERROR(N303/N327, "NA")</f>
        <v>0</v>
      </c>
      <c r="P303" s="79"/>
      <c r="Q303" s="77">
        <v>0</v>
      </c>
      <c r="R303" s="78">
        <f>IFERROR(Q303/Q327, "NA")</f>
        <v>0</v>
      </c>
      <c r="T303" s="80">
        <f t="shared" si="8"/>
        <v>0</v>
      </c>
      <c r="U303" s="80">
        <f t="shared" si="9"/>
        <v>0</v>
      </c>
    </row>
    <row r="304" spans="1:21" x14ac:dyDescent="0.25">
      <c r="A304" s="76" t="s">
        <v>331</v>
      </c>
      <c r="B304" s="77">
        <v>0</v>
      </c>
      <c r="C304" s="78">
        <f>IFERROR(B304/B327, "NA")</f>
        <v>0</v>
      </c>
      <c r="D304" s="79"/>
      <c r="E304" s="77">
        <v>0</v>
      </c>
      <c r="F304" s="78">
        <f>IFERROR(E304/E327, "NA")</f>
        <v>0</v>
      </c>
      <c r="G304" s="79"/>
      <c r="H304" s="77">
        <v>0</v>
      </c>
      <c r="I304" s="78">
        <f>IFERROR(H304/H327, "NA")</f>
        <v>0</v>
      </c>
      <c r="J304" s="79"/>
      <c r="K304" s="77">
        <v>0</v>
      </c>
      <c r="L304" s="78">
        <f>IFERROR(K304/K327, "NA")</f>
        <v>0</v>
      </c>
      <c r="M304" s="79"/>
      <c r="N304" s="77">
        <v>0</v>
      </c>
      <c r="O304" s="78">
        <f>IFERROR(N304/N327, "NA")</f>
        <v>0</v>
      </c>
      <c r="P304" s="79"/>
      <c r="Q304" s="77">
        <v>0</v>
      </c>
      <c r="R304" s="78">
        <f>IFERROR(Q304/Q327, "NA")</f>
        <v>0</v>
      </c>
      <c r="T304" s="80">
        <f t="shared" si="8"/>
        <v>0</v>
      </c>
      <c r="U304" s="80">
        <f t="shared" si="9"/>
        <v>0</v>
      </c>
    </row>
    <row r="305" spans="1:21" x14ac:dyDescent="0.25">
      <c r="A305" s="76" t="s">
        <v>332</v>
      </c>
      <c r="B305" s="77">
        <v>0</v>
      </c>
      <c r="C305" s="78">
        <f>IFERROR(B305/B327, "NA")</f>
        <v>0</v>
      </c>
      <c r="D305" s="79"/>
      <c r="E305" s="77">
        <v>0</v>
      </c>
      <c r="F305" s="78">
        <f>IFERROR(E305/E327, "NA")</f>
        <v>0</v>
      </c>
      <c r="G305" s="79"/>
      <c r="H305" s="77">
        <v>0</v>
      </c>
      <c r="I305" s="78">
        <f>IFERROR(H305/H327, "NA")</f>
        <v>0</v>
      </c>
      <c r="J305" s="79"/>
      <c r="K305" s="77">
        <v>0</v>
      </c>
      <c r="L305" s="78">
        <f>IFERROR(K305/K327, "NA")</f>
        <v>0</v>
      </c>
      <c r="M305" s="79"/>
      <c r="N305" s="77">
        <v>0</v>
      </c>
      <c r="O305" s="78">
        <f>IFERROR(N305/N327, "NA")</f>
        <v>0</v>
      </c>
      <c r="P305" s="79"/>
      <c r="Q305" s="77">
        <v>0</v>
      </c>
      <c r="R305" s="78">
        <f>IFERROR(Q305/Q327, "NA")</f>
        <v>0</v>
      </c>
      <c r="T305" s="80">
        <f t="shared" si="8"/>
        <v>0</v>
      </c>
      <c r="U305" s="80">
        <f t="shared" si="9"/>
        <v>0</v>
      </c>
    </row>
    <row r="306" spans="1:21" x14ac:dyDescent="0.25">
      <c r="A306" s="76" t="s">
        <v>333</v>
      </c>
      <c r="B306" s="77">
        <v>0</v>
      </c>
      <c r="C306" s="78">
        <f>IFERROR(B306/B327, "NA")</f>
        <v>0</v>
      </c>
      <c r="D306" s="79"/>
      <c r="E306" s="77">
        <v>0</v>
      </c>
      <c r="F306" s="78">
        <f>IFERROR(E306/E327, "NA")</f>
        <v>0</v>
      </c>
      <c r="G306" s="79"/>
      <c r="H306" s="77">
        <v>0</v>
      </c>
      <c r="I306" s="78">
        <f>IFERROR(H306/H327, "NA")</f>
        <v>0</v>
      </c>
      <c r="J306" s="79"/>
      <c r="K306" s="77">
        <v>0</v>
      </c>
      <c r="L306" s="78">
        <f>IFERROR(K306/K327, "NA")</f>
        <v>0</v>
      </c>
      <c r="M306" s="79"/>
      <c r="N306" s="77">
        <v>0</v>
      </c>
      <c r="O306" s="78">
        <f>IFERROR(N306/N327, "NA")</f>
        <v>0</v>
      </c>
      <c r="P306" s="79"/>
      <c r="Q306" s="77">
        <v>0</v>
      </c>
      <c r="R306" s="78">
        <f>IFERROR(Q306/Q327, "NA")</f>
        <v>0</v>
      </c>
      <c r="T306" s="80">
        <f t="shared" si="8"/>
        <v>0</v>
      </c>
      <c r="U306" s="80">
        <f t="shared" si="9"/>
        <v>0</v>
      </c>
    </row>
    <row r="307" spans="1:21" x14ac:dyDescent="0.25">
      <c r="A307" s="76" t="s">
        <v>334</v>
      </c>
      <c r="B307" s="77">
        <v>0</v>
      </c>
      <c r="C307" s="78">
        <f>IFERROR(B307/B327, "NA")</f>
        <v>0</v>
      </c>
      <c r="D307" s="79"/>
      <c r="E307" s="77">
        <v>0</v>
      </c>
      <c r="F307" s="78">
        <f>IFERROR(E307/E327, "NA")</f>
        <v>0</v>
      </c>
      <c r="G307" s="79"/>
      <c r="H307" s="77">
        <v>0</v>
      </c>
      <c r="I307" s="78">
        <f>IFERROR(H307/H327, "NA")</f>
        <v>0</v>
      </c>
      <c r="J307" s="79"/>
      <c r="K307" s="77">
        <v>0</v>
      </c>
      <c r="L307" s="78">
        <f>IFERROR(K307/K327, "NA")</f>
        <v>0</v>
      </c>
      <c r="M307" s="79"/>
      <c r="N307" s="77">
        <v>0</v>
      </c>
      <c r="O307" s="78">
        <f>IFERROR(N307/N327, "NA")</f>
        <v>0</v>
      </c>
      <c r="P307" s="79"/>
      <c r="Q307" s="77">
        <v>0</v>
      </c>
      <c r="R307" s="78">
        <f>IFERROR(Q307/Q327, "NA")</f>
        <v>0</v>
      </c>
      <c r="T307" s="80">
        <f t="shared" si="8"/>
        <v>0</v>
      </c>
      <c r="U307" s="80">
        <f t="shared" si="9"/>
        <v>0</v>
      </c>
    </row>
    <row r="308" spans="1:21" x14ac:dyDescent="0.25">
      <c r="A308" s="76" t="s">
        <v>335</v>
      </c>
      <c r="B308" s="77">
        <v>0</v>
      </c>
      <c r="C308" s="78">
        <f>IFERROR(B308/B327, "NA")</f>
        <v>0</v>
      </c>
      <c r="D308" s="79"/>
      <c r="E308" s="77">
        <v>0</v>
      </c>
      <c r="F308" s="78">
        <f>IFERROR(E308/E327, "NA")</f>
        <v>0</v>
      </c>
      <c r="G308" s="79"/>
      <c r="H308" s="77">
        <v>0</v>
      </c>
      <c r="I308" s="78">
        <f>IFERROR(H308/H327, "NA")</f>
        <v>0</v>
      </c>
      <c r="J308" s="79"/>
      <c r="K308" s="77">
        <v>0</v>
      </c>
      <c r="L308" s="78">
        <f>IFERROR(K308/K327, "NA")</f>
        <v>0</v>
      </c>
      <c r="M308" s="79"/>
      <c r="N308" s="77">
        <v>0</v>
      </c>
      <c r="O308" s="78">
        <f>IFERROR(N308/N327, "NA")</f>
        <v>0</v>
      </c>
      <c r="P308" s="79"/>
      <c r="Q308" s="77">
        <v>0</v>
      </c>
      <c r="R308" s="78">
        <f>IFERROR(Q308/Q327, "NA")</f>
        <v>0</v>
      </c>
      <c r="T308" s="80">
        <f t="shared" si="8"/>
        <v>0</v>
      </c>
      <c r="U308" s="80">
        <f t="shared" si="9"/>
        <v>0</v>
      </c>
    </row>
    <row r="309" spans="1:21" x14ac:dyDescent="0.25">
      <c r="A309" s="76" t="s">
        <v>336</v>
      </c>
      <c r="B309" s="77">
        <v>0</v>
      </c>
      <c r="C309" s="78">
        <f>IFERROR(B309/B327, "NA")</f>
        <v>0</v>
      </c>
      <c r="D309" s="79"/>
      <c r="E309" s="77">
        <v>0</v>
      </c>
      <c r="F309" s="78">
        <f>IFERROR(E309/E327, "NA")</f>
        <v>0</v>
      </c>
      <c r="G309" s="79"/>
      <c r="H309" s="77">
        <v>0</v>
      </c>
      <c r="I309" s="78">
        <f>IFERROR(H309/H327, "NA")</f>
        <v>0</v>
      </c>
      <c r="J309" s="79"/>
      <c r="K309" s="77">
        <v>0</v>
      </c>
      <c r="L309" s="78">
        <f>IFERROR(K309/K327, "NA")</f>
        <v>0</v>
      </c>
      <c r="M309" s="79"/>
      <c r="N309" s="77">
        <v>0</v>
      </c>
      <c r="O309" s="78">
        <f>IFERROR(N309/N327, "NA")</f>
        <v>0</v>
      </c>
      <c r="P309" s="79"/>
      <c r="Q309" s="77">
        <v>0</v>
      </c>
      <c r="R309" s="78">
        <f>IFERROR(Q309/Q327, "NA")</f>
        <v>0</v>
      </c>
      <c r="T309" s="80">
        <f t="shared" si="8"/>
        <v>0</v>
      </c>
      <c r="U309" s="80">
        <f t="shared" si="9"/>
        <v>0</v>
      </c>
    </row>
    <row r="310" spans="1:21" x14ac:dyDescent="0.25">
      <c r="A310" s="76" t="s">
        <v>337</v>
      </c>
      <c r="B310" s="77">
        <v>0</v>
      </c>
      <c r="C310" s="78">
        <f>IFERROR(B310/B327, "NA")</f>
        <v>0</v>
      </c>
      <c r="D310" s="79"/>
      <c r="E310" s="77">
        <v>0</v>
      </c>
      <c r="F310" s="78">
        <f>IFERROR(E310/E327, "NA")</f>
        <v>0</v>
      </c>
      <c r="G310" s="79"/>
      <c r="H310" s="77">
        <v>0</v>
      </c>
      <c r="I310" s="78">
        <f>IFERROR(H310/H327, "NA")</f>
        <v>0</v>
      </c>
      <c r="J310" s="79"/>
      <c r="K310" s="77">
        <v>0</v>
      </c>
      <c r="L310" s="78">
        <f>IFERROR(K310/K327, "NA")</f>
        <v>0</v>
      </c>
      <c r="M310" s="79"/>
      <c r="N310" s="77">
        <v>0</v>
      </c>
      <c r="O310" s="78">
        <f>IFERROR(N310/N327, "NA")</f>
        <v>0</v>
      </c>
      <c r="P310" s="79"/>
      <c r="Q310" s="77">
        <v>0</v>
      </c>
      <c r="R310" s="78">
        <f>IFERROR(Q310/Q327, "NA")</f>
        <v>0</v>
      </c>
      <c r="T310" s="80">
        <f t="shared" si="8"/>
        <v>0</v>
      </c>
      <c r="U310" s="80">
        <f t="shared" si="9"/>
        <v>0</v>
      </c>
    </row>
    <row r="311" spans="1:21" x14ac:dyDescent="0.25">
      <c r="A311" s="76" t="s">
        <v>338</v>
      </c>
      <c r="B311" s="77">
        <v>0</v>
      </c>
      <c r="C311" s="78">
        <f>IFERROR(B311/B327, "NA")</f>
        <v>0</v>
      </c>
      <c r="D311" s="79"/>
      <c r="E311" s="77">
        <v>5081</v>
      </c>
      <c r="F311" s="78">
        <f>IFERROR(E311/E327, "NA")</f>
        <v>1.722560693024171E-3</v>
      </c>
      <c r="G311" s="79"/>
      <c r="H311" s="77">
        <v>479.95</v>
      </c>
      <c r="I311" s="78">
        <f>IFERROR(H311/H327, "NA")</f>
        <v>1.0404378804271037E-4</v>
      </c>
      <c r="J311" s="79"/>
      <c r="K311" s="77">
        <v>10.27</v>
      </c>
      <c r="L311" s="78">
        <f>IFERROR(K311/K327, "NA")</f>
        <v>3.2401835154127167E-6</v>
      </c>
      <c r="M311" s="79"/>
      <c r="N311" s="77">
        <v>0</v>
      </c>
      <c r="O311" s="78">
        <f>IFERROR(N311/N327, "NA")</f>
        <v>0</v>
      </c>
      <c r="P311" s="79"/>
      <c r="Q311" s="77">
        <v>0</v>
      </c>
      <c r="R311" s="78">
        <f>IFERROR(Q311/Q327, "NA")</f>
        <v>0</v>
      </c>
      <c r="T311" s="80">
        <f t="shared" si="8"/>
        <v>5571.22</v>
      </c>
      <c r="U311" s="80">
        <f t="shared" si="9"/>
        <v>30.611098901098902</v>
      </c>
    </row>
    <row r="312" spans="1:21" x14ac:dyDescent="0.25">
      <c r="A312" s="76" t="s">
        <v>339</v>
      </c>
      <c r="B312" s="77">
        <v>0</v>
      </c>
      <c r="C312" s="78">
        <f>IFERROR(B312/B327, "NA")</f>
        <v>0</v>
      </c>
      <c r="D312" s="79"/>
      <c r="E312" s="77">
        <v>0</v>
      </c>
      <c r="F312" s="78">
        <f>IFERROR(E312/E327, "NA")</f>
        <v>0</v>
      </c>
      <c r="G312" s="79"/>
      <c r="H312" s="77">
        <v>0</v>
      </c>
      <c r="I312" s="78">
        <f>IFERROR(H312/H327, "NA")</f>
        <v>0</v>
      </c>
      <c r="J312" s="79"/>
      <c r="K312" s="77">
        <v>0</v>
      </c>
      <c r="L312" s="78">
        <f>IFERROR(K312/K327, "NA")</f>
        <v>0</v>
      </c>
      <c r="M312" s="79"/>
      <c r="N312" s="77">
        <v>0</v>
      </c>
      <c r="O312" s="78">
        <f>IFERROR(N312/N327, "NA")</f>
        <v>0</v>
      </c>
      <c r="P312" s="79"/>
      <c r="Q312" s="77">
        <v>0</v>
      </c>
      <c r="R312" s="78">
        <f>IFERROR(Q312/Q327, "NA")</f>
        <v>0</v>
      </c>
      <c r="T312" s="80">
        <f t="shared" si="8"/>
        <v>0</v>
      </c>
      <c r="U312" s="80">
        <f t="shared" si="9"/>
        <v>0</v>
      </c>
    </row>
    <row r="313" spans="1:21" x14ac:dyDescent="0.25">
      <c r="A313" s="76" t="s">
        <v>340</v>
      </c>
      <c r="B313" s="77">
        <v>0</v>
      </c>
      <c r="C313" s="78">
        <f>IFERROR(B313/B327, "NA")</f>
        <v>0</v>
      </c>
      <c r="D313" s="79"/>
      <c r="E313" s="77">
        <v>0</v>
      </c>
      <c r="F313" s="78">
        <f>IFERROR(E313/E327, "NA")</f>
        <v>0</v>
      </c>
      <c r="G313" s="79"/>
      <c r="H313" s="77">
        <v>0</v>
      </c>
      <c r="I313" s="78">
        <f>IFERROR(H313/H327, "NA")</f>
        <v>0</v>
      </c>
      <c r="J313" s="79"/>
      <c r="K313" s="77">
        <v>0</v>
      </c>
      <c r="L313" s="78">
        <f>IFERROR(K313/K327, "NA")</f>
        <v>0</v>
      </c>
      <c r="M313" s="79"/>
      <c r="N313" s="77">
        <v>0</v>
      </c>
      <c r="O313" s="78">
        <f>IFERROR(N313/N327, "NA")</f>
        <v>0</v>
      </c>
      <c r="P313" s="79"/>
      <c r="Q313" s="77">
        <v>0</v>
      </c>
      <c r="R313" s="78">
        <f>IFERROR(Q313/Q327, "NA")</f>
        <v>0</v>
      </c>
      <c r="T313" s="80">
        <f t="shared" si="8"/>
        <v>0</v>
      </c>
      <c r="U313" s="80">
        <f t="shared" si="9"/>
        <v>0</v>
      </c>
    </row>
    <row r="314" spans="1:21" x14ac:dyDescent="0.25">
      <c r="A314" s="81" t="s">
        <v>341</v>
      </c>
      <c r="B314" s="82">
        <f>IFERROR(B287+B288+B289+B290+B291+B292+B293+B294+B295+B296+B297+B298+B299+B300+B301+B302+B303+B304+B305+B306+B307+B308+B309+B310+B311+B312+B313, "NA")</f>
        <v>228039.59999999998</v>
      </c>
      <c r="C314" s="83">
        <f>IFERROR(B314/B327, "NA")</f>
        <v>5.8906426264790007E-2</v>
      </c>
      <c r="D314" s="72"/>
      <c r="E314" s="82">
        <f>IFERROR(E287+E288+E289+E290+E291+E292+E293+E294+E295+E296+E297+E298+E299+E300+E301+E302+E303+E304+E305+E306+E307+E308+E309+E310+E311+E312+E313, "NA")</f>
        <v>173006.43999999997</v>
      </c>
      <c r="F314" s="83">
        <f>IFERROR(E314/E327, "NA")</f>
        <v>5.8652645775249874E-2</v>
      </c>
      <c r="G314" s="72"/>
      <c r="H314" s="82">
        <f>IFERROR(H287+H288+H289+H290+H291+H292+H293+H294+H295+H296+H297+H298+H299+H300+H301+H302+H303+H304+H305+H306+H307+H308+H309+H310+H311+H312+H313, "NA")</f>
        <v>271784.55</v>
      </c>
      <c r="I314" s="83">
        <f>IFERROR(H314/H327, "NA")</f>
        <v>5.8917583318019412E-2</v>
      </c>
      <c r="J314" s="72"/>
      <c r="K314" s="82">
        <f>IFERROR(K287+K288+K289+K290+K291+K292+K293+K294+K295+K296+K297+K298+K299+K300+K301+K302+K303+K304+K305+K306+K307+K308+K309+K310+K311+K312+K313, "NA")</f>
        <v>193222.75</v>
      </c>
      <c r="L314" s="83">
        <f>IFERROR(K314/K327, "NA")</f>
        <v>6.0961749693545522E-2</v>
      </c>
      <c r="M314" s="72"/>
      <c r="N314" s="82">
        <f>IFERROR(N287+N288+N289+N290+N291+N292+N293+N294+N295+N296+N297+N298+N299+N300+N301+N302+N303+N304+N305+N306+N307+N308+N309+N310+N311+N312+N313, "NA")</f>
        <v>268472.44</v>
      </c>
      <c r="O314" s="83">
        <f>IFERROR(N314/N327, "NA")</f>
        <v>6.7828511405491579E-2</v>
      </c>
      <c r="P314" s="72"/>
      <c r="Q314" s="82">
        <f>IFERROR(Q287+Q288+Q289+Q290+Q291+Q292+Q293+Q294+Q295+Q296+Q297+Q298+Q299+Q300+Q301+Q302+Q303+Q304+Q305+Q306+Q307+Q308+Q309+Q310+Q311+Q312+Q313, "NA")</f>
        <v>229678.94999999998</v>
      </c>
      <c r="R314" s="83">
        <f>IFERROR(Q314/Q327, "NA")</f>
        <v>6.7325423306430432E-2</v>
      </c>
      <c r="T314" s="80">
        <f t="shared" si="8"/>
        <v>1364204.7299999997</v>
      </c>
      <c r="U314" s="80">
        <f t="shared" si="9"/>
        <v>7495.6303846153833</v>
      </c>
    </row>
    <row r="315" spans="1:21" x14ac:dyDescent="0.25">
      <c r="A315" s="75" t="s">
        <v>342</v>
      </c>
      <c r="B315" s="72"/>
      <c r="C315" s="73"/>
      <c r="D315" s="74"/>
      <c r="E315" s="72"/>
      <c r="F315" s="73"/>
      <c r="G315" s="74"/>
      <c r="H315" s="72"/>
      <c r="I315" s="73"/>
      <c r="J315" s="74"/>
      <c r="K315" s="72"/>
      <c r="L315" s="73"/>
      <c r="M315" s="74"/>
      <c r="N315" s="72"/>
      <c r="O315" s="73"/>
      <c r="P315" s="74"/>
      <c r="Q315" s="72"/>
      <c r="R315" s="73"/>
      <c r="T315" s="80">
        <f t="shared" si="8"/>
        <v>0</v>
      </c>
      <c r="U315" s="80">
        <f t="shared" si="9"/>
        <v>0</v>
      </c>
    </row>
    <row r="316" spans="1:21" x14ac:dyDescent="0.25">
      <c r="A316" s="76" t="s">
        <v>343</v>
      </c>
      <c r="B316" s="77">
        <v>0</v>
      </c>
      <c r="C316" s="78">
        <f>IFERROR(B316/B327, "NA")</f>
        <v>0</v>
      </c>
      <c r="D316" s="79"/>
      <c r="E316" s="77">
        <v>0</v>
      </c>
      <c r="F316" s="78">
        <f>IFERROR(E316/E327, "NA")</f>
        <v>0</v>
      </c>
      <c r="G316" s="79"/>
      <c r="H316" s="77">
        <v>0</v>
      </c>
      <c r="I316" s="78">
        <f>IFERROR(H316/H327, "NA")</f>
        <v>0</v>
      </c>
      <c r="J316" s="79"/>
      <c r="K316" s="77">
        <v>0</v>
      </c>
      <c r="L316" s="78">
        <f>IFERROR(K316/K327, "NA")</f>
        <v>0</v>
      </c>
      <c r="M316" s="79"/>
      <c r="N316" s="77">
        <v>0</v>
      </c>
      <c r="O316" s="78">
        <f>IFERROR(N316/N327, "NA")</f>
        <v>0</v>
      </c>
      <c r="P316" s="79"/>
      <c r="Q316" s="77">
        <v>0</v>
      </c>
      <c r="R316" s="78">
        <f>IFERROR(Q316/Q327, "NA")</f>
        <v>0</v>
      </c>
      <c r="T316" s="80">
        <f t="shared" si="8"/>
        <v>0</v>
      </c>
      <c r="U316" s="80">
        <f t="shared" si="9"/>
        <v>0</v>
      </c>
    </row>
    <row r="317" spans="1:21" x14ac:dyDescent="0.25">
      <c r="A317" s="76" t="s">
        <v>344</v>
      </c>
      <c r="B317" s="77">
        <v>0</v>
      </c>
      <c r="C317" s="78">
        <f>IFERROR(B317/B327, "NA")</f>
        <v>0</v>
      </c>
      <c r="D317" s="79"/>
      <c r="E317" s="77">
        <v>0</v>
      </c>
      <c r="F317" s="78">
        <f>IFERROR(E317/E327, "NA")</f>
        <v>0</v>
      </c>
      <c r="G317" s="79"/>
      <c r="H317" s="77">
        <v>0</v>
      </c>
      <c r="I317" s="78">
        <f>IFERROR(H317/H327, "NA")</f>
        <v>0</v>
      </c>
      <c r="J317" s="79"/>
      <c r="K317" s="77">
        <v>0</v>
      </c>
      <c r="L317" s="78">
        <f>IFERROR(K317/K327, "NA")</f>
        <v>0</v>
      </c>
      <c r="M317" s="79"/>
      <c r="N317" s="77">
        <v>0</v>
      </c>
      <c r="O317" s="78">
        <f>IFERROR(N317/N327, "NA")</f>
        <v>0</v>
      </c>
      <c r="P317" s="79"/>
      <c r="Q317" s="77">
        <v>0</v>
      </c>
      <c r="R317" s="78">
        <f>IFERROR(Q317/Q327, "NA")</f>
        <v>0</v>
      </c>
      <c r="T317" s="80">
        <f t="shared" si="8"/>
        <v>0</v>
      </c>
      <c r="U317" s="80">
        <f t="shared" si="9"/>
        <v>0</v>
      </c>
    </row>
    <row r="318" spans="1:21" x14ac:dyDescent="0.25">
      <c r="A318" s="76" t="s">
        <v>345</v>
      </c>
      <c r="B318" s="77">
        <v>0</v>
      </c>
      <c r="C318" s="78">
        <f>IFERROR(B318/B327, "NA")</f>
        <v>0</v>
      </c>
      <c r="D318" s="79"/>
      <c r="E318" s="77">
        <v>0</v>
      </c>
      <c r="F318" s="78">
        <f>IFERROR(E318/E327, "NA")</f>
        <v>0</v>
      </c>
      <c r="G318" s="79"/>
      <c r="H318" s="77">
        <v>0</v>
      </c>
      <c r="I318" s="78">
        <f>IFERROR(H318/H327, "NA")</f>
        <v>0</v>
      </c>
      <c r="J318" s="79"/>
      <c r="K318" s="77">
        <v>0</v>
      </c>
      <c r="L318" s="78">
        <f>IFERROR(K318/K327, "NA")</f>
        <v>0</v>
      </c>
      <c r="M318" s="79"/>
      <c r="N318" s="77">
        <v>0</v>
      </c>
      <c r="O318" s="78">
        <f>IFERROR(N318/N327, "NA")</f>
        <v>0</v>
      </c>
      <c r="P318" s="79"/>
      <c r="Q318" s="77">
        <v>0</v>
      </c>
      <c r="R318" s="78">
        <f>IFERROR(Q318/Q327, "NA")</f>
        <v>0</v>
      </c>
      <c r="T318" s="80">
        <f t="shared" si="8"/>
        <v>0</v>
      </c>
      <c r="U318" s="80">
        <f t="shared" si="9"/>
        <v>0</v>
      </c>
    </row>
    <row r="319" spans="1:21" x14ac:dyDescent="0.25">
      <c r="A319" s="76" t="s">
        <v>346</v>
      </c>
      <c r="B319" s="77">
        <v>0</v>
      </c>
      <c r="C319" s="78">
        <f>IFERROR(B319/B327, "NA")</f>
        <v>0</v>
      </c>
      <c r="D319" s="79"/>
      <c r="E319" s="77">
        <v>748.3</v>
      </c>
      <c r="F319" s="78">
        <f>IFERROR(E319/E327, "NA")</f>
        <v>2.5368867675457335E-4</v>
      </c>
      <c r="G319" s="79"/>
      <c r="H319" s="77">
        <v>2098.04</v>
      </c>
      <c r="I319" s="78">
        <f>IFERROR(H319/H327, "NA")</f>
        <v>4.5481410368815095E-4</v>
      </c>
      <c r="J319" s="79"/>
      <c r="K319" s="77">
        <v>0</v>
      </c>
      <c r="L319" s="78">
        <f>IFERROR(K319/K327, "NA")</f>
        <v>0</v>
      </c>
      <c r="M319" s="79"/>
      <c r="N319" s="77">
        <v>0</v>
      </c>
      <c r="O319" s="78">
        <f>IFERROR(N319/N327, "NA")</f>
        <v>0</v>
      </c>
      <c r="P319" s="79"/>
      <c r="Q319" s="77">
        <v>0</v>
      </c>
      <c r="R319" s="78">
        <f>IFERROR(Q319/Q327, "NA")</f>
        <v>0</v>
      </c>
      <c r="T319" s="80">
        <f t="shared" si="8"/>
        <v>2846.34</v>
      </c>
      <c r="U319" s="80">
        <f t="shared" si="9"/>
        <v>15.639230769230769</v>
      </c>
    </row>
    <row r="320" spans="1:21" x14ac:dyDescent="0.25">
      <c r="A320" s="76" t="s">
        <v>347</v>
      </c>
      <c r="B320" s="77">
        <v>0</v>
      </c>
      <c r="C320" s="78">
        <f>IFERROR(B320/B327, "NA")</f>
        <v>0</v>
      </c>
      <c r="D320" s="79"/>
      <c r="E320" s="77">
        <v>0</v>
      </c>
      <c r="F320" s="78">
        <f>IFERROR(E320/E327, "NA")</f>
        <v>0</v>
      </c>
      <c r="G320" s="79"/>
      <c r="H320" s="77">
        <v>0</v>
      </c>
      <c r="I320" s="78">
        <f>IFERROR(H320/H327, "NA")</f>
        <v>0</v>
      </c>
      <c r="J320" s="79"/>
      <c r="K320" s="77">
        <v>0</v>
      </c>
      <c r="L320" s="78">
        <f>IFERROR(K320/K327, "NA")</f>
        <v>0</v>
      </c>
      <c r="M320" s="79"/>
      <c r="N320" s="77">
        <v>0</v>
      </c>
      <c r="O320" s="78">
        <f>IFERROR(N320/N327, "NA")</f>
        <v>0</v>
      </c>
      <c r="P320" s="79"/>
      <c r="Q320" s="77">
        <v>0</v>
      </c>
      <c r="R320" s="78">
        <f>IFERROR(Q320/Q327, "NA")</f>
        <v>0</v>
      </c>
      <c r="T320" s="80">
        <f t="shared" si="8"/>
        <v>0</v>
      </c>
      <c r="U320" s="80">
        <f t="shared" si="9"/>
        <v>0</v>
      </c>
    </row>
    <row r="321" spans="1:21" x14ac:dyDescent="0.25">
      <c r="A321" s="76" t="s">
        <v>348</v>
      </c>
      <c r="B321" s="77">
        <v>0</v>
      </c>
      <c r="C321" s="78">
        <f>IFERROR(B321/B327, "NA")</f>
        <v>0</v>
      </c>
      <c r="D321" s="79"/>
      <c r="E321" s="77">
        <v>0</v>
      </c>
      <c r="F321" s="78">
        <f>IFERROR(E321/E327, "NA")</f>
        <v>0</v>
      </c>
      <c r="G321" s="79"/>
      <c r="H321" s="77">
        <v>0</v>
      </c>
      <c r="I321" s="78">
        <f>IFERROR(H321/H327, "NA")</f>
        <v>0</v>
      </c>
      <c r="J321" s="79"/>
      <c r="K321" s="77">
        <v>0</v>
      </c>
      <c r="L321" s="78">
        <f>IFERROR(K321/K327, "NA")</f>
        <v>0</v>
      </c>
      <c r="M321" s="79"/>
      <c r="N321" s="77">
        <v>0</v>
      </c>
      <c r="O321" s="78">
        <f>IFERROR(N321/N327, "NA")</f>
        <v>0</v>
      </c>
      <c r="P321" s="79"/>
      <c r="Q321" s="77">
        <v>0</v>
      </c>
      <c r="R321" s="78">
        <f>IFERROR(Q321/Q327, "NA")</f>
        <v>0</v>
      </c>
      <c r="T321" s="80">
        <f t="shared" si="8"/>
        <v>0</v>
      </c>
      <c r="U321" s="80">
        <f t="shared" si="9"/>
        <v>0</v>
      </c>
    </row>
    <row r="322" spans="1:21" x14ac:dyDescent="0.25">
      <c r="A322" s="76" t="s">
        <v>349</v>
      </c>
      <c r="B322" s="77">
        <v>2240</v>
      </c>
      <c r="C322" s="78">
        <f>IFERROR(B322/B327, "NA")</f>
        <v>5.7862930312599056E-4</v>
      </c>
      <c r="D322" s="79"/>
      <c r="E322" s="77">
        <v>396.5</v>
      </c>
      <c r="F322" s="78">
        <f>IFERROR(E322/E327, "NA")</f>
        <v>1.3442143569850103E-4</v>
      </c>
      <c r="G322" s="79"/>
      <c r="H322" s="77">
        <v>12217.21</v>
      </c>
      <c r="I322" s="78">
        <f>IFERROR(H322/H327, "NA")</f>
        <v>2.6484525632113373E-3</v>
      </c>
      <c r="J322" s="79"/>
      <c r="K322" s="77">
        <v>3377</v>
      </c>
      <c r="L322" s="78">
        <f>IFERROR(K322/K327, "NA")</f>
        <v>1.0654430118353208E-3</v>
      </c>
      <c r="M322" s="79"/>
      <c r="N322" s="77">
        <v>0</v>
      </c>
      <c r="O322" s="78">
        <f>IFERROR(N322/N327, "NA")</f>
        <v>0</v>
      </c>
      <c r="P322" s="79"/>
      <c r="Q322" s="77">
        <v>1227</v>
      </c>
      <c r="R322" s="78">
        <f>IFERROR(Q322/Q327, "NA")</f>
        <v>3.5966854775759883E-4</v>
      </c>
      <c r="T322" s="80">
        <f t="shared" si="8"/>
        <v>19457.71</v>
      </c>
      <c r="U322" s="80">
        <f t="shared" si="9"/>
        <v>106.9104945054945</v>
      </c>
    </row>
    <row r="323" spans="1:21" x14ac:dyDescent="0.25">
      <c r="A323" s="76" t="s">
        <v>350</v>
      </c>
      <c r="B323" s="77">
        <v>0</v>
      </c>
      <c r="C323" s="78">
        <f>IFERROR(B323/B327, "NA")</f>
        <v>0</v>
      </c>
      <c r="D323" s="79"/>
      <c r="E323" s="77">
        <v>0</v>
      </c>
      <c r="F323" s="78">
        <f>IFERROR(E323/E327, "NA")</f>
        <v>0</v>
      </c>
      <c r="G323" s="79"/>
      <c r="H323" s="77">
        <v>0</v>
      </c>
      <c r="I323" s="78">
        <f>IFERROR(H323/H327, "NA")</f>
        <v>0</v>
      </c>
      <c r="J323" s="79"/>
      <c r="K323" s="77">
        <v>0</v>
      </c>
      <c r="L323" s="78">
        <f>IFERROR(K323/K327, "NA")</f>
        <v>0</v>
      </c>
      <c r="M323" s="79"/>
      <c r="N323" s="77">
        <v>0</v>
      </c>
      <c r="O323" s="78">
        <f>IFERROR(N323/N327, "NA")</f>
        <v>0</v>
      </c>
      <c r="P323" s="79"/>
      <c r="Q323" s="77">
        <v>0</v>
      </c>
      <c r="R323" s="78">
        <f>IFERROR(Q323/Q327, "NA")</f>
        <v>0</v>
      </c>
      <c r="T323" s="80">
        <f t="shared" si="8"/>
        <v>0</v>
      </c>
      <c r="U323" s="80">
        <f t="shared" si="9"/>
        <v>0</v>
      </c>
    </row>
    <row r="324" spans="1:21" x14ac:dyDescent="0.25">
      <c r="A324" s="81" t="s">
        <v>351</v>
      </c>
      <c r="B324" s="82">
        <f>IFERROR(B316+B317+B318+B319+B320+B321+B322+B323, "NA")</f>
        <v>2240</v>
      </c>
      <c r="C324" s="83">
        <f>IFERROR(B324/B327, "NA")</f>
        <v>5.7862930312599056E-4</v>
      </c>
      <c r="D324" s="72"/>
      <c r="E324" s="82">
        <f>IFERROR(E316+E317+E318+E319+E320+E321+E322+E323, "NA")</f>
        <v>1144.8</v>
      </c>
      <c r="F324" s="83">
        <f>IFERROR(E324/E327, "NA")</f>
        <v>3.8811011245307435E-4</v>
      </c>
      <c r="G324" s="72"/>
      <c r="H324" s="82">
        <f>IFERROR(H316+H317+H318+H319+H320+H321+H322+H323, "NA")</f>
        <v>14315.25</v>
      </c>
      <c r="I324" s="83">
        <f>IFERROR(H324/H327, "NA")</f>
        <v>3.1032666668994887E-3</v>
      </c>
      <c r="J324" s="72"/>
      <c r="K324" s="82">
        <f>IFERROR(K316+K317+K318+K319+K320+K321+K322+K323, "NA")</f>
        <v>3377</v>
      </c>
      <c r="L324" s="83">
        <f>IFERROR(K324/K327, "NA")</f>
        <v>1.0654430118353208E-3</v>
      </c>
      <c r="M324" s="72"/>
      <c r="N324" s="82">
        <f>IFERROR(N316+N317+N318+N319+N320+N321+N322+N323, "NA")</f>
        <v>0</v>
      </c>
      <c r="O324" s="83">
        <f>IFERROR(N324/N327, "NA")</f>
        <v>0</v>
      </c>
      <c r="P324" s="72"/>
      <c r="Q324" s="82">
        <f>IFERROR(Q316+Q317+Q318+Q319+Q320+Q321+Q322+Q323, "NA")</f>
        <v>1227</v>
      </c>
      <c r="R324" s="83">
        <f>IFERROR(Q324/Q327, "NA")</f>
        <v>3.5966854775759883E-4</v>
      </c>
      <c r="T324" s="80">
        <f t="shared" si="8"/>
        <v>22304.05</v>
      </c>
      <c r="U324" s="80">
        <f t="shared" si="9"/>
        <v>122.54972527472526</v>
      </c>
    </row>
    <row r="325" spans="1:21" x14ac:dyDescent="0.25">
      <c r="A325" s="85" t="s">
        <v>352</v>
      </c>
      <c r="B325" s="82">
        <f>IFERROR(B287+B288+B289+B290+B291+B292+B293+B294+B295+B296+B297+B298+B299+B300+B301+B302+B303+B304+B305+B306+B307+B308+B309+B310+B311+B312+B313+B316+B317+B318+B319+B320+B321+B322+B323, "NA")</f>
        <v>230279.59999999998</v>
      </c>
      <c r="C325" s="83">
        <f>IFERROR(B325/B327, "NA")</f>
        <v>5.9485055567916001E-2</v>
      </c>
      <c r="D325" s="72"/>
      <c r="E325" s="82">
        <f>IFERROR(E287+E288+E289+E290+E291+E292+E293+E294+E295+E296+E297+E298+E299+E300+E301+E302+E303+E304+E305+E306+E307+E308+E309+E310+E311+E312+E313+E316+E317+E318+E319+E320+E321+E322+E323, "NA")</f>
        <v>174151.23999999996</v>
      </c>
      <c r="F325" s="83">
        <f>IFERROR(E325/E327, "NA")</f>
        <v>5.9040755887702946E-2</v>
      </c>
      <c r="G325" s="72"/>
      <c r="H325" s="82">
        <f>IFERROR(H287+H288+H289+H290+H291+H292+H293+H294+H295+H296+H297+H298+H299+H300+H301+H302+H303+H304+H305+H306+H307+H308+H309+H310+H311+H312+H313+H316+H317+H318+H319+H320+H321+H322+H323, "NA")</f>
        <v>286099.8</v>
      </c>
      <c r="I325" s="83">
        <f>IFERROR(H325/H327, "NA")</f>
        <v>6.2020849984918899E-2</v>
      </c>
      <c r="J325" s="72"/>
      <c r="K325" s="82">
        <f>IFERROR(K287+K288+K289+K290+K291+K292+K293+K294+K295+K296+K297+K298+K299+K300+K301+K302+K303+K304+K305+K306+K307+K308+K309+K310+K311+K312+K313+K316+K317+K318+K319+K320+K321+K322+K323, "NA")</f>
        <v>196599.75</v>
      </c>
      <c r="L325" s="83">
        <f>IFERROR(K325/K327, "NA")</f>
        <v>6.2027192705380846E-2</v>
      </c>
      <c r="M325" s="72"/>
      <c r="N325" s="82">
        <f>IFERROR(N287+N288+N289+N290+N291+N292+N293+N294+N295+N296+N297+N298+N299+N300+N301+N302+N303+N304+N305+N306+N307+N308+N309+N310+N311+N312+N313+N316+N317+N318+N319+N320+N321+N322+N323, "NA")</f>
        <v>268472.44</v>
      </c>
      <c r="O325" s="83">
        <f>IFERROR(N325/N327, "NA")</f>
        <v>6.7828511405491579E-2</v>
      </c>
      <c r="P325" s="72"/>
      <c r="Q325" s="82">
        <f>IFERROR(Q287+Q288+Q289+Q290+Q291+Q292+Q293+Q294+Q295+Q296+Q297+Q298+Q299+Q300+Q301+Q302+Q303+Q304+Q305+Q306+Q307+Q308+Q309+Q310+Q311+Q312+Q313+Q316+Q317+Q318+Q319+Q320+Q321+Q322+Q323, "NA")</f>
        <v>230905.94999999998</v>
      </c>
      <c r="R325" s="83">
        <f>IFERROR(Q325/Q327, "NA")</f>
        <v>6.7685091854188043E-2</v>
      </c>
      <c r="T325" s="80">
        <f t="shared" si="8"/>
        <v>1386508.7799999998</v>
      </c>
      <c r="U325" s="80">
        <f t="shared" si="9"/>
        <v>7618.1801098901096</v>
      </c>
    </row>
    <row r="326" spans="1:21" x14ac:dyDescent="0.25">
      <c r="A326" s="85" t="s">
        <v>353</v>
      </c>
      <c r="B326" s="82">
        <f>IFERROR(+B52-B157-B211-B284-B325, "NA")</f>
        <v>642924.42000000039</v>
      </c>
      <c r="C326" s="83">
        <f>IFERROR(B326/B327, "NA")</f>
        <v>0.16607808442289371</v>
      </c>
      <c r="D326" s="72"/>
      <c r="E326" s="82">
        <f>IFERROR(+E52-E157-E211-E284-E325, "NA")</f>
        <v>484038.34999999986</v>
      </c>
      <c r="F326" s="83">
        <f>IFERROR(E326/E327, "NA")</f>
        <v>0.16409868837360284</v>
      </c>
      <c r="G326" s="72"/>
      <c r="H326" s="82">
        <f>IFERROR(+H52-H157-H211-H284-H325, "NA")</f>
        <v>932807.25000000047</v>
      </c>
      <c r="I326" s="83">
        <f>IFERROR(H326/H327, "NA")</f>
        <v>0.20221439692406207</v>
      </c>
      <c r="J326" s="72"/>
      <c r="K326" s="82">
        <f>IFERROR(+K52-K157-K211-K284-K325, "NA")</f>
        <v>715899.57999999984</v>
      </c>
      <c r="L326" s="83">
        <f>IFERROR(K326/K327, "NA")</f>
        <v>0.22586621400261803</v>
      </c>
      <c r="M326" s="72"/>
      <c r="N326" s="82">
        <f>IFERROR(+N52-N157-N211-N284-N325, "NA")</f>
        <v>1111297.9100000001</v>
      </c>
      <c r="O326" s="83">
        <f>IFERROR(N326/N327, "NA")</f>
        <v>0.28076506833749482</v>
      </c>
      <c r="P326" s="72"/>
      <c r="Q326" s="82">
        <f>IFERROR(+Q52-Q157-Q211-Q284-Q325, "NA")</f>
        <v>885430.68999999878</v>
      </c>
      <c r="R326" s="83">
        <f>IFERROR(Q326/Q327, "NA")</f>
        <v>0.25954488216162042</v>
      </c>
      <c r="T326" s="80">
        <f t="shared" si="8"/>
        <v>4772398.1999999993</v>
      </c>
      <c r="U326" s="80">
        <f t="shared" si="9"/>
        <v>26221.968131868129</v>
      </c>
    </row>
    <row r="327" spans="1:21" x14ac:dyDescent="0.25">
      <c r="A327" s="89" t="s">
        <v>4</v>
      </c>
      <c r="B327" s="77">
        <v>3871217.7</v>
      </c>
      <c r="C327" s="90"/>
      <c r="D327" s="79"/>
      <c r="E327" s="77">
        <v>2949678.36</v>
      </c>
      <c r="F327" s="90"/>
      <c r="G327" s="79"/>
      <c r="H327" s="77">
        <v>4612961.6100000003</v>
      </c>
      <c r="I327" s="90"/>
      <c r="J327" s="79"/>
      <c r="K327" s="77">
        <v>3169573.56</v>
      </c>
      <c r="L327" s="90"/>
      <c r="M327" s="79"/>
      <c r="N327" s="77">
        <v>3958106.03</v>
      </c>
      <c r="O327" s="90"/>
      <c r="P327" s="79"/>
      <c r="Q327" s="77">
        <v>3411474.28</v>
      </c>
      <c r="R327" s="90"/>
      <c r="T327" s="80">
        <f t="shared" si="8"/>
        <v>21973011.540000003</v>
      </c>
      <c r="U327" s="80">
        <f t="shared" si="9"/>
        <v>120730.83263736265</v>
      </c>
    </row>
    <row r="330" spans="1:21" x14ac:dyDescent="0.25">
      <c r="A330" s="91" t="s">
        <v>354</v>
      </c>
    </row>
    <row r="331" spans="1:21" x14ac:dyDescent="0.25">
      <c r="A331" s="91" t="s">
        <v>355</v>
      </c>
    </row>
    <row r="332" spans="1:21" x14ac:dyDescent="0.25">
      <c r="A332" s="91" t="s">
        <v>356</v>
      </c>
    </row>
  </sheetData>
  <mergeCells count="6">
    <mergeCell ref="B5:C5"/>
    <mergeCell ref="E5:F5"/>
    <mergeCell ref="H5:I5"/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2026-08-24T17:30:43Z</dcterms:created>
  <dcterms:modified xsi:type="dcterms:W3CDTF">2026-08-24T17:31:09Z</dcterms:modified>
</cp:coreProperties>
</file>