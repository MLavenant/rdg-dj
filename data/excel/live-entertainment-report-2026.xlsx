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8_{4F972A72-D5C8-45C3-936C-A2BE382D56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4 - Casa Neos" sheetId="1" r:id="rId1"/>
    <sheet name="11 - CN Lounge Rooftop" sheetId="2" r:id="rId2"/>
    <sheet name="10 - Mila II MM Club" sheetId="3" r:id="rId3"/>
  </sheets>
  <definedNames>
    <definedName name="_xlnm.Print_Titles" localSheetId="2">'10 - Mila II MM Club'!$1:$5</definedName>
    <definedName name="_xlnm.Print_Titles" localSheetId="1">'11 - CN Lounge Rooftop'!$1:$5</definedName>
    <definedName name="_xlnm.Print_Titles" localSheetId="0">'4 - Casa Neos'!$1:$5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5" i="3" l="1"/>
  <c r="W325" i="3"/>
  <c r="U325" i="3"/>
  <c r="T325" i="3"/>
  <c r="Q325" i="3"/>
  <c r="R325" i="3" s="1"/>
  <c r="O325" i="3"/>
  <c r="N325" i="3"/>
  <c r="L325" i="3"/>
  <c r="K325" i="3"/>
  <c r="H325" i="3"/>
  <c r="I325" i="3" s="1"/>
  <c r="F325" i="3"/>
  <c r="E325" i="3"/>
  <c r="C325" i="3"/>
  <c r="B325" i="3"/>
  <c r="W324" i="3"/>
  <c r="X324" i="3" s="1"/>
  <c r="U324" i="3"/>
  <c r="T324" i="3"/>
  <c r="R324" i="3"/>
  <c r="Q324" i="3"/>
  <c r="N324" i="3"/>
  <c r="O324" i="3" s="1"/>
  <c r="L324" i="3"/>
  <c r="K324" i="3"/>
  <c r="I324" i="3"/>
  <c r="H324" i="3"/>
  <c r="E324" i="3"/>
  <c r="F324" i="3" s="1"/>
  <c r="C324" i="3"/>
  <c r="B324" i="3"/>
  <c r="X323" i="3"/>
  <c r="U323" i="3"/>
  <c r="R323" i="3"/>
  <c r="O323" i="3"/>
  <c r="L323" i="3"/>
  <c r="I323" i="3"/>
  <c r="F323" i="3"/>
  <c r="C323" i="3"/>
  <c r="X322" i="3"/>
  <c r="U322" i="3"/>
  <c r="R322" i="3"/>
  <c r="O322" i="3"/>
  <c r="L322" i="3"/>
  <c r="I322" i="3"/>
  <c r="F322" i="3"/>
  <c r="C322" i="3"/>
  <c r="X321" i="3"/>
  <c r="U321" i="3"/>
  <c r="R321" i="3"/>
  <c r="O321" i="3"/>
  <c r="L321" i="3"/>
  <c r="I321" i="3"/>
  <c r="F321" i="3"/>
  <c r="C321" i="3"/>
  <c r="X320" i="3"/>
  <c r="U320" i="3"/>
  <c r="R320" i="3"/>
  <c r="O320" i="3"/>
  <c r="L320" i="3"/>
  <c r="I320" i="3"/>
  <c r="F320" i="3"/>
  <c r="C320" i="3"/>
  <c r="X319" i="3"/>
  <c r="U319" i="3"/>
  <c r="R319" i="3"/>
  <c r="O319" i="3"/>
  <c r="L319" i="3"/>
  <c r="I319" i="3"/>
  <c r="F319" i="3"/>
  <c r="C319" i="3"/>
  <c r="X318" i="3"/>
  <c r="U318" i="3"/>
  <c r="R318" i="3"/>
  <c r="O318" i="3"/>
  <c r="L318" i="3"/>
  <c r="I318" i="3"/>
  <c r="F318" i="3"/>
  <c r="C318" i="3"/>
  <c r="X317" i="3"/>
  <c r="U317" i="3"/>
  <c r="R317" i="3"/>
  <c r="O317" i="3"/>
  <c r="L317" i="3"/>
  <c r="I317" i="3"/>
  <c r="F317" i="3"/>
  <c r="C317" i="3"/>
  <c r="X316" i="3"/>
  <c r="U316" i="3"/>
  <c r="R316" i="3"/>
  <c r="O316" i="3"/>
  <c r="L316" i="3"/>
  <c r="I316" i="3"/>
  <c r="F316" i="3"/>
  <c r="C316" i="3"/>
  <c r="X314" i="3"/>
  <c r="W314" i="3"/>
  <c r="U314" i="3"/>
  <c r="T314" i="3"/>
  <c r="R314" i="3"/>
  <c r="Q314" i="3"/>
  <c r="O314" i="3"/>
  <c r="N314" i="3"/>
  <c r="L314" i="3"/>
  <c r="K314" i="3"/>
  <c r="H314" i="3"/>
  <c r="I314" i="3" s="1"/>
  <c r="F314" i="3"/>
  <c r="E314" i="3"/>
  <c r="C314" i="3"/>
  <c r="B314" i="3"/>
  <c r="X313" i="3"/>
  <c r="U313" i="3"/>
  <c r="R313" i="3"/>
  <c r="O313" i="3"/>
  <c r="L313" i="3"/>
  <c r="I313" i="3"/>
  <c r="F313" i="3"/>
  <c r="C313" i="3"/>
  <c r="X312" i="3"/>
  <c r="U312" i="3"/>
  <c r="R312" i="3"/>
  <c r="O312" i="3"/>
  <c r="L312" i="3"/>
  <c r="I312" i="3"/>
  <c r="F312" i="3"/>
  <c r="C312" i="3"/>
  <c r="X311" i="3"/>
  <c r="U311" i="3"/>
  <c r="R311" i="3"/>
  <c r="O311" i="3"/>
  <c r="L311" i="3"/>
  <c r="I311" i="3"/>
  <c r="F311" i="3"/>
  <c r="C311" i="3"/>
  <c r="X310" i="3"/>
  <c r="U310" i="3"/>
  <c r="R310" i="3"/>
  <c r="O310" i="3"/>
  <c r="L310" i="3"/>
  <c r="I310" i="3"/>
  <c r="F310" i="3"/>
  <c r="C310" i="3"/>
  <c r="X309" i="3"/>
  <c r="U309" i="3"/>
  <c r="R309" i="3"/>
  <c r="O309" i="3"/>
  <c r="L309" i="3"/>
  <c r="I309" i="3"/>
  <c r="F309" i="3"/>
  <c r="C309" i="3"/>
  <c r="X308" i="3"/>
  <c r="U308" i="3"/>
  <c r="R308" i="3"/>
  <c r="O308" i="3"/>
  <c r="L308" i="3"/>
  <c r="I308" i="3"/>
  <c r="F308" i="3"/>
  <c r="C308" i="3"/>
  <c r="X307" i="3"/>
  <c r="U307" i="3"/>
  <c r="R307" i="3"/>
  <c r="O307" i="3"/>
  <c r="L307" i="3"/>
  <c r="I307" i="3"/>
  <c r="F307" i="3"/>
  <c r="C307" i="3"/>
  <c r="X306" i="3"/>
  <c r="U306" i="3"/>
  <c r="R306" i="3"/>
  <c r="O306" i="3"/>
  <c r="L306" i="3"/>
  <c r="I306" i="3"/>
  <c r="F306" i="3"/>
  <c r="C306" i="3"/>
  <c r="X305" i="3"/>
  <c r="U305" i="3"/>
  <c r="R305" i="3"/>
  <c r="O305" i="3"/>
  <c r="L305" i="3"/>
  <c r="I305" i="3"/>
  <c r="F305" i="3"/>
  <c r="C305" i="3"/>
  <c r="X304" i="3"/>
  <c r="U304" i="3"/>
  <c r="R304" i="3"/>
  <c r="O304" i="3"/>
  <c r="L304" i="3"/>
  <c r="I304" i="3"/>
  <c r="F304" i="3"/>
  <c r="C304" i="3"/>
  <c r="X303" i="3"/>
  <c r="U303" i="3"/>
  <c r="R303" i="3"/>
  <c r="O303" i="3"/>
  <c r="L303" i="3"/>
  <c r="I303" i="3"/>
  <c r="F303" i="3"/>
  <c r="C303" i="3"/>
  <c r="X302" i="3"/>
  <c r="U302" i="3"/>
  <c r="R302" i="3"/>
  <c r="O302" i="3"/>
  <c r="L302" i="3"/>
  <c r="I302" i="3"/>
  <c r="F302" i="3"/>
  <c r="C302" i="3"/>
  <c r="X301" i="3"/>
  <c r="U301" i="3"/>
  <c r="R301" i="3"/>
  <c r="O301" i="3"/>
  <c r="L301" i="3"/>
  <c r="I301" i="3"/>
  <c r="F301" i="3"/>
  <c r="C301" i="3"/>
  <c r="X300" i="3"/>
  <c r="U300" i="3"/>
  <c r="R300" i="3"/>
  <c r="O300" i="3"/>
  <c r="L300" i="3"/>
  <c r="I300" i="3"/>
  <c r="F300" i="3"/>
  <c r="C300" i="3"/>
  <c r="X299" i="3"/>
  <c r="U299" i="3"/>
  <c r="R299" i="3"/>
  <c r="O299" i="3"/>
  <c r="L299" i="3"/>
  <c r="I299" i="3"/>
  <c r="F299" i="3"/>
  <c r="C299" i="3"/>
  <c r="X298" i="3"/>
  <c r="U298" i="3"/>
  <c r="R298" i="3"/>
  <c r="O298" i="3"/>
  <c r="L298" i="3"/>
  <c r="I298" i="3"/>
  <c r="F298" i="3"/>
  <c r="C298" i="3"/>
  <c r="X297" i="3"/>
  <c r="U297" i="3"/>
  <c r="R297" i="3"/>
  <c r="O297" i="3"/>
  <c r="L297" i="3"/>
  <c r="I297" i="3"/>
  <c r="F297" i="3"/>
  <c r="C297" i="3"/>
  <c r="X296" i="3"/>
  <c r="U296" i="3"/>
  <c r="R296" i="3"/>
  <c r="O296" i="3"/>
  <c r="L296" i="3"/>
  <c r="I296" i="3"/>
  <c r="F296" i="3"/>
  <c r="C296" i="3"/>
  <c r="X295" i="3"/>
  <c r="U295" i="3"/>
  <c r="R295" i="3"/>
  <c r="O295" i="3"/>
  <c r="L295" i="3"/>
  <c r="I295" i="3"/>
  <c r="F295" i="3"/>
  <c r="C295" i="3"/>
  <c r="X294" i="3"/>
  <c r="U294" i="3"/>
  <c r="R294" i="3"/>
  <c r="O294" i="3"/>
  <c r="L294" i="3"/>
  <c r="I294" i="3"/>
  <c r="F294" i="3"/>
  <c r="C294" i="3"/>
  <c r="X293" i="3"/>
  <c r="U293" i="3"/>
  <c r="R293" i="3"/>
  <c r="O293" i="3"/>
  <c r="L293" i="3"/>
  <c r="I293" i="3"/>
  <c r="F293" i="3"/>
  <c r="C293" i="3"/>
  <c r="X292" i="3"/>
  <c r="U292" i="3"/>
  <c r="R292" i="3"/>
  <c r="O292" i="3"/>
  <c r="L292" i="3"/>
  <c r="I292" i="3"/>
  <c r="F292" i="3"/>
  <c r="C292" i="3"/>
  <c r="X291" i="3"/>
  <c r="U291" i="3"/>
  <c r="R291" i="3"/>
  <c r="O291" i="3"/>
  <c r="L291" i="3"/>
  <c r="I291" i="3"/>
  <c r="F291" i="3"/>
  <c r="C291" i="3"/>
  <c r="X290" i="3"/>
  <c r="U290" i="3"/>
  <c r="R290" i="3"/>
  <c r="O290" i="3"/>
  <c r="L290" i="3"/>
  <c r="I290" i="3"/>
  <c r="F290" i="3"/>
  <c r="C290" i="3"/>
  <c r="X289" i="3"/>
  <c r="U289" i="3"/>
  <c r="R289" i="3"/>
  <c r="O289" i="3"/>
  <c r="L289" i="3"/>
  <c r="I289" i="3"/>
  <c r="F289" i="3"/>
  <c r="C289" i="3"/>
  <c r="X288" i="3"/>
  <c r="U288" i="3"/>
  <c r="R288" i="3"/>
  <c r="O288" i="3"/>
  <c r="L288" i="3"/>
  <c r="I288" i="3"/>
  <c r="F288" i="3"/>
  <c r="C288" i="3"/>
  <c r="X287" i="3"/>
  <c r="U287" i="3"/>
  <c r="R287" i="3"/>
  <c r="O287" i="3"/>
  <c r="L287" i="3"/>
  <c r="I287" i="3"/>
  <c r="F287" i="3"/>
  <c r="C287" i="3"/>
  <c r="X284" i="3"/>
  <c r="W284" i="3"/>
  <c r="U284" i="3"/>
  <c r="T284" i="3"/>
  <c r="R284" i="3"/>
  <c r="Q284" i="3"/>
  <c r="N284" i="3"/>
  <c r="O284" i="3" s="1"/>
  <c r="L284" i="3"/>
  <c r="K284" i="3"/>
  <c r="I284" i="3"/>
  <c r="H284" i="3"/>
  <c r="F284" i="3"/>
  <c r="E284" i="3"/>
  <c r="C284" i="3"/>
  <c r="B284" i="3"/>
  <c r="X283" i="3"/>
  <c r="W283" i="3"/>
  <c r="T283" i="3"/>
  <c r="U283" i="3" s="1"/>
  <c r="R283" i="3"/>
  <c r="Q283" i="3"/>
  <c r="O283" i="3"/>
  <c r="N283" i="3"/>
  <c r="L283" i="3"/>
  <c r="K283" i="3"/>
  <c r="I283" i="3"/>
  <c r="H283" i="3"/>
  <c r="F283" i="3"/>
  <c r="E283" i="3"/>
  <c r="B283" i="3"/>
  <c r="C283" i="3" s="1"/>
  <c r="X282" i="3"/>
  <c r="U282" i="3"/>
  <c r="R282" i="3"/>
  <c r="O282" i="3"/>
  <c r="L282" i="3"/>
  <c r="I282" i="3"/>
  <c r="F282" i="3"/>
  <c r="C282" i="3"/>
  <c r="X281" i="3"/>
  <c r="U281" i="3"/>
  <c r="R281" i="3"/>
  <c r="O281" i="3"/>
  <c r="L281" i="3"/>
  <c r="I281" i="3"/>
  <c r="F281" i="3"/>
  <c r="C281" i="3"/>
  <c r="X280" i="3"/>
  <c r="U280" i="3"/>
  <c r="R280" i="3"/>
  <c r="O280" i="3"/>
  <c r="L280" i="3"/>
  <c r="I280" i="3"/>
  <c r="F280" i="3"/>
  <c r="C280" i="3"/>
  <c r="X279" i="3"/>
  <c r="U279" i="3"/>
  <c r="R279" i="3"/>
  <c r="O279" i="3"/>
  <c r="L279" i="3"/>
  <c r="I279" i="3"/>
  <c r="F279" i="3"/>
  <c r="C279" i="3"/>
  <c r="X278" i="3"/>
  <c r="U278" i="3"/>
  <c r="R278" i="3"/>
  <c r="O278" i="3"/>
  <c r="L278" i="3"/>
  <c r="I278" i="3"/>
  <c r="F278" i="3"/>
  <c r="C278" i="3"/>
  <c r="X277" i="3"/>
  <c r="U277" i="3"/>
  <c r="R277" i="3"/>
  <c r="O277" i="3"/>
  <c r="L277" i="3"/>
  <c r="I277" i="3"/>
  <c r="F277" i="3"/>
  <c r="C277" i="3"/>
  <c r="X276" i="3"/>
  <c r="U276" i="3"/>
  <c r="R276" i="3"/>
  <c r="O276" i="3"/>
  <c r="L276" i="3"/>
  <c r="I276" i="3"/>
  <c r="F276" i="3"/>
  <c r="C276" i="3"/>
  <c r="X275" i="3"/>
  <c r="U275" i="3"/>
  <c r="R275" i="3"/>
  <c r="O275" i="3"/>
  <c r="L275" i="3"/>
  <c r="I275" i="3"/>
  <c r="F275" i="3"/>
  <c r="C275" i="3"/>
  <c r="X274" i="3"/>
  <c r="U274" i="3"/>
  <c r="R274" i="3"/>
  <c r="O274" i="3"/>
  <c r="L274" i="3"/>
  <c r="I274" i="3"/>
  <c r="F274" i="3"/>
  <c r="C274" i="3"/>
  <c r="X273" i="3"/>
  <c r="U273" i="3"/>
  <c r="R273" i="3"/>
  <c r="O273" i="3"/>
  <c r="L273" i="3"/>
  <c r="I273" i="3"/>
  <c r="F273" i="3"/>
  <c r="C273" i="3"/>
  <c r="X272" i="3"/>
  <c r="U272" i="3"/>
  <c r="R272" i="3"/>
  <c r="O272" i="3"/>
  <c r="L272" i="3"/>
  <c r="I272" i="3"/>
  <c r="F272" i="3"/>
  <c r="C272" i="3"/>
  <c r="X271" i="3"/>
  <c r="U271" i="3"/>
  <c r="R271" i="3"/>
  <c r="O271" i="3"/>
  <c r="L271" i="3"/>
  <c r="I271" i="3"/>
  <c r="F271" i="3"/>
  <c r="C271" i="3"/>
  <c r="X270" i="3"/>
  <c r="U270" i="3"/>
  <c r="R270" i="3"/>
  <c r="O270" i="3"/>
  <c r="L270" i="3"/>
  <c r="I270" i="3"/>
  <c r="F270" i="3"/>
  <c r="C270" i="3"/>
  <c r="X269" i="3"/>
  <c r="U269" i="3"/>
  <c r="R269" i="3"/>
  <c r="O269" i="3"/>
  <c r="L269" i="3"/>
  <c r="I269" i="3"/>
  <c r="F269" i="3"/>
  <c r="C269" i="3"/>
  <c r="X268" i="3"/>
  <c r="U268" i="3"/>
  <c r="R268" i="3"/>
  <c r="O268" i="3"/>
  <c r="L268" i="3"/>
  <c r="I268" i="3"/>
  <c r="F268" i="3"/>
  <c r="C268" i="3"/>
  <c r="X267" i="3"/>
  <c r="U267" i="3"/>
  <c r="R267" i="3"/>
  <c r="O267" i="3"/>
  <c r="L267" i="3"/>
  <c r="I267" i="3"/>
  <c r="F267" i="3"/>
  <c r="C267" i="3"/>
  <c r="X266" i="3"/>
  <c r="U266" i="3"/>
  <c r="R266" i="3"/>
  <c r="O266" i="3"/>
  <c r="L266" i="3"/>
  <c r="I266" i="3"/>
  <c r="F266" i="3"/>
  <c r="C266" i="3"/>
  <c r="X265" i="3"/>
  <c r="U265" i="3"/>
  <c r="R265" i="3"/>
  <c r="O265" i="3"/>
  <c r="L265" i="3"/>
  <c r="I265" i="3"/>
  <c r="F265" i="3"/>
  <c r="C265" i="3"/>
  <c r="X263" i="3"/>
  <c r="W263" i="3"/>
  <c r="U263" i="3"/>
  <c r="T263" i="3"/>
  <c r="Q263" i="3"/>
  <c r="R263" i="3" s="1"/>
  <c r="O263" i="3"/>
  <c r="N263" i="3"/>
  <c r="L263" i="3"/>
  <c r="K263" i="3"/>
  <c r="H263" i="3"/>
  <c r="I263" i="3" s="1"/>
  <c r="F263" i="3"/>
  <c r="E263" i="3"/>
  <c r="C263" i="3"/>
  <c r="B263" i="3"/>
  <c r="X262" i="3"/>
  <c r="U262" i="3"/>
  <c r="R262" i="3"/>
  <c r="O262" i="3"/>
  <c r="L262" i="3"/>
  <c r="I262" i="3"/>
  <c r="F262" i="3"/>
  <c r="C262" i="3"/>
  <c r="X261" i="3"/>
  <c r="U261" i="3"/>
  <c r="R261" i="3"/>
  <c r="O261" i="3"/>
  <c r="L261" i="3"/>
  <c r="I261" i="3"/>
  <c r="F261" i="3"/>
  <c r="C261" i="3"/>
  <c r="X260" i="3"/>
  <c r="U260" i="3"/>
  <c r="R260" i="3"/>
  <c r="O260" i="3"/>
  <c r="L260" i="3"/>
  <c r="I260" i="3"/>
  <c r="F260" i="3"/>
  <c r="C260" i="3"/>
  <c r="X259" i="3"/>
  <c r="U259" i="3"/>
  <c r="R259" i="3"/>
  <c r="O259" i="3"/>
  <c r="L259" i="3"/>
  <c r="I259" i="3"/>
  <c r="F259" i="3"/>
  <c r="C259" i="3"/>
  <c r="X258" i="3"/>
  <c r="U258" i="3"/>
  <c r="R258" i="3"/>
  <c r="O258" i="3"/>
  <c r="L258" i="3"/>
  <c r="I258" i="3"/>
  <c r="F258" i="3"/>
  <c r="C258" i="3"/>
  <c r="X257" i="3"/>
  <c r="U257" i="3"/>
  <c r="R257" i="3"/>
  <c r="O257" i="3"/>
  <c r="L257" i="3"/>
  <c r="I257" i="3"/>
  <c r="F257" i="3"/>
  <c r="C257" i="3"/>
  <c r="X256" i="3"/>
  <c r="U256" i="3"/>
  <c r="R256" i="3"/>
  <c r="O256" i="3"/>
  <c r="L256" i="3"/>
  <c r="I256" i="3"/>
  <c r="F256" i="3"/>
  <c r="C256" i="3"/>
  <c r="X255" i="3"/>
  <c r="U255" i="3"/>
  <c r="R255" i="3"/>
  <c r="O255" i="3"/>
  <c r="L255" i="3"/>
  <c r="I255" i="3"/>
  <c r="F255" i="3"/>
  <c r="C255" i="3"/>
  <c r="X254" i="3"/>
  <c r="U254" i="3"/>
  <c r="R254" i="3"/>
  <c r="O254" i="3"/>
  <c r="L254" i="3"/>
  <c r="I254" i="3"/>
  <c r="F254" i="3"/>
  <c r="C254" i="3"/>
  <c r="W252" i="3"/>
  <c r="X252" i="3" s="1"/>
  <c r="U252" i="3"/>
  <c r="T252" i="3"/>
  <c r="R252" i="3"/>
  <c r="Q252" i="3"/>
  <c r="N252" i="3"/>
  <c r="O252" i="3" s="1"/>
  <c r="L252" i="3"/>
  <c r="K252" i="3"/>
  <c r="I252" i="3"/>
  <c r="H252" i="3"/>
  <c r="E252" i="3"/>
  <c r="F252" i="3" s="1"/>
  <c r="C252" i="3"/>
  <c r="B252" i="3"/>
  <c r="X251" i="3"/>
  <c r="U251" i="3"/>
  <c r="R251" i="3"/>
  <c r="O251" i="3"/>
  <c r="L251" i="3"/>
  <c r="I251" i="3"/>
  <c r="F251" i="3"/>
  <c r="C251" i="3"/>
  <c r="X250" i="3"/>
  <c r="U250" i="3"/>
  <c r="R250" i="3"/>
  <c r="O250" i="3"/>
  <c r="L250" i="3"/>
  <c r="I250" i="3"/>
  <c r="F250" i="3"/>
  <c r="C250" i="3"/>
  <c r="X249" i="3"/>
  <c r="U249" i="3"/>
  <c r="R249" i="3"/>
  <c r="O249" i="3"/>
  <c r="L249" i="3"/>
  <c r="I249" i="3"/>
  <c r="F249" i="3"/>
  <c r="C249" i="3"/>
  <c r="X248" i="3"/>
  <c r="U248" i="3"/>
  <c r="R248" i="3"/>
  <c r="O248" i="3"/>
  <c r="L248" i="3"/>
  <c r="I248" i="3"/>
  <c r="F248" i="3"/>
  <c r="C248" i="3"/>
  <c r="X247" i="3"/>
  <c r="U247" i="3"/>
  <c r="R247" i="3"/>
  <c r="O247" i="3"/>
  <c r="L247" i="3"/>
  <c r="I247" i="3"/>
  <c r="F247" i="3"/>
  <c r="C247" i="3"/>
  <c r="X246" i="3"/>
  <c r="U246" i="3"/>
  <c r="R246" i="3"/>
  <c r="O246" i="3"/>
  <c r="L246" i="3"/>
  <c r="I246" i="3"/>
  <c r="F246" i="3"/>
  <c r="C246" i="3"/>
  <c r="X245" i="3"/>
  <c r="U245" i="3"/>
  <c r="R245" i="3"/>
  <c r="O245" i="3"/>
  <c r="L245" i="3"/>
  <c r="I245" i="3"/>
  <c r="F245" i="3"/>
  <c r="C245" i="3"/>
  <c r="X244" i="3"/>
  <c r="U244" i="3"/>
  <c r="R244" i="3"/>
  <c r="O244" i="3"/>
  <c r="L244" i="3"/>
  <c r="I244" i="3"/>
  <c r="F244" i="3"/>
  <c r="C244" i="3"/>
  <c r="X243" i="3"/>
  <c r="U243" i="3"/>
  <c r="R243" i="3"/>
  <c r="O243" i="3"/>
  <c r="L243" i="3"/>
  <c r="I243" i="3"/>
  <c r="F243" i="3"/>
  <c r="C243" i="3"/>
  <c r="X241" i="3"/>
  <c r="W241" i="3"/>
  <c r="T241" i="3"/>
  <c r="U241" i="3" s="1"/>
  <c r="R241" i="3"/>
  <c r="Q241" i="3"/>
  <c r="O241" i="3"/>
  <c r="N241" i="3"/>
  <c r="K241" i="3"/>
  <c r="L241" i="3" s="1"/>
  <c r="I241" i="3"/>
  <c r="H241" i="3"/>
  <c r="F241" i="3"/>
  <c r="E241" i="3"/>
  <c r="B241" i="3"/>
  <c r="C241" i="3" s="1"/>
  <c r="X240" i="3"/>
  <c r="U240" i="3"/>
  <c r="R240" i="3"/>
  <c r="O240" i="3"/>
  <c r="L240" i="3"/>
  <c r="I240" i="3"/>
  <c r="F240" i="3"/>
  <c r="C240" i="3"/>
  <c r="X239" i="3"/>
  <c r="U239" i="3"/>
  <c r="R239" i="3"/>
  <c r="O239" i="3"/>
  <c r="L239" i="3"/>
  <c r="I239" i="3"/>
  <c r="F239" i="3"/>
  <c r="C239" i="3"/>
  <c r="X238" i="3"/>
  <c r="U238" i="3"/>
  <c r="R238" i="3"/>
  <c r="O238" i="3"/>
  <c r="L238" i="3"/>
  <c r="I238" i="3"/>
  <c r="F238" i="3"/>
  <c r="C238" i="3"/>
  <c r="X237" i="3"/>
  <c r="U237" i="3"/>
  <c r="R237" i="3"/>
  <c r="O237" i="3"/>
  <c r="L237" i="3"/>
  <c r="I237" i="3"/>
  <c r="F237" i="3"/>
  <c r="C237" i="3"/>
  <c r="X236" i="3"/>
  <c r="U236" i="3"/>
  <c r="R236" i="3"/>
  <c r="O236" i="3"/>
  <c r="L236" i="3"/>
  <c r="I236" i="3"/>
  <c r="F236" i="3"/>
  <c r="C236" i="3"/>
  <c r="X235" i="3"/>
  <c r="U235" i="3"/>
  <c r="R235" i="3"/>
  <c r="O235" i="3"/>
  <c r="L235" i="3"/>
  <c r="I235" i="3"/>
  <c r="F235" i="3"/>
  <c r="C235" i="3"/>
  <c r="X234" i="3"/>
  <c r="U234" i="3"/>
  <c r="R234" i="3"/>
  <c r="O234" i="3"/>
  <c r="L234" i="3"/>
  <c r="I234" i="3"/>
  <c r="F234" i="3"/>
  <c r="C234" i="3"/>
  <c r="X233" i="3"/>
  <c r="U233" i="3"/>
  <c r="R233" i="3"/>
  <c r="O233" i="3"/>
  <c r="L233" i="3"/>
  <c r="I233" i="3"/>
  <c r="F233" i="3"/>
  <c r="C233" i="3"/>
  <c r="X232" i="3"/>
  <c r="U232" i="3"/>
  <c r="R232" i="3"/>
  <c r="O232" i="3"/>
  <c r="L232" i="3"/>
  <c r="I232" i="3"/>
  <c r="F232" i="3"/>
  <c r="C232" i="3"/>
  <c r="X231" i="3"/>
  <c r="U231" i="3"/>
  <c r="R231" i="3"/>
  <c r="O231" i="3"/>
  <c r="L231" i="3"/>
  <c r="I231" i="3"/>
  <c r="F231" i="3"/>
  <c r="C231" i="3"/>
  <c r="X230" i="3"/>
  <c r="U230" i="3"/>
  <c r="R230" i="3"/>
  <c r="O230" i="3"/>
  <c r="L230" i="3"/>
  <c r="I230" i="3"/>
  <c r="F230" i="3"/>
  <c r="C230" i="3"/>
  <c r="X229" i="3"/>
  <c r="U229" i="3"/>
  <c r="R229" i="3"/>
  <c r="O229" i="3"/>
  <c r="L229" i="3"/>
  <c r="I229" i="3"/>
  <c r="F229" i="3"/>
  <c r="C229" i="3"/>
  <c r="X228" i="3"/>
  <c r="U228" i="3"/>
  <c r="R228" i="3"/>
  <c r="O228" i="3"/>
  <c r="L228" i="3"/>
  <c r="I228" i="3"/>
  <c r="F228" i="3"/>
  <c r="C228" i="3"/>
  <c r="X227" i="3"/>
  <c r="U227" i="3"/>
  <c r="R227" i="3"/>
  <c r="O227" i="3"/>
  <c r="L227" i="3"/>
  <c r="I227" i="3"/>
  <c r="F227" i="3"/>
  <c r="C227" i="3"/>
  <c r="X226" i="3"/>
  <c r="U226" i="3"/>
  <c r="R226" i="3"/>
  <c r="O226" i="3"/>
  <c r="L226" i="3"/>
  <c r="I226" i="3"/>
  <c r="F226" i="3"/>
  <c r="C226" i="3"/>
  <c r="X225" i="3"/>
  <c r="U225" i="3"/>
  <c r="R225" i="3"/>
  <c r="O225" i="3"/>
  <c r="L225" i="3"/>
  <c r="I225" i="3"/>
  <c r="F225" i="3"/>
  <c r="C225" i="3"/>
  <c r="X224" i="3"/>
  <c r="U224" i="3"/>
  <c r="R224" i="3"/>
  <c r="O224" i="3"/>
  <c r="L224" i="3"/>
  <c r="I224" i="3"/>
  <c r="F224" i="3"/>
  <c r="C224" i="3"/>
  <c r="X223" i="3"/>
  <c r="U223" i="3"/>
  <c r="R223" i="3"/>
  <c r="O223" i="3"/>
  <c r="L223" i="3"/>
  <c r="I223" i="3"/>
  <c r="F223" i="3"/>
  <c r="C223" i="3"/>
  <c r="X222" i="3"/>
  <c r="U222" i="3"/>
  <c r="R222" i="3"/>
  <c r="O222" i="3"/>
  <c r="L222" i="3"/>
  <c r="I222" i="3"/>
  <c r="F222" i="3"/>
  <c r="C222" i="3"/>
  <c r="X221" i="3"/>
  <c r="U221" i="3"/>
  <c r="R221" i="3"/>
  <c r="O221" i="3"/>
  <c r="L221" i="3"/>
  <c r="I221" i="3"/>
  <c r="F221" i="3"/>
  <c r="C221" i="3"/>
  <c r="X220" i="3"/>
  <c r="U220" i="3"/>
  <c r="R220" i="3"/>
  <c r="O220" i="3"/>
  <c r="L220" i="3"/>
  <c r="I220" i="3"/>
  <c r="F220" i="3"/>
  <c r="C220" i="3"/>
  <c r="X219" i="3"/>
  <c r="U219" i="3"/>
  <c r="R219" i="3"/>
  <c r="O219" i="3"/>
  <c r="L219" i="3"/>
  <c r="I219" i="3"/>
  <c r="F219" i="3"/>
  <c r="C219" i="3"/>
  <c r="X218" i="3"/>
  <c r="U218" i="3"/>
  <c r="R218" i="3"/>
  <c r="O218" i="3"/>
  <c r="L218" i="3"/>
  <c r="I218" i="3"/>
  <c r="F218" i="3"/>
  <c r="C218" i="3"/>
  <c r="X217" i="3"/>
  <c r="U217" i="3"/>
  <c r="R217" i="3"/>
  <c r="O217" i="3"/>
  <c r="L217" i="3"/>
  <c r="I217" i="3"/>
  <c r="F217" i="3"/>
  <c r="C217" i="3"/>
  <c r="X216" i="3"/>
  <c r="U216" i="3"/>
  <c r="R216" i="3"/>
  <c r="O216" i="3"/>
  <c r="L216" i="3"/>
  <c r="I216" i="3"/>
  <c r="F216" i="3"/>
  <c r="C216" i="3"/>
  <c r="X215" i="3"/>
  <c r="U215" i="3"/>
  <c r="R215" i="3"/>
  <c r="O215" i="3"/>
  <c r="L215" i="3"/>
  <c r="I215" i="3"/>
  <c r="F215" i="3"/>
  <c r="C215" i="3"/>
  <c r="X214" i="3"/>
  <c r="U214" i="3"/>
  <c r="R214" i="3"/>
  <c r="O214" i="3"/>
  <c r="L214" i="3"/>
  <c r="I214" i="3"/>
  <c r="F214" i="3"/>
  <c r="C214" i="3"/>
  <c r="X211" i="3"/>
  <c r="W211" i="3"/>
  <c r="U211" i="3"/>
  <c r="T211" i="3"/>
  <c r="Q211" i="3"/>
  <c r="R211" i="3" s="1"/>
  <c r="O211" i="3"/>
  <c r="N211" i="3"/>
  <c r="L211" i="3"/>
  <c r="K211" i="3"/>
  <c r="H211" i="3"/>
  <c r="I211" i="3" s="1"/>
  <c r="F211" i="3"/>
  <c r="E211" i="3"/>
  <c r="C211" i="3"/>
  <c r="B211" i="3"/>
  <c r="X210" i="3"/>
  <c r="U210" i="3"/>
  <c r="R210" i="3"/>
  <c r="O210" i="3"/>
  <c r="L210" i="3"/>
  <c r="I210" i="3"/>
  <c r="F210" i="3"/>
  <c r="C210" i="3"/>
  <c r="X209" i="3"/>
  <c r="W209" i="3"/>
  <c r="U209" i="3"/>
  <c r="T209" i="3"/>
  <c r="Q209" i="3"/>
  <c r="R209" i="3" s="1"/>
  <c r="O209" i="3"/>
  <c r="N209" i="3"/>
  <c r="L209" i="3"/>
  <c r="K209" i="3"/>
  <c r="H209" i="3"/>
  <c r="I209" i="3" s="1"/>
  <c r="F209" i="3"/>
  <c r="E209" i="3"/>
  <c r="C209" i="3"/>
  <c r="B209" i="3"/>
  <c r="X208" i="3"/>
  <c r="U208" i="3"/>
  <c r="R208" i="3"/>
  <c r="O208" i="3"/>
  <c r="L208" i="3"/>
  <c r="I208" i="3"/>
  <c r="F208" i="3"/>
  <c r="C208" i="3"/>
  <c r="X207" i="3"/>
  <c r="U207" i="3"/>
  <c r="R207" i="3"/>
  <c r="O207" i="3"/>
  <c r="L207" i="3"/>
  <c r="I207" i="3"/>
  <c r="F207" i="3"/>
  <c r="C207" i="3"/>
  <c r="X206" i="3"/>
  <c r="U206" i="3"/>
  <c r="R206" i="3"/>
  <c r="O206" i="3"/>
  <c r="L206" i="3"/>
  <c r="I206" i="3"/>
  <c r="F206" i="3"/>
  <c r="C206" i="3"/>
  <c r="X205" i="3"/>
  <c r="U205" i="3"/>
  <c r="R205" i="3"/>
  <c r="O205" i="3"/>
  <c r="L205" i="3"/>
  <c r="I205" i="3"/>
  <c r="F205" i="3"/>
  <c r="C205" i="3"/>
  <c r="X204" i="3"/>
  <c r="U204" i="3"/>
  <c r="R204" i="3"/>
  <c r="O204" i="3"/>
  <c r="L204" i="3"/>
  <c r="I204" i="3"/>
  <c r="F204" i="3"/>
  <c r="C204" i="3"/>
  <c r="X203" i="3"/>
  <c r="U203" i="3"/>
  <c r="R203" i="3"/>
  <c r="O203" i="3"/>
  <c r="L203" i="3"/>
  <c r="I203" i="3"/>
  <c r="F203" i="3"/>
  <c r="C203" i="3"/>
  <c r="X202" i="3"/>
  <c r="U202" i="3"/>
  <c r="R202" i="3"/>
  <c r="O202" i="3"/>
  <c r="L202" i="3"/>
  <c r="I202" i="3"/>
  <c r="F202" i="3"/>
  <c r="C202" i="3"/>
  <c r="X201" i="3"/>
  <c r="U201" i="3"/>
  <c r="R201" i="3"/>
  <c r="O201" i="3"/>
  <c r="L201" i="3"/>
  <c r="I201" i="3"/>
  <c r="F201" i="3"/>
  <c r="C201" i="3"/>
  <c r="X200" i="3"/>
  <c r="U200" i="3"/>
  <c r="R200" i="3"/>
  <c r="O200" i="3"/>
  <c r="L200" i="3"/>
  <c r="I200" i="3"/>
  <c r="F200" i="3"/>
  <c r="C200" i="3"/>
  <c r="X199" i="3"/>
  <c r="U199" i="3"/>
  <c r="R199" i="3"/>
  <c r="O199" i="3"/>
  <c r="L199" i="3"/>
  <c r="I199" i="3"/>
  <c r="F199" i="3"/>
  <c r="C199" i="3"/>
  <c r="X198" i="3"/>
  <c r="U198" i="3"/>
  <c r="R198" i="3"/>
  <c r="O198" i="3"/>
  <c r="L198" i="3"/>
  <c r="I198" i="3"/>
  <c r="F198" i="3"/>
  <c r="C198" i="3"/>
  <c r="X197" i="3"/>
  <c r="U197" i="3"/>
  <c r="R197" i="3"/>
  <c r="O197" i="3"/>
  <c r="L197" i="3"/>
  <c r="I197" i="3"/>
  <c r="F197" i="3"/>
  <c r="C197" i="3"/>
  <c r="X196" i="3"/>
  <c r="U196" i="3"/>
  <c r="R196" i="3"/>
  <c r="O196" i="3"/>
  <c r="L196" i="3"/>
  <c r="I196" i="3"/>
  <c r="F196" i="3"/>
  <c r="C196" i="3"/>
  <c r="X195" i="3"/>
  <c r="U195" i="3"/>
  <c r="R195" i="3"/>
  <c r="O195" i="3"/>
  <c r="L195" i="3"/>
  <c r="I195" i="3"/>
  <c r="F195" i="3"/>
  <c r="C195" i="3"/>
  <c r="X194" i="3"/>
  <c r="U194" i="3"/>
  <c r="R194" i="3"/>
  <c r="O194" i="3"/>
  <c r="L194" i="3"/>
  <c r="I194" i="3"/>
  <c r="F194" i="3"/>
  <c r="C194" i="3"/>
  <c r="X193" i="3"/>
  <c r="U193" i="3"/>
  <c r="R193" i="3"/>
  <c r="O193" i="3"/>
  <c r="L193" i="3"/>
  <c r="I193" i="3"/>
  <c r="F193" i="3"/>
  <c r="C193" i="3"/>
  <c r="X192" i="3"/>
  <c r="U192" i="3"/>
  <c r="R192" i="3"/>
  <c r="O192" i="3"/>
  <c r="L192" i="3"/>
  <c r="I192" i="3"/>
  <c r="F192" i="3"/>
  <c r="C192" i="3"/>
  <c r="X191" i="3"/>
  <c r="U191" i="3"/>
  <c r="R191" i="3"/>
  <c r="O191" i="3"/>
  <c r="L191" i="3"/>
  <c r="I191" i="3"/>
  <c r="F191" i="3"/>
  <c r="C191" i="3"/>
  <c r="X190" i="3"/>
  <c r="U190" i="3"/>
  <c r="R190" i="3"/>
  <c r="O190" i="3"/>
  <c r="L190" i="3"/>
  <c r="I190" i="3"/>
  <c r="F190" i="3"/>
  <c r="C190" i="3"/>
  <c r="X189" i="3"/>
  <c r="U189" i="3"/>
  <c r="R189" i="3"/>
  <c r="O189" i="3"/>
  <c r="L189" i="3"/>
  <c r="I189" i="3"/>
  <c r="F189" i="3"/>
  <c r="C189" i="3"/>
  <c r="X188" i="3"/>
  <c r="U188" i="3"/>
  <c r="R188" i="3"/>
  <c r="O188" i="3"/>
  <c r="L188" i="3"/>
  <c r="I188" i="3"/>
  <c r="F188" i="3"/>
  <c r="C188" i="3"/>
  <c r="X187" i="3"/>
  <c r="U187" i="3"/>
  <c r="R187" i="3"/>
  <c r="O187" i="3"/>
  <c r="L187" i="3"/>
  <c r="I187" i="3"/>
  <c r="F187" i="3"/>
  <c r="C187" i="3"/>
  <c r="X186" i="3"/>
  <c r="U186" i="3"/>
  <c r="R186" i="3"/>
  <c r="O186" i="3"/>
  <c r="L186" i="3"/>
  <c r="I186" i="3"/>
  <c r="F186" i="3"/>
  <c r="C186" i="3"/>
  <c r="X185" i="3"/>
  <c r="U185" i="3"/>
  <c r="R185" i="3"/>
  <c r="O185" i="3"/>
  <c r="L185" i="3"/>
  <c r="I185" i="3"/>
  <c r="F185" i="3"/>
  <c r="C185" i="3"/>
  <c r="X184" i="3"/>
  <c r="U184" i="3"/>
  <c r="R184" i="3"/>
  <c r="O184" i="3"/>
  <c r="L184" i="3"/>
  <c r="I184" i="3"/>
  <c r="F184" i="3"/>
  <c r="C184" i="3"/>
  <c r="X183" i="3"/>
  <c r="U183" i="3"/>
  <c r="R183" i="3"/>
  <c r="O183" i="3"/>
  <c r="L183" i="3"/>
  <c r="I183" i="3"/>
  <c r="F183" i="3"/>
  <c r="C183" i="3"/>
  <c r="X182" i="3"/>
  <c r="U182" i="3"/>
  <c r="R182" i="3"/>
  <c r="O182" i="3"/>
  <c r="L182" i="3"/>
  <c r="I182" i="3"/>
  <c r="F182" i="3"/>
  <c r="C182" i="3"/>
  <c r="X181" i="3"/>
  <c r="U181" i="3"/>
  <c r="R181" i="3"/>
  <c r="O181" i="3"/>
  <c r="L181" i="3"/>
  <c r="I181" i="3"/>
  <c r="F181" i="3"/>
  <c r="C181" i="3"/>
  <c r="X180" i="3"/>
  <c r="U180" i="3"/>
  <c r="R180" i="3"/>
  <c r="O180" i="3"/>
  <c r="L180" i="3"/>
  <c r="I180" i="3"/>
  <c r="F180" i="3"/>
  <c r="C180" i="3"/>
  <c r="X179" i="3"/>
  <c r="U179" i="3"/>
  <c r="R179" i="3"/>
  <c r="O179" i="3"/>
  <c r="L179" i="3"/>
  <c r="I179" i="3"/>
  <c r="F179" i="3"/>
  <c r="C179" i="3"/>
  <c r="X178" i="3"/>
  <c r="U178" i="3"/>
  <c r="R178" i="3"/>
  <c r="O178" i="3"/>
  <c r="L178" i="3"/>
  <c r="I178" i="3"/>
  <c r="F178" i="3"/>
  <c r="C178" i="3"/>
  <c r="X177" i="3"/>
  <c r="U177" i="3"/>
  <c r="R177" i="3"/>
  <c r="O177" i="3"/>
  <c r="L177" i="3"/>
  <c r="I177" i="3"/>
  <c r="F177" i="3"/>
  <c r="C177" i="3"/>
  <c r="X176" i="3"/>
  <c r="U176" i="3"/>
  <c r="R176" i="3"/>
  <c r="O176" i="3"/>
  <c r="L176" i="3"/>
  <c r="I176" i="3"/>
  <c r="F176" i="3"/>
  <c r="C176" i="3"/>
  <c r="X175" i="3"/>
  <c r="U175" i="3"/>
  <c r="R175" i="3"/>
  <c r="O175" i="3"/>
  <c r="L175" i="3"/>
  <c r="I175" i="3"/>
  <c r="F175" i="3"/>
  <c r="C175" i="3"/>
  <c r="X174" i="3"/>
  <c r="U174" i="3"/>
  <c r="R174" i="3"/>
  <c r="O174" i="3"/>
  <c r="L174" i="3"/>
  <c r="I174" i="3"/>
  <c r="F174" i="3"/>
  <c r="C174" i="3"/>
  <c r="X173" i="3"/>
  <c r="U173" i="3"/>
  <c r="R173" i="3"/>
  <c r="O173" i="3"/>
  <c r="L173" i="3"/>
  <c r="I173" i="3"/>
  <c r="F173" i="3"/>
  <c r="C173" i="3"/>
  <c r="X172" i="3"/>
  <c r="U172" i="3"/>
  <c r="R172" i="3"/>
  <c r="O172" i="3"/>
  <c r="L172" i="3"/>
  <c r="I172" i="3"/>
  <c r="F172" i="3"/>
  <c r="C172" i="3"/>
  <c r="X171" i="3"/>
  <c r="U171" i="3"/>
  <c r="R171" i="3"/>
  <c r="O171" i="3"/>
  <c r="L171" i="3"/>
  <c r="I171" i="3"/>
  <c r="F171" i="3"/>
  <c r="C171" i="3"/>
  <c r="X170" i="3"/>
  <c r="U170" i="3"/>
  <c r="R170" i="3"/>
  <c r="O170" i="3"/>
  <c r="L170" i="3"/>
  <c r="I170" i="3"/>
  <c r="F170" i="3"/>
  <c r="C170" i="3"/>
  <c r="X169" i="3"/>
  <c r="U169" i="3"/>
  <c r="R169" i="3"/>
  <c r="O169" i="3"/>
  <c r="L169" i="3"/>
  <c r="I169" i="3"/>
  <c r="F169" i="3"/>
  <c r="C169" i="3"/>
  <c r="X168" i="3"/>
  <c r="U168" i="3"/>
  <c r="R168" i="3"/>
  <c r="O168" i="3"/>
  <c r="L168" i="3"/>
  <c r="I168" i="3"/>
  <c r="F168" i="3"/>
  <c r="C168" i="3"/>
  <c r="X167" i="3"/>
  <c r="U167" i="3"/>
  <c r="R167" i="3"/>
  <c r="O167" i="3"/>
  <c r="L167" i="3"/>
  <c r="I167" i="3"/>
  <c r="F167" i="3"/>
  <c r="C167" i="3"/>
  <c r="X166" i="3"/>
  <c r="U166" i="3"/>
  <c r="R166" i="3"/>
  <c r="O166" i="3"/>
  <c r="L166" i="3"/>
  <c r="I166" i="3"/>
  <c r="F166" i="3"/>
  <c r="C166" i="3"/>
  <c r="X165" i="3"/>
  <c r="U165" i="3"/>
  <c r="R165" i="3"/>
  <c r="O165" i="3"/>
  <c r="L165" i="3"/>
  <c r="I165" i="3"/>
  <c r="F165" i="3"/>
  <c r="C165" i="3"/>
  <c r="X164" i="3"/>
  <c r="U164" i="3"/>
  <c r="R164" i="3"/>
  <c r="O164" i="3"/>
  <c r="L164" i="3"/>
  <c r="I164" i="3"/>
  <c r="F164" i="3"/>
  <c r="C164" i="3"/>
  <c r="X163" i="3"/>
  <c r="U163" i="3"/>
  <c r="R163" i="3"/>
  <c r="O163" i="3"/>
  <c r="L163" i="3"/>
  <c r="I163" i="3"/>
  <c r="F163" i="3"/>
  <c r="C163" i="3"/>
  <c r="X162" i="3"/>
  <c r="U162" i="3"/>
  <c r="R162" i="3"/>
  <c r="O162" i="3"/>
  <c r="L162" i="3"/>
  <c r="I162" i="3"/>
  <c r="F162" i="3"/>
  <c r="C162" i="3"/>
  <c r="X161" i="3"/>
  <c r="U161" i="3"/>
  <c r="R161" i="3"/>
  <c r="O161" i="3"/>
  <c r="L161" i="3"/>
  <c r="I161" i="3"/>
  <c r="F161" i="3"/>
  <c r="C161" i="3"/>
  <c r="X160" i="3"/>
  <c r="U160" i="3"/>
  <c r="R160" i="3"/>
  <c r="O160" i="3"/>
  <c r="L160" i="3"/>
  <c r="I160" i="3"/>
  <c r="F160" i="3"/>
  <c r="C160" i="3"/>
  <c r="X157" i="3"/>
  <c r="W157" i="3"/>
  <c r="U157" i="3"/>
  <c r="T157" i="3"/>
  <c r="R157" i="3"/>
  <c r="Q157" i="3"/>
  <c r="O157" i="3"/>
  <c r="N157" i="3"/>
  <c r="L157" i="3"/>
  <c r="K157" i="3"/>
  <c r="H157" i="3"/>
  <c r="I157" i="3" s="1"/>
  <c r="F157" i="3"/>
  <c r="E157" i="3"/>
  <c r="C157" i="3"/>
  <c r="B157" i="3"/>
  <c r="X156" i="3"/>
  <c r="U156" i="3"/>
  <c r="R156" i="3"/>
  <c r="O156" i="3"/>
  <c r="L156" i="3"/>
  <c r="I156" i="3"/>
  <c r="F156" i="3"/>
  <c r="C156" i="3"/>
  <c r="X155" i="3"/>
  <c r="U155" i="3"/>
  <c r="R155" i="3"/>
  <c r="O155" i="3"/>
  <c r="L155" i="3"/>
  <c r="I155" i="3"/>
  <c r="F155" i="3"/>
  <c r="C155" i="3"/>
  <c r="X154" i="3"/>
  <c r="U154" i="3"/>
  <c r="R154" i="3"/>
  <c r="O154" i="3"/>
  <c r="L154" i="3"/>
  <c r="I154" i="3"/>
  <c r="F154" i="3"/>
  <c r="C154" i="3"/>
  <c r="X153" i="3"/>
  <c r="U153" i="3"/>
  <c r="R153" i="3"/>
  <c r="O153" i="3"/>
  <c r="L153" i="3"/>
  <c r="I153" i="3"/>
  <c r="F153" i="3"/>
  <c r="C153" i="3"/>
  <c r="X152" i="3"/>
  <c r="U152" i="3"/>
  <c r="R152" i="3"/>
  <c r="O152" i="3"/>
  <c r="L152" i="3"/>
  <c r="I152" i="3"/>
  <c r="F152" i="3"/>
  <c r="C152" i="3"/>
  <c r="X151" i="3"/>
  <c r="W151" i="3"/>
  <c r="T151" i="3"/>
  <c r="U151" i="3" s="1"/>
  <c r="R151" i="3"/>
  <c r="Q151" i="3"/>
  <c r="O151" i="3"/>
  <c r="N151" i="3"/>
  <c r="L151" i="3"/>
  <c r="K151" i="3"/>
  <c r="I151" i="3"/>
  <c r="H151" i="3"/>
  <c r="F151" i="3"/>
  <c r="E151" i="3"/>
  <c r="B151" i="3"/>
  <c r="C151" i="3" s="1"/>
  <c r="X150" i="3"/>
  <c r="U150" i="3"/>
  <c r="R150" i="3"/>
  <c r="O150" i="3"/>
  <c r="L150" i="3"/>
  <c r="I150" i="3"/>
  <c r="F150" i="3"/>
  <c r="C150" i="3"/>
  <c r="X149" i="3"/>
  <c r="U149" i="3"/>
  <c r="R149" i="3"/>
  <c r="O149" i="3"/>
  <c r="L149" i="3"/>
  <c r="I149" i="3"/>
  <c r="F149" i="3"/>
  <c r="C149" i="3"/>
  <c r="X148" i="3"/>
  <c r="U148" i="3"/>
  <c r="R148" i="3"/>
  <c r="O148" i="3"/>
  <c r="L148" i="3"/>
  <c r="I148" i="3"/>
  <c r="F148" i="3"/>
  <c r="C148" i="3"/>
  <c r="X147" i="3"/>
  <c r="U147" i="3"/>
  <c r="R147" i="3"/>
  <c r="O147" i="3"/>
  <c r="L147" i="3"/>
  <c r="I147" i="3"/>
  <c r="F147" i="3"/>
  <c r="C147" i="3"/>
  <c r="X146" i="3"/>
  <c r="U146" i="3"/>
  <c r="R146" i="3"/>
  <c r="O146" i="3"/>
  <c r="L146" i="3"/>
  <c r="I146" i="3"/>
  <c r="F146" i="3"/>
  <c r="C146" i="3"/>
  <c r="X145" i="3"/>
  <c r="U145" i="3"/>
  <c r="R145" i="3"/>
  <c r="O145" i="3"/>
  <c r="L145" i="3"/>
  <c r="I145" i="3"/>
  <c r="F145" i="3"/>
  <c r="C145" i="3"/>
  <c r="X143" i="3"/>
  <c r="W143" i="3"/>
  <c r="U143" i="3"/>
  <c r="T143" i="3"/>
  <c r="R143" i="3"/>
  <c r="Q143" i="3"/>
  <c r="O143" i="3"/>
  <c r="N143" i="3"/>
  <c r="L143" i="3"/>
  <c r="K143" i="3"/>
  <c r="H143" i="3"/>
  <c r="I143" i="3" s="1"/>
  <c r="F143" i="3"/>
  <c r="E143" i="3"/>
  <c r="C143" i="3"/>
  <c r="B143" i="3"/>
  <c r="X142" i="3"/>
  <c r="U142" i="3"/>
  <c r="R142" i="3"/>
  <c r="O142" i="3"/>
  <c r="L142" i="3"/>
  <c r="I142" i="3"/>
  <c r="F142" i="3"/>
  <c r="C142" i="3"/>
  <c r="X141" i="3"/>
  <c r="U141" i="3"/>
  <c r="R141" i="3"/>
  <c r="O141" i="3"/>
  <c r="L141" i="3"/>
  <c r="I141" i="3"/>
  <c r="F141" i="3"/>
  <c r="C141" i="3"/>
  <c r="X140" i="3"/>
  <c r="U140" i="3"/>
  <c r="R140" i="3"/>
  <c r="O140" i="3"/>
  <c r="L140" i="3"/>
  <c r="I140" i="3"/>
  <c r="F140" i="3"/>
  <c r="C140" i="3"/>
  <c r="X139" i="3"/>
  <c r="U139" i="3"/>
  <c r="R139" i="3"/>
  <c r="O139" i="3"/>
  <c r="L139" i="3"/>
  <c r="I139" i="3"/>
  <c r="F139" i="3"/>
  <c r="C139" i="3"/>
  <c r="X138" i="3"/>
  <c r="U138" i="3"/>
  <c r="R138" i="3"/>
  <c r="O138" i="3"/>
  <c r="L138" i="3"/>
  <c r="I138" i="3"/>
  <c r="F138" i="3"/>
  <c r="C138" i="3"/>
  <c r="X137" i="3"/>
  <c r="U137" i="3"/>
  <c r="R137" i="3"/>
  <c r="O137" i="3"/>
  <c r="L137" i="3"/>
  <c r="I137" i="3"/>
  <c r="F137" i="3"/>
  <c r="C137" i="3"/>
  <c r="X136" i="3"/>
  <c r="U136" i="3"/>
  <c r="R136" i="3"/>
  <c r="O136" i="3"/>
  <c r="L136" i="3"/>
  <c r="I136" i="3"/>
  <c r="F136" i="3"/>
  <c r="C136" i="3"/>
  <c r="X135" i="3"/>
  <c r="U135" i="3"/>
  <c r="R135" i="3"/>
  <c r="O135" i="3"/>
  <c r="L135" i="3"/>
  <c r="I135" i="3"/>
  <c r="F135" i="3"/>
  <c r="C135" i="3"/>
  <c r="X134" i="3"/>
  <c r="U134" i="3"/>
  <c r="R134" i="3"/>
  <c r="O134" i="3"/>
  <c r="L134" i="3"/>
  <c r="I134" i="3"/>
  <c r="F134" i="3"/>
  <c r="C134" i="3"/>
  <c r="X133" i="3"/>
  <c r="U133" i="3"/>
  <c r="R133" i="3"/>
  <c r="O133" i="3"/>
  <c r="L133" i="3"/>
  <c r="I133" i="3"/>
  <c r="F133" i="3"/>
  <c r="C133" i="3"/>
  <c r="X132" i="3"/>
  <c r="U132" i="3"/>
  <c r="R132" i="3"/>
  <c r="O132" i="3"/>
  <c r="L132" i="3"/>
  <c r="I132" i="3"/>
  <c r="F132" i="3"/>
  <c r="C132" i="3"/>
  <c r="X131" i="3"/>
  <c r="U131" i="3"/>
  <c r="R131" i="3"/>
  <c r="O131" i="3"/>
  <c r="L131" i="3"/>
  <c r="I131" i="3"/>
  <c r="F131" i="3"/>
  <c r="C131" i="3"/>
  <c r="X130" i="3"/>
  <c r="U130" i="3"/>
  <c r="R130" i="3"/>
  <c r="O130" i="3"/>
  <c r="L130" i="3"/>
  <c r="I130" i="3"/>
  <c r="F130" i="3"/>
  <c r="C130" i="3"/>
  <c r="X129" i="3"/>
  <c r="U129" i="3"/>
  <c r="R129" i="3"/>
  <c r="O129" i="3"/>
  <c r="L129" i="3"/>
  <c r="I129" i="3"/>
  <c r="F129" i="3"/>
  <c r="C129" i="3"/>
  <c r="X128" i="3"/>
  <c r="U128" i="3"/>
  <c r="R128" i="3"/>
  <c r="O128" i="3"/>
  <c r="L128" i="3"/>
  <c r="I128" i="3"/>
  <c r="F128" i="3"/>
  <c r="C128" i="3"/>
  <c r="X127" i="3"/>
  <c r="U127" i="3"/>
  <c r="R127" i="3"/>
  <c r="O127" i="3"/>
  <c r="L127" i="3"/>
  <c r="I127" i="3"/>
  <c r="F127" i="3"/>
  <c r="C127" i="3"/>
  <c r="X126" i="3"/>
  <c r="U126" i="3"/>
  <c r="R126" i="3"/>
  <c r="O126" i="3"/>
  <c r="L126" i="3"/>
  <c r="I126" i="3"/>
  <c r="F126" i="3"/>
  <c r="C126" i="3"/>
  <c r="X125" i="3"/>
  <c r="U125" i="3"/>
  <c r="R125" i="3"/>
  <c r="O125" i="3"/>
  <c r="L125" i="3"/>
  <c r="I125" i="3"/>
  <c r="F125" i="3"/>
  <c r="C125" i="3"/>
  <c r="X124" i="3"/>
  <c r="U124" i="3"/>
  <c r="R124" i="3"/>
  <c r="O124" i="3"/>
  <c r="L124" i="3"/>
  <c r="I124" i="3"/>
  <c r="F124" i="3"/>
  <c r="C124" i="3"/>
  <c r="X123" i="3"/>
  <c r="U123" i="3"/>
  <c r="R123" i="3"/>
  <c r="O123" i="3"/>
  <c r="L123" i="3"/>
  <c r="I123" i="3"/>
  <c r="F123" i="3"/>
  <c r="C123" i="3"/>
  <c r="X122" i="3"/>
  <c r="U122" i="3"/>
  <c r="R122" i="3"/>
  <c r="O122" i="3"/>
  <c r="L122" i="3"/>
  <c r="I122" i="3"/>
  <c r="F122" i="3"/>
  <c r="C122" i="3"/>
  <c r="X120" i="3"/>
  <c r="W120" i="3"/>
  <c r="T120" i="3"/>
  <c r="U120" i="3" s="1"/>
  <c r="Q120" i="3"/>
  <c r="R120" i="3" s="1"/>
  <c r="N120" i="3"/>
  <c r="O120" i="3" s="1"/>
  <c r="L120" i="3"/>
  <c r="K120" i="3"/>
  <c r="I120" i="3"/>
  <c r="H120" i="3"/>
  <c r="F120" i="3"/>
  <c r="E120" i="3"/>
  <c r="B120" i="3"/>
  <c r="C120" i="3" s="1"/>
  <c r="W119" i="3"/>
  <c r="X119" i="3" s="1"/>
  <c r="T119" i="3"/>
  <c r="U119" i="3" s="1"/>
  <c r="R119" i="3"/>
  <c r="Q119" i="3"/>
  <c r="O119" i="3"/>
  <c r="N119" i="3"/>
  <c r="L119" i="3"/>
  <c r="K119" i="3"/>
  <c r="H119" i="3"/>
  <c r="I119" i="3" s="1"/>
  <c r="E119" i="3"/>
  <c r="F119" i="3" s="1"/>
  <c r="B119" i="3"/>
  <c r="C119" i="3" s="1"/>
  <c r="X118" i="3"/>
  <c r="U118" i="3"/>
  <c r="R118" i="3"/>
  <c r="O118" i="3"/>
  <c r="L118" i="3"/>
  <c r="I118" i="3"/>
  <c r="F118" i="3"/>
  <c r="C118" i="3"/>
  <c r="X117" i="3"/>
  <c r="U117" i="3"/>
  <c r="R117" i="3"/>
  <c r="O117" i="3"/>
  <c r="L117" i="3"/>
  <c r="I117" i="3"/>
  <c r="F117" i="3"/>
  <c r="C117" i="3"/>
  <c r="X116" i="3"/>
  <c r="U116" i="3"/>
  <c r="R116" i="3"/>
  <c r="O116" i="3"/>
  <c r="L116" i="3"/>
  <c r="I116" i="3"/>
  <c r="F116" i="3"/>
  <c r="C116" i="3"/>
  <c r="X115" i="3"/>
  <c r="U115" i="3"/>
  <c r="R115" i="3"/>
  <c r="O115" i="3"/>
  <c r="L115" i="3"/>
  <c r="I115" i="3"/>
  <c r="F115" i="3"/>
  <c r="C115" i="3"/>
  <c r="X114" i="3"/>
  <c r="U114" i="3"/>
  <c r="R114" i="3"/>
  <c r="O114" i="3"/>
  <c r="L114" i="3"/>
  <c r="I114" i="3"/>
  <c r="F114" i="3"/>
  <c r="C114" i="3"/>
  <c r="X113" i="3"/>
  <c r="U113" i="3"/>
  <c r="R113" i="3"/>
  <c r="O113" i="3"/>
  <c r="L113" i="3"/>
  <c r="I113" i="3"/>
  <c r="F113" i="3"/>
  <c r="C113" i="3"/>
  <c r="X112" i="3"/>
  <c r="U112" i="3"/>
  <c r="R112" i="3"/>
  <c r="O112" i="3"/>
  <c r="L112" i="3"/>
  <c r="I112" i="3"/>
  <c r="F112" i="3"/>
  <c r="C112" i="3"/>
  <c r="X111" i="3"/>
  <c r="U111" i="3"/>
  <c r="R111" i="3"/>
  <c r="O111" i="3"/>
  <c r="L111" i="3"/>
  <c r="I111" i="3"/>
  <c r="F111" i="3"/>
  <c r="C111" i="3"/>
  <c r="X110" i="3"/>
  <c r="U110" i="3"/>
  <c r="R110" i="3"/>
  <c r="O110" i="3"/>
  <c r="L110" i="3"/>
  <c r="I110" i="3"/>
  <c r="F110" i="3"/>
  <c r="C110" i="3"/>
  <c r="X109" i="3"/>
  <c r="U109" i="3"/>
  <c r="R109" i="3"/>
  <c r="O109" i="3"/>
  <c r="L109" i="3"/>
  <c r="I109" i="3"/>
  <c r="F109" i="3"/>
  <c r="C109" i="3"/>
  <c r="X108" i="3"/>
  <c r="U108" i="3"/>
  <c r="R108" i="3"/>
  <c r="O108" i="3"/>
  <c r="L108" i="3"/>
  <c r="I108" i="3"/>
  <c r="F108" i="3"/>
  <c r="C108" i="3"/>
  <c r="X107" i="3"/>
  <c r="U107" i="3"/>
  <c r="R107" i="3"/>
  <c r="O107" i="3"/>
  <c r="L107" i="3"/>
  <c r="I107" i="3"/>
  <c r="F107" i="3"/>
  <c r="C107" i="3"/>
  <c r="X106" i="3"/>
  <c r="U106" i="3"/>
  <c r="R106" i="3"/>
  <c r="O106" i="3"/>
  <c r="L106" i="3"/>
  <c r="I106" i="3"/>
  <c r="F106" i="3"/>
  <c r="C106" i="3"/>
  <c r="X105" i="3"/>
  <c r="U105" i="3"/>
  <c r="R105" i="3"/>
  <c r="O105" i="3"/>
  <c r="L105" i="3"/>
  <c r="I105" i="3"/>
  <c r="F105" i="3"/>
  <c r="C105" i="3"/>
  <c r="X104" i="3"/>
  <c r="U104" i="3"/>
  <c r="R104" i="3"/>
  <c r="O104" i="3"/>
  <c r="L104" i="3"/>
  <c r="I104" i="3"/>
  <c r="F104" i="3"/>
  <c r="C104" i="3"/>
  <c r="X103" i="3"/>
  <c r="U103" i="3"/>
  <c r="R103" i="3"/>
  <c r="O103" i="3"/>
  <c r="L103" i="3"/>
  <c r="I103" i="3"/>
  <c r="F103" i="3"/>
  <c r="C103" i="3"/>
  <c r="X102" i="3"/>
  <c r="U102" i="3"/>
  <c r="R102" i="3"/>
  <c r="O102" i="3"/>
  <c r="L102" i="3"/>
  <c r="I102" i="3"/>
  <c r="F102" i="3"/>
  <c r="C102" i="3"/>
  <c r="X101" i="3"/>
  <c r="U101" i="3"/>
  <c r="R101" i="3"/>
  <c r="O101" i="3"/>
  <c r="L101" i="3"/>
  <c r="I101" i="3"/>
  <c r="F101" i="3"/>
  <c r="C101" i="3"/>
  <c r="X100" i="3"/>
  <c r="U100" i="3"/>
  <c r="R100" i="3"/>
  <c r="O100" i="3"/>
  <c r="L100" i="3"/>
  <c r="I100" i="3"/>
  <c r="F100" i="3"/>
  <c r="C100" i="3"/>
  <c r="X99" i="3"/>
  <c r="U99" i="3"/>
  <c r="R99" i="3"/>
  <c r="O99" i="3"/>
  <c r="L99" i="3"/>
  <c r="I99" i="3"/>
  <c r="F99" i="3"/>
  <c r="C99" i="3"/>
  <c r="X98" i="3"/>
  <c r="U98" i="3"/>
  <c r="R98" i="3"/>
  <c r="O98" i="3"/>
  <c r="L98" i="3"/>
  <c r="I98" i="3"/>
  <c r="F98" i="3"/>
  <c r="C98" i="3"/>
  <c r="X97" i="3"/>
  <c r="U97" i="3"/>
  <c r="R97" i="3"/>
  <c r="O97" i="3"/>
  <c r="L97" i="3"/>
  <c r="I97" i="3"/>
  <c r="F97" i="3"/>
  <c r="C97" i="3"/>
  <c r="X96" i="3"/>
  <c r="U96" i="3"/>
  <c r="R96" i="3"/>
  <c r="O96" i="3"/>
  <c r="L96" i="3"/>
  <c r="I96" i="3"/>
  <c r="F96" i="3"/>
  <c r="C96" i="3"/>
  <c r="X95" i="3"/>
  <c r="U95" i="3"/>
  <c r="R95" i="3"/>
  <c r="O95" i="3"/>
  <c r="L95" i="3"/>
  <c r="I95" i="3"/>
  <c r="F95" i="3"/>
  <c r="C95" i="3"/>
  <c r="X94" i="3"/>
  <c r="U94" i="3"/>
  <c r="R94" i="3"/>
  <c r="O94" i="3"/>
  <c r="L94" i="3"/>
  <c r="I94" i="3"/>
  <c r="F94" i="3"/>
  <c r="C94" i="3"/>
  <c r="X93" i="3"/>
  <c r="U93" i="3"/>
  <c r="R93" i="3"/>
  <c r="O93" i="3"/>
  <c r="L93" i="3"/>
  <c r="I93" i="3"/>
  <c r="F93" i="3"/>
  <c r="C93" i="3"/>
  <c r="X92" i="3"/>
  <c r="U92" i="3"/>
  <c r="R92" i="3"/>
  <c r="O92" i="3"/>
  <c r="L92" i="3"/>
  <c r="I92" i="3"/>
  <c r="F92" i="3"/>
  <c r="C92" i="3"/>
  <c r="X91" i="3"/>
  <c r="U91" i="3"/>
  <c r="R91" i="3"/>
  <c r="O91" i="3"/>
  <c r="L91" i="3"/>
  <c r="I91" i="3"/>
  <c r="F91" i="3"/>
  <c r="C91" i="3"/>
  <c r="X90" i="3"/>
  <c r="U90" i="3"/>
  <c r="R90" i="3"/>
  <c r="O90" i="3"/>
  <c r="L90" i="3"/>
  <c r="I90" i="3"/>
  <c r="F90" i="3"/>
  <c r="C90" i="3"/>
  <c r="X89" i="3"/>
  <c r="U89" i="3"/>
  <c r="R89" i="3"/>
  <c r="O89" i="3"/>
  <c r="L89" i="3"/>
  <c r="I89" i="3"/>
  <c r="F89" i="3"/>
  <c r="C89" i="3"/>
  <c r="X88" i="3"/>
  <c r="U88" i="3"/>
  <c r="R88" i="3"/>
  <c r="O88" i="3"/>
  <c r="L88" i="3"/>
  <c r="I88" i="3"/>
  <c r="F88" i="3"/>
  <c r="C88" i="3"/>
  <c r="X87" i="3"/>
  <c r="U87" i="3"/>
  <c r="R87" i="3"/>
  <c r="O87" i="3"/>
  <c r="L87" i="3"/>
  <c r="I87" i="3"/>
  <c r="F87" i="3"/>
  <c r="C87" i="3"/>
  <c r="X86" i="3"/>
  <c r="U86" i="3"/>
  <c r="R86" i="3"/>
  <c r="O86" i="3"/>
  <c r="L86" i="3"/>
  <c r="I86" i="3"/>
  <c r="F86" i="3"/>
  <c r="C86" i="3"/>
  <c r="X85" i="3"/>
  <c r="U85" i="3"/>
  <c r="R85" i="3"/>
  <c r="O85" i="3"/>
  <c r="L85" i="3"/>
  <c r="I85" i="3"/>
  <c r="F85" i="3"/>
  <c r="C85" i="3"/>
  <c r="X84" i="3"/>
  <c r="U84" i="3"/>
  <c r="R84" i="3"/>
  <c r="O84" i="3"/>
  <c r="L84" i="3"/>
  <c r="I84" i="3"/>
  <c r="F84" i="3"/>
  <c r="C84" i="3"/>
  <c r="X82" i="3"/>
  <c r="U82" i="3"/>
  <c r="R82" i="3"/>
  <c r="O82" i="3"/>
  <c r="L82" i="3"/>
  <c r="I82" i="3"/>
  <c r="F82" i="3"/>
  <c r="C82" i="3"/>
  <c r="X80" i="3"/>
  <c r="W80" i="3"/>
  <c r="U80" i="3"/>
  <c r="T80" i="3"/>
  <c r="R80" i="3"/>
  <c r="Q80" i="3"/>
  <c r="N80" i="3"/>
  <c r="O80" i="3" s="1"/>
  <c r="L80" i="3"/>
  <c r="K80" i="3"/>
  <c r="H80" i="3"/>
  <c r="I80" i="3" s="1"/>
  <c r="F80" i="3"/>
  <c r="E80" i="3"/>
  <c r="C80" i="3"/>
  <c r="B80" i="3"/>
  <c r="X79" i="3"/>
  <c r="U79" i="3"/>
  <c r="R79" i="3"/>
  <c r="O79" i="3"/>
  <c r="L79" i="3"/>
  <c r="I79" i="3"/>
  <c r="F79" i="3"/>
  <c r="C79" i="3"/>
  <c r="X78" i="3"/>
  <c r="U78" i="3"/>
  <c r="R78" i="3"/>
  <c r="O78" i="3"/>
  <c r="L78" i="3"/>
  <c r="I78" i="3"/>
  <c r="F78" i="3"/>
  <c r="C78" i="3"/>
  <c r="X76" i="3"/>
  <c r="W76" i="3"/>
  <c r="T76" i="3"/>
  <c r="U76" i="3" s="1"/>
  <c r="R76" i="3"/>
  <c r="Q76" i="3"/>
  <c r="O76" i="3"/>
  <c r="N76" i="3"/>
  <c r="L76" i="3"/>
  <c r="K76" i="3"/>
  <c r="H76" i="3"/>
  <c r="I76" i="3" s="1"/>
  <c r="F76" i="3"/>
  <c r="E76" i="3"/>
  <c r="B76" i="3"/>
  <c r="C76" i="3" s="1"/>
  <c r="X75" i="3"/>
  <c r="U75" i="3"/>
  <c r="R75" i="3"/>
  <c r="O75" i="3"/>
  <c r="L75" i="3"/>
  <c r="I75" i="3"/>
  <c r="F75" i="3"/>
  <c r="C75" i="3"/>
  <c r="X74" i="3"/>
  <c r="U74" i="3"/>
  <c r="R74" i="3"/>
  <c r="O74" i="3"/>
  <c r="L74" i="3"/>
  <c r="I74" i="3"/>
  <c r="F74" i="3"/>
  <c r="C74" i="3"/>
  <c r="X73" i="3"/>
  <c r="U73" i="3"/>
  <c r="R73" i="3"/>
  <c r="O73" i="3"/>
  <c r="L73" i="3"/>
  <c r="I73" i="3"/>
  <c r="F73" i="3"/>
  <c r="C73" i="3"/>
  <c r="X72" i="3"/>
  <c r="U72" i="3"/>
  <c r="R72" i="3"/>
  <c r="O72" i="3"/>
  <c r="L72" i="3"/>
  <c r="I72" i="3"/>
  <c r="F72" i="3"/>
  <c r="C72" i="3"/>
  <c r="X71" i="3"/>
  <c r="U71" i="3"/>
  <c r="R71" i="3"/>
  <c r="O71" i="3"/>
  <c r="L71" i="3"/>
  <c r="I71" i="3"/>
  <c r="F71" i="3"/>
  <c r="C71" i="3"/>
  <c r="X70" i="3"/>
  <c r="U70" i="3"/>
  <c r="R70" i="3"/>
  <c r="O70" i="3"/>
  <c r="L70" i="3"/>
  <c r="I70" i="3"/>
  <c r="F70" i="3"/>
  <c r="C70" i="3"/>
  <c r="X69" i="3"/>
  <c r="U69" i="3"/>
  <c r="R69" i="3"/>
  <c r="O69" i="3"/>
  <c r="L69" i="3"/>
  <c r="I69" i="3"/>
  <c r="F69" i="3"/>
  <c r="C69" i="3"/>
  <c r="X68" i="3"/>
  <c r="U68" i="3"/>
  <c r="R68" i="3"/>
  <c r="O68" i="3"/>
  <c r="L68" i="3"/>
  <c r="I68" i="3"/>
  <c r="F68" i="3"/>
  <c r="C68" i="3"/>
  <c r="X66" i="3"/>
  <c r="U66" i="3"/>
  <c r="R66" i="3"/>
  <c r="O66" i="3"/>
  <c r="L66" i="3"/>
  <c r="I66" i="3"/>
  <c r="F66" i="3"/>
  <c r="C66" i="3"/>
  <c r="X65" i="3"/>
  <c r="W65" i="3"/>
  <c r="U65" i="3"/>
  <c r="T65" i="3"/>
  <c r="R65" i="3"/>
  <c r="Q65" i="3"/>
  <c r="N65" i="3"/>
  <c r="O65" i="3" s="1"/>
  <c r="L65" i="3"/>
  <c r="K65" i="3"/>
  <c r="H65" i="3"/>
  <c r="I65" i="3" s="1"/>
  <c r="F65" i="3"/>
  <c r="E65" i="3"/>
  <c r="C65" i="3"/>
  <c r="B65" i="3"/>
  <c r="X64" i="3"/>
  <c r="U64" i="3"/>
  <c r="R64" i="3"/>
  <c r="O64" i="3"/>
  <c r="L64" i="3"/>
  <c r="I64" i="3"/>
  <c r="F64" i="3"/>
  <c r="C64" i="3"/>
  <c r="X63" i="3"/>
  <c r="U63" i="3"/>
  <c r="R63" i="3"/>
  <c r="O63" i="3"/>
  <c r="L63" i="3"/>
  <c r="I63" i="3"/>
  <c r="F63" i="3"/>
  <c r="C63" i="3"/>
  <c r="X62" i="3"/>
  <c r="U62" i="3"/>
  <c r="R62" i="3"/>
  <c r="O62" i="3"/>
  <c r="L62" i="3"/>
  <c r="I62" i="3"/>
  <c r="F62" i="3"/>
  <c r="C62" i="3"/>
  <c r="X61" i="3"/>
  <c r="U61" i="3"/>
  <c r="R61" i="3"/>
  <c r="O61" i="3"/>
  <c r="L61" i="3"/>
  <c r="I61" i="3"/>
  <c r="F61" i="3"/>
  <c r="C61" i="3"/>
  <c r="X60" i="3"/>
  <c r="U60" i="3"/>
  <c r="R60" i="3"/>
  <c r="O60" i="3"/>
  <c r="L60" i="3"/>
  <c r="I60" i="3"/>
  <c r="F60" i="3"/>
  <c r="C60" i="3"/>
  <c r="X59" i="3"/>
  <c r="U59" i="3"/>
  <c r="R59" i="3"/>
  <c r="O59" i="3"/>
  <c r="L59" i="3"/>
  <c r="I59" i="3"/>
  <c r="F59" i="3"/>
  <c r="C59" i="3"/>
  <c r="X58" i="3"/>
  <c r="U58" i="3"/>
  <c r="R58" i="3"/>
  <c r="O58" i="3"/>
  <c r="L58" i="3"/>
  <c r="I58" i="3"/>
  <c r="F58" i="3"/>
  <c r="C58" i="3"/>
  <c r="X57" i="3"/>
  <c r="U57" i="3"/>
  <c r="R57" i="3"/>
  <c r="O57" i="3"/>
  <c r="L57" i="3"/>
  <c r="I57" i="3"/>
  <c r="F57" i="3"/>
  <c r="C57" i="3"/>
  <c r="X56" i="3"/>
  <c r="U56" i="3"/>
  <c r="R56" i="3"/>
  <c r="O56" i="3"/>
  <c r="L56" i="3"/>
  <c r="I56" i="3"/>
  <c r="F56" i="3"/>
  <c r="C56" i="3"/>
  <c r="X55" i="3"/>
  <c r="U55" i="3"/>
  <c r="R55" i="3"/>
  <c r="O55" i="3"/>
  <c r="L55" i="3"/>
  <c r="I55" i="3"/>
  <c r="F55" i="3"/>
  <c r="C55" i="3"/>
  <c r="X52" i="3"/>
  <c r="W52" i="3"/>
  <c r="W326" i="3" s="1"/>
  <c r="X326" i="3" s="1"/>
  <c r="U52" i="3"/>
  <c r="T52" i="3"/>
  <c r="T326" i="3" s="1"/>
  <c r="U326" i="3" s="1"/>
  <c r="R52" i="3"/>
  <c r="Q52" i="3"/>
  <c r="Q326" i="3" s="1"/>
  <c r="R326" i="3" s="1"/>
  <c r="N52" i="3"/>
  <c r="N326" i="3" s="1"/>
  <c r="O326" i="3" s="1"/>
  <c r="L52" i="3"/>
  <c r="K52" i="3"/>
  <c r="K326" i="3" s="1"/>
  <c r="L326" i="3" s="1"/>
  <c r="H52" i="3"/>
  <c r="I52" i="3" s="1"/>
  <c r="F52" i="3"/>
  <c r="E52" i="3"/>
  <c r="E326" i="3" s="1"/>
  <c r="F326" i="3" s="1"/>
  <c r="C52" i="3"/>
  <c r="B52" i="3"/>
  <c r="B326" i="3" s="1"/>
  <c r="C326" i="3" s="1"/>
  <c r="X51" i="3"/>
  <c r="W51" i="3"/>
  <c r="T51" i="3"/>
  <c r="U51" i="3" s="1"/>
  <c r="R51" i="3"/>
  <c r="Q51" i="3"/>
  <c r="N51" i="3"/>
  <c r="O51" i="3" s="1"/>
  <c r="L51" i="3"/>
  <c r="K51" i="3"/>
  <c r="I51" i="3"/>
  <c r="H51" i="3"/>
  <c r="F51" i="3"/>
  <c r="E51" i="3"/>
  <c r="B51" i="3"/>
  <c r="C51" i="3" s="1"/>
  <c r="X50" i="3"/>
  <c r="U50" i="3"/>
  <c r="R50" i="3"/>
  <c r="O50" i="3"/>
  <c r="L50" i="3"/>
  <c r="I50" i="3"/>
  <c r="F50" i="3"/>
  <c r="C50" i="3"/>
  <c r="X49" i="3"/>
  <c r="U49" i="3"/>
  <c r="R49" i="3"/>
  <c r="O49" i="3"/>
  <c r="L49" i="3"/>
  <c r="I49" i="3"/>
  <c r="F49" i="3"/>
  <c r="C49" i="3"/>
  <c r="X48" i="3"/>
  <c r="U48" i="3"/>
  <c r="R48" i="3"/>
  <c r="O48" i="3"/>
  <c r="L48" i="3"/>
  <c r="I48" i="3"/>
  <c r="F48" i="3"/>
  <c r="C48" i="3"/>
  <c r="X47" i="3"/>
  <c r="U47" i="3"/>
  <c r="R47" i="3"/>
  <c r="O47" i="3"/>
  <c r="L47" i="3"/>
  <c r="I47" i="3"/>
  <c r="F47" i="3"/>
  <c r="C47" i="3"/>
  <c r="X46" i="3"/>
  <c r="U46" i="3"/>
  <c r="R46" i="3"/>
  <c r="O46" i="3"/>
  <c r="L46" i="3"/>
  <c r="I46" i="3"/>
  <c r="F46" i="3"/>
  <c r="C46" i="3"/>
  <c r="X45" i="3"/>
  <c r="U45" i="3"/>
  <c r="R45" i="3"/>
  <c r="O45" i="3"/>
  <c r="L45" i="3"/>
  <c r="I45" i="3"/>
  <c r="F45" i="3"/>
  <c r="C45" i="3"/>
  <c r="X44" i="3"/>
  <c r="U44" i="3"/>
  <c r="R44" i="3"/>
  <c r="O44" i="3"/>
  <c r="L44" i="3"/>
  <c r="I44" i="3"/>
  <c r="F44" i="3"/>
  <c r="C44" i="3"/>
  <c r="X43" i="3"/>
  <c r="U43" i="3"/>
  <c r="R43" i="3"/>
  <c r="O43" i="3"/>
  <c r="L43" i="3"/>
  <c r="I43" i="3"/>
  <c r="F43" i="3"/>
  <c r="C43" i="3"/>
  <c r="X42" i="3"/>
  <c r="U42" i="3"/>
  <c r="R42" i="3"/>
  <c r="O42" i="3"/>
  <c r="L42" i="3"/>
  <c r="I42" i="3"/>
  <c r="F42" i="3"/>
  <c r="C42" i="3"/>
  <c r="X41" i="3"/>
  <c r="U41" i="3"/>
  <c r="R41" i="3"/>
  <c r="O41" i="3"/>
  <c r="L41" i="3"/>
  <c r="I41" i="3"/>
  <c r="F41" i="3"/>
  <c r="C41" i="3"/>
  <c r="X40" i="3"/>
  <c r="U40" i="3"/>
  <c r="R40" i="3"/>
  <c r="O40" i="3"/>
  <c r="L40" i="3"/>
  <c r="I40" i="3"/>
  <c r="F40" i="3"/>
  <c r="C40" i="3"/>
  <c r="X39" i="3"/>
  <c r="U39" i="3"/>
  <c r="R39" i="3"/>
  <c r="O39" i="3"/>
  <c r="L39" i="3"/>
  <c r="I39" i="3"/>
  <c r="F39" i="3"/>
  <c r="C39" i="3"/>
  <c r="W37" i="3"/>
  <c r="X37" i="3" s="1"/>
  <c r="T37" i="3"/>
  <c r="U37" i="3" s="1"/>
  <c r="R37" i="3"/>
  <c r="Q37" i="3"/>
  <c r="O37" i="3"/>
  <c r="N37" i="3"/>
  <c r="L37" i="3"/>
  <c r="K37" i="3"/>
  <c r="H37" i="3"/>
  <c r="I37" i="3" s="1"/>
  <c r="E37" i="3"/>
  <c r="F37" i="3" s="1"/>
  <c r="B37" i="3"/>
  <c r="C37" i="3" s="1"/>
  <c r="X36" i="3"/>
  <c r="U36" i="3"/>
  <c r="R36" i="3"/>
  <c r="O36" i="3"/>
  <c r="L36" i="3"/>
  <c r="I36" i="3"/>
  <c r="F36" i="3"/>
  <c r="C36" i="3"/>
  <c r="X35" i="3"/>
  <c r="U35" i="3"/>
  <c r="R35" i="3"/>
  <c r="O35" i="3"/>
  <c r="L35" i="3"/>
  <c r="I35" i="3"/>
  <c r="F35" i="3"/>
  <c r="C35" i="3"/>
  <c r="X34" i="3"/>
  <c r="U34" i="3"/>
  <c r="R34" i="3"/>
  <c r="O34" i="3"/>
  <c r="L34" i="3"/>
  <c r="I34" i="3"/>
  <c r="F34" i="3"/>
  <c r="C34" i="3"/>
  <c r="X33" i="3"/>
  <c r="U33" i="3"/>
  <c r="R33" i="3"/>
  <c r="O33" i="3"/>
  <c r="L33" i="3"/>
  <c r="I33" i="3"/>
  <c r="F33" i="3"/>
  <c r="C33" i="3"/>
  <c r="X32" i="3"/>
  <c r="U32" i="3"/>
  <c r="R32" i="3"/>
  <c r="O32" i="3"/>
  <c r="L32" i="3"/>
  <c r="I32" i="3"/>
  <c r="F32" i="3"/>
  <c r="C32" i="3"/>
  <c r="X30" i="3"/>
  <c r="W30" i="3"/>
  <c r="T30" i="3"/>
  <c r="U30" i="3" s="1"/>
  <c r="Q30" i="3"/>
  <c r="R30" i="3" s="1"/>
  <c r="N30" i="3"/>
  <c r="O30" i="3" s="1"/>
  <c r="L30" i="3"/>
  <c r="K30" i="3"/>
  <c r="I30" i="3"/>
  <c r="H30" i="3"/>
  <c r="F30" i="3"/>
  <c r="E30" i="3"/>
  <c r="B30" i="3"/>
  <c r="C30" i="3" s="1"/>
  <c r="X29" i="3"/>
  <c r="U29" i="3"/>
  <c r="R29" i="3"/>
  <c r="O29" i="3"/>
  <c r="L29" i="3"/>
  <c r="I29" i="3"/>
  <c r="F29" i="3"/>
  <c r="C29" i="3"/>
  <c r="X28" i="3"/>
  <c r="U28" i="3"/>
  <c r="R28" i="3"/>
  <c r="O28" i="3"/>
  <c r="L28" i="3"/>
  <c r="I28" i="3"/>
  <c r="F28" i="3"/>
  <c r="C28" i="3"/>
  <c r="X27" i="3"/>
  <c r="U27" i="3"/>
  <c r="R27" i="3"/>
  <c r="O27" i="3"/>
  <c r="L27" i="3"/>
  <c r="I27" i="3"/>
  <c r="F27" i="3"/>
  <c r="C27" i="3"/>
  <c r="X26" i="3"/>
  <c r="U26" i="3"/>
  <c r="R26" i="3"/>
  <c r="O26" i="3"/>
  <c r="L26" i="3"/>
  <c r="I26" i="3"/>
  <c r="F26" i="3"/>
  <c r="C26" i="3"/>
  <c r="X25" i="3"/>
  <c r="U25" i="3"/>
  <c r="R25" i="3"/>
  <c r="O25" i="3"/>
  <c r="L25" i="3"/>
  <c r="I25" i="3"/>
  <c r="F25" i="3"/>
  <c r="C25" i="3"/>
  <c r="X24" i="3"/>
  <c r="U24" i="3"/>
  <c r="R24" i="3"/>
  <c r="O24" i="3"/>
  <c r="L24" i="3"/>
  <c r="I24" i="3"/>
  <c r="F24" i="3"/>
  <c r="C24" i="3"/>
  <c r="X23" i="3"/>
  <c r="U23" i="3"/>
  <c r="R23" i="3"/>
  <c r="O23" i="3"/>
  <c r="L23" i="3"/>
  <c r="I23" i="3"/>
  <c r="F23" i="3"/>
  <c r="C23" i="3"/>
  <c r="X22" i="3"/>
  <c r="U22" i="3"/>
  <c r="R22" i="3"/>
  <c r="O22" i="3"/>
  <c r="L22" i="3"/>
  <c r="I22" i="3"/>
  <c r="F22" i="3"/>
  <c r="C22" i="3"/>
  <c r="X21" i="3"/>
  <c r="U21" i="3"/>
  <c r="R21" i="3"/>
  <c r="O21" i="3"/>
  <c r="L21" i="3"/>
  <c r="I21" i="3"/>
  <c r="F21" i="3"/>
  <c r="C21" i="3"/>
  <c r="W19" i="3"/>
  <c r="X19" i="3" s="1"/>
  <c r="T19" i="3"/>
  <c r="U19" i="3" s="1"/>
  <c r="R19" i="3"/>
  <c r="Q19" i="3"/>
  <c r="O19" i="3"/>
  <c r="N19" i="3"/>
  <c r="L19" i="3"/>
  <c r="K19" i="3"/>
  <c r="H19" i="3"/>
  <c r="I19" i="3" s="1"/>
  <c r="E19" i="3"/>
  <c r="F19" i="3" s="1"/>
  <c r="B19" i="3"/>
  <c r="C19" i="3" s="1"/>
  <c r="X18" i="3"/>
  <c r="U18" i="3"/>
  <c r="R18" i="3"/>
  <c r="O18" i="3"/>
  <c r="L18" i="3"/>
  <c r="I18" i="3"/>
  <c r="F18" i="3"/>
  <c r="C18" i="3"/>
  <c r="X17" i="3"/>
  <c r="U17" i="3"/>
  <c r="R17" i="3"/>
  <c r="O17" i="3"/>
  <c r="L17" i="3"/>
  <c r="I17" i="3"/>
  <c r="F17" i="3"/>
  <c r="C17" i="3"/>
  <c r="X16" i="3"/>
  <c r="U16" i="3"/>
  <c r="R16" i="3"/>
  <c r="O16" i="3"/>
  <c r="L16" i="3"/>
  <c r="I16" i="3"/>
  <c r="F16" i="3"/>
  <c r="C16" i="3"/>
  <c r="X15" i="3"/>
  <c r="U15" i="3"/>
  <c r="R15" i="3"/>
  <c r="O15" i="3"/>
  <c r="L15" i="3"/>
  <c r="I15" i="3"/>
  <c r="F15" i="3"/>
  <c r="C15" i="3"/>
  <c r="X14" i="3"/>
  <c r="U14" i="3"/>
  <c r="R14" i="3"/>
  <c r="O14" i="3"/>
  <c r="L14" i="3"/>
  <c r="I14" i="3"/>
  <c r="F14" i="3"/>
  <c r="C14" i="3"/>
  <c r="X13" i="3"/>
  <c r="U13" i="3"/>
  <c r="R13" i="3"/>
  <c r="O13" i="3"/>
  <c r="L13" i="3"/>
  <c r="I13" i="3"/>
  <c r="F13" i="3"/>
  <c r="C13" i="3"/>
  <c r="X11" i="3"/>
  <c r="U11" i="3"/>
  <c r="R11" i="3"/>
  <c r="O11" i="3"/>
  <c r="L11" i="3"/>
  <c r="I11" i="3"/>
  <c r="F11" i="3"/>
  <c r="C11" i="3"/>
  <c r="W10" i="3"/>
  <c r="X10" i="3" s="1"/>
  <c r="T10" i="3"/>
  <c r="U10" i="3" s="1"/>
  <c r="R10" i="3"/>
  <c r="Q10" i="3"/>
  <c r="O10" i="3"/>
  <c r="N10" i="3"/>
  <c r="L10" i="3"/>
  <c r="K10" i="3"/>
  <c r="H10" i="3"/>
  <c r="I10" i="3" s="1"/>
  <c r="E10" i="3"/>
  <c r="F10" i="3" s="1"/>
  <c r="B10" i="3"/>
  <c r="C10" i="3" s="1"/>
  <c r="X9" i="3"/>
  <c r="U9" i="3"/>
  <c r="R9" i="3"/>
  <c r="O9" i="3"/>
  <c r="L9" i="3"/>
  <c r="I9" i="3"/>
  <c r="F9" i="3"/>
  <c r="C9" i="3"/>
  <c r="X8" i="3"/>
  <c r="U8" i="3"/>
  <c r="R8" i="3"/>
  <c r="O8" i="3"/>
  <c r="L8" i="3"/>
  <c r="I8" i="3"/>
  <c r="F8" i="3"/>
  <c r="C8" i="3"/>
  <c r="N326" i="2"/>
  <c r="O326" i="2" s="1"/>
  <c r="W325" i="2"/>
  <c r="X325" i="2" s="1"/>
  <c r="T325" i="2"/>
  <c r="U325" i="2" s="1"/>
  <c r="R325" i="2"/>
  <c r="Q325" i="2"/>
  <c r="O325" i="2"/>
  <c r="N325" i="2"/>
  <c r="L325" i="2"/>
  <c r="K325" i="2"/>
  <c r="H325" i="2"/>
  <c r="I325" i="2" s="1"/>
  <c r="E325" i="2"/>
  <c r="F325" i="2" s="1"/>
  <c r="B325" i="2"/>
  <c r="C325" i="2" s="1"/>
  <c r="X324" i="2"/>
  <c r="W324" i="2"/>
  <c r="U324" i="2"/>
  <c r="T324" i="2"/>
  <c r="R324" i="2"/>
  <c r="Q324" i="2"/>
  <c r="N324" i="2"/>
  <c r="O324" i="2" s="1"/>
  <c r="K324" i="2"/>
  <c r="L324" i="2" s="1"/>
  <c r="H324" i="2"/>
  <c r="I324" i="2" s="1"/>
  <c r="F324" i="2"/>
  <c r="E324" i="2"/>
  <c r="C324" i="2"/>
  <c r="B324" i="2"/>
  <c r="X323" i="2"/>
  <c r="U323" i="2"/>
  <c r="R323" i="2"/>
  <c r="O323" i="2"/>
  <c r="L323" i="2"/>
  <c r="I323" i="2"/>
  <c r="F323" i="2"/>
  <c r="C323" i="2"/>
  <c r="X322" i="2"/>
  <c r="U322" i="2"/>
  <c r="R322" i="2"/>
  <c r="O322" i="2"/>
  <c r="L322" i="2"/>
  <c r="I322" i="2"/>
  <c r="F322" i="2"/>
  <c r="C322" i="2"/>
  <c r="X321" i="2"/>
  <c r="U321" i="2"/>
  <c r="R321" i="2"/>
  <c r="O321" i="2"/>
  <c r="L321" i="2"/>
  <c r="I321" i="2"/>
  <c r="F321" i="2"/>
  <c r="C321" i="2"/>
  <c r="X320" i="2"/>
  <c r="U320" i="2"/>
  <c r="R320" i="2"/>
  <c r="O320" i="2"/>
  <c r="L320" i="2"/>
  <c r="I320" i="2"/>
  <c r="F320" i="2"/>
  <c r="C320" i="2"/>
  <c r="X319" i="2"/>
  <c r="U319" i="2"/>
  <c r="R319" i="2"/>
  <c r="O319" i="2"/>
  <c r="L319" i="2"/>
  <c r="I319" i="2"/>
  <c r="F319" i="2"/>
  <c r="C319" i="2"/>
  <c r="X318" i="2"/>
  <c r="U318" i="2"/>
  <c r="R318" i="2"/>
  <c r="O318" i="2"/>
  <c r="L318" i="2"/>
  <c r="I318" i="2"/>
  <c r="F318" i="2"/>
  <c r="C318" i="2"/>
  <c r="X317" i="2"/>
  <c r="U317" i="2"/>
  <c r="R317" i="2"/>
  <c r="O317" i="2"/>
  <c r="L317" i="2"/>
  <c r="I317" i="2"/>
  <c r="F317" i="2"/>
  <c r="C317" i="2"/>
  <c r="X316" i="2"/>
  <c r="U316" i="2"/>
  <c r="R316" i="2"/>
  <c r="O316" i="2"/>
  <c r="L316" i="2"/>
  <c r="I316" i="2"/>
  <c r="F316" i="2"/>
  <c r="C316" i="2"/>
  <c r="W314" i="2"/>
  <c r="X314" i="2" s="1"/>
  <c r="T314" i="2"/>
  <c r="U314" i="2" s="1"/>
  <c r="R314" i="2"/>
  <c r="Q314" i="2"/>
  <c r="O314" i="2"/>
  <c r="N314" i="2"/>
  <c r="L314" i="2"/>
  <c r="K314" i="2"/>
  <c r="H314" i="2"/>
  <c r="I314" i="2" s="1"/>
  <c r="E314" i="2"/>
  <c r="F314" i="2" s="1"/>
  <c r="B314" i="2"/>
  <c r="C314" i="2" s="1"/>
  <c r="X313" i="2"/>
  <c r="U313" i="2"/>
  <c r="R313" i="2"/>
  <c r="O313" i="2"/>
  <c r="L313" i="2"/>
  <c r="I313" i="2"/>
  <c r="F313" i="2"/>
  <c r="C313" i="2"/>
  <c r="X312" i="2"/>
  <c r="U312" i="2"/>
  <c r="R312" i="2"/>
  <c r="O312" i="2"/>
  <c r="L312" i="2"/>
  <c r="I312" i="2"/>
  <c r="F312" i="2"/>
  <c r="C312" i="2"/>
  <c r="X311" i="2"/>
  <c r="U311" i="2"/>
  <c r="R311" i="2"/>
  <c r="O311" i="2"/>
  <c r="L311" i="2"/>
  <c r="I311" i="2"/>
  <c r="F311" i="2"/>
  <c r="C311" i="2"/>
  <c r="X310" i="2"/>
  <c r="U310" i="2"/>
  <c r="R310" i="2"/>
  <c r="O310" i="2"/>
  <c r="L310" i="2"/>
  <c r="I310" i="2"/>
  <c r="F310" i="2"/>
  <c r="C310" i="2"/>
  <c r="X309" i="2"/>
  <c r="U309" i="2"/>
  <c r="R309" i="2"/>
  <c r="O309" i="2"/>
  <c r="L309" i="2"/>
  <c r="I309" i="2"/>
  <c r="F309" i="2"/>
  <c r="C309" i="2"/>
  <c r="X308" i="2"/>
  <c r="U308" i="2"/>
  <c r="R308" i="2"/>
  <c r="O308" i="2"/>
  <c r="L308" i="2"/>
  <c r="I308" i="2"/>
  <c r="F308" i="2"/>
  <c r="C308" i="2"/>
  <c r="X307" i="2"/>
  <c r="U307" i="2"/>
  <c r="R307" i="2"/>
  <c r="O307" i="2"/>
  <c r="L307" i="2"/>
  <c r="I307" i="2"/>
  <c r="F307" i="2"/>
  <c r="C307" i="2"/>
  <c r="X306" i="2"/>
  <c r="U306" i="2"/>
  <c r="R306" i="2"/>
  <c r="O306" i="2"/>
  <c r="L306" i="2"/>
  <c r="I306" i="2"/>
  <c r="F306" i="2"/>
  <c r="C306" i="2"/>
  <c r="X305" i="2"/>
  <c r="U305" i="2"/>
  <c r="R305" i="2"/>
  <c r="O305" i="2"/>
  <c r="L305" i="2"/>
  <c r="I305" i="2"/>
  <c r="F305" i="2"/>
  <c r="C305" i="2"/>
  <c r="X304" i="2"/>
  <c r="U304" i="2"/>
  <c r="R304" i="2"/>
  <c r="O304" i="2"/>
  <c r="L304" i="2"/>
  <c r="I304" i="2"/>
  <c r="F304" i="2"/>
  <c r="C304" i="2"/>
  <c r="X303" i="2"/>
  <c r="U303" i="2"/>
  <c r="R303" i="2"/>
  <c r="O303" i="2"/>
  <c r="L303" i="2"/>
  <c r="I303" i="2"/>
  <c r="F303" i="2"/>
  <c r="C303" i="2"/>
  <c r="X302" i="2"/>
  <c r="U302" i="2"/>
  <c r="R302" i="2"/>
  <c r="O302" i="2"/>
  <c r="L302" i="2"/>
  <c r="I302" i="2"/>
  <c r="F302" i="2"/>
  <c r="C302" i="2"/>
  <c r="X301" i="2"/>
  <c r="U301" i="2"/>
  <c r="R301" i="2"/>
  <c r="O301" i="2"/>
  <c r="L301" i="2"/>
  <c r="I301" i="2"/>
  <c r="F301" i="2"/>
  <c r="C301" i="2"/>
  <c r="X300" i="2"/>
  <c r="U300" i="2"/>
  <c r="R300" i="2"/>
  <c r="O300" i="2"/>
  <c r="L300" i="2"/>
  <c r="I300" i="2"/>
  <c r="F300" i="2"/>
  <c r="C300" i="2"/>
  <c r="X299" i="2"/>
  <c r="U299" i="2"/>
  <c r="R299" i="2"/>
  <c r="O299" i="2"/>
  <c r="L299" i="2"/>
  <c r="I299" i="2"/>
  <c r="F299" i="2"/>
  <c r="C299" i="2"/>
  <c r="X298" i="2"/>
  <c r="U298" i="2"/>
  <c r="R298" i="2"/>
  <c r="O298" i="2"/>
  <c r="L298" i="2"/>
  <c r="I298" i="2"/>
  <c r="F298" i="2"/>
  <c r="C298" i="2"/>
  <c r="X297" i="2"/>
  <c r="U297" i="2"/>
  <c r="R297" i="2"/>
  <c r="O297" i="2"/>
  <c r="L297" i="2"/>
  <c r="I297" i="2"/>
  <c r="F297" i="2"/>
  <c r="C297" i="2"/>
  <c r="X296" i="2"/>
  <c r="U296" i="2"/>
  <c r="R296" i="2"/>
  <c r="O296" i="2"/>
  <c r="L296" i="2"/>
  <c r="I296" i="2"/>
  <c r="F296" i="2"/>
  <c r="C296" i="2"/>
  <c r="X295" i="2"/>
  <c r="U295" i="2"/>
  <c r="R295" i="2"/>
  <c r="O295" i="2"/>
  <c r="L295" i="2"/>
  <c r="I295" i="2"/>
  <c r="F295" i="2"/>
  <c r="C295" i="2"/>
  <c r="X294" i="2"/>
  <c r="U294" i="2"/>
  <c r="R294" i="2"/>
  <c r="O294" i="2"/>
  <c r="L294" i="2"/>
  <c r="I294" i="2"/>
  <c r="F294" i="2"/>
  <c r="C294" i="2"/>
  <c r="X293" i="2"/>
  <c r="U293" i="2"/>
  <c r="R293" i="2"/>
  <c r="O293" i="2"/>
  <c r="L293" i="2"/>
  <c r="I293" i="2"/>
  <c r="F293" i="2"/>
  <c r="C293" i="2"/>
  <c r="X292" i="2"/>
  <c r="U292" i="2"/>
  <c r="R292" i="2"/>
  <c r="O292" i="2"/>
  <c r="L292" i="2"/>
  <c r="I292" i="2"/>
  <c r="F292" i="2"/>
  <c r="C292" i="2"/>
  <c r="X291" i="2"/>
  <c r="U291" i="2"/>
  <c r="R291" i="2"/>
  <c r="O291" i="2"/>
  <c r="L291" i="2"/>
  <c r="I291" i="2"/>
  <c r="F291" i="2"/>
  <c r="C291" i="2"/>
  <c r="X290" i="2"/>
  <c r="U290" i="2"/>
  <c r="R290" i="2"/>
  <c r="O290" i="2"/>
  <c r="L290" i="2"/>
  <c r="I290" i="2"/>
  <c r="F290" i="2"/>
  <c r="C290" i="2"/>
  <c r="X289" i="2"/>
  <c r="U289" i="2"/>
  <c r="R289" i="2"/>
  <c r="O289" i="2"/>
  <c r="L289" i="2"/>
  <c r="I289" i="2"/>
  <c r="F289" i="2"/>
  <c r="C289" i="2"/>
  <c r="X288" i="2"/>
  <c r="U288" i="2"/>
  <c r="R288" i="2"/>
  <c r="O288" i="2"/>
  <c r="L288" i="2"/>
  <c r="I288" i="2"/>
  <c r="F288" i="2"/>
  <c r="C288" i="2"/>
  <c r="X287" i="2"/>
  <c r="U287" i="2"/>
  <c r="R287" i="2"/>
  <c r="O287" i="2"/>
  <c r="L287" i="2"/>
  <c r="I287" i="2"/>
  <c r="F287" i="2"/>
  <c r="C287" i="2"/>
  <c r="X284" i="2"/>
  <c r="W284" i="2"/>
  <c r="U284" i="2"/>
  <c r="T284" i="2"/>
  <c r="R284" i="2"/>
  <c r="Q284" i="2"/>
  <c r="N284" i="2"/>
  <c r="O284" i="2" s="1"/>
  <c r="K284" i="2"/>
  <c r="L284" i="2" s="1"/>
  <c r="H284" i="2"/>
  <c r="I284" i="2" s="1"/>
  <c r="F284" i="2"/>
  <c r="E284" i="2"/>
  <c r="C284" i="2"/>
  <c r="B284" i="2"/>
  <c r="X283" i="2"/>
  <c r="W283" i="2"/>
  <c r="T283" i="2"/>
  <c r="U283" i="2" s="1"/>
  <c r="Q283" i="2"/>
  <c r="R283" i="2" s="1"/>
  <c r="N283" i="2"/>
  <c r="O283" i="2" s="1"/>
  <c r="L283" i="2"/>
  <c r="K283" i="2"/>
  <c r="I283" i="2"/>
  <c r="H283" i="2"/>
  <c r="F283" i="2"/>
  <c r="E283" i="2"/>
  <c r="B283" i="2"/>
  <c r="C283" i="2" s="1"/>
  <c r="X282" i="2"/>
  <c r="U282" i="2"/>
  <c r="R282" i="2"/>
  <c r="O282" i="2"/>
  <c r="L282" i="2"/>
  <c r="I282" i="2"/>
  <c r="F282" i="2"/>
  <c r="C282" i="2"/>
  <c r="X281" i="2"/>
  <c r="U281" i="2"/>
  <c r="R281" i="2"/>
  <c r="O281" i="2"/>
  <c r="L281" i="2"/>
  <c r="I281" i="2"/>
  <c r="F281" i="2"/>
  <c r="C281" i="2"/>
  <c r="X280" i="2"/>
  <c r="U280" i="2"/>
  <c r="R280" i="2"/>
  <c r="O280" i="2"/>
  <c r="L280" i="2"/>
  <c r="I280" i="2"/>
  <c r="F280" i="2"/>
  <c r="C280" i="2"/>
  <c r="X279" i="2"/>
  <c r="U279" i="2"/>
  <c r="R279" i="2"/>
  <c r="O279" i="2"/>
  <c r="L279" i="2"/>
  <c r="I279" i="2"/>
  <c r="F279" i="2"/>
  <c r="C279" i="2"/>
  <c r="X278" i="2"/>
  <c r="U278" i="2"/>
  <c r="R278" i="2"/>
  <c r="O278" i="2"/>
  <c r="L278" i="2"/>
  <c r="I278" i="2"/>
  <c r="F278" i="2"/>
  <c r="C278" i="2"/>
  <c r="X277" i="2"/>
  <c r="U277" i="2"/>
  <c r="R277" i="2"/>
  <c r="O277" i="2"/>
  <c r="L277" i="2"/>
  <c r="I277" i="2"/>
  <c r="F277" i="2"/>
  <c r="C277" i="2"/>
  <c r="X276" i="2"/>
  <c r="U276" i="2"/>
  <c r="R276" i="2"/>
  <c r="O276" i="2"/>
  <c r="L276" i="2"/>
  <c r="I276" i="2"/>
  <c r="F276" i="2"/>
  <c r="C276" i="2"/>
  <c r="X275" i="2"/>
  <c r="U275" i="2"/>
  <c r="R275" i="2"/>
  <c r="O275" i="2"/>
  <c r="L275" i="2"/>
  <c r="I275" i="2"/>
  <c r="F275" i="2"/>
  <c r="C275" i="2"/>
  <c r="X274" i="2"/>
  <c r="U274" i="2"/>
  <c r="R274" i="2"/>
  <c r="O274" i="2"/>
  <c r="L274" i="2"/>
  <c r="I274" i="2"/>
  <c r="F274" i="2"/>
  <c r="C274" i="2"/>
  <c r="X273" i="2"/>
  <c r="U273" i="2"/>
  <c r="R273" i="2"/>
  <c r="O273" i="2"/>
  <c r="L273" i="2"/>
  <c r="I273" i="2"/>
  <c r="F273" i="2"/>
  <c r="C273" i="2"/>
  <c r="X272" i="2"/>
  <c r="U272" i="2"/>
  <c r="R272" i="2"/>
  <c r="O272" i="2"/>
  <c r="L272" i="2"/>
  <c r="I272" i="2"/>
  <c r="F272" i="2"/>
  <c r="C272" i="2"/>
  <c r="X271" i="2"/>
  <c r="U271" i="2"/>
  <c r="R271" i="2"/>
  <c r="O271" i="2"/>
  <c r="L271" i="2"/>
  <c r="I271" i="2"/>
  <c r="F271" i="2"/>
  <c r="C271" i="2"/>
  <c r="X270" i="2"/>
  <c r="U270" i="2"/>
  <c r="R270" i="2"/>
  <c r="O270" i="2"/>
  <c r="L270" i="2"/>
  <c r="I270" i="2"/>
  <c r="F270" i="2"/>
  <c r="C270" i="2"/>
  <c r="X269" i="2"/>
  <c r="U269" i="2"/>
  <c r="R269" i="2"/>
  <c r="O269" i="2"/>
  <c r="L269" i="2"/>
  <c r="I269" i="2"/>
  <c r="F269" i="2"/>
  <c r="C269" i="2"/>
  <c r="X268" i="2"/>
  <c r="U268" i="2"/>
  <c r="R268" i="2"/>
  <c r="O268" i="2"/>
  <c r="L268" i="2"/>
  <c r="I268" i="2"/>
  <c r="F268" i="2"/>
  <c r="C268" i="2"/>
  <c r="X267" i="2"/>
  <c r="U267" i="2"/>
  <c r="R267" i="2"/>
  <c r="O267" i="2"/>
  <c r="L267" i="2"/>
  <c r="I267" i="2"/>
  <c r="F267" i="2"/>
  <c r="C267" i="2"/>
  <c r="X266" i="2"/>
  <c r="U266" i="2"/>
  <c r="R266" i="2"/>
  <c r="O266" i="2"/>
  <c r="L266" i="2"/>
  <c r="I266" i="2"/>
  <c r="F266" i="2"/>
  <c r="C266" i="2"/>
  <c r="X265" i="2"/>
  <c r="U265" i="2"/>
  <c r="R265" i="2"/>
  <c r="O265" i="2"/>
  <c r="L265" i="2"/>
  <c r="I265" i="2"/>
  <c r="F265" i="2"/>
  <c r="C265" i="2"/>
  <c r="W263" i="2"/>
  <c r="X263" i="2" s="1"/>
  <c r="T263" i="2"/>
  <c r="U263" i="2" s="1"/>
  <c r="R263" i="2"/>
  <c r="Q263" i="2"/>
  <c r="O263" i="2"/>
  <c r="N263" i="2"/>
  <c r="L263" i="2"/>
  <c r="K263" i="2"/>
  <c r="H263" i="2"/>
  <c r="I263" i="2" s="1"/>
  <c r="E263" i="2"/>
  <c r="F263" i="2" s="1"/>
  <c r="B263" i="2"/>
  <c r="C263" i="2" s="1"/>
  <c r="X262" i="2"/>
  <c r="U262" i="2"/>
  <c r="R262" i="2"/>
  <c r="O262" i="2"/>
  <c r="L262" i="2"/>
  <c r="I262" i="2"/>
  <c r="F262" i="2"/>
  <c r="C262" i="2"/>
  <c r="X261" i="2"/>
  <c r="U261" i="2"/>
  <c r="R261" i="2"/>
  <c r="O261" i="2"/>
  <c r="L261" i="2"/>
  <c r="I261" i="2"/>
  <c r="F261" i="2"/>
  <c r="C261" i="2"/>
  <c r="X260" i="2"/>
  <c r="U260" i="2"/>
  <c r="R260" i="2"/>
  <c r="O260" i="2"/>
  <c r="L260" i="2"/>
  <c r="I260" i="2"/>
  <c r="F260" i="2"/>
  <c r="C260" i="2"/>
  <c r="X259" i="2"/>
  <c r="U259" i="2"/>
  <c r="R259" i="2"/>
  <c r="O259" i="2"/>
  <c r="L259" i="2"/>
  <c r="I259" i="2"/>
  <c r="F259" i="2"/>
  <c r="C259" i="2"/>
  <c r="X258" i="2"/>
  <c r="U258" i="2"/>
  <c r="R258" i="2"/>
  <c r="O258" i="2"/>
  <c r="L258" i="2"/>
  <c r="I258" i="2"/>
  <c r="F258" i="2"/>
  <c r="C258" i="2"/>
  <c r="X257" i="2"/>
  <c r="U257" i="2"/>
  <c r="R257" i="2"/>
  <c r="O257" i="2"/>
  <c r="L257" i="2"/>
  <c r="I257" i="2"/>
  <c r="F257" i="2"/>
  <c r="C257" i="2"/>
  <c r="X256" i="2"/>
  <c r="U256" i="2"/>
  <c r="R256" i="2"/>
  <c r="O256" i="2"/>
  <c r="L256" i="2"/>
  <c r="I256" i="2"/>
  <c r="F256" i="2"/>
  <c r="C256" i="2"/>
  <c r="X255" i="2"/>
  <c r="U255" i="2"/>
  <c r="R255" i="2"/>
  <c r="O255" i="2"/>
  <c r="L255" i="2"/>
  <c r="I255" i="2"/>
  <c r="F255" i="2"/>
  <c r="C255" i="2"/>
  <c r="X254" i="2"/>
  <c r="U254" i="2"/>
  <c r="R254" i="2"/>
  <c r="O254" i="2"/>
  <c r="L254" i="2"/>
  <c r="I254" i="2"/>
  <c r="F254" i="2"/>
  <c r="C254" i="2"/>
  <c r="X252" i="2"/>
  <c r="W252" i="2"/>
  <c r="U252" i="2"/>
  <c r="T252" i="2"/>
  <c r="R252" i="2"/>
  <c r="Q252" i="2"/>
  <c r="N252" i="2"/>
  <c r="O252" i="2" s="1"/>
  <c r="K252" i="2"/>
  <c r="L252" i="2" s="1"/>
  <c r="H252" i="2"/>
  <c r="I252" i="2" s="1"/>
  <c r="F252" i="2"/>
  <c r="E252" i="2"/>
  <c r="C252" i="2"/>
  <c r="B252" i="2"/>
  <c r="X251" i="2"/>
  <c r="U251" i="2"/>
  <c r="R251" i="2"/>
  <c r="O251" i="2"/>
  <c r="L251" i="2"/>
  <c r="I251" i="2"/>
  <c r="F251" i="2"/>
  <c r="C251" i="2"/>
  <c r="X250" i="2"/>
  <c r="U250" i="2"/>
  <c r="R250" i="2"/>
  <c r="O250" i="2"/>
  <c r="L250" i="2"/>
  <c r="I250" i="2"/>
  <c r="F250" i="2"/>
  <c r="C250" i="2"/>
  <c r="X249" i="2"/>
  <c r="U249" i="2"/>
  <c r="R249" i="2"/>
  <c r="O249" i="2"/>
  <c r="L249" i="2"/>
  <c r="I249" i="2"/>
  <c r="F249" i="2"/>
  <c r="C249" i="2"/>
  <c r="X248" i="2"/>
  <c r="U248" i="2"/>
  <c r="R248" i="2"/>
  <c r="O248" i="2"/>
  <c r="L248" i="2"/>
  <c r="I248" i="2"/>
  <c r="F248" i="2"/>
  <c r="C248" i="2"/>
  <c r="X247" i="2"/>
  <c r="U247" i="2"/>
  <c r="R247" i="2"/>
  <c r="O247" i="2"/>
  <c r="L247" i="2"/>
  <c r="I247" i="2"/>
  <c r="F247" i="2"/>
  <c r="C247" i="2"/>
  <c r="X246" i="2"/>
  <c r="U246" i="2"/>
  <c r="R246" i="2"/>
  <c r="O246" i="2"/>
  <c r="L246" i="2"/>
  <c r="I246" i="2"/>
  <c r="F246" i="2"/>
  <c r="C246" i="2"/>
  <c r="X245" i="2"/>
  <c r="U245" i="2"/>
  <c r="R245" i="2"/>
  <c r="O245" i="2"/>
  <c r="L245" i="2"/>
  <c r="I245" i="2"/>
  <c r="F245" i="2"/>
  <c r="C245" i="2"/>
  <c r="X244" i="2"/>
  <c r="U244" i="2"/>
  <c r="R244" i="2"/>
  <c r="O244" i="2"/>
  <c r="L244" i="2"/>
  <c r="I244" i="2"/>
  <c r="F244" i="2"/>
  <c r="C244" i="2"/>
  <c r="X243" i="2"/>
  <c r="U243" i="2"/>
  <c r="R243" i="2"/>
  <c r="O243" i="2"/>
  <c r="L243" i="2"/>
  <c r="I243" i="2"/>
  <c r="F243" i="2"/>
  <c r="C243" i="2"/>
  <c r="X241" i="2"/>
  <c r="W241" i="2"/>
  <c r="T241" i="2"/>
  <c r="U241" i="2" s="1"/>
  <c r="Q241" i="2"/>
  <c r="R241" i="2" s="1"/>
  <c r="N241" i="2"/>
  <c r="O241" i="2" s="1"/>
  <c r="L241" i="2"/>
  <c r="K241" i="2"/>
  <c r="I241" i="2"/>
  <c r="H241" i="2"/>
  <c r="F241" i="2"/>
  <c r="E241" i="2"/>
  <c r="B241" i="2"/>
  <c r="C241" i="2" s="1"/>
  <c r="X240" i="2"/>
  <c r="U240" i="2"/>
  <c r="R240" i="2"/>
  <c r="O240" i="2"/>
  <c r="L240" i="2"/>
  <c r="I240" i="2"/>
  <c r="F240" i="2"/>
  <c r="C240" i="2"/>
  <c r="X239" i="2"/>
  <c r="U239" i="2"/>
  <c r="R239" i="2"/>
  <c r="O239" i="2"/>
  <c r="L239" i="2"/>
  <c r="I239" i="2"/>
  <c r="F239" i="2"/>
  <c r="C239" i="2"/>
  <c r="X238" i="2"/>
  <c r="U238" i="2"/>
  <c r="R238" i="2"/>
  <c r="O238" i="2"/>
  <c r="L238" i="2"/>
  <c r="I238" i="2"/>
  <c r="F238" i="2"/>
  <c r="C238" i="2"/>
  <c r="X237" i="2"/>
  <c r="U237" i="2"/>
  <c r="R237" i="2"/>
  <c r="O237" i="2"/>
  <c r="L237" i="2"/>
  <c r="I237" i="2"/>
  <c r="F237" i="2"/>
  <c r="C237" i="2"/>
  <c r="X236" i="2"/>
  <c r="U236" i="2"/>
  <c r="R236" i="2"/>
  <c r="O236" i="2"/>
  <c r="L236" i="2"/>
  <c r="I236" i="2"/>
  <c r="F236" i="2"/>
  <c r="C236" i="2"/>
  <c r="X235" i="2"/>
  <c r="U235" i="2"/>
  <c r="R235" i="2"/>
  <c r="O235" i="2"/>
  <c r="L235" i="2"/>
  <c r="I235" i="2"/>
  <c r="F235" i="2"/>
  <c r="C235" i="2"/>
  <c r="X234" i="2"/>
  <c r="U234" i="2"/>
  <c r="R234" i="2"/>
  <c r="O234" i="2"/>
  <c r="L234" i="2"/>
  <c r="I234" i="2"/>
  <c r="F234" i="2"/>
  <c r="C234" i="2"/>
  <c r="X233" i="2"/>
  <c r="U233" i="2"/>
  <c r="R233" i="2"/>
  <c r="O233" i="2"/>
  <c r="L233" i="2"/>
  <c r="I233" i="2"/>
  <c r="F233" i="2"/>
  <c r="C233" i="2"/>
  <c r="X232" i="2"/>
  <c r="U232" i="2"/>
  <c r="R232" i="2"/>
  <c r="O232" i="2"/>
  <c r="L232" i="2"/>
  <c r="I232" i="2"/>
  <c r="F232" i="2"/>
  <c r="C232" i="2"/>
  <c r="X231" i="2"/>
  <c r="U231" i="2"/>
  <c r="R231" i="2"/>
  <c r="O231" i="2"/>
  <c r="L231" i="2"/>
  <c r="I231" i="2"/>
  <c r="F231" i="2"/>
  <c r="C231" i="2"/>
  <c r="X230" i="2"/>
  <c r="U230" i="2"/>
  <c r="R230" i="2"/>
  <c r="O230" i="2"/>
  <c r="L230" i="2"/>
  <c r="I230" i="2"/>
  <c r="F230" i="2"/>
  <c r="C230" i="2"/>
  <c r="X229" i="2"/>
  <c r="U229" i="2"/>
  <c r="R229" i="2"/>
  <c r="O229" i="2"/>
  <c r="L229" i="2"/>
  <c r="I229" i="2"/>
  <c r="F229" i="2"/>
  <c r="C229" i="2"/>
  <c r="X228" i="2"/>
  <c r="U228" i="2"/>
  <c r="R228" i="2"/>
  <c r="O228" i="2"/>
  <c r="L228" i="2"/>
  <c r="I228" i="2"/>
  <c r="F228" i="2"/>
  <c r="C228" i="2"/>
  <c r="X227" i="2"/>
  <c r="U227" i="2"/>
  <c r="R227" i="2"/>
  <c r="O227" i="2"/>
  <c r="L227" i="2"/>
  <c r="I227" i="2"/>
  <c r="F227" i="2"/>
  <c r="C227" i="2"/>
  <c r="X226" i="2"/>
  <c r="U226" i="2"/>
  <c r="R226" i="2"/>
  <c r="O226" i="2"/>
  <c r="L226" i="2"/>
  <c r="I226" i="2"/>
  <c r="F226" i="2"/>
  <c r="C226" i="2"/>
  <c r="X225" i="2"/>
  <c r="U225" i="2"/>
  <c r="R225" i="2"/>
  <c r="O225" i="2"/>
  <c r="L225" i="2"/>
  <c r="I225" i="2"/>
  <c r="F225" i="2"/>
  <c r="C225" i="2"/>
  <c r="X224" i="2"/>
  <c r="U224" i="2"/>
  <c r="R224" i="2"/>
  <c r="O224" i="2"/>
  <c r="L224" i="2"/>
  <c r="I224" i="2"/>
  <c r="F224" i="2"/>
  <c r="C224" i="2"/>
  <c r="X223" i="2"/>
  <c r="U223" i="2"/>
  <c r="R223" i="2"/>
  <c r="O223" i="2"/>
  <c r="L223" i="2"/>
  <c r="I223" i="2"/>
  <c r="F223" i="2"/>
  <c r="C223" i="2"/>
  <c r="X222" i="2"/>
  <c r="U222" i="2"/>
  <c r="R222" i="2"/>
  <c r="O222" i="2"/>
  <c r="L222" i="2"/>
  <c r="I222" i="2"/>
  <c r="F222" i="2"/>
  <c r="C222" i="2"/>
  <c r="X221" i="2"/>
  <c r="U221" i="2"/>
  <c r="R221" i="2"/>
  <c r="O221" i="2"/>
  <c r="L221" i="2"/>
  <c r="I221" i="2"/>
  <c r="F221" i="2"/>
  <c r="C221" i="2"/>
  <c r="X220" i="2"/>
  <c r="U220" i="2"/>
  <c r="R220" i="2"/>
  <c r="O220" i="2"/>
  <c r="L220" i="2"/>
  <c r="I220" i="2"/>
  <c r="F220" i="2"/>
  <c r="C220" i="2"/>
  <c r="X219" i="2"/>
  <c r="U219" i="2"/>
  <c r="R219" i="2"/>
  <c r="O219" i="2"/>
  <c r="L219" i="2"/>
  <c r="I219" i="2"/>
  <c r="F219" i="2"/>
  <c r="C219" i="2"/>
  <c r="X218" i="2"/>
  <c r="U218" i="2"/>
  <c r="R218" i="2"/>
  <c r="O218" i="2"/>
  <c r="L218" i="2"/>
  <c r="I218" i="2"/>
  <c r="F218" i="2"/>
  <c r="C218" i="2"/>
  <c r="X217" i="2"/>
  <c r="U217" i="2"/>
  <c r="R217" i="2"/>
  <c r="O217" i="2"/>
  <c r="L217" i="2"/>
  <c r="I217" i="2"/>
  <c r="F217" i="2"/>
  <c r="C217" i="2"/>
  <c r="X216" i="2"/>
  <c r="U216" i="2"/>
  <c r="R216" i="2"/>
  <c r="O216" i="2"/>
  <c r="L216" i="2"/>
  <c r="I216" i="2"/>
  <c r="F216" i="2"/>
  <c r="C216" i="2"/>
  <c r="X215" i="2"/>
  <c r="U215" i="2"/>
  <c r="R215" i="2"/>
  <c r="O215" i="2"/>
  <c r="L215" i="2"/>
  <c r="I215" i="2"/>
  <c r="F215" i="2"/>
  <c r="C215" i="2"/>
  <c r="X214" i="2"/>
  <c r="U214" i="2"/>
  <c r="R214" i="2"/>
  <c r="O214" i="2"/>
  <c r="L214" i="2"/>
  <c r="I214" i="2"/>
  <c r="F214" i="2"/>
  <c r="C214" i="2"/>
  <c r="W211" i="2"/>
  <c r="X211" i="2" s="1"/>
  <c r="T211" i="2"/>
  <c r="U211" i="2" s="1"/>
  <c r="R211" i="2"/>
  <c r="Q211" i="2"/>
  <c r="O211" i="2"/>
  <c r="N211" i="2"/>
  <c r="L211" i="2"/>
  <c r="K211" i="2"/>
  <c r="H211" i="2"/>
  <c r="I211" i="2" s="1"/>
  <c r="E211" i="2"/>
  <c r="F211" i="2" s="1"/>
  <c r="B211" i="2"/>
  <c r="C211" i="2" s="1"/>
  <c r="X210" i="2"/>
  <c r="U210" i="2"/>
  <c r="R210" i="2"/>
  <c r="O210" i="2"/>
  <c r="L210" i="2"/>
  <c r="I210" i="2"/>
  <c r="F210" i="2"/>
  <c r="C210" i="2"/>
  <c r="W209" i="2"/>
  <c r="X209" i="2" s="1"/>
  <c r="T209" i="2"/>
  <c r="U209" i="2" s="1"/>
  <c r="R209" i="2"/>
  <c r="Q209" i="2"/>
  <c r="O209" i="2"/>
  <c r="N209" i="2"/>
  <c r="L209" i="2"/>
  <c r="K209" i="2"/>
  <c r="H209" i="2"/>
  <c r="I209" i="2" s="1"/>
  <c r="E209" i="2"/>
  <c r="F209" i="2" s="1"/>
  <c r="B209" i="2"/>
  <c r="C209" i="2" s="1"/>
  <c r="X208" i="2"/>
  <c r="U208" i="2"/>
  <c r="R208" i="2"/>
  <c r="O208" i="2"/>
  <c r="L208" i="2"/>
  <c r="I208" i="2"/>
  <c r="F208" i="2"/>
  <c r="C208" i="2"/>
  <c r="X207" i="2"/>
  <c r="U207" i="2"/>
  <c r="R207" i="2"/>
  <c r="O207" i="2"/>
  <c r="L207" i="2"/>
  <c r="I207" i="2"/>
  <c r="F207" i="2"/>
  <c r="C207" i="2"/>
  <c r="X206" i="2"/>
  <c r="U206" i="2"/>
  <c r="R206" i="2"/>
  <c r="O206" i="2"/>
  <c r="L206" i="2"/>
  <c r="I206" i="2"/>
  <c r="F206" i="2"/>
  <c r="C206" i="2"/>
  <c r="X205" i="2"/>
  <c r="U205" i="2"/>
  <c r="R205" i="2"/>
  <c r="O205" i="2"/>
  <c r="L205" i="2"/>
  <c r="I205" i="2"/>
  <c r="F205" i="2"/>
  <c r="C205" i="2"/>
  <c r="X204" i="2"/>
  <c r="U204" i="2"/>
  <c r="R204" i="2"/>
  <c r="O204" i="2"/>
  <c r="L204" i="2"/>
  <c r="I204" i="2"/>
  <c r="F204" i="2"/>
  <c r="C204" i="2"/>
  <c r="X203" i="2"/>
  <c r="U203" i="2"/>
  <c r="R203" i="2"/>
  <c r="O203" i="2"/>
  <c r="L203" i="2"/>
  <c r="I203" i="2"/>
  <c r="F203" i="2"/>
  <c r="C203" i="2"/>
  <c r="X202" i="2"/>
  <c r="U202" i="2"/>
  <c r="R202" i="2"/>
  <c r="O202" i="2"/>
  <c r="L202" i="2"/>
  <c r="I202" i="2"/>
  <c r="F202" i="2"/>
  <c r="C202" i="2"/>
  <c r="X201" i="2"/>
  <c r="U201" i="2"/>
  <c r="R201" i="2"/>
  <c r="O201" i="2"/>
  <c r="L201" i="2"/>
  <c r="I201" i="2"/>
  <c r="F201" i="2"/>
  <c r="C201" i="2"/>
  <c r="X200" i="2"/>
  <c r="U200" i="2"/>
  <c r="R200" i="2"/>
  <c r="O200" i="2"/>
  <c r="L200" i="2"/>
  <c r="I200" i="2"/>
  <c r="F200" i="2"/>
  <c r="C200" i="2"/>
  <c r="X199" i="2"/>
  <c r="U199" i="2"/>
  <c r="R199" i="2"/>
  <c r="O199" i="2"/>
  <c r="L199" i="2"/>
  <c r="I199" i="2"/>
  <c r="F199" i="2"/>
  <c r="C199" i="2"/>
  <c r="X198" i="2"/>
  <c r="U198" i="2"/>
  <c r="R198" i="2"/>
  <c r="O198" i="2"/>
  <c r="L198" i="2"/>
  <c r="I198" i="2"/>
  <c r="F198" i="2"/>
  <c r="C198" i="2"/>
  <c r="X197" i="2"/>
  <c r="U197" i="2"/>
  <c r="R197" i="2"/>
  <c r="O197" i="2"/>
  <c r="L197" i="2"/>
  <c r="I197" i="2"/>
  <c r="F197" i="2"/>
  <c r="C197" i="2"/>
  <c r="X196" i="2"/>
  <c r="U196" i="2"/>
  <c r="R196" i="2"/>
  <c r="O196" i="2"/>
  <c r="L196" i="2"/>
  <c r="I196" i="2"/>
  <c r="F196" i="2"/>
  <c r="C196" i="2"/>
  <c r="X195" i="2"/>
  <c r="U195" i="2"/>
  <c r="R195" i="2"/>
  <c r="O195" i="2"/>
  <c r="L195" i="2"/>
  <c r="I195" i="2"/>
  <c r="F195" i="2"/>
  <c r="C195" i="2"/>
  <c r="X194" i="2"/>
  <c r="U194" i="2"/>
  <c r="R194" i="2"/>
  <c r="O194" i="2"/>
  <c r="L194" i="2"/>
  <c r="I194" i="2"/>
  <c r="F194" i="2"/>
  <c r="C194" i="2"/>
  <c r="X193" i="2"/>
  <c r="U193" i="2"/>
  <c r="R193" i="2"/>
  <c r="O193" i="2"/>
  <c r="L193" i="2"/>
  <c r="I193" i="2"/>
  <c r="F193" i="2"/>
  <c r="C193" i="2"/>
  <c r="X192" i="2"/>
  <c r="U192" i="2"/>
  <c r="R192" i="2"/>
  <c r="O192" i="2"/>
  <c r="L192" i="2"/>
  <c r="I192" i="2"/>
  <c r="F192" i="2"/>
  <c r="C192" i="2"/>
  <c r="X191" i="2"/>
  <c r="U191" i="2"/>
  <c r="R191" i="2"/>
  <c r="O191" i="2"/>
  <c r="L191" i="2"/>
  <c r="I191" i="2"/>
  <c r="F191" i="2"/>
  <c r="C191" i="2"/>
  <c r="X190" i="2"/>
  <c r="U190" i="2"/>
  <c r="R190" i="2"/>
  <c r="O190" i="2"/>
  <c r="L190" i="2"/>
  <c r="I190" i="2"/>
  <c r="F190" i="2"/>
  <c r="C190" i="2"/>
  <c r="X189" i="2"/>
  <c r="U189" i="2"/>
  <c r="R189" i="2"/>
  <c r="O189" i="2"/>
  <c r="L189" i="2"/>
  <c r="I189" i="2"/>
  <c r="F189" i="2"/>
  <c r="C189" i="2"/>
  <c r="X188" i="2"/>
  <c r="U188" i="2"/>
  <c r="R188" i="2"/>
  <c r="O188" i="2"/>
  <c r="L188" i="2"/>
  <c r="I188" i="2"/>
  <c r="F188" i="2"/>
  <c r="C188" i="2"/>
  <c r="X187" i="2"/>
  <c r="U187" i="2"/>
  <c r="R187" i="2"/>
  <c r="O187" i="2"/>
  <c r="L187" i="2"/>
  <c r="I187" i="2"/>
  <c r="F187" i="2"/>
  <c r="C187" i="2"/>
  <c r="X186" i="2"/>
  <c r="U186" i="2"/>
  <c r="R186" i="2"/>
  <c r="O186" i="2"/>
  <c r="L186" i="2"/>
  <c r="I186" i="2"/>
  <c r="F186" i="2"/>
  <c r="C186" i="2"/>
  <c r="X185" i="2"/>
  <c r="U185" i="2"/>
  <c r="R185" i="2"/>
  <c r="O185" i="2"/>
  <c r="L185" i="2"/>
  <c r="I185" i="2"/>
  <c r="F185" i="2"/>
  <c r="C185" i="2"/>
  <c r="X184" i="2"/>
  <c r="U184" i="2"/>
  <c r="R184" i="2"/>
  <c r="O184" i="2"/>
  <c r="L184" i="2"/>
  <c r="I184" i="2"/>
  <c r="F184" i="2"/>
  <c r="C184" i="2"/>
  <c r="X183" i="2"/>
  <c r="U183" i="2"/>
  <c r="R183" i="2"/>
  <c r="O183" i="2"/>
  <c r="L183" i="2"/>
  <c r="I183" i="2"/>
  <c r="F183" i="2"/>
  <c r="C183" i="2"/>
  <c r="X182" i="2"/>
  <c r="U182" i="2"/>
  <c r="R182" i="2"/>
  <c r="O182" i="2"/>
  <c r="L182" i="2"/>
  <c r="I182" i="2"/>
  <c r="F182" i="2"/>
  <c r="C182" i="2"/>
  <c r="X181" i="2"/>
  <c r="U181" i="2"/>
  <c r="R181" i="2"/>
  <c r="O181" i="2"/>
  <c r="L181" i="2"/>
  <c r="I181" i="2"/>
  <c r="F181" i="2"/>
  <c r="C181" i="2"/>
  <c r="X180" i="2"/>
  <c r="U180" i="2"/>
  <c r="R180" i="2"/>
  <c r="O180" i="2"/>
  <c r="L180" i="2"/>
  <c r="I180" i="2"/>
  <c r="F180" i="2"/>
  <c r="C180" i="2"/>
  <c r="X179" i="2"/>
  <c r="U179" i="2"/>
  <c r="R179" i="2"/>
  <c r="O179" i="2"/>
  <c r="L179" i="2"/>
  <c r="I179" i="2"/>
  <c r="F179" i="2"/>
  <c r="C179" i="2"/>
  <c r="X178" i="2"/>
  <c r="U178" i="2"/>
  <c r="R178" i="2"/>
  <c r="O178" i="2"/>
  <c r="L178" i="2"/>
  <c r="I178" i="2"/>
  <c r="F178" i="2"/>
  <c r="C178" i="2"/>
  <c r="X177" i="2"/>
  <c r="U177" i="2"/>
  <c r="R177" i="2"/>
  <c r="O177" i="2"/>
  <c r="L177" i="2"/>
  <c r="I177" i="2"/>
  <c r="F177" i="2"/>
  <c r="C177" i="2"/>
  <c r="X176" i="2"/>
  <c r="U176" i="2"/>
  <c r="R176" i="2"/>
  <c r="O176" i="2"/>
  <c r="L176" i="2"/>
  <c r="I176" i="2"/>
  <c r="F176" i="2"/>
  <c r="C176" i="2"/>
  <c r="X175" i="2"/>
  <c r="U175" i="2"/>
  <c r="R175" i="2"/>
  <c r="O175" i="2"/>
  <c r="L175" i="2"/>
  <c r="I175" i="2"/>
  <c r="F175" i="2"/>
  <c r="C175" i="2"/>
  <c r="X174" i="2"/>
  <c r="U174" i="2"/>
  <c r="R174" i="2"/>
  <c r="O174" i="2"/>
  <c r="L174" i="2"/>
  <c r="I174" i="2"/>
  <c r="F174" i="2"/>
  <c r="C174" i="2"/>
  <c r="X173" i="2"/>
  <c r="U173" i="2"/>
  <c r="R173" i="2"/>
  <c r="O173" i="2"/>
  <c r="L173" i="2"/>
  <c r="I173" i="2"/>
  <c r="F173" i="2"/>
  <c r="C173" i="2"/>
  <c r="X172" i="2"/>
  <c r="U172" i="2"/>
  <c r="R172" i="2"/>
  <c r="O172" i="2"/>
  <c r="L172" i="2"/>
  <c r="I172" i="2"/>
  <c r="F172" i="2"/>
  <c r="C172" i="2"/>
  <c r="X171" i="2"/>
  <c r="U171" i="2"/>
  <c r="R171" i="2"/>
  <c r="O171" i="2"/>
  <c r="L171" i="2"/>
  <c r="I171" i="2"/>
  <c r="F171" i="2"/>
  <c r="C171" i="2"/>
  <c r="X170" i="2"/>
  <c r="U170" i="2"/>
  <c r="R170" i="2"/>
  <c r="O170" i="2"/>
  <c r="L170" i="2"/>
  <c r="I170" i="2"/>
  <c r="F170" i="2"/>
  <c r="C170" i="2"/>
  <c r="X169" i="2"/>
  <c r="U169" i="2"/>
  <c r="R169" i="2"/>
  <c r="O169" i="2"/>
  <c r="L169" i="2"/>
  <c r="I169" i="2"/>
  <c r="F169" i="2"/>
  <c r="C169" i="2"/>
  <c r="X168" i="2"/>
  <c r="U168" i="2"/>
  <c r="R168" i="2"/>
  <c r="O168" i="2"/>
  <c r="L168" i="2"/>
  <c r="I168" i="2"/>
  <c r="F168" i="2"/>
  <c r="C168" i="2"/>
  <c r="X167" i="2"/>
  <c r="U167" i="2"/>
  <c r="R167" i="2"/>
  <c r="O167" i="2"/>
  <c r="L167" i="2"/>
  <c r="I167" i="2"/>
  <c r="F167" i="2"/>
  <c r="C167" i="2"/>
  <c r="X166" i="2"/>
  <c r="U166" i="2"/>
  <c r="R166" i="2"/>
  <c r="O166" i="2"/>
  <c r="L166" i="2"/>
  <c r="I166" i="2"/>
  <c r="F166" i="2"/>
  <c r="C166" i="2"/>
  <c r="X165" i="2"/>
  <c r="U165" i="2"/>
  <c r="R165" i="2"/>
  <c r="O165" i="2"/>
  <c r="L165" i="2"/>
  <c r="I165" i="2"/>
  <c r="F165" i="2"/>
  <c r="C165" i="2"/>
  <c r="X164" i="2"/>
  <c r="U164" i="2"/>
  <c r="R164" i="2"/>
  <c r="O164" i="2"/>
  <c r="L164" i="2"/>
  <c r="I164" i="2"/>
  <c r="F164" i="2"/>
  <c r="C164" i="2"/>
  <c r="X163" i="2"/>
  <c r="U163" i="2"/>
  <c r="R163" i="2"/>
  <c r="O163" i="2"/>
  <c r="L163" i="2"/>
  <c r="I163" i="2"/>
  <c r="F163" i="2"/>
  <c r="C163" i="2"/>
  <c r="X162" i="2"/>
  <c r="U162" i="2"/>
  <c r="R162" i="2"/>
  <c r="O162" i="2"/>
  <c r="L162" i="2"/>
  <c r="I162" i="2"/>
  <c r="F162" i="2"/>
  <c r="C162" i="2"/>
  <c r="X161" i="2"/>
  <c r="U161" i="2"/>
  <c r="R161" i="2"/>
  <c r="O161" i="2"/>
  <c r="L161" i="2"/>
  <c r="I161" i="2"/>
  <c r="F161" i="2"/>
  <c r="C161" i="2"/>
  <c r="X160" i="2"/>
  <c r="U160" i="2"/>
  <c r="R160" i="2"/>
  <c r="O160" i="2"/>
  <c r="L160" i="2"/>
  <c r="I160" i="2"/>
  <c r="F160" i="2"/>
  <c r="C160" i="2"/>
  <c r="W157" i="2"/>
  <c r="X157" i="2" s="1"/>
  <c r="T157" i="2"/>
  <c r="U157" i="2" s="1"/>
  <c r="R157" i="2"/>
  <c r="Q157" i="2"/>
  <c r="O157" i="2"/>
  <c r="N157" i="2"/>
  <c r="L157" i="2"/>
  <c r="K157" i="2"/>
  <c r="H157" i="2"/>
  <c r="I157" i="2" s="1"/>
  <c r="E157" i="2"/>
  <c r="F157" i="2" s="1"/>
  <c r="B157" i="2"/>
  <c r="C157" i="2" s="1"/>
  <c r="X156" i="2"/>
  <c r="U156" i="2"/>
  <c r="R156" i="2"/>
  <c r="O156" i="2"/>
  <c r="L156" i="2"/>
  <c r="I156" i="2"/>
  <c r="F156" i="2"/>
  <c r="C156" i="2"/>
  <c r="X155" i="2"/>
  <c r="U155" i="2"/>
  <c r="R155" i="2"/>
  <c r="O155" i="2"/>
  <c r="L155" i="2"/>
  <c r="I155" i="2"/>
  <c r="F155" i="2"/>
  <c r="C155" i="2"/>
  <c r="X154" i="2"/>
  <c r="U154" i="2"/>
  <c r="R154" i="2"/>
  <c r="O154" i="2"/>
  <c r="L154" i="2"/>
  <c r="I154" i="2"/>
  <c r="F154" i="2"/>
  <c r="C154" i="2"/>
  <c r="X153" i="2"/>
  <c r="U153" i="2"/>
  <c r="R153" i="2"/>
  <c r="O153" i="2"/>
  <c r="L153" i="2"/>
  <c r="I153" i="2"/>
  <c r="F153" i="2"/>
  <c r="C153" i="2"/>
  <c r="X152" i="2"/>
  <c r="U152" i="2"/>
  <c r="R152" i="2"/>
  <c r="O152" i="2"/>
  <c r="L152" i="2"/>
  <c r="I152" i="2"/>
  <c r="F152" i="2"/>
  <c r="C152" i="2"/>
  <c r="X151" i="2"/>
  <c r="W151" i="2"/>
  <c r="T151" i="2"/>
  <c r="U151" i="2" s="1"/>
  <c r="Q151" i="2"/>
  <c r="R151" i="2" s="1"/>
  <c r="N151" i="2"/>
  <c r="O151" i="2" s="1"/>
  <c r="L151" i="2"/>
  <c r="K151" i="2"/>
  <c r="I151" i="2"/>
  <c r="H151" i="2"/>
  <c r="F151" i="2"/>
  <c r="E151" i="2"/>
  <c r="B151" i="2"/>
  <c r="C151" i="2" s="1"/>
  <c r="X150" i="2"/>
  <c r="U150" i="2"/>
  <c r="R150" i="2"/>
  <c r="O150" i="2"/>
  <c r="L150" i="2"/>
  <c r="I150" i="2"/>
  <c r="F150" i="2"/>
  <c r="C150" i="2"/>
  <c r="X149" i="2"/>
  <c r="U149" i="2"/>
  <c r="R149" i="2"/>
  <c r="O149" i="2"/>
  <c r="L149" i="2"/>
  <c r="I149" i="2"/>
  <c r="F149" i="2"/>
  <c r="C149" i="2"/>
  <c r="X148" i="2"/>
  <c r="U148" i="2"/>
  <c r="R148" i="2"/>
  <c r="O148" i="2"/>
  <c r="L148" i="2"/>
  <c r="I148" i="2"/>
  <c r="F148" i="2"/>
  <c r="C148" i="2"/>
  <c r="X147" i="2"/>
  <c r="U147" i="2"/>
  <c r="R147" i="2"/>
  <c r="O147" i="2"/>
  <c r="L147" i="2"/>
  <c r="I147" i="2"/>
  <c r="F147" i="2"/>
  <c r="C147" i="2"/>
  <c r="X146" i="2"/>
  <c r="U146" i="2"/>
  <c r="R146" i="2"/>
  <c r="O146" i="2"/>
  <c r="L146" i="2"/>
  <c r="I146" i="2"/>
  <c r="F146" i="2"/>
  <c r="C146" i="2"/>
  <c r="X145" i="2"/>
  <c r="U145" i="2"/>
  <c r="R145" i="2"/>
  <c r="O145" i="2"/>
  <c r="L145" i="2"/>
  <c r="I145" i="2"/>
  <c r="F145" i="2"/>
  <c r="C145" i="2"/>
  <c r="W143" i="2"/>
  <c r="X143" i="2" s="1"/>
  <c r="T143" i="2"/>
  <c r="U143" i="2" s="1"/>
  <c r="R143" i="2"/>
  <c r="Q143" i="2"/>
  <c r="O143" i="2"/>
  <c r="N143" i="2"/>
  <c r="L143" i="2"/>
  <c r="K143" i="2"/>
  <c r="H143" i="2"/>
  <c r="I143" i="2" s="1"/>
  <c r="E143" i="2"/>
  <c r="F143" i="2" s="1"/>
  <c r="B143" i="2"/>
  <c r="C143" i="2" s="1"/>
  <c r="X142" i="2"/>
  <c r="U142" i="2"/>
  <c r="R142" i="2"/>
  <c r="O142" i="2"/>
  <c r="L142" i="2"/>
  <c r="I142" i="2"/>
  <c r="F142" i="2"/>
  <c r="C142" i="2"/>
  <c r="X141" i="2"/>
  <c r="U141" i="2"/>
  <c r="R141" i="2"/>
  <c r="O141" i="2"/>
  <c r="L141" i="2"/>
  <c r="I141" i="2"/>
  <c r="F141" i="2"/>
  <c r="C141" i="2"/>
  <c r="X140" i="2"/>
  <c r="U140" i="2"/>
  <c r="R140" i="2"/>
  <c r="O140" i="2"/>
  <c r="L140" i="2"/>
  <c r="I140" i="2"/>
  <c r="F140" i="2"/>
  <c r="C140" i="2"/>
  <c r="X139" i="2"/>
  <c r="U139" i="2"/>
  <c r="R139" i="2"/>
  <c r="O139" i="2"/>
  <c r="L139" i="2"/>
  <c r="I139" i="2"/>
  <c r="F139" i="2"/>
  <c r="C139" i="2"/>
  <c r="X138" i="2"/>
  <c r="U138" i="2"/>
  <c r="R138" i="2"/>
  <c r="O138" i="2"/>
  <c r="L138" i="2"/>
  <c r="I138" i="2"/>
  <c r="F138" i="2"/>
  <c r="C138" i="2"/>
  <c r="X137" i="2"/>
  <c r="U137" i="2"/>
  <c r="R137" i="2"/>
  <c r="O137" i="2"/>
  <c r="L137" i="2"/>
  <c r="I137" i="2"/>
  <c r="F137" i="2"/>
  <c r="C137" i="2"/>
  <c r="X136" i="2"/>
  <c r="U136" i="2"/>
  <c r="R136" i="2"/>
  <c r="O136" i="2"/>
  <c r="L136" i="2"/>
  <c r="I136" i="2"/>
  <c r="F136" i="2"/>
  <c r="C136" i="2"/>
  <c r="X135" i="2"/>
  <c r="U135" i="2"/>
  <c r="R135" i="2"/>
  <c r="O135" i="2"/>
  <c r="L135" i="2"/>
  <c r="I135" i="2"/>
  <c r="F135" i="2"/>
  <c r="C135" i="2"/>
  <c r="X134" i="2"/>
  <c r="U134" i="2"/>
  <c r="R134" i="2"/>
  <c r="O134" i="2"/>
  <c r="L134" i="2"/>
  <c r="I134" i="2"/>
  <c r="F134" i="2"/>
  <c r="C134" i="2"/>
  <c r="X133" i="2"/>
  <c r="U133" i="2"/>
  <c r="R133" i="2"/>
  <c r="O133" i="2"/>
  <c r="L133" i="2"/>
  <c r="I133" i="2"/>
  <c r="F133" i="2"/>
  <c r="C133" i="2"/>
  <c r="X132" i="2"/>
  <c r="U132" i="2"/>
  <c r="R132" i="2"/>
  <c r="O132" i="2"/>
  <c r="L132" i="2"/>
  <c r="I132" i="2"/>
  <c r="F132" i="2"/>
  <c r="C132" i="2"/>
  <c r="X131" i="2"/>
  <c r="U131" i="2"/>
  <c r="R131" i="2"/>
  <c r="O131" i="2"/>
  <c r="L131" i="2"/>
  <c r="I131" i="2"/>
  <c r="F131" i="2"/>
  <c r="C131" i="2"/>
  <c r="X130" i="2"/>
  <c r="U130" i="2"/>
  <c r="R130" i="2"/>
  <c r="O130" i="2"/>
  <c r="L130" i="2"/>
  <c r="I130" i="2"/>
  <c r="F130" i="2"/>
  <c r="C130" i="2"/>
  <c r="X129" i="2"/>
  <c r="U129" i="2"/>
  <c r="R129" i="2"/>
  <c r="O129" i="2"/>
  <c r="L129" i="2"/>
  <c r="I129" i="2"/>
  <c r="F129" i="2"/>
  <c r="C129" i="2"/>
  <c r="X128" i="2"/>
  <c r="U128" i="2"/>
  <c r="R128" i="2"/>
  <c r="O128" i="2"/>
  <c r="L128" i="2"/>
  <c r="I128" i="2"/>
  <c r="F128" i="2"/>
  <c r="C128" i="2"/>
  <c r="X127" i="2"/>
  <c r="U127" i="2"/>
  <c r="R127" i="2"/>
  <c r="O127" i="2"/>
  <c r="L127" i="2"/>
  <c r="I127" i="2"/>
  <c r="F127" i="2"/>
  <c r="C127" i="2"/>
  <c r="X126" i="2"/>
  <c r="U126" i="2"/>
  <c r="R126" i="2"/>
  <c r="O126" i="2"/>
  <c r="L126" i="2"/>
  <c r="I126" i="2"/>
  <c r="F126" i="2"/>
  <c r="C126" i="2"/>
  <c r="X125" i="2"/>
  <c r="U125" i="2"/>
  <c r="R125" i="2"/>
  <c r="O125" i="2"/>
  <c r="L125" i="2"/>
  <c r="I125" i="2"/>
  <c r="F125" i="2"/>
  <c r="C125" i="2"/>
  <c r="X124" i="2"/>
  <c r="U124" i="2"/>
  <c r="R124" i="2"/>
  <c r="O124" i="2"/>
  <c r="L124" i="2"/>
  <c r="I124" i="2"/>
  <c r="F124" i="2"/>
  <c r="C124" i="2"/>
  <c r="X123" i="2"/>
  <c r="U123" i="2"/>
  <c r="R123" i="2"/>
  <c r="O123" i="2"/>
  <c r="L123" i="2"/>
  <c r="I123" i="2"/>
  <c r="F123" i="2"/>
  <c r="C123" i="2"/>
  <c r="X122" i="2"/>
  <c r="U122" i="2"/>
  <c r="R122" i="2"/>
  <c r="O122" i="2"/>
  <c r="L122" i="2"/>
  <c r="I122" i="2"/>
  <c r="F122" i="2"/>
  <c r="C122" i="2"/>
  <c r="X120" i="2"/>
  <c r="W120" i="2"/>
  <c r="U120" i="2"/>
  <c r="T120" i="2"/>
  <c r="R120" i="2"/>
  <c r="Q120" i="2"/>
  <c r="N120" i="2"/>
  <c r="O120" i="2" s="1"/>
  <c r="K120" i="2"/>
  <c r="L120" i="2" s="1"/>
  <c r="H120" i="2"/>
  <c r="I120" i="2" s="1"/>
  <c r="F120" i="2"/>
  <c r="E120" i="2"/>
  <c r="C120" i="2"/>
  <c r="B120" i="2"/>
  <c r="X119" i="2"/>
  <c r="W119" i="2"/>
  <c r="T119" i="2"/>
  <c r="U119" i="2" s="1"/>
  <c r="Q119" i="2"/>
  <c r="R119" i="2" s="1"/>
  <c r="N119" i="2"/>
  <c r="O119" i="2" s="1"/>
  <c r="K119" i="2"/>
  <c r="L119" i="2" s="1"/>
  <c r="I119" i="2"/>
  <c r="H119" i="2"/>
  <c r="F119" i="2"/>
  <c r="E119" i="2"/>
  <c r="B119" i="2"/>
  <c r="C119" i="2" s="1"/>
  <c r="X118" i="2"/>
  <c r="U118" i="2"/>
  <c r="R118" i="2"/>
  <c r="O118" i="2"/>
  <c r="L118" i="2"/>
  <c r="I118" i="2"/>
  <c r="F118" i="2"/>
  <c r="C118" i="2"/>
  <c r="X117" i="2"/>
  <c r="U117" i="2"/>
  <c r="R117" i="2"/>
  <c r="O117" i="2"/>
  <c r="L117" i="2"/>
  <c r="I117" i="2"/>
  <c r="F117" i="2"/>
  <c r="C117" i="2"/>
  <c r="X116" i="2"/>
  <c r="U116" i="2"/>
  <c r="R116" i="2"/>
  <c r="O116" i="2"/>
  <c r="L116" i="2"/>
  <c r="I116" i="2"/>
  <c r="F116" i="2"/>
  <c r="C116" i="2"/>
  <c r="X115" i="2"/>
  <c r="U115" i="2"/>
  <c r="R115" i="2"/>
  <c r="O115" i="2"/>
  <c r="L115" i="2"/>
  <c r="I115" i="2"/>
  <c r="F115" i="2"/>
  <c r="C115" i="2"/>
  <c r="X114" i="2"/>
  <c r="U114" i="2"/>
  <c r="R114" i="2"/>
  <c r="O114" i="2"/>
  <c r="L114" i="2"/>
  <c r="I114" i="2"/>
  <c r="F114" i="2"/>
  <c r="C114" i="2"/>
  <c r="X113" i="2"/>
  <c r="U113" i="2"/>
  <c r="R113" i="2"/>
  <c r="O113" i="2"/>
  <c r="L113" i="2"/>
  <c r="I113" i="2"/>
  <c r="F113" i="2"/>
  <c r="C113" i="2"/>
  <c r="X112" i="2"/>
  <c r="U112" i="2"/>
  <c r="R112" i="2"/>
  <c r="O112" i="2"/>
  <c r="L112" i="2"/>
  <c r="I112" i="2"/>
  <c r="F112" i="2"/>
  <c r="C112" i="2"/>
  <c r="X111" i="2"/>
  <c r="U111" i="2"/>
  <c r="R111" i="2"/>
  <c r="O111" i="2"/>
  <c r="L111" i="2"/>
  <c r="I111" i="2"/>
  <c r="F111" i="2"/>
  <c r="C111" i="2"/>
  <c r="X110" i="2"/>
  <c r="U110" i="2"/>
  <c r="R110" i="2"/>
  <c r="O110" i="2"/>
  <c r="L110" i="2"/>
  <c r="I110" i="2"/>
  <c r="F110" i="2"/>
  <c r="C110" i="2"/>
  <c r="X109" i="2"/>
  <c r="U109" i="2"/>
  <c r="R109" i="2"/>
  <c r="O109" i="2"/>
  <c r="L109" i="2"/>
  <c r="I109" i="2"/>
  <c r="F109" i="2"/>
  <c r="C109" i="2"/>
  <c r="X108" i="2"/>
  <c r="U108" i="2"/>
  <c r="R108" i="2"/>
  <c r="O108" i="2"/>
  <c r="L108" i="2"/>
  <c r="I108" i="2"/>
  <c r="F108" i="2"/>
  <c r="C108" i="2"/>
  <c r="X107" i="2"/>
  <c r="U107" i="2"/>
  <c r="R107" i="2"/>
  <c r="O107" i="2"/>
  <c r="L107" i="2"/>
  <c r="I107" i="2"/>
  <c r="F107" i="2"/>
  <c r="C107" i="2"/>
  <c r="X106" i="2"/>
  <c r="U106" i="2"/>
  <c r="R106" i="2"/>
  <c r="O106" i="2"/>
  <c r="L106" i="2"/>
  <c r="I106" i="2"/>
  <c r="F106" i="2"/>
  <c r="C106" i="2"/>
  <c r="X105" i="2"/>
  <c r="U105" i="2"/>
  <c r="R105" i="2"/>
  <c r="O105" i="2"/>
  <c r="L105" i="2"/>
  <c r="I105" i="2"/>
  <c r="F105" i="2"/>
  <c r="C105" i="2"/>
  <c r="X104" i="2"/>
  <c r="U104" i="2"/>
  <c r="R104" i="2"/>
  <c r="O104" i="2"/>
  <c r="L104" i="2"/>
  <c r="I104" i="2"/>
  <c r="F104" i="2"/>
  <c r="C104" i="2"/>
  <c r="X103" i="2"/>
  <c r="U103" i="2"/>
  <c r="R103" i="2"/>
  <c r="O103" i="2"/>
  <c r="L103" i="2"/>
  <c r="I103" i="2"/>
  <c r="F103" i="2"/>
  <c r="C103" i="2"/>
  <c r="X102" i="2"/>
  <c r="U102" i="2"/>
  <c r="R102" i="2"/>
  <c r="O102" i="2"/>
  <c r="L102" i="2"/>
  <c r="I102" i="2"/>
  <c r="F102" i="2"/>
  <c r="C102" i="2"/>
  <c r="X101" i="2"/>
  <c r="U101" i="2"/>
  <c r="R101" i="2"/>
  <c r="O101" i="2"/>
  <c r="L101" i="2"/>
  <c r="I101" i="2"/>
  <c r="F101" i="2"/>
  <c r="C101" i="2"/>
  <c r="X100" i="2"/>
  <c r="U100" i="2"/>
  <c r="R100" i="2"/>
  <c r="O100" i="2"/>
  <c r="L100" i="2"/>
  <c r="I100" i="2"/>
  <c r="F100" i="2"/>
  <c r="C100" i="2"/>
  <c r="X99" i="2"/>
  <c r="U99" i="2"/>
  <c r="R99" i="2"/>
  <c r="O99" i="2"/>
  <c r="L99" i="2"/>
  <c r="I99" i="2"/>
  <c r="F99" i="2"/>
  <c r="C99" i="2"/>
  <c r="X98" i="2"/>
  <c r="U98" i="2"/>
  <c r="R98" i="2"/>
  <c r="O98" i="2"/>
  <c r="L98" i="2"/>
  <c r="I98" i="2"/>
  <c r="F98" i="2"/>
  <c r="C98" i="2"/>
  <c r="X97" i="2"/>
  <c r="U97" i="2"/>
  <c r="R97" i="2"/>
  <c r="O97" i="2"/>
  <c r="L97" i="2"/>
  <c r="I97" i="2"/>
  <c r="F97" i="2"/>
  <c r="C97" i="2"/>
  <c r="X96" i="2"/>
  <c r="U96" i="2"/>
  <c r="R96" i="2"/>
  <c r="O96" i="2"/>
  <c r="L96" i="2"/>
  <c r="I96" i="2"/>
  <c r="F96" i="2"/>
  <c r="C96" i="2"/>
  <c r="X95" i="2"/>
  <c r="U95" i="2"/>
  <c r="R95" i="2"/>
  <c r="O95" i="2"/>
  <c r="L95" i="2"/>
  <c r="I95" i="2"/>
  <c r="F95" i="2"/>
  <c r="C95" i="2"/>
  <c r="X94" i="2"/>
  <c r="U94" i="2"/>
  <c r="R94" i="2"/>
  <c r="O94" i="2"/>
  <c r="L94" i="2"/>
  <c r="I94" i="2"/>
  <c r="F94" i="2"/>
  <c r="C94" i="2"/>
  <c r="X93" i="2"/>
  <c r="U93" i="2"/>
  <c r="R93" i="2"/>
  <c r="O93" i="2"/>
  <c r="L93" i="2"/>
  <c r="I93" i="2"/>
  <c r="F93" i="2"/>
  <c r="C93" i="2"/>
  <c r="X92" i="2"/>
  <c r="U92" i="2"/>
  <c r="R92" i="2"/>
  <c r="O92" i="2"/>
  <c r="L92" i="2"/>
  <c r="I92" i="2"/>
  <c r="F92" i="2"/>
  <c r="C92" i="2"/>
  <c r="X91" i="2"/>
  <c r="U91" i="2"/>
  <c r="R91" i="2"/>
  <c r="O91" i="2"/>
  <c r="L91" i="2"/>
  <c r="I91" i="2"/>
  <c r="F91" i="2"/>
  <c r="C91" i="2"/>
  <c r="X90" i="2"/>
  <c r="U90" i="2"/>
  <c r="R90" i="2"/>
  <c r="O90" i="2"/>
  <c r="L90" i="2"/>
  <c r="I90" i="2"/>
  <c r="F90" i="2"/>
  <c r="C90" i="2"/>
  <c r="X89" i="2"/>
  <c r="U89" i="2"/>
  <c r="R89" i="2"/>
  <c r="O89" i="2"/>
  <c r="L89" i="2"/>
  <c r="I89" i="2"/>
  <c r="F89" i="2"/>
  <c r="C89" i="2"/>
  <c r="X88" i="2"/>
  <c r="U88" i="2"/>
  <c r="R88" i="2"/>
  <c r="O88" i="2"/>
  <c r="L88" i="2"/>
  <c r="I88" i="2"/>
  <c r="F88" i="2"/>
  <c r="C88" i="2"/>
  <c r="X87" i="2"/>
  <c r="U87" i="2"/>
  <c r="R87" i="2"/>
  <c r="O87" i="2"/>
  <c r="L87" i="2"/>
  <c r="I87" i="2"/>
  <c r="F87" i="2"/>
  <c r="C87" i="2"/>
  <c r="X86" i="2"/>
  <c r="U86" i="2"/>
  <c r="R86" i="2"/>
  <c r="O86" i="2"/>
  <c r="L86" i="2"/>
  <c r="I86" i="2"/>
  <c r="F86" i="2"/>
  <c r="C86" i="2"/>
  <c r="X85" i="2"/>
  <c r="U85" i="2"/>
  <c r="R85" i="2"/>
  <c r="O85" i="2"/>
  <c r="L85" i="2"/>
  <c r="I85" i="2"/>
  <c r="F85" i="2"/>
  <c r="C85" i="2"/>
  <c r="X84" i="2"/>
  <c r="U84" i="2"/>
  <c r="R84" i="2"/>
  <c r="O84" i="2"/>
  <c r="L84" i="2"/>
  <c r="I84" i="2"/>
  <c r="F84" i="2"/>
  <c r="C84" i="2"/>
  <c r="X82" i="2"/>
  <c r="U82" i="2"/>
  <c r="R82" i="2"/>
  <c r="O82" i="2"/>
  <c r="L82" i="2"/>
  <c r="I82" i="2"/>
  <c r="F82" i="2"/>
  <c r="C82" i="2"/>
  <c r="W80" i="2"/>
  <c r="X80" i="2" s="1"/>
  <c r="T80" i="2"/>
  <c r="U80" i="2" s="1"/>
  <c r="R80" i="2"/>
  <c r="Q80" i="2"/>
  <c r="O80" i="2"/>
  <c r="N80" i="2"/>
  <c r="L80" i="2"/>
  <c r="K80" i="2"/>
  <c r="H80" i="2"/>
  <c r="I80" i="2" s="1"/>
  <c r="E80" i="2"/>
  <c r="F80" i="2" s="1"/>
  <c r="B80" i="2"/>
  <c r="C80" i="2" s="1"/>
  <c r="X79" i="2"/>
  <c r="U79" i="2"/>
  <c r="R79" i="2"/>
  <c r="O79" i="2"/>
  <c r="L79" i="2"/>
  <c r="I79" i="2"/>
  <c r="F79" i="2"/>
  <c r="C79" i="2"/>
  <c r="X78" i="2"/>
  <c r="U78" i="2"/>
  <c r="R78" i="2"/>
  <c r="O78" i="2"/>
  <c r="L78" i="2"/>
  <c r="I78" i="2"/>
  <c r="F78" i="2"/>
  <c r="C78" i="2"/>
  <c r="X76" i="2"/>
  <c r="W76" i="2"/>
  <c r="T76" i="2"/>
  <c r="U76" i="2" s="1"/>
  <c r="Q76" i="2"/>
  <c r="R76" i="2" s="1"/>
  <c r="N76" i="2"/>
  <c r="O76" i="2" s="1"/>
  <c r="L76" i="2"/>
  <c r="K76" i="2"/>
  <c r="I76" i="2"/>
  <c r="H76" i="2"/>
  <c r="F76" i="2"/>
  <c r="E76" i="2"/>
  <c r="B76" i="2"/>
  <c r="C76" i="2" s="1"/>
  <c r="X75" i="2"/>
  <c r="U75" i="2"/>
  <c r="R75" i="2"/>
  <c r="O75" i="2"/>
  <c r="L75" i="2"/>
  <c r="I75" i="2"/>
  <c r="F75" i="2"/>
  <c r="C75" i="2"/>
  <c r="X74" i="2"/>
  <c r="U74" i="2"/>
  <c r="R74" i="2"/>
  <c r="O74" i="2"/>
  <c r="L74" i="2"/>
  <c r="I74" i="2"/>
  <c r="F74" i="2"/>
  <c r="C74" i="2"/>
  <c r="X73" i="2"/>
  <c r="U73" i="2"/>
  <c r="R73" i="2"/>
  <c r="O73" i="2"/>
  <c r="L73" i="2"/>
  <c r="I73" i="2"/>
  <c r="F73" i="2"/>
  <c r="C73" i="2"/>
  <c r="X72" i="2"/>
  <c r="U72" i="2"/>
  <c r="R72" i="2"/>
  <c r="O72" i="2"/>
  <c r="L72" i="2"/>
  <c r="I72" i="2"/>
  <c r="F72" i="2"/>
  <c r="C72" i="2"/>
  <c r="X71" i="2"/>
  <c r="U71" i="2"/>
  <c r="R71" i="2"/>
  <c r="O71" i="2"/>
  <c r="L71" i="2"/>
  <c r="I71" i="2"/>
  <c r="F71" i="2"/>
  <c r="C71" i="2"/>
  <c r="X70" i="2"/>
  <c r="U70" i="2"/>
  <c r="R70" i="2"/>
  <c r="O70" i="2"/>
  <c r="L70" i="2"/>
  <c r="I70" i="2"/>
  <c r="F70" i="2"/>
  <c r="C70" i="2"/>
  <c r="X69" i="2"/>
  <c r="U69" i="2"/>
  <c r="R69" i="2"/>
  <c r="O69" i="2"/>
  <c r="L69" i="2"/>
  <c r="I69" i="2"/>
  <c r="F69" i="2"/>
  <c r="C69" i="2"/>
  <c r="X68" i="2"/>
  <c r="U68" i="2"/>
  <c r="R68" i="2"/>
  <c r="O68" i="2"/>
  <c r="L68" i="2"/>
  <c r="I68" i="2"/>
  <c r="F68" i="2"/>
  <c r="C68" i="2"/>
  <c r="X66" i="2"/>
  <c r="U66" i="2"/>
  <c r="R66" i="2"/>
  <c r="O66" i="2"/>
  <c r="L66" i="2"/>
  <c r="I66" i="2"/>
  <c r="F66" i="2"/>
  <c r="C66" i="2"/>
  <c r="W65" i="2"/>
  <c r="X65" i="2" s="1"/>
  <c r="T65" i="2"/>
  <c r="U65" i="2" s="1"/>
  <c r="Q65" i="2"/>
  <c r="R65" i="2" s="1"/>
  <c r="O65" i="2"/>
  <c r="N65" i="2"/>
  <c r="L65" i="2"/>
  <c r="K65" i="2"/>
  <c r="H65" i="2"/>
  <c r="I65" i="2" s="1"/>
  <c r="E65" i="2"/>
  <c r="F65" i="2" s="1"/>
  <c r="B65" i="2"/>
  <c r="C65" i="2" s="1"/>
  <c r="X64" i="2"/>
  <c r="U64" i="2"/>
  <c r="R64" i="2"/>
  <c r="O64" i="2"/>
  <c r="L64" i="2"/>
  <c r="I64" i="2"/>
  <c r="F64" i="2"/>
  <c r="C64" i="2"/>
  <c r="X63" i="2"/>
  <c r="U63" i="2"/>
  <c r="R63" i="2"/>
  <c r="O63" i="2"/>
  <c r="L63" i="2"/>
  <c r="I63" i="2"/>
  <c r="F63" i="2"/>
  <c r="C63" i="2"/>
  <c r="X62" i="2"/>
  <c r="U62" i="2"/>
  <c r="R62" i="2"/>
  <c r="O62" i="2"/>
  <c r="L62" i="2"/>
  <c r="I62" i="2"/>
  <c r="F62" i="2"/>
  <c r="C62" i="2"/>
  <c r="X61" i="2"/>
  <c r="U61" i="2"/>
  <c r="R61" i="2"/>
  <c r="O61" i="2"/>
  <c r="L61" i="2"/>
  <c r="I61" i="2"/>
  <c r="F61" i="2"/>
  <c r="C61" i="2"/>
  <c r="X60" i="2"/>
  <c r="U60" i="2"/>
  <c r="R60" i="2"/>
  <c r="O60" i="2"/>
  <c r="L60" i="2"/>
  <c r="I60" i="2"/>
  <c r="F60" i="2"/>
  <c r="C60" i="2"/>
  <c r="X59" i="2"/>
  <c r="U59" i="2"/>
  <c r="R59" i="2"/>
  <c r="O59" i="2"/>
  <c r="L59" i="2"/>
  <c r="I59" i="2"/>
  <c r="F59" i="2"/>
  <c r="C59" i="2"/>
  <c r="X58" i="2"/>
  <c r="U58" i="2"/>
  <c r="R58" i="2"/>
  <c r="O58" i="2"/>
  <c r="L58" i="2"/>
  <c r="I58" i="2"/>
  <c r="F58" i="2"/>
  <c r="C58" i="2"/>
  <c r="X57" i="2"/>
  <c r="U57" i="2"/>
  <c r="R57" i="2"/>
  <c r="O57" i="2"/>
  <c r="L57" i="2"/>
  <c r="I57" i="2"/>
  <c r="F57" i="2"/>
  <c r="C57" i="2"/>
  <c r="X56" i="2"/>
  <c r="U56" i="2"/>
  <c r="R56" i="2"/>
  <c r="O56" i="2"/>
  <c r="L56" i="2"/>
  <c r="I56" i="2"/>
  <c r="F56" i="2"/>
  <c r="C56" i="2"/>
  <c r="X55" i="2"/>
  <c r="U55" i="2"/>
  <c r="R55" i="2"/>
  <c r="O55" i="2"/>
  <c r="L55" i="2"/>
  <c r="I55" i="2"/>
  <c r="F55" i="2"/>
  <c r="C55" i="2"/>
  <c r="W52" i="2"/>
  <c r="T52" i="2"/>
  <c r="U52" i="2" s="1"/>
  <c r="Q52" i="2"/>
  <c r="Q326" i="2" s="1"/>
  <c r="R326" i="2" s="1"/>
  <c r="O52" i="2"/>
  <c r="N52" i="2"/>
  <c r="L52" i="2"/>
  <c r="K52" i="2"/>
  <c r="H52" i="2"/>
  <c r="H326" i="2" s="1"/>
  <c r="I326" i="2" s="1"/>
  <c r="E52" i="2"/>
  <c r="B52" i="2"/>
  <c r="C52" i="2" s="1"/>
  <c r="X51" i="2"/>
  <c r="W51" i="2"/>
  <c r="U51" i="2"/>
  <c r="T51" i="2"/>
  <c r="R51" i="2"/>
  <c r="Q51" i="2"/>
  <c r="N51" i="2"/>
  <c r="O51" i="2" s="1"/>
  <c r="K51" i="2"/>
  <c r="L51" i="2" s="1"/>
  <c r="H51" i="2"/>
  <c r="I51" i="2" s="1"/>
  <c r="F51" i="2"/>
  <c r="E51" i="2"/>
  <c r="C51" i="2"/>
  <c r="B51" i="2"/>
  <c r="X50" i="2"/>
  <c r="U50" i="2"/>
  <c r="R50" i="2"/>
  <c r="O50" i="2"/>
  <c r="L50" i="2"/>
  <c r="I50" i="2"/>
  <c r="F50" i="2"/>
  <c r="C50" i="2"/>
  <c r="X49" i="2"/>
  <c r="U49" i="2"/>
  <c r="R49" i="2"/>
  <c r="O49" i="2"/>
  <c r="L49" i="2"/>
  <c r="I49" i="2"/>
  <c r="F49" i="2"/>
  <c r="C49" i="2"/>
  <c r="X48" i="2"/>
  <c r="U48" i="2"/>
  <c r="R48" i="2"/>
  <c r="O48" i="2"/>
  <c r="L48" i="2"/>
  <c r="I48" i="2"/>
  <c r="F48" i="2"/>
  <c r="C48" i="2"/>
  <c r="X47" i="2"/>
  <c r="U47" i="2"/>
  <c r="R47" i="2"/>
  <c r="O47" i="2"/>
  <c r="L47" i="2"/>
  <c r="I47" i="2"/>
  <c r="F47" i="2"/>
  <c r="C47" i="2"/>
  <c r="X46" i="2"/>
  <c r="U46" i="2"/>
  <c r="R46" i="2"/>
  <c r="O46" i="2"/>
  <c r="L46" i="2"/>
  <c r="I46" i="2"/>
  <c r="F46" i="2"/>
  <c r="C46" i="2"/>
  <c r="X45" i="2"/>
  <c r="U45" i="2"/>
  <c r="R45" i="2"/>
  <c r="O45" i="2"/>
  <c r="L45" i="2"/>
  <c r="I45" i="2"/>
  <c r="F45" i="2"/>
  <c r="C45" i="2"/>
  <c r="X44" i="2"/>
  <c r="U44" i="2"/>
  <c r="R44" i="2"/>
  <c r="O44" i="2"/>
  <c r="L44" i="2"/>
  <c r="I44" i="2"/>
  <c r="F44" i="2"/>
  <c r="C44" i="2"/>
  <c r="X43" i="2"/>
  <c r="U43" i="2"/>
  <c r="R43" i="2"/>
  <c r="O43" i="2"/>
  <c r="L43" i="2"/>
  <c r="I43" i="2"/>
  <c r="F43" i="2"/>
  <c r="C43" i="2"/>
  <c r="X42" i="2"/>
  <c r="U42" i="2"/>
  <c r="R42" i="2"/>
  <c r="O42" i="2"/>
  <c r="L42" i="2"/>
  <c r="I42" i="2"/>
  <c r="F42" i="2"/>
  <c r="C42" i="2"/>
  <c r="X41" i="2"/>
  <c r="U41" i="2"/>
  <c r="R41" i="2"/>
  <c r="O41" i="2"/>
  <c r="L41" i="2"/>
  <c r="I41" i="2"/>
  <c r="F41" i="2"/>
  <c r="C41" i="2"/>
  <c r="X40" i="2"/>
  <c r="U40" i="2"/>
  <c r="R40" i="2"/>
  <c r="O40" i="2"/>
  <c r="L40" i="2"/>
  <c r="I40" i="2"/>
  <c r="F40" i="2"/>
  <c r="C40" i="2"/>
  <c r="X39" i="2"/>
  <c r="U39" i="2"/>
  <c r="R39" i="2"/>
  <c r="O39" i="2"/>
  <c r="L39" i="2"/>
  <c r="I39" i="2"/>
  <c r="F39" i="2"/>
  <c r="C39" i="2"/>
  <c r="X37" i="2"/>
  <c r="W37" i="2"/>
  <c r="T37" i="2"/>
  <c r="U37" i="2" s="1"/>
  <c r="Q37" i="2"/>
  <c r="R37" i="2" s="1"/>
  <c r="N37" i="2"/>
  <c r="O37" i="2" s="1"/>
  <c r="K37" i="2"/>
  <c r="L37" i="2" s="1"/>
  <c r="I37" i="2"/>
  <c r="H37" i="2"/>
  <c r="F37" i="2"/>
  <c r="E37" i="2"/>
  <c r="B37" i="2"/>
  <c r="C37" i="2" s="1"/>
  <c r="X36" i="2"/>
  <c r="U36" i="2"/>
  <c r="R36" i="2"/>
  <c r="O36" i="2"/>
  <c r="L36" i="2"/>
  <c r="I36" i="2"/>
  <c r="F36" i="2"/>
  <c r="C36" i="2"/>
  <c r="X35" i="2"/>
  <c r="U35" i="2"/>
  <c r="R35" i="2"/>
  <c r="O35" i="2"/>
  <c r="L35" i="2"/>
  <c r="I35" i="2"/>
  <c r="F35" i="2"/>
  <c r="C35" i="2"/>
  <c r="X34" i="2"/>
  <c r="U34" i="2"/>
  <c r="R34" i="2"/>
  <c r="O34" i="2"/>
  <c r="L34" i="2"/>
  <c r="I34" i="2"/>
  <c r="F34" i="2"/>
  <c r="C34" i="2"/>
  <c r="X33" i="2"/>
  <c r="U33" i="2"/>
  <c r="R33" i="2"/>
  <c r="O33" i="2"/>
  <c r="L33" i="2"/>
  <c r="I33" i="2"/>
  <c r="F33" i="2"/>
  <c r="C33" i="2"/>
  <c r="X32" i="2"/>
  <c r="U32" i="2"/>
  <c r="R32" i="2"/>
  <c r="O32" i="2"/>
  <c r="L32" i="2"/>
  <c r="I32" i="2"/>
  <c r="F32" i="2"/>
  <c r="C32" i="2"/>
  <c r="W30" i="2"/>
  <c r="X30" i="2" s="1"/>
  <c r="U30" i="2"/>
  <c r="T30" i="2"/>
  <c r="R30" i="2"/>
  <c r="Q30" i="2"/>
  <c r="N30" i="2"/>
  <c r="O30" i="2" s="1"/>
  <c r="K30" i="2"/>
  <c r="L30" i="2" s="1"/>
  <c r="H30" i="2"/>
  <c r="I30" i="2" s="1"/>
  <c r="F30" i="2"/>
  <c r="E30" i="2"/>
  <c r="C30" i="2"/>
  <c r="B30" i="2"/>
  <c r="X29" i="2"/>
  <c r="U29" i="2"/>
  <c r="R29" i="2"/>
  <c r="O29" i="2"/>
  <c r="L29" i="2"/>
  <c r="I29" i="2"/>
  <c r="F29" i="2"/>
  <c r="C29" i="2"/>
  <c r="X28" i="2"/>
  <c r="U28" i="2"/>
  <c r="R28" i="2"/>
  <c r="O28" i="2"/>
  <c r="L28" i="2"/>
  <c r="I28" i="2"/>
  <c r="F28" i="2"/>
  <c r="C28" i="2"/>
  <c r="X27" i="2"/>
  <c r="U27" i="2"/>
  <c r="R27" i="2"/>
  <c r="O27" i="2"/>
  <c r="L27" i="2"/>
  <c r="I27" i="2"/>
  <c r="F27" i="2"/>
  <c r="C27" i="2"/>
  <c r="X26" i="2"/>
  <c r="U26" i="2"/>
  <c r="R26" i="2"/>
  <c r="O26" i="2"/>
  <c r="L26" i="2"/>
  <c r="I26" i="2"/>
  <c r="F26" i="2"/>
  <c r="C26" i="2"/>
  <c r="X25" i="2"/>
  <c r="U25" i="2"/>
  <c r="R25" i="2"/>
  <c r="O25" i="2"/>
  <c r="L25" i="2"/>
  <c r="I25" i="2"/>
  <c r="F25" i="2"/>
  <c r="C25" i="2"/>
  <c r="X24" i="2"/>
  <c r="U24" i="2"/>
  <c r="R24" i="2"/>
  <c r="O24" i="2"/>
  <c r="L24" i="2"/>
  <c r="I24" i="2"/>
  <c r="F24" i="2"/>
  <c r="C24" i="2"/>
  <c r="X23" i="2"/>
  <c r="U23" i="2"/>
  <c r="R23" i="2"/>
  <c r="O23" i="2"/>
  <c r="L23" i="2"/>
  <c r="I23" i="2"/>
  <c r="F23" i="2"/>
  <c r="C23" i="2"/>
  <c r="X22" i="2"/>
  <c r="U22" i="2"/>
  <c r="R22" i="2"/>
  <c r="O22" i="2"/>
  <c r="L22" i="2"/>
  <c r="I22" i="2"/>
  <c r="F22" i="2"/>
  <c r="C22" i="2"/>
  <c r="X21" i="2"/>
  <c r="U21" i="2"/>
  <c r="R21" i="2"/>
  <c r="O21" i="2"/>
  <c r="L21" i="2"/>
  <c r="I21" i="2"/>
  <c r="F21" i="2"/>
  <c r="C21" i="2"/>
  <c r="X19" i="2"/>
  <c r="W19" i="2"/>
  <c r="T19" i="2"/>
  <c r="U19" i="2" s="1"/>
  <c r="Q19" i="2"/>
  <c r="R19" i="2" s="1"/>
  <c r="N19" i="2"/>
  <c r="O19" i="2" s="1"/>
  <c r="L19" i="2"/>
  <c r="K19" i="2"/>
  <c r="I19" i="2"/>
  <c r="H19" i="2"/>
  <c r="F19" i="2"/>
  <c r="E19" i="2"/>
  <c r="B19" i="2"/>
  <c r="C19" i="2" s="1"/>
  <c r="X18" i="2"/>
  <c r="U18" i="2"/>
  <c r="R18" i="2"/>
  <c r="O18" i="2"/>
  <c r="L18" i="2"/>
  <c r="I18" i="2"/>
  <c r="F18" i="2"/>
  <c r="C18" i="2"/>
  <c r="X17" i="2"/>
  <c r="U17" i="2"/>
  <c r="R17" i="2"/>
  <c r="O17" i="2"/>
  <c r="L17" i="2"/>
  <c r="I17" i="2"/>
  <c r="F17" i="2"/>
  <c r="C17" i="2"/>
  <c r="X16" i="2"/>
  <c r="U16" i="2"/>
  <c r="R16" i="2"/>
  <c r="O16" i="2"/>
  <c r="L16" i="2"/>
  <c r="I16" i="2"/>
  <c r="F16" i="2"/>
  <c r="C16" i="2"/>
  <c r="X15" i="2"/>
  <c r="U15" i="2"/>
  <c r="R15" i="2"/>
  <c r="O15" i="2"/>
  <c r="L15" i="2"/>
  <c r="I15" i="2"/>
  <c r="F15" i="2"/>
  <c r="C15" i="2"/>
  <c r="X14" i="2"/>
  <c r="U14" i="2"/>
  <c r="R14" i="2"/>
  <c r="O14" i="2"/>
  <c r="L14" i="2"/>
  <c r="I14" i="2"/>
  <c r="F14" i="2"/>
  <c r="C14" i="2"/>
  <c r="X13" i="2"/>
  <c r="U13" i="2"/>
  <c r="R13" i="2"/>
  <c r="O13" i="2"/>
  <c r="L13" i="2"/>
  <c r="I13" i="2"/>
  <c r="F13" i="2"/>
  <c r="C13" i="2"/>
  <c r="X11" i="2"/>
  <c r="U11" i="2"/>
  <c r="R11" i="2"/>
  <c r="O11" i="2"/>
  <c r="L11" i="2"/>
  <c r="I11" i="2"/>
  <c r="F11" i="2"/>
  <c r="C11" i="2"/>
  <c r="X10" i="2"/>
  <c r="W10" i="2"/>
  <c r="T10" i="2"/>
  <c r="U10" i="2" s="1"/>
  <c r="Q10" i="2"/>
  <c r="R10" i="2" s="1"/>
  <c r="N10" i="2"/>
  <c r="O10" i="2" s="1"/>
  <c r="L10" i="2"/>
  <c r="K10" i="2"/>
  <c r="I10" i="2"/>
  <c r="H10" i="2"/>
  <c r="F10" i="2"/>
  <c r="E10" i="2"/>
  <c r="B10" i="2"/>
  <c r="C10" i="2" s="1"/>
  <c r="X9" i="2"/>
  <c r="U9" i="2"/>
  <c r="R9" i="2"/>
  <c r="O9" i="2"/>
  <c r="L9" i="2"/>
  <c r="I9" i="2"/>
  <c r="F9" i="2"/>
  <c r="C9" i="2"/>
  <c r="X8" i="2"/>
  <c r="U8" i="2"/>
  <c r="R8" i="2"/>
  <c r="O8" i="2"/>
  <c r="L8" i="2"/>
  <c r="I8" i="2"/>
  <c r="F8" i="2"/>
  <c r="C8" i="2"/>
  <c r="X6" i="1"/>
  <c r="U6" i="1"/>
  <c r="R6" i="1"/>
  <c r="O6" i="1"/>
  <c r="L6" i="1"/>
  <c r="I6" i="1"/>
  <c r="F6" i="1"/>
  <c r="C6" i="1"/>
  <c r="R52" i="2" l="1"/>
  <c r="X52" i="2"/>
  <c r="W326" i="2"/>
  <c r="X326" i="2" s="1"/>
  <c r="F52" i="2"/>
  <c r="E326" i="2"/>
  <c r="F326" i="2" s="1"/>
  <c r="B326" i="2"/>
  <c r="C326" i="2" s="1"/>
  <c r="T326" i="2"/>
  <c r="U326" i="2" s="1"/>
  <c r="H326" i="3"/>
  <c r="I326" i="3" s="1"/>
  <c r="I52" i="2"/>
  <c r="O52" i="3"/>
  <c r="K326" i="2"/>
  <c r="L326" i="2" s="1"/>
</calcChain>
</file>

<file path=xl/sharedStrings.xml><?xml version="1.0" encoding="utf-8"?>
<sst xmlns="http://schemas.openxmlformats.org/spreadsheetml/2006/main" count="943" uniqueCount="338">
  <si>
    <t>P&amp;L - Custom by Week</t>
  </si>
  <si>
    <t>06/22/2026 - 08/16/2026</t>
  </si>
  <si>
    <t>4 - Casa Neos</t>
  </si>
  <si>
    <t/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</si>
  <si>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</si>
  <si>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</si>
  <si>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</si>
  <si>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</si>
  <si>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</si>
  <si>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</si>
  <si>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</si>
  <si>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</si>
  <si>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Sales</t>
  </si>
  <si>
    <t>Food Sales</t>
  </si>
  <si>
    <t>4010 - Food Sales</t>
  </si>
  <si>
    <t>4015 - Commissary sales</t>
  </si>
  <si>
    <t>Total Food Sales</t>
  </si>
  <si>
    <t>4020 - N/A Beverage Sales</t>
  </si>
  <si>
    <t>LBW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</si>
  <si>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</si>
  <si>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</si>
  <si>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</si>
  <si>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</si>
  <si>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</si>
  <si>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</si>
  <si>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</si>
  <si>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</si>
  <si>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</si>
  <si>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</si>
  <si>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</si>
  <si>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</si>
  <si>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</si>
  <si>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</si>
  <si>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</si>
  <si>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</si>
  <si>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</si>
  <si>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</si>
  <si>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</si>
  <si>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</si>
  <si>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</si>
  <si>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</si>
  <si>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</si>
  <si>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</si>
  <si>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</si>
  <si>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</si>
  <si>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</si>
  <si>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</si>
  <si>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</si>
  <si>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</si>
  <si>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</si>
  <si>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</si>
  <si>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</si>
  <si>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</si>
  <si>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</si>
  <si>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</si>
  <si>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</si>
  <si>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</si>
  <si>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</si>
  <si>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Total Sales</t>
  </si>
  <si>
    <t>Prime Cost</t>
  </si>
  <si>
    <t>Food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</si>
  <si>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</si>
  <si>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</si>
  <si>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</si>
  <si>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</si>
  <si>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</si>
  <si>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</si>
  <si>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</si>
  <si>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</si>
  <si>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</si>
  <si>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</si>
  <si>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</si>
  <si>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</si>
  <si>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LBW Cost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</si>
  <si>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</si>
  <si>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</si>
  <si>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</si>
  <si>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</si>
  <si>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</si>
  <si>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</si>
  <si>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</si>
  <si>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</si>
  <si>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</si>
  <si>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</si>
  <si>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</si>
  <si>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</si>
  <si>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</si>
  <si>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Payroll Expenses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</si>
  <si>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</si>
  <si>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</si>
  <si>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</si>
  <si>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</si>
  <si>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</si>
  <si>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</si>
  <si>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</si>
  <si>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</si>
  <si>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</si>
  <si>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</si>
  <si>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</si>
  <si>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</si>
  <si>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</si>
  <si>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</si>
  <si>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</si>
  <si>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</si>
  <si>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</si>
  <si>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</si>
  <si>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</si>
  <si>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</si>
  <si>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</si>
  <si>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</si>
  <si>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</si>
  <si>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</si>
  <si>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</si>
  <si>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</si>
  <si>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</si>
  <si>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</si>
  <si>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</si>
  <si>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</si>
  <si>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</si>
  <si>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</si>
  <si>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</si>
  <si>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</si>
  <si>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</si>
  <si>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</si>
  <si>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</si>
  <si>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</si>
  <si>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Total Payroll Expenses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</si>
  <si>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</si>
  <si>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</si>
  <si>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</si>
  <si>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</si>
  <si>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</si>
  <si>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</si>
  <si>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</si>
  <si>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</si>
  <si>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</si>
  <si>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</si>
  <si>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</si>
  <si>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</si>
  <si>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</si>
  <si>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</si>
  <si>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</si>
  <si>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</si>
  <si>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</si>
  <si>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</si>
  <si>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</si>
  <si>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</si>
  <si>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</si>
  <si>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</si>
  <si>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</si>
  <si>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</si>
  <si>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</si>
  <si>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</si>
  <si>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</si>
  <si>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</si>
  <si>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</si>
  <si>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</si>
  <si>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</si>
  <si>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</si>
  <si>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</si>
  <si>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</si>
  <si>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</si>
  <si>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</si>
  <si>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</si>
  <si>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</si>
  <si>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</si>
  <si>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</si>
  <si>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</si>
  <si>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</si>
  <si>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</si>
  <si>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</si>
  <si>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</si>
  <si>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</si>
  <si>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</si>
  <si>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</si>
  <si>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</si>
  <si>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</si>
  <si>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</si>
  <si>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</si>
  <si>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</si>
  <si>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</si>
  <si>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</si>
  <si>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</si>
  <si>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</si>
  <si>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</si>
  <si>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</si>
  <si>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</si>
  <si>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</si>
  <si>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</si>
  <si>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</si>
  <si>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</si>
  <si>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</si>
  <si>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</si>
  <si>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</si>
  <si>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</si>
  <si>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</si>
  <si>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</si>
  <si>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</si>
  <si>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</si>
  <si>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</si>
  <si>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</si>
  <si>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</si>
  <si>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</si>
  <si>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</si>
  <si>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</si>
  <si>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</si>
  <si>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</si>
  <si>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</si>
  <si>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</si>
  <si>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</si>
  <si>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</si>
  <si>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</si>
  <si>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</si>
  <si>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</si>
  <si>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</si>
  <si>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</si>
  <si>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</si>
  <si>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</si>
  <si>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</si>
  <si>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</si>
  <si>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</si>
  <si>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</si>
  <si>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</si>
  <si>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</si>
  <si>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</si>
  <si>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</si>
  <si>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</si>
  <si>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</si>
  <si>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</si>
  <si>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</si>
  <si>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</si>
  <si>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</si>
  <si>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</si>
  <si>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</si>
  <si>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</si>
  <si>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</si>
  <si>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</si>
  <si>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</si>
  <si>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</si>
  <si>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</si>
  <si>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</si>
  <si>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</si>
  <si>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</si>
  <si>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</si>
  <si>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</si>
  <si>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</si>
  <si>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</si>
  <si>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</si>
  <si>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</si>
  <si>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</si>
  <si>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</si>
  <si>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</si>
  <si>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</si>
  <si>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</si>
  <si>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</si>
  <si>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</si>
  <si>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</si>
  <si>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</si>
  <si>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</si>
  <si>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</si>
  <si>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</si>
  <si>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</si>
  <si>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</si>
  <si>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</si>
  <si>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</si>
  <si>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</si>
  <si>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</si>
  <si>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</si>
  <si>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</si>
  <si>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</si>
  <si>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</si>
  <si>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</si>
  <si>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</si>
  <si>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</si>
  <si>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</si>
  <si>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</si>
  <si>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</si>
  <si>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</si>
  <si>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</si>
  <si>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</si>
  <si>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</si>
  <si>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</si>
  <si>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</si>
  <si>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</si>
  <si>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</si>
  <si>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</si>
  <si>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</si>
  <si>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</si>
  <si>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</si>
  <si>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</si>
  <si>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</si>
  <si>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</si>
  <si>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</si>
  <si>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</si>
  <si>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</si>
  <si>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</si>
  <si>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</si>
  <si>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</si>
  <si>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</si>
  <si>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</si>
  <si>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</si>
  <si>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</si>
  <si>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</si>
  <si>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</si>
  <si>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</si>
  <si>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</si>
  <si>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</si>
  <si>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</si>
  <si>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</si>
  <si>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</si>
  <si>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</si>
  <si>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</si>
  <si>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</si>
  <si>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</si>
  <si>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</si>
  <si>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</si>
  <si>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</si>
  <si>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</si>
  <si>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</si>
  <si>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</si>
  <si>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</si>
  <si>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</si>
  <si>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</si>
  <si>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</si>
  <si>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</si>
  <si>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</si>
  <si>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</si>
  <si>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</si>
  <si>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</si>
  <si>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</si>
  <si>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</si>
  <si>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</si>
  <si>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</si>
  <si>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</si>
  <si>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</si>
  <si>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08/20/2026 07:02 AM PDT</t>
  </si>
  <si>
    <t>11 - CN Lounge Rooftop</t>
  </si>
  <si>
    <t>10 - Mila II MM 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</si>
</sst>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%"/>
    <numFmt numFmtId="165" formatCode="#,##0.0"/>
  </numFmts>
  <fonts count="9" x14ac:knownFonts="1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2"/>
      <color rgb="FF696969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i/>
      <sz val="8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9D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vertical="center"/>
    </xf>
    <xf numFmtId="164" fontId="7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2"/>
    </xf>
    <xf numFmtId="4" fontId="4" fillId="0" borderId="0" xfId="0" applyNumberFormat="1" applyFont="1" applyAlignment="1">
      <alignment vertical="center"/>
    </xf>
    <xf numFmtId="164" fontId="8" fillId="0" borderId="0" xfId="0" applyNumberFormat="1" applyFont="1" applyAlignment="1">
      <alignment horizontal="right" vertical="center"/>
    </xf>
    <xf numFmtId="0" fontId="4" fillId="0" borderId="0" xfId="0" applyFont="1" applyAlignment="1">
      <alignment vertical="center"/>
    </xf>
    <xf numFmtId="4" fontId="6" fillId="0" borderId="0" xfId="0" applyNumberFormat="1" applyFont="1" applyAlignment="1">
      <alignment horizontal="left" vertical="center" wrapText="1" indent="1"/>
    </xf>
    <xf numFmtId="4" fontId="6" fillId="0" borderId="0" xfId="0" applyNumberFormat="1" applyFont="1" applyAlignment="1">
      <alignment horizontal="right" vertical="center"/>
    </xf>
    <xf numFmtId="164" fontId="7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 wrapText="1" indent="1"/>
    </xf>
    <xf numFmtId="4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 indent="2"/>
    </xf>
    <xf numFmtId="0" fontId="4" fillId="0" borderId="0" xfId="0" applyFont="1" applyAlignment="1">
      <alignment horizontal="left" vertical="center" wrapText="1" indent="3"/>
    </xf>
    <xf numFmtId="4" fontId="6" fillId="0" borderId="0" xfId="0" applyNumberFormat="1" applyFont="1" applyAlignment="1">
      <alignment horizontal="left" vertical="center" wrapText="1" indent="2"/>
    </xf>
    <xf numFmtId="0" fontId="4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vertical="center"/>
    </xf>
    <xf numFmtId="0" fontId="4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12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318" sqref="H318"/>
    </sheetView>
  </sheetViews>
  <sheetFormatPr defaultRowHeight="15" x14ac:dyDescent="0.25"/>
  <cols>
    <col min="1" max="1" width="42.85546875" customWidth="1"/>
    <col min="2" max="2" width="17.140625" customWidth="1"/>
    <col min="3" max="3" width="9.42578125" customWidth="1"/>
    <col min="4" max="4" width="1.42578125" customWidth="1"/>
    <col min="5" max="5" width="17.140625" customWidth="1"/>
    <col min="6" max="6" width="9.42578125" customWidth="1"/>
    <col min="7" max="7" width="1.42578125" customWidth="1"/>
    <col min="8" max="8" width="17.140625" customWidth="1"/>
    <col min="9" max="9" width="9.42578125" customWidth="1"/>
    <col min="10" max="10" width="1.42578125" customWidth="1"/>
    <col min="11" max="11" width="17.140625" customWidth="1"/>
    <col min="12" max="12" width="9.42578125" customWidth="1"/>
    <col min="13" max="13" width="1.42578125" customWidth="1"/>
    <col min="14" max="14" width="17.140625" customWidth="1"/>
    <col min="15" max="15" width="9.42578125" customWidth="1"/>
    <col min="16" max="16" width="1.42578125" customWidth="1"/>
    <col min="17" max="17" width="17.140625" customWidth="1"/>
    <col min="18" max="18" width="9.42578125" customWidth="1"/>
    <col min="19" max="19" width="1.42578125" customWidth="1"/>
    <col min="20" max="20" width="17.140625" customWidth="1"/>
    <col min="21" max="21" width="9.42578125" customWidth="1"/>
    <col min="22" max="22" width="1.42578125" customWidth="1"/>
    <col min="23" max="23" width="17.140625" customWidth="1"/>
    <col min="24" max="24" width="9.42578125" customWidth="1"/>
  </cols>
  <sheetData>
    <row r="1" spans="1:24" ht="33.75" x14ac:dyDescent="0.25">
      <c r="A1" s="21" t="s">
        <v>0</v>
      </c>
      <c r="B1" s="21" t="s">
        <v>0</v>
      </c>
      <c r="C1" s="21" t="s">
        <v>0</v>
      </c>
      <c r="D1" s="21" t="s">
        <v>0</v>
      </c>
      <c r="E1" s="21" t="s">
        <v>0</v>
      </c>
      <c r="F1" s="21" t="s">
        <v>0</v>
      </c>
      <c r="G1" s="21" t="s">
        <v>0</v>
      </c>
      <c r="H1" s="21" t="s">
        <v>0</v>
      </c>
      <c r="I1" s="21" t="s">
        <v>0</v>
      </c>
      <c r="J1" s="21" t="s">
        <v>0</v>
      </c>
      <c r="K1" s="21" t="s">
        <v>0</v>
      </c>
      <c r="L1" s="21" t="s">
        <v>0</v>
      </c>
      <c r="M1" s="21" t="s">
        <v>0</v>
      </c>
      <c r="N1" s="21" t="s">
        <v>0</v>
      </c>
      <c r="O1" s="21" t="s">
        <v>0</v>
      </c>
      <c r="P1" s="21" t="s">
        <v>0</v>
      </c>
      <c r="Q1" s="21" t="s">
        <v>0</v>
      </c>
      <c r="R1" s="21" t="s">
        <v>0</v>
      </c>
      <c r="S1" s="21" t="s">
        <v>0</v>
      </c>
      <c r="T1" s="21" t="s">
        <v>0</v>
      </c>
      <c r="U1" s="21" t="s">
        <v>0</v>
      </c>
      <c r="V1" s="21" t="s">
        <v>0</v>
      </c>
      <c r="W1" s="21" t="s">
        <v>0</v>
      </c>
      <c r="X1" s="21" t="s">
        <v>0</v>
      </c>
    </row>
    <row r="2" spans="1:24" ht="23.25" x14ac:dyDescent="0.25">
      <c r="A2" s="22" t="s">
        <v>1</v>
      </c>
      <c r="B2" s="22" t="s">
        <v>1</v>
      </c>
      <c r="C2" s="22" t="s">
        <v>1</v>
      </c>
      <c r="D2" s="22" t="s">
        <v>1</v>
      </c>
      <c r="E2" s="22" t="s">
        <v>1</v>
      </c>
      <c r="F2" s="22" t="s">
        <v>1</v>
      </c>
      <c r="G2" s="22" t="s">
        <v>1</v>
      </c>
      <c r="H2" s="22" t="s">
        <v>1</v>
      </c>
      <c r="I2" s="22" t="s">
        <v>1</v>
      </c>
      <c r="J2" s="22" t="s">
        <v>1</v>
      </c>
      <c r="K2" s="22" t="s">
        <v>1</v>
      </c>
      <c r="L2" s="22" t="s">
        <v>1</v>
      </c>
      <c r="M2" s="22" t="s">
        <v>1</v>
      </c>
      <c r="N2" s="22" t="s">
        <v>1</v>
      </c>
      <c r="O2" s="22" t="s">
        <v>1</v>
      </c>
      <c r="P2" s="22" t="s">
        <v>1</v>
      </c>
      <c r="Q2" s="22" t="s">
        <v>1</v>
      </c>
      <c r="R2" s="22" t="s">
        <v>1</v>
      </c>
      <c r="S2" s="22" t="s">
        <v>1</v>
      </c>
      <c r="T2" s="22" t="s">
        <v>1</v>
      </c>
      <c r="U2" s="22" t="s">
        <v>1</v>
      </c>
      <c r="V2" s="22" t="s">
        <v>1</v>
      </c>
      <c r="W2" s="22" t="s">
        <v>1</v>
      </c>
      <c r="X2" s="22" t="s">
        <v>1</v>
      </c>
    </row>
    <row r="3" spans="1:24" ht="15.75" x14ac:dyDescent="0.25">
      <c r="A3" s="23" t="s">
        <v>2</v>
      </c>
      <c r="B3" s="23" t="s">
        <v>2</v>
      </c>
      <c r="C3" s="23" t="s">
        <v>2</v>
      </c>
      <c r="D3" s="23" t="s">
        <v>2</v>
      </c>
      <c r="E3" s="23" t="s">
        <v>2</v>
      </c>
      <c r="F3" s="23" t="s">
        <v>2</v>
      </c>
      <c r="G3" s="23" t="s">
        <v>2</v>
      </c>
      <c r="H3" s="23" t="s">
        <v>2</v>
      </c>
      <c r="I3" s="23" t="s">
        <v>2</v>
      </c>
      <c r="J3" s="23" t="s">
        <v>2</v>
      </c>
      <c r="K3" s="23" t="s">
        <v>2</v>
      </c>
      <c r="L3" s="23" t="s">
        <v>2</v>
      </c>
      <c r="M3" s="23" t="s">
        <v>2</v>
      </c>
      <c r="N3" s="23" t="s">
        <v>2</v>
      </c>
      <c r="O3" s="23" t="s">
        <v>2</v>
      </c>
      <c r="P3" s="23" t="s">
        <v>2</v>
      </c>
      <c r="Q3" s="23" t="s">
        <v>2</v>
      </c>
      <c r="R3" s="23" t="s">
        <v>2</v>
      </c>
      <c r="S3" s="23" t="s">
        <v>2</v>
      </c>
      <c r="T3" s="23" t="s">
        <v>2</v>
      </c>
      <c r="U3" s="23" t="s">
        <v>2</v>
      </c>
      <c r="V3" s="23" t="s">
        <v>2</v>
      </c>
      <c r="W3" s="23" t="s">
        <v>2</v>
      </c>
      <c r="X3" s="23" t="s">
        <v>2</v>
      </c>
    </row>
    <row r="5" spans="1:24" ht="16.5" customHeight="1" x14ac:dyDescent="0.25">
      <c r="A5" s="24" t="s">
        <v>3</v>
      </c>
      <c r="B5" s="25" t="s">
        <v>4</v>
      </c>
      <c r="C5" s="26" t="s">
        <v>3</v>
      </c>
      <c r="D5" s="24" t="s">
        <v>3</v>
      </c>
      <c r="E5" s="25" t="s">
        <v>5</v>
      </c>
      <c r="F5" s="26" t="s">
        <v>3</v>
      </c>
      <c r="G5" s="24" t="s">
        <v>3</v>
      </c>
      <c r="H5" s="25" t="s">
        <v>6</v>
      </c>
      <c r="I5" s="26" t="s">
        <v>3</v>
      </c>
      <c r="J5" s="24" t="s">
        <v>3</v>
      </c>
      <c r="K5" s="25" t="s">
        <v>7</v>
      </c>
      <c r="L5" s="26" t="s">
        <v>3</v>
      </c>
      <c r="M5" s="24" t="s">
        <v>3</v>
      </c>
      <c r="N5" s="25" t="s">
        <v>8</v>
      </c>
      <c r="O5" s="26" t="s">
        <v>3</v>
      </c>
      <c r="P5" s="24" t="s">
        <v>3</v>
      </c>
      <c r="Q5" s="25" t="s">
        <v>9</v>
      </c>
      <c r="R5" s="26" t="s">
        <v>3</v>
      </c>
      <c r="S5" s="24" t="s">
        <v>3</v>
      </c>
      <c r="T5" s="25" t="s">
        <v>10</v>
      </c>
      <c r="U5" s="26" t="s">
        <v>3</v>
      </c>
      <c r="V5" s="24" t="s">
        <v>3</v>
      </c>
      <c r="W5" s="25" t="s">
        <v>11</v>
      </c>
      <c r="X5" s="26" t="s">
        <v>3</v>
      </c>
    </row>
    <row r="6" spans="1:24" ht="16.5" customHeight="1" x14ac:dyDescent="0.25">
      <c r="A6" s="6" t="s">
        <v>202</v>
      </c>
      <c r="B6" s="7">
        <v>33352.5</v>
      </c>
      <c r="C6" s="8">
        <f>IFERROR(B6/B7, "NA")</f>
        <v>4.0319470193276322E-2</v>
      </c>
      <c r="D6" s="9"/>
      <c r="E6" s="7">
        <v>29532.26</v>
      </c>
      <c r="F6" s="8">
        <f>IFERROR(E6/E7, "NA")</f>
        <v>5.3364388922501844E-2</v>
      </c>
      <c r="G6" s="9"/>
      <c r="H6" s="7">
        <v>26548.799999999999</v>
      </c>
      <c r="I6" s="8">
        <f>IFERROR(H6/H7, "NA")</f>
        <v>3.6436333159464929E-2</v>
      </c>
      <c r="J6" s="9"/>
      <c r="K6" s="7">
        <v>38131.35</v>
      </c>
      <c r="L6" s="8">
        <f>IFERROR(K6/K7, "NA")</f>
        <v>7.2556132254585709E-2</v>
      </c>
      <c r="M6" s="9"/>
      <c r="N6" s="7">
        <v>12676.95</v>
      </c>
      <c r="O6" s="8">
        <f>IFERROR(N6/N7, "NA")</f>
        <v>2.6107701934253272E-2</v>
      </c>
      <c r="P6" s="9"/>
      <c r="Q6" s="7">
        <v>28158.97</v>
      </c>
      <c r="R6" s="8">
        <f>IFERROR(Q6/Q7, "NA")</f>
        <v>6.1815725543066954E-2</v>
      </c>
      <c r="S6" s="9"/>
      <c r="T6" s="7">
        <v>24183.95</v>
      </c>
      <c r="U6" s="8">
        <f>IFERROR(T6/T7, "NA")</f>
        <v>5.4997735068330805E-2</v>
      </c>
      <c r="V6" s="9"/>
      <c r="W6" s="7">
        <v>16386.55</v>
      </c>
      <c r="X6" s="8">
        <f>IFERROR(W6/W7, "NA")</f>
        <v>4.3936827472846336E-2</v>
      </c>
    </row>
    <row r="7" spans="1:24" ht="15.75" hidden="1" x14ac:dyDescent="0.25">
      <c r="A7" s="18" t="s">
        <v>58</v>
      </c>
      <c r="B7" s="7">
        <v>827205.81</v>
      </c>
      <c r="C7" s="19"/>
      <c r="D7" s="9"/>
      <c r="E7" s="7">
        <v>553407.63</v>
      </c>
      <c r="F7" s="19"/>
      <c r="G7" s="9"/>
      <c r="H7" s="7">
        <v>728635.34</v>
      </c>
      <c r="I7" s="19"/>
      <c r="J7" s="9"/>
      <c r="K7" s="7">
        <v>525542.76</v>
      </c>
      <c r="L7" s="19"/>
      <c r="M7" s="9"/>
      <c r="N7" s="7">
        <v>485563.61</v>
      </c>
      <c r="O7" s="19"/>
      <c r="P7" s="9"/>
      <c r="Q7" s="7">
        <v>455530.85</v>
      </c>
      <c r="R7" s="19"/>
      <c r="S7" s="9"/>
      <c r="T7" s="7">
        <v>439726.29</v>
      </c>
      <c r="U7" s="19"/>
      <c r="V7" s="9"/>
      <c r="W7" s="7">
        <v>372957.06</v>
      </c>
      <c r="X7" s="19"/>
    </row>
    <row r="10" spans="1:24" ht="15.75" x14ac:dyDescent="0.25">
      <c r="A10" s="20" t="s">
        <v>333</v>
      </c>
    </row>
    <row r="11" spans="1:24" ht="15.75" x14ac:dyDescent="0.25">
      <c r="A11" s="20" t="s">
        <v>334</v>
      </c>
    </row>
    <row r="12" spans="1:24" ht="15.75" x14ac:dyDescent="0.25">
      <c r="A12" s="20" t="s">
        <v>335</v>
      </c>
    </row>
  </sheetData>
  <mergeCells count="19">
    <mergeCell ref="T5:U5"/>
    <mergeCell ref="V5"/>
    <mergeCell ref="W5:X5"/>
    <mergeCell ref="A1:X1"/>
    <mergeCell ref="A2:X2"/>
    <mergeCell ref="A3:X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X5 A7:X12 A6:X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33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 x14ac:dyDescent="0.25"/>
  <cols>
    <col min="1" max="1" width="42.85546875" customWidth="1"/>
    <col min="2" max="2" width="17.140625" customWidth="1"/>
    <col min="3" max="3" width="9.42578125" customWidth="1"/>
    <col min="4" max="4" width="1.42578125" customWidth="1"/>
    <col min="5" max="5" width="17.140625" customWidth="1"/>
    <col min="6" max="6" width="9.42578125" customWidth="1"/>
    <col min="7" max="7" width="1.42578125" customWidth="1"/>
    <col min="8" max="8" width="17.140625" customWidth="1"/>
    <col min="9" max="9" width="9.42578125" customWidth="1"/>
    <col min="10" max="10" width="1.42578125" customWidth="1"/>
    <col min="11" max="11" width="17.140625" customWidth="1"/>
    <col min="12" max="12" width="9.42578125" customWidth="1"/>
    <col min="13" max="13" width="1.42578125" customWidth="1"/>
    <col min="14" max="14" width="17.140625" customWidth="1"/>
    <col min="15" max="15" width="9.42578125" customWidth="1"/>
    <col min="16" max="16" width="1.42578125" customWidth="1"/>
    <col min="17" max="17" width="17.140625" customWidth="1"/>
    <col min="18" max="18" width="9.42578125" customWidth="1"/>
    <col min="19" max="19" width="1.42578125" customWidth="1"/>
    <col min="20" max="20" width="17.140625" customWidth="1"/>
    <col min="21" max="21" width="9.42578125" customWidth="1"/>
    <col min="22" max="22" width="1.42578125" customWidth="1"/>
    <col min="23" max="23" width="17.140625" customWidth="1"/>
    <col min="24" max="24" width="9.42578125" customWidth="1"/>
  </cols>
  <sheetData>
    <row r="1" spans="1:24" ht="33.75" x14ac:dyDescent="0.25">
      <c r="A1" s="21" t="s">
        <v>0</v>
      </c>
      <c r="B1" s="21" t="s">
        <v>0</v>
      </c>
      <c r="C1" s="21" t="s">
        <v>0</v>
      </c>
      <c r="D1" s="21" t="s">
        <v>0</v>
      </c>
      <c r="E1" s="21" t="s">
        <v>0</v>
      </c>
      <c r="F1" s="21" t="s">
        <v>0</v>
      </c>
      <c r="G1" s="21" t="s">
        <v>0</v>
      </c>
      <c r="H1" s="21" t="s">
        <v>0</v>
      </c>
      <c r="I1" s="21" t="s">
        <v>0</v>
      </c>
      <c r="J1" s="21" t="s">
        <v>0</v>
      </c>
      <c r="K1" s="21" t="s">
        <v>0</v>
      </c>
      <c r="L1" s="21" t="s">
        <v>0</v>
      </c>
      <c r="M1" s="21" t="s">
        <v>0</v>
      </c>
      <c r="N1" s="21" t="s">
        <v>0</v>
      </c>
      <c r="O1" s="21" t="s">
        <v>0</v>
      </c>
      <c r="P1" s="21" t="s">
        <v>0</v>
      </c>
      <c r="Q1" s="21" t="s">
        <v>0</v>
      </c>
      <c r="R1" s="21" t="s">
        <v>0</v>
      </c>
      <c r="S1" s="21" t="s">
        <v>0</v>
      </c>
      <c r="T1" s="21" t="s">
        <v>0</v>
      </c>
      <c r="U1" s="21" t="s">
        <v>0</v>
      </c>
      <c r="V1" s="21" t="s">
        <v>0</v>
      </c>
      <c r="W1" s="21" t="s">
        <v>0</v>
      </c>
      <c r="X1" s="21" t="s">
        <v>0</v>
      </c>
    </row>
    <row r="2" spans="1:24" ht="23.25" x14ac:dyDescent="0.25">
      <c r="A2" s="22" t="s">
        <v>1</v>
      </c>
      <c r="B2" s="22" t="s">
        <v>1</v>
      </c>
      <c r="C2" s="22" t="s">
        <v>1</v>
      </c>
      <c r="D2" s="22" t="s">
        <v>1</v>
      </c>
      <c r="E2" s="22" t="s">
        <v>1</v>
      </c>
      <c r="F2" s="22" t="s">
        <v>1</v>
      </c>
      <c r="G2" s="22" t="s">
        <v>1</v>
      </c>
      <c r="H2" s="22" t="s">
        <v>1</v>
      </c>
      <c r="I2" s="22" t="s">
        <v>1</v>
      </c>
      <c r="J2" s="22" t="s">
        <v>1</v>
      </c>
      <c r="K2" s="22" t="s">
        <v>1</v>
      </c>
      <c r="L2" s="22" t="s">
        <v>1</v>
      </c>
      <c r="M2" s="22" t="s">
        <v>1</v>
      </c>
      <c r="N2" s="22" t="s">
        <v>1</v>
      </c>
      <c r="O2" s="22" t="s">
        <v>1</v>
      </c>
      <c r="P2" s="22" t="s">
        <v>1</v>
      </c>
      <c r="Q2" s="22" t="s">
        <v>1</v>
      </c>
      <c r="R2" s="22" t="s">
        <v>1</v>
      </c>
      <c r="S2" s="22" t="s">
        <v>1</v>
      </c>
      <c r="T2" s="22" t="s">
        <v>1</v>
      </c>
      <c r="U2" s="22" t="s">
        <v>1</v>
      </c>
      <c r="V2" s="22" t="s">
        <v>1</v>
      </c>
      <c r="W2" s="22" t="s">
        <v>1</v>
      </c>
      <c r="X2" s="22" t="s">
        <v>1</v>
      </c>
    </row>
    <row r="3" spans="1:24" ht="15.75" x14ac:dyDescent="0.25">
      <c r="A3" s="23" t="s">
        <v>336</v>
      </c>
      <c r="B3" s="23" t="s">
        <v>336</v>
      </c>
      <c r="C3" s="23" t="s">
        <v>336</v>
      </c>
      <c r="D3" s="23" t="s">
        <v>336</v>
      </c>
      <c r="E3" s="23" t="s">
        <v>336</v>
      </c>
      <c r="F3" s="23" t="s">
        <v>336</v>
      </c>
      <c r="G3" s="23" t="s">
        <v>336</v>
      </c>
      <c r="H3" s="23" t="s">
        <v>336</v>
      </c>
      <c r="I3" s="23" t="s">
        <v>336</v>
      </c>
      <c r="J3" s="23" t="s">
        <v>336</v>
      </c>
      <c r="K3" s="23" t="s">
        <v>336</v>
      </c>
      <c r="L3" s="23" t="s">
        <v>336</v>
      </c>
      <c r="M3" s="23" t="s">
        <v>336</v>
      </c>
      <c r="N3" s="23" t="s">
        <v>336</v>
      </c>
      <c r="O3" s="23" t="s">
        <v>336</v>
      </c>
      <c r="P3" s="23" t="s">
        <v>336</v>
      </c>
      <c r="Q3" s="23" t="s">
        <v>336</v>
      </c>
      <c r="R3" s="23" t="s">
        <v>336</v>
      </c>
      <c r="S3" s="23" t="s">
        <v>336</v>
      </c>
      <c r="T3" s="23" t="s">
        <v>336</v>
      </c>
      <c r="U3" s="23" t="s">
        <v>336</v>
      </c>
      <c r="V3" s="23" t="s">
        <v>336</v>
      </c>
      <c r="W3" s="23" t="s">
        <v>336</v>
      </c>
      <c r="X3" s="23" t="s">
        <v>336</v>
      </c>
    </row>
    <row r="5" spans="1:24" ht="16.5" customHeight="1" x14ac:dyDescent="0.25">
      <c r="A5" s="24" t="s">
        <v>3</v>
      </c>
      <c r="B5" s="25" t="s">
        <v>4</v>
      </c>
      <c r="C5" s="26" t="s">
        <v>3</v>
      </c>
      <c r="D5" s="24" t="s">
        <v>3</v>
      </c>
      <c r="E5" s="25" t="s">
        <v>5</v>
      </c>
      <c r="F5" s="26" t="s">
        <v>3</v>
      </c>
      <c r="G5" s="24" t="s">
        <v>3</v>
      </c>
      <c r="H5" s="25" t="s">
        <v>6</v>
      </c>
      <c r="I5" s="26" t="s">
        <v>3</v>
      </c>
      <c r="J5" s="24" t="s">
        <v>3</v>
      </c>
      <c r="K5" s="25" t="s">
        <v>7</v>
      </c>
      <c r="L5" s="26" t="s">
        <v>3</v>
      </c>
      <c r="M5" s="24" t="s">
        <v>3</v>
      </c>
      <c r="N5" s="25" t="s">
        <v>8</v>
      </c>
      <c r="O5" s="26" t="s">
        <v>3</v>
      </c>
      <c r="P5" s="24" t="s">
        <v>3</v>
      </c>
      <c r="Q5" s="25" t="s">
        <v>9</v>
      </c>
      <c r="R5" s="26" t="s">
        <v>3</v>
      </c>
      <c r="S5" s="24" t="s">
        <v>3</v>
      </c>
      <c r="T5" s="25" t="s">
        <v>10</v>
      </c>
      <c r="U5" s="26" t="s">
        <v>3</v>
      </c>
      <c r="V5" s="24" t="s">
        <v>3</v>
      </c>
      <c r="W5" s="25" t="s">
        <v>11</v>
      </c>
      <c r="X5" s="26" t="s">
        <v>3</v>
      </c>
    </row>
    <row r="6" spans="1:24" ht="16.5" customHeight="1" x14ac:dyDescent="0.25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</row>
    <row r="7" spans="1:24" ht="16.5" customHeight="1" x14ac:dyDescent="0.25">
      <c r="A7" s="5" t="s">
        <v>13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</row>
    <row r="8" spans="1:24" ht="16.5" customHeight="1" x14ac:dyDescent="0.25">
      <c r="A8" s="6" t="s">
        <v>14</v>
      </c>
      <c r="B8" s="7">
        <v>28429</v>
      </c>
      <c r="C8" s="8">
        <f>IFERROR(B8/B327, "NA")</f>
        <v>8.0563114890981918E-2</v>
      </c>
      <c r="D8" s="9"/>
      <c r="E8" s="7">
        <v>26746</v>
      </c>
      <c r="F8" s="8">
        <f>IFERROR(E8/E327, "NA")</f>
        <v>0.17801766092807197</v>
      </c>
      <c r="G8" s="9"/>
      <c r="H8" s="7">
        <v>27928</v>
      </c>
      <c r="I8" s="8">
        <f>IFERROR(H8/H327, "NA")</f>
        <v>0.11047271706002069</v>
      </c>
      <c r="J8" s="9"/>
      <c r="K8" s="7">
        <v>14858</v>
      </c>
      <c r="L8" s="8">
        <f>IFERROR(K8/K327, "NA")</f>
        <v>0.11364024868689986</v>
      </c>
      <c r="M8" s="9"/>
      <c r="N8" s="7">
        <v>12038</v>
      </c>
      <c r="O8" s="8">
        <f>IFERROR(N8/N327, "NA")</f>
        <v>9.5914907748630596E-2</v>
      </c>
      <c r="P8" s="9"/>
      <c r="Q8" s="7">
        <v>17547</v>
      </c>
      <c r="R8" s="8">
        <f>IFERROR(Q8/Q327, "NA")</f>
        <v>0.22016311166875785</v>
      </c>
      <c r="S8" s="9"/>
      <c r="T8" s="7">
        <v>37198</v>
      </c>
      <c r="U8" s="8">
        <f>IFERROR(T8/T327, "NA")</f>
        <v>0.42205563491586229</v>
      </c>
      <c r="V8" s="9"/>
      <c r="W8" s="7">
        <v>38512</v>
      </c>
      <c r="X8" s="8">
        <f>IFERROR(W8/W327, "NA")</f>
        <v>0.26210330689682465</v>
      </c>
    </row>
    <row r="9" spans="1:24" ht="16.5" customHeight="1" x14ac:dyDescent="0.25">
      <c r="A9" s="6" t="s">
        <v>15</v>
      </c>
      <c r="B9" s="7">
        <v>0</v>
      </c>
      <c r="C9" s="8">
        <f>IFERROR(B9/B327, "NA")</f>
        <v>0</v>
      </c>
      <c r="D9" s="9"/>
      <c r="E9" s="7">
        <v>0</v>
      </c>
      <c r="F9" s="8">
        <f>IFERROR(E9/E327, "NA")</f>
        <v>0</v>
      </c>
      <c r="G9" s="9"/>
      <c r="H9" s="7">
        <v>0</v>
      </c>
      <c r="I9" s="8">
        <f>IFERROR(H9/H327, "NA")</f>
        <v>0</v>
      </c>
      <c r="J9" s="9"/>
      <c r="K9" s="7">
        <v>0</v>
      </c>
      <c r="L9" s="8">
        <f>IFERROR(K9/K327, "NA")</f>
        <v>0</v>
      </c>
      <c r="M9" s="9"/>
      <c r="N9" s="7">
        <v>0</v>
      </c>
      <c r="O9" s="8">
        <f>IFERROR(N9/N327, "NA")</f>
        <v>0</v>
      </c>
      <c r="P9" s="9"/>
      <c r="Q9" s="7">
        <v>0</v>
      </c>
      <c r="R9" s="8">
        <f>IFERROR(Q9/Q327, "NA")</f>
        <v>0</v>
      </c>
      <c r="S9" s="9"/>
      <c r="T9" s="7">
        <v>0</v>
      </c>
      <c r="U9" s="8">
        <f>IFERROR(T9/T327, "NA")</f>
        <v>0</v>
      </c>
      <c r="V9" s="9"/>
      <c r="W9" s="7">
        <v>0</v>
      </c>
      <c r="X9" s="8">
        <f>IFERROR(W9/W327, "NA")</f>
        <v>0</v>
      </c>
    </row>
    <row r="10" spans="1:24" ht="16.5" customHeight="1" x14ac:dyDescent="0.25">
      <c r="A10" s="10" t="s">
        <v>16</v>
      </c>
      <c r="B10" s="11">
        <f>IFERROR(B8+B9, "NA")</f>
        <v>28429</v>
      </c>
      <c r="C10" s="12">
        <f>IFERROR(B10/B327, "NA")</f>
        <v>8.0563114890981918E-2</v>
      </c>
      <c r="D10" s="2"/>
      <c r="E10" s="11">
        <f>IFERROR(E8+E9, "NA")</f>
        <v>26746</v>
      </c>
      <c r="F10" s="12">
        <f>IFERROR(E10/E327, "NA")</f>
        <v>0.17801766092807197</v>
      </c>
      <c r="G10" s="2"/>
      <c r="H10" s="11">
        <f>IFERROR(H8+H9, "NA")</f>
        <v>27928</v>
      </c>
      <c r="I10" s="12">
        <f>IFERROR(H10/H327, "NA")</f>
        <v>0.11047271706002069</v>
      </c>
      <c r="J10" s="2"/>
      <c r="K10" s="11">
        <f>IFERROR(K8+K9, "NA")</f>
        <v>14858</v>
      </c>
      <c r="L10" s="12">
        <f>IFERROR(K10/K327, "NA")</f>
        <v>0.11364024868689986</v>
      </c>
      <c r="M10" s="2"/>
      <c r="N10" s="11">
        <f>IFERROR(N8+N9, "NA")</f>
        <v>12038</v>
      </c>
      <c r="O10" s="12">
        <f>IFERROR(N10/N327, "NA")</f>
        <v>9.5914907748630596E-2</v>
      </c>
      <c r="P10" s="2"/>
      <c r="Q10" s="11">
        <f>IFERROR(Q8+Q9, "NA")</f>
        <v>17547</v>
      </c>
      <c r="R10" s="12">
        <f>IFERROR(Q10/Q327, "NA")</f>
        <v>0.22016311166875785</v>
      </c>
      <c r="S10" s="2"/>
      <c r="T10" s="11">
        <f>IFERROR(T8+T9, "NA")</f>
        <v>37198</v>
      </c>
      <c r="U10" s="12">
        <f>IFERROR(T10/T327, "NA")</f>
        <v>0.42205563491586229</v>
      </c>
      <c r="V10" s="2"/>
      <c r="W10" s="11">
        <f>IFERROR(W8+W9, "NA")</f>
        <v>38512</v>
      </c>
      <c r="X10" s="12">
        <f>IFERROR(W10/W327, "NA")</f>
        <v>0.26210330689682465</v>
      </c>
    </row>
    <row r="11" spans="1:24" ht="16.5" customHeight="1" x14ac:dyDescent="0.25">
      <c r="A11" s="13" t="s">
        <v>17</v>
      </c>
      <c r="B11" s="7">
        <v>9891</v>
      </c>
      <c r="C11" s="8">
        <f>IFERROR(B11/B327, "NA")</f>
        <v>2.8029468830655394E-2</v>
      </c>
      <c r="D11" s="9"/>
      <c r="E11" s="7">
        <v>7393</v>
      </c>
      <c r="F11" s="8">
        <f>IFERROR(E11/E327, "NA")</f>
        <v>4.9206781097780462E-2</v>
      </c>
      <c r="G11" s="9"/>
      <c r="H11" s="7">
        <v>9541</v>
      </c>
      <c r="I11" s="8">
        <f>IFERROR(H11/H327, "NA")</f>
        <v>3.7740625661331184E-2</v>
      </c>
      <c r="J11" s="9"/>
      <c r="K11" s="7">
        <v>4290</v>
      </c>
      <c r="L11" s="8">
        <f>IFERROR(K11/K327, "NA")</f>
        <v>3.2811728823987106E-2</v>
      </c>
      <c r="M11" s="9"/>
      <c r="N11" s="7">
        <v>2592</v>
      </c>
      <c r="O11" s="8">
        <f>IFERROR(N11/N327, "NA")</f>
        <v>2.0652221372690689E-2</v>
      </c>
      <c r="P11" s="9"/>
      <c r="Q11" s="7">
        <v>3169</v>
      </c>
      <c r="R11" s="8">
        <f>IFERROR(Q11/Q327, "NA")</f>
        <v>3.9761606022584696E-2</v>
      </c>
      <c r="S11" s="9"/>
      <c r="T11" s="7">
        <v>2948</v>
      </c>
      <c r="U11" s="8">
        <f>IFERROR(T11/T327, "NA")</f>
        <v>3.344857281929034E-2</v>
      </c>
      <c r="V11" s="9"/>
      <c r="W11" s="7">
        <v>6370</v>
      </c>
      <c r="X11" s="8">
        <f>IFERROR(W11/W327, "NA")</f>
        <v>4.3352670983921197E-2</v>
      </c>
    </row>
    <row r="12" spans="1:24" ht="16.5" customHeight="1" x14ac:dyDescent="0.25">
      <c r="A12" s="5" t="s">
        <v>18</v>
      </c>
      <c r="B12" s="2"/>
      <c r="C12" s="3"/>
      <c r="D12" s="4"/>
      <c r="E12" s="2"/>
      <c r="F12" s="3"/>
      <c r="G12" s="4"/>
      <c r="H12" s="2"/>
      <c r="I12" s="3"/>
      <c r="J12" s="4"/>
      <c r="K12" s="2"/>
      <c r="L12" s="3"/>
      <c r="M12" s="4"/>
      <c r="N12" s="2"/>
      <c r="O12" s="3"/>
      <c r="P12" s="4"/>
      <c r="Q12" s="2"/>
      <c r="R12" s="3"/>
      <c r="S12" s="4"/>
      <c r="T12" s="2"/>
      <c r="U12" s="3"/>
      <c r="V12" s="4"/>
      <c r="W12" s="2"/>
      <c r="X12" s="3"/>
    </row>
    <row r="13" spans="1:24" ht="16.5" customHeight="1" x14ac:dyDescent="0.25">
      <c r="A13" s="6" t="s">
        <v>19</v>
      </c>
      <c r="B13" s="7">
        <v>0</v>
      </c>
      <c r="C13" s="8">
        <f>IFERROR(B13/B327, "NA")</f>
        <v>0</v>
      </c>
      <c r="D13" s="9"/>
      <c r="E13" s="7">
        <v>0</v>
      </c>
      <c r="F13" s="8">
        <f>IFERROR(E13/E327, "NA")</f>
        <v>0</v>
      </c>
      <c r="G13" s="9"/>
      <c r="H13" s="7">
        <v>0</v>
      </c>
      <c r="I13" s="8">
        <f>IFERROR(H13/H327, "NA")</f>
        <v>0</v>
      </c>
      <c r="J13" s="9"/>
      <c r="K13" s="7">
        <v>0</v>
      </c>
      <c r="L13" s="8">
        <f>IFERROR(K13/K327, "NA")</f>
        <v>0</v>
      </c>
      <c r="M13" s="9"/>
      <c r="N13" s="7">
        <v>0</v>
      </c>
      <c r="O13" s="8">
        <f>IFERROR(N13/N327, "NA")</f>
        <v>0</v>
      </c>
      <c r="P13" s="9"/>
      <c r="Q13" s="7">
        <v>0</v>
      </c>
      <c r="R13" s="8">
        <f>IFERROR(Q13/Q327, "NA")</f>
        <v>0</v>
      </c>
      <c r="S13" s="9"/>
      <c r="T13" s="7">
        <v>0</v>
      </c>
      <c r="U13" s="8">
        <f>IFERROR(T13/T327, "NA")</f>
        <v>0</v>
      </c>
      <c r="V13" s="9"/>
      <c r="W13" s="7">
        <v>0</v>
      </c>
      <c r="X13" s="8">
        <f>IFERROR(W13/W327, "NA")</f>
        <v>0</v>
      </c>
    </row>
    <row r="14" spans="1:24" ht="16.5" customHeight="1" x14ac:dyDescent="0.25">
      <c r="A14" s="6" t="s">
        <v>20</v>
      </c>
      <c r="B14" s="7">
        <v>181276.01</v>
      </c>
      <c r="C14" s="8">
        <f>IFERROR(B14/B327, "NA")</f>
        <v>0.51370642726120463</v>
      </c>
      <c r="D14" s="9"/>
      <c r="E14" s="7">
        <v>102756.01</v>
      </c>
      <c r="F14" s="8">
        <f>IFERROR(E14/E327, "NA")</f>
        <v>0.68392972954840248</v>
      </c>
      <c r="G14" s="9"/>
      <c r="H14" s="7">
        <v>173757</v>
      </c>
      <c r="I14" s="8">
        <f>IFERROR(H14/H327, "NA")</f>
        <v>0.68731767037374736</v>
      </c>
      <c r="J14" s="9"/>
      <c r="K14" s="7">
        <v>96757</v>
      </c>
      <c r="L14" s="8">
        <f>IFERROR(K14/K327, "NA")</f>
        <v>0.74003833235956185</v>
      </c>
      <c r="M14" s="9"/>
      <c r="N14" s="7">
        <v>61039</v>
      </c>
      <c r="O14" s="8">
        <f>IFERROR(N14/N327, "NA")</f>
        <v>0.486339097364069</v>
      </c>
      <c r="P14" s="9"/>
      <c r="Q14" s="7">
        <v>57657</v>
      </c>
      <c r="R14" s="8">
        <f>IFERROR(Q14/Q327, "NA")</f>
        <v>0.72342534504391465</v>
      </c>
      <c r="S14" s="9"/>
      <c r="T14" s="7">
        <v>45490</v>
      </c>
      <c r="U14" s="8">
        <f>IFERROR(T14/T327, "NA")</f>
        <v>0.51613825561381188</v>
      </c>
      <c r="V14" s="9"/>
      <c r="W14" s="7">
        <v>100455</v>
      </c>
      <c r="X14" s="8">
        <f>IFERROR(W14/W327, "NA")</f>
        <v>0.68367230199211992</v>
      </c>
    </row>
    <row r="15" spans="1:24" ht="16.5" customHeight="1" x14ac:dyDescent="0.25">
      <c r="A15" s="6" t="s">
        <v>21</v>
      </c>
      <c r="B15" s="7">
        <v>1248</v>
      </c>
      <c r="C15" s="8">
        <f>IFERROR(B15/B327, "NA")</f>
        <v>3.5366269437526973E-3</v>
      </c>
      <c r="D15" s="9"/>
      <c r="E15" s="7">
        <v>1128</v>
      </c>
      <c r="F15" s="8">
        <f>IFERROR(E15/E327, "NA")</f>
        <v>7.5078113185846557E-3</v>
      </c>
      <c r="G15" s="9"/>
      <c r="H15" s="7">
        <v>1416</v>
      </c>
      <c r="I15" s="8">
        <f>IFERROR(H15/H327, "NA")</f>
        <v>5.6011661184828592E-3</v>
      </c>
      <c r="J15" s="9"/>
      <c r="K15" s="7">
        <v>1044</v>
      </c>
      <c r="L15" s="8">
        <f>IFERROR(K15/K327, "NA")</f>
        <v>7.9849521893339253E-3</v>
      </c>
      <c r="M15" s="9"/>
      <c r="N15" s="7">
        <v>564</v>
      </c>
      <c r="O15" s="8">
        <f>IFERROR(N15/N327, "NA")</f>
        <v>4.4937703912799184E-3</v>
      </c>
      <c r="P15" s="9"/>
      <c r="Q15" s="7">
        <v>480</v>
      </c>
      <c r="R15" s="8">
        <f>IFERROR(Q15/Q327, "NA")</f>
        <v>6.0225846925972401E-3</v>
      </c>
      <c r="S15" s="9"/>
      <c r="T15" s="7">
        <v>984</v>
      </c>
      <c r="U15" s="8">
        <f>IFERROR(T15/T327, "NA")</f>
        <v>1.1164652528555528E-2</v>
      </c>
      <c r="V15" s="9"/>
      <c r="W15" s="7">
        <v>816</v>
      </c>
      <c r="X15" s="8">
        <f>IFERROR(W15/W327, "NA")</f>
        <v>5.5534975703107848E-3</v>
      </c>
    </row>
    <row r="16" spans="1:24" ht="16.5" customHeight="1" x14ac:dyDescent="0.25">
      <c r="A16" s="6" t="s">
        <v>22</v>
      </c>
      <c r="B16" s="7">
        <v>54055</v>
      </c>
      <c r="C16" s="8">
        <f>IFERROR(B16/B327, "NA")</f>
        <v>0.15318298833698082</v>
      </c>
      <c r="D16" s="9"/>
      <c r="E16" s="7">
        <v>17000</v>
      </c>
      <c r="F16" s="8">
        <f>IFERROR(E16/E327, "NA")</f>
        <v>0.11314963866661272</v>
      </c>
      <c r="G16" s="9"/>
      <c r="H16" s="7">
        <v>40565</v>
      </c>
      <c r="I16" s="8">
        <f>IFERROR(H16/H327, "NA")</f>
        <v>0.1604599601668483</v>
      </c>
      <c r="J16" s="9"/>
      <c r="K16" s="7">
        <v>19665</v>
      </c>
      <c r="L16" s="8">
        <f>IFERROR(K16/K327, "NA")</f>
        <v>0.15040621149736746</v>
      </c>
      <c r="M16" s="9"/>
      <c r="N16" s="7">
        <v>7455</v>
      </c>
      <c r="O16" s="8">
        <f>IFERROR(N16/N327, "NA")</f>
        <v>5.9399039480481898E-2</v>
      </c>
      <c r="P16" s="9"/>
      <c r="Q16" s="7">
        <v>10705</v>
      </c>
      <c r="R16" s="8">
        <f>IFERROR(Q16/Q327, "NA")</f>
        <v>0.13431618569636136</v>
      </c>
      <c r="S16" s="9"/>
      <c r="T16" s="7">
        <v>6315</v>
      </c>
      <c r="U16" s="8">
        <f>IFERROR(T16/T327, "NA")</f>
        <v>7.1651199916492034E-2</v>
      </c>
      <c r="V16" s="9"/>
      <c r="W16" s="7">
        <v>8325</v>
      </c>
      <c r="X16" s="8">
        <f>IFERROR(W16/W327, "NA")</f>
        <v>5.6657925579457452E-2</v>
      </c>
    </row>
    <row r="17" spans="1:24" ht="16.5" customHeight="1" x14ac:dyDescent="0.25">
      <c r="A17" s="6" t="s">
        <v>23</v>
      </c>
      <c r="B17" s="7">
        <v>3418</v>
      </c>
      <c r="C17" s="8">
        <f>IFERROR(B17/B327, "NA")</f>
        <v>9.6860503956303842E-3</v>
      </c>
      <c r="D17" s="9"/>
      <c r="E17" s="7">
        <v>4713</v>
      </c>
      <c r="F17" s="8">
        <f>IFERROR(E17/E327, "NA")</f>
        <v>3.1369073355043867E-2</v>
      </c>
      <c r="G17" s="9"/>
      <c r="H17" s="7">
        <v>5230</v>
      </c>
      <c r="I17" s="8">
        <f>IFERROR(H17/H327, "NA")</f>
        <v>2.0687922881119602E-2</v>
      </c>
      <c r="J17" s="9"/>
      <c r="K17" s="7">
        <v>2473</v>
      </c>
      <c r="L17" s="8">
        <f>IFERROR(K17/K327, "NA")</f>
        <v>1.8914546709025665E-2</v>
      </c>
      <c r="M17" s="9"/>
      <c r="N17" s="7">
        <v>2031</v>
      </c>
      <c r="O17" s="8">
        <f>IFERROR(N17/N327, "NA")</f>
        <v>1.6182354015406939E-2</v>
      </c>
      <c r="P17" s="9"/>
      <c r="Q17" s="7">
        <v>2122</v>
      </c>
      <c r="R17" s="8">
        <f>IFERROR(Q17/Q327, "NA")</f>
        <v>2.6624843161856964E-2</v>
      </c>
      <c r="S17" s="9"/>
      <c r="T17" s="7">
        <v>2411</v>
      </c>
      <c r="U17" s="8">
        <f>IFERROR(T17/T327, "NA")</f>
        <v>2.7355667933279853E-2</v>
      </c>
      <c r="V17" s="9"/>
      <c r="W17" s="7">
        <v>2695</v>
      </c>
      <c r="X17" s="8">
        <f>IFERROR(W17/W327, "NA")</f>
        <v>1.8341514647043585E-2</v>
      </c>
    </row>
    <row r="18" spans="1:24" ht="16.5" customHeight="1" x14ac:dyDescent="0.25">
      <c r="A18" s="6" t="s">
        <v>24</v>
      </c>
      <c r="B18" s="7">
        <v>0</v>
      </c>
      <c r="C18" s="8">
        <f>IFERROR(B18/B327, "NA")</f>
        <v>0</v>
      </c>
      <c r="D18" s="9"/>
      <c r="E18" s="7">
        <v>0</v>
      </c>
      <c r="F18" s="8">
        <f>IFERROR(E18/E327, "NA")</f>
        <v>0</v>
      </c>
      <c r="G18" s="9"/>
      <c r="H18" s="7">
        <v>0</v>
      </c>
      <c r="I18" s="8">
        <f>IFERROR(H18/H327, "NA")</f>
        <v>0</v>
      </c>
      <c r="J18" s="9"/>
      <c r="K18" s="7">
        <v>0</v>
      </c>
      <c r="L18" s="8">
        <f>IFERROR(K18/K327, "NA")</f>
        <v>0</v>
      </c>
      <c r="M18" s="9"/>
      <c r="N18" s="7">
        <v>0</v>
      </c>
      <c r="O18" s="8">
        <f>IFERROR(N18/N327, "NA")</f>
        <v>0</v>
      </c>
      <c r="P18" s="9"/>
      <c r="Q18" s="7">
        <v>0</v>
      </c>
      <c r="R18" s="8">
        <f>IFERROR(Q18/Q327, "NA")</f>
        <v>0</v>
      </c>
      <c r="S18" s="9"/>
      <c r="T18" s="7">
        <v>0</v>
      </c>
      <c r="U18" s="8">
        <f>IFERROR(T18/T327, "NA")</f>
        <v>0</v>
      </c>
      <c r="V18" s="9"/>
      <c r="W18" s="7">
        <v>0</v>
      </c>
      <c r="X18" s="8">
        <f>IFERROR(W18/W327, "NA")</f>
        <v>0</v>
      </c>
    </row>
    <row r="19" spans="1:24" ht="16.5" customHeight="1" x14ac:dyDescent="0.25">
      <c r="A19" s="10" t="s">
        <v>25</v>
      </c>
      <c r="B19" s="11">
        <f>IFERROR(B13+B14+B15+B16+B17+B18, "NA")</f>
        <v>239997.01</v>
      </c>
      <c r="C19" s="12">
        <f>IFERROR(B19/B327, "NA")</f>
        <v>0.68011209293756858</v>
      </c>
      <c r="D19" s="2"/>
      <c r="E19" s="11">
        <f>IFERROR(E13+E14+E15+E16+E17+E18, "NA")</f>
        <v>125597.01</v>
      </c>
      <c r="F19" s="12">
        <f>IFERROR(E19/E327, "NA")</f>
        <v>0.83595625288864372</v>
      </c>
      <c r="G19" s="2"/>
      <c r="H19" s="11">
        <f>IFERROR(H13+H14+H15+H16+H17+H18, "NA")</f>
        <v>220968</v>
      </c>
      <c r="I19" s="12">
        <f>IFERROR(H19/H327, "NA")</f>
        <v>0.8740667195401981</v>
      </c>
      <c r="J19" s="2"/>
      <c r="K19" s="11">
        <f>IFERROR(K13+K14+K15+K16+K17+K18, "NA")</f>
        <v>119939</v>
      </c>
      <c r="L19" s="12">
        <f>IFERROR(K19/K327, "NA")</f>
        <v>0.91734404275528891</v>
      </c>
      <c r="M19" s="2"/>
      <c r="N19" s="11">
        <f>IFERROR(N13+N14+N15+N16+N17+N18, "NA")</f>
        <v>71089</v>
      </c>
      <c r="O19" s="12">
        <f>IFERROR(N19/N327, "NA")</f>
        <v>0.56641426125123773</v>
      </c>
      <c r="P19" s="2"/>
      <c r="Q19" s="11">
        <f>IFERROR(Q13+Q14+Q15+Q16+Q17+Q18, "NA")</f>
        <v>70964</v>
      </c>
      <c r="R19" s="12">
        <f>IFERROR(Q19/Q327, "NA")</f>
        <v>0.89038895859473022</v>
      </c>
      <c r="S19" s="2"/>
      <c r="T19" s="11">
        <f>IFERROR(T13+T14+T15+T16+T17+T18, "NA")</f>
        <v>55200</v>
      </c>
      <c r="U19" s="12">
        <f>IFERROR(T19/T327, "NA")</f>
        <v>0.62630977599213933</v>
      </c>
      <c r="V19" s="2"/>
      <c r="W19" s="11">
        <f>IFERROR(W13+W14+W15+W16+W17+W18, "NA")</f>
        <v>112291</v>
      </c>
      <c r="X19" s="12">
        <f>IFERROR(W19/W327, "NA")</f>
        <v>0.76422523978893175</v>
      </c>
    </row>
    <row r="20" spans="1:24" ht="16.5" customHeight="1" x14ac:dyDescent="0.25">
      <c r="A20" s="5" t="s">
        <v>26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</row>
    <row r="21" spans="1:24" ht="16.5" customHeight="1" x14ac:dyDescent="0.25">
      <c r="A21" s="6" t="s">
        <v>27</v>
      </c>
      <c r="B21" s="7">
        <v>0</v>
      </c>
      <c r="C21" s="8">
        <f>IFERROR(B21/B327, "NA")</f>
        <v>0</v>
      </c>
      <c r="D21" s="9"/>
      <c r="E21" s="7">
        <v>0</v>
      </c>
      <c r="F21" s="8">
        <f>IFERROR(E21/E327, "NA")</f>
        <v>0</v>
      </c>
      <c r="G21" s="9"/>
      <c r="H21" s="7">
        <v>0</v>
      </c>
      <c r="I21" s="8">
        <f>IFERROR(H21/H327, "NA")</f>
        <v>0</v>
      </c>
      <c r="J21" s="9"/>
      <c r="K21" s="7">
        <v>0</v>
      </c>
      <c r="L21" s="8">
        <f>IFERROR(K21/K327, "NA")</f>
        <v>0</v>
      </c>
      <c r="M21" s="9"/>
      <c r="N21" s="7">
        <v>0</v>
      </c>
      <c r="O21" s="8">
        <f>IFERROR(N21/N327, "NA")</f>
        <v>0</v>
      </c>
      <c r="P21" s="9"/>
      <c r="Q21" s="7">
        <v>0</v>
      </c>
      <c r="R21" s="8">
        <f>IFERROR(Q21/Q327, "NA")</f>
        <v>0</v>
      </c>
      <c r="S21" s="9"/>
      <c r="T21" s="7">
        <v>0</v>
      </c>
      <c r="U21" s="8">
        <f>IFERROR(T21/T327, "NA")</f>
        <v>0</v>
      </c>
      <c r="V21" s="9"/>
      <c r="W21" s="7">
        <v>0</v>
      </c>
      <c r="X21" s="8">
        <f>IFERROR(W21/W327, "NA")</f>
        <v>0</v>
      </c>
    </row>
    <row r="22" spans="1:24" ht="16.5" customHeight="1" x14ac:dyDescent="0.25">
      <c r="A22" s="6" t="s">
        <v>28</v>
      </c>
      <c r="B22" s="7">
        <v>2245.0100000000002</v>
      </c>
      <c r="C22" s="8">
        <f>IFERROR(B22/B327, "NA")</f>
        <v>6.3619894671428237E-3</v>
      </c>
      <c r="D22" s="9"/>
      <c r="E22" s="7">
        <v>1051.01</v>
      </c>
      <c r="F22" s="8">
        <f>IFERROR(E22/E327, "NA")</f>
        <v>6.9953765726468607E-3</v>
      </c>
      <c r="G22" s="9"/>
      <c r="H22" s="7">
        <v>6067</v>
      </c>
      <c r="I22" s="8">
        <f>IFERROR(H22/H327, "NA")</f>
        <v>2.3998781667256715E-2</v>
      </c>
      <c r="J22" s="9"/>
      <c r="K22" s="7">
        <v>4595</v>
      </c>
      <c r="L22" s="8">
        <f>IFERROR(K22/K327, "NA")</f>
        <v>3.5144497423361482E-2</v>
      </c>
      <c r="M22" s="9"/>
      <c r="N22" s="7">
        <v>487.35</v>
      </c>
      <c r="O22" s="8">
        <f>IFERROR(N22/N327, "NA")</f>
        <v>3.8830478726777804E-3</v>
      </c>
      <c r="P22" s="9"/>
      <c r="Q22" s="7">
        <v>200</v>
      </c>
      <c r="R22" s="8">
        <f>IFERROR(Q22/Q327, "NA")</f>
        <v>2.509410288582183E-3</v>
      </c>
      <c r="S22" s="9"/>
      <c r="T22" s="7">
        <v>375</v>
      </c>
      <c r="U22" s="8">
        <f>IFERROR(T22/T327, "NA")</f>
        <v>4.254821847772686E-3</v>
      </c>
      <c r="V22" s="9"/>
      <c r="W22" s="7">
        <v>1493</v>
      </c>
      <c r="X22" s="8">
        <f>IFERROR(W22/W327, "NA")</f>
        <v>1.0160994941757354E-2</v>
      </c>
    </row>
    <row r="23" spans="1:24" ht="16.5" customHeight="1" x14ac:dyDescent="0.25">
      <c r="A23" s="6" t="s">
        <v>29</v>
      </c>
      <c r="B23" s="7">
        <v>886.11</v>
      </c>
      <c r="C23" s="8">
        <f>IFERROR(B23/B327, "NA")</f>
        <v>2.5110901451351783E-3</v>
      </c>
      <c r="D23" s="9"/>
      <c r="E23" s="7">
        <v>0</v>
      </c>
      <c r="F23" s="8">
        <f>IFERROR(E23/E327, "NA")</f>
        <v>0</v>
      </c>
      <c r="G23" s="9"/>
      <c r="H23" s="7">
        <v>0</v>
      </c>
      <c r="I23" s="8">
        <f>IFERROR(H23/H327, "NA")</f>
        <v>0</v>
      </c>
      <c r="J23" s="9"/>
      <c r="K23" s="7">
        <v>3056.93</v>
      </c>
      <c r="L23" s="8">
        <f>IFERROR(K23/K327, "NA")</f>
        <v>2.3380689555690184E-2</v>
      </c>
      <c r="M23" s="9"/>
      <c r="N23" s="7">
        <v>1401.87</v>
      </c>
      <c r="O23" s="8">
        <f>IFERROR(N23/N327, "NA")</f>
        <v>1.1169648756070174E-2</v>
      </c>
      <c r="P23" s="9"/>
      <c r="Q23" s="7">
        <v>0</v>
      </c>
      <c r="R23" s="8">
        <f>IFERROR(Q23/Q327, "NA")</f>
        <v>0</v>
      </c>
      <c r="S23" s="9"/>
      <c r="T23" s="7">
        <v>3738.3</v>
      </c>
      <c r="U23" s="8">
        <f>IFERROR(T23/T327, "NA")</f>
        <v>4.2415468036076348E-2</v>
      </c>
      <c r="V23" s="9"/>
      <c r="W23" s="7">
        <v>2336.4299999999998</v>
      </c>
      <c r="X23" s="8">
        <f>IFERROR(W23/W327, "NA")</f>
        <v>1.5901174421815226E-2</v>
      </c>
    </row>
    <row r="24" spans="1:24" ht="16.5" customHeight="1" x14ac:dyDescent="0.25">
      <c r="A24" s="6" t="s">
        <v>30</v>
      </c>
      <c r="B24" s="7">
        <v>0</v>
      </c>
      <c r="C24" s="8">
        <f>IFERROR(B24/B327, "NA")</f>
        <v>0</v>
      </c>
      <c r="D24" s="9"/>
      <c r="E24" s="7">
        <v>0</v>
      </c>
      <c r="F24" s="8">
        <f>IFERROR(E24/E327, "NA")</f>
        <v>0</v>
      </c>
      <c r="G24" s="9"/>
      <c r="H24" s="7">
        <v>0</v>
      </c>
      <c r="I24" s="8">
        <f>IFERROR(H24/H327, "NA")</f>
        <v>0</v>
      </c>
      <c r="J24" s="9"/>
      <c r="K24" s="7">
        <v>0</v>
      </c>
      <c r="L24" s="8">
        <f>IFERROR(K24/K327, "NA")</f>
        <v>0</v>
      </c>
      <c r="M24" s="9"/>
      <c r="N24" s="7">
        <v>0</v>
      </c>
      <c r="O24" s="8">
        <f>IFERROR(N24/N327, "NA")</f>
        <v>0</v>
      </c>
      <c r="P24" s="9"/>
      <c r="Q24" s="7">
        <v>0</v>
      </c>
      <c r="R24" s="8">
        <f>IFERROR(Q24/Q327, "NA")</f>
        <v>0</v>
      </c>
      <c r="S24" s="9"/>
      <c r="T24" s="7">
        <v>0</v>
      </c>
      <c r="U24" s="8">
        <f>IFERROR(T24/T327, "NA")</f>
        <v>0</v>
      </c>
      <c r="V24" s="9"/>
      <c r="W24" s="7">
        <v>0</v>
      </c>
      <c r="X24" s="8">
        <f>IFERROR(W24/W327, "NA")</f>
        <v>0</v>
      </c>
    </row>
    <row r="25" spans="1:24" ht="16.5" customHeight="1" x14ac:dyDescent="0.25">
      <c r="A25" s="6" t="s">
        <v>31</v>
      </c>
      <c r="B25" s="7">
        <v>0</v>
      </c>
      <c r="C25" s="8">
        <f>IFERROR(B25/B327, "NA")</f>
        <v>0</v>
      </c>
      <c r="D25" s="9"/>
      <c r="E25" s="7">
        <v>0</v>
      </c>
      <c r="F25" s="8">
        <f>IFERROR(E25/E327, "NA")</f>
        <v>0</v>
      </c>
      <c r="G25" s="9"/>
      <c r="H25" s="7">
        <v>0</v>
      </c>
      <c r="I25" s="8">
        <f>IFERROR(H25/H327, "NA")</f>
        <v>0</v>
      </c>
      <c r="J25" s="9"/>
      <c r="K25" s="7">
        <v>0</v>
      </c>
      <c r="L25" s="8">
        <f>IFERROR(K25/K327, "NA")</f>
        <v>0</v>
      </c>
      <c r="M25" s="9"/>
      <c r="N25" s="7">
        <v>0</v>
      </c>
      <c r="O25" s="8">
        <f>IFERROR(N25/N327, "NA")</f>
        <v>0</v>
      </c>
      <c r="P25" s="9"/>
      <c r="Q25" s="7">
        <v>0</v>
      </c>
      <c r="R25" s="8">
        <f>IFERROR(Q25/Q327, "NA")</f>
        <v>0</v>
      </c>
      <c r="S25" s="9"/>
      <c r="T25" s="7">
        <v>0</v>
      </c>
      <c r="U25" s="8">
        <f>IFERROR(T25/T327, "NA")</f>
        <v>0</v>
      </c>
      <c r="V25" s="9"/>
      <c r="W25" s="7">
        <v>0</v>
      </c>
      <c r="X25" s="8">
        <f>IFERROR(W25/W327, "NA")</f>
        <v>0</v>
      </c>
    </row>
    <row r="26" spans="1:24" ht="16.5" customHeight="1" x14ac:dyDescent="0.25">
      <c r="A26" s="6" t="s">
        <v>32</v>
      </c>
      <c r="B26" s="7">
        <v>81567.48</v>
      </c>
      <c r="C26" s="8">
        <f>IFERROR(B26/B327, "NA")</f>
        <v>0.23114883613943049</v>
      </c>
      <c r="D26" s="9"/>
      <c r="E26" s="7">
        <v>0</v>
      </c>
      <c r="F26" s="8">
        <f>IFERROR(E26/E327, "NA")</f>
        <v>0</v>
      </c>
      <c r="G26" s="9"/>
      <c r="H26" s="7">
        <v>0</v>
      </c>
      <c r="I26" s="8">
        <f>IFERROR(H26/H327, "NA")</f>
        <v>0</v>
      </c>
      <c r="J26" s="9"/>
      <c r="K26" s="7">
        <v>0</v>
      </c>
      <c r="L26" s="8">
        <f>IFERROR(K26/K327, "NA")</f>
        <v>0</v>
      </c>
      <c r="M26" s="9"/>
      <c r="N26" s="7">
        <v>47251.360000000001</v>
      </c>
      <c r="O26" s="8">
        <f>IFERROR(N26/N327, "NA")</f>
        <v>0.37648362148175224</v>
      </c>
      <c r="P26" s="9"/>
      <c r="Q26" s="7">
        <v>0</v>
      </c>
      <c r="R26" s="8">
        <f>IFERROR(Q26/Q327, "NA")</f>
        <v>0</v>
      </c>
      <c r="S26" s="9"/>
      <c r="T26" s="7">
        <v>0</v>
      </c>
      <c r="U26" s="8">
        <f>IFERROR(T26/T327, "NA")</f>
        <v>0</v>
      </c>
      <c r="V26" s="9"/>
      <c r="W26" s="7">
        <v>0</v>
      </c>
      <c r="X26" s="8">
        <f>IFERROR(W26/W327, "NA")</f>
        <v>0</v>
      </c>
    </row>
    <row r="27" spans="1:24" ht="16.5" customHeight="1" x14ac:dyDescent="0.25">
      <c r="A27" s="6" t="s">
        <v>33</v>
      </c>
      <c r="B27" s="7">
        <v>0</v>
      </c>
      <c r="C27" s="8">
        <f>IFERROR(B27/B327, "NA")</f>
        <v>0</v>
      </c>
      <c r="D27" s="9"/>
      <c r="E27" s="7">
        <v>0</v>
      </c>
      <c r="F27" s="8">
        <f>IFERROR(E27/E327, "NA")</f>
        <v>0</v>
      </c>
      <c r="G27" s="9"/>
      <c r="H27" s="7">
        <v>0</v>
      </c>
      <c r="I27" s="8">
        <f>IFERROR(H27/H327, "NA")</f>
        <v>0</v>
      </c>
      <c r="J27" s="9"/>
      <c r="K27" s="7">
        <v>0</v>
      </c>
      <c r="L27" s="8">
        <f>IFERROR(K27/K327, "NA")</f>
        <v>0</v>
      </c>
      <c r="M27" s="9"/>
      <c r="N27" s="7">
        <v>0</v>
      </c>
      <c r="O27" s="8">
        <f>IFERROR(N27/N327, "NA")</f>
        <v>0</v>
      </c>
      <c r="P27" s="9"/>
      <c r="Q27" s="7">
        <v>0</v>
      </c>
      <c r="R27" s="8">
        <f>IFERROR(Q27/Q327, "NA")</f>
        <v>0</v>
      </c>
      <c r="S27" s="9"/>
      <c r="T27" s="7">
        <v>0</v>
      </c>
      <c r="U27" s="8">
        <f>IFERROR(T27/T327, "NA")</f>
        <v>0</v>
      </c>
      <c r="V27" s="9"/>
      <c r="W27" s="7">
        <v>0</v>
      </c>
      <c r="X27" s="8">
        <f>IFERROR(W27/W327, "NA")</f>
        <v>0</v>
      </c>
    </row>
    <row r="28" spans="1:24" ht="16.5" customHeight="1" x14ac:dyDescent="0.25">
      <c r="A28" s="6" t="s">
        <v>34</v>
      </c>
      <c r="B28" s="7">
        <v>0</v>
      </c>
      <c r="C28" s="8">
        <f>IFERROR(B28/B327, "NA")</f>
        <v>0</v>
      </c>
      <c r="D28" s="9"/>
      <c r="E28" s="7">
        <v>0</v>
      </c>
      <c r="F28" s="8">
        <f>IFERROR(E28/E327, "NA")</f>
        <v>0</v>
      </c>
      <c r="G28" s="9"/>
      <c r="H28" s="7">
        <v>0</v>
      </c>
      <c r="I28" s="8">
        <f>IFERROR(H28/H327, "NA")</f>
        <v>0</v>
      </c>
      <c r="J28" s="9"/>
      <c r="K28" s="7">
        <v>0</v>
      </c>
      <c r="L28" s="8">
        <f>IFERROR(K28/K327, "NA")</f>
        <v>0</v>
      </c>
      <c r="M28" s="9"/>
      <c r="N28" s="7">
        <v>0</v>
      </c>
      <c r="O28" s="8">
        <f>IFERROR(N28/N327, "NA")</f>
        <v>0</v>
      </c>
      <c r="P28" s="9"/>
      <c r="Q28" s="7">
        <v>0</v>
      </c>
      <c r="R28" s="8">
        <f>IFERROR(Q28/Q327, "NA")</f>
        <v>0</v>
      </c>
      <c r="S28" s="9"/>
      <c r="T28" s="7">
        <v>0</v>
      </c>
      <c r="U28" s="8">
        <f>IFERROR(T28/T327, "NA")</f>
        <v>0</v>
      </c>
      <c r="V28" s="9"/>
      <c r="W28" s="7">
        <v>0</v>
      </c>
      <c r="X28" s="8">
        <f>IFERROR(W28/W327, "NA")</f>
        <v>0</v>
      </c>
    </row>
    <row r="29" spans="1:24" ht="16.5" customHeight="1" x14ac:dyDescent="0.25">
      <c r="A29" s="6" t="s">
        <v>35</v>
      </c>
      <c r="B29" s="7">
        <v>0</v>
      </c>
      <c r="C29" s="8">
        <f>IFERROR(B29/B327, "NA")</f>
        <v>0</v>
      </c>
      <c r="D29" s="9"/>
      <c r="E29" s="7">
        <v>0</v>
      </c>
      <c r="F29" s="8">
        <f>IFERROR(E29/E327, "NA")</f>
        <v>0</v>
      </c>
      <c r="G29" s="9"/>
      <c r="H29" s="7">
        <v>0</v>
      </c>
      <c r="I29" s="8">
        <f>IFERROR(H29/H327, "NA")</f>
        <v>0</v>
      </c>
      <c r="J29" s="9"/>
      <c r="K29" s="7">
        <v>0</v>
      </c>
      <c r="L29" s="8">
        <f>IFERROR(K29/K327, "NA")</f>
        <v>0</v>
      </c>
      <c r="M29" s="9"/>
      <c r="N29" s="7">
        <v>0</v>
      </c>
      <c r="O29" s="8">
        <f>IFERROR(N29/N327, "NA")</f>
        <v>0</v>
      </c>
      <c r="P29" s="9"/>
      <c r="Q29" s="7">
        <v>0</v>
      </c>
      <c r="R29" s="8">
        <f>IFERROR(Q29/Q327, "NA")</f>
        <v>0</v>
      </c>
      <c r="S29" s="9"/>
      <c r="T29" s="7">
        <v>0</v>
      </c>
      <c r="U29" s="8">
        <f>IFERROR(T29/T327, "NA")</f>
        <v>0</v>
      </c>
      <c r="V29" s="9"/>
      <c r="W29" s="7">
        <v>0</v>
      </c>
      <c r="X29" s="8">
        <f>IFERROR(W29/W327, "NA")</f>
        <v>0</v>
      </c>
    </row>
    <row r="30" spans="1:24" ht="16.5" customHeight="1" x14ac:dyDescent="0.25">
      <c r="A30" s="10" t="s">
        <v>36</v>
      </c>
      <c r="B30" s="11">
        <f>IFERROR(B21+B22+B23+B24+B25+B26+B27+B28+B29, "NA")</f>
        <v>84698.599999999991</v>
      </c>
      <c r="C30" s="12">
        <f>IFERROR(B30/B327, "NA")</f>
        <v>0.24002191575170848</v>
      </c>
      <c r="D30" s="2"/>
      <c r="E30" s="11">
        <f>IFERROR(E21+E22+E23+E24+E25+E26+E27+E28+E29, "NA")</f>
        <v>1051.01</v>
      </c>
      <c r="F30" s="12">
        <f>IFERROR(E30/E327, "NA")</f>
        <v>6.9953765726468607E-3</v>
      </c>
      <c r="G30" s="2"/>
      <c r="H30" s="11">
        <f>IFERROR(H21+H22+H23+H24+H25+H26+H27+H28+H29, "NA")</f>
        <v>6067</v>
      </c>
      <c r="I30" s="12">
        <f>IFERROR(H30/H327, "NA")</f>
        <v>2.3998781667256715E-2</v>
      </c>
      <c r="J30" s="2"/>
      <c r="K30" s="11">
        <f>IFERROR(K21+K22+K23+K24+K25+K26+K27+K28+K29, "NA")</f>
        <v>7651.93</v>
      </c>
      <c r="L30" s="12">
        <f>IFERROR(K30/K327, "NA")</f>
        <v>5.8525186979051666E-2</v>
      </c>
      <c r="M30" s="2"/>
      <c r="N30" s="11">
        <f>IFERROR(N21+N22+N23+N24+N25+N26+N27+N28+N29, "NA")</f>
        <v>49140.58</v>
      </c>
      <c r="O30" s="12">
        <f>IFERROR(N30/N327, "NA")</f>
        <v>0.39153631811050021</v>
      </c>
      <c r="P30" s="2"/>
      <c r="Q30" s="11">
        <f>IFERROR(Q21+Q22+Q23+Q24+Q25+Q26+Q27+Q28+Q29, "NA")</f>
        <v>200</v>
      </c>
      <c r="R30" s="12">
        <f>IFERROR(Q30/Q327, "NA")</f>
        <v>2.509410288582183E-3</v>
      </c>
      <c r="S30" s="2"/>
      <c r="T30" s="11">
        <f>IFERROR(T21+T22+T23+T24+T25+T26+T27+T28+T29, "NA")</f>
        <v>4113.3</v>
      </c>
      <c r="U30" s="12">
        <f>IFERROR(T30/T327, "NA")</f>
        <v>4.6670289883849039E-2</v>
      </c>
      <c r="V30" s="2"/>
      <c r="W30" s="11">
        <f>IFERROR(W21+W22+W23+W24+W25+W26+W27+W28+W29, "NA")</f>
        <v>3829.43</v>
      </c>
      <c r="X30" s="12">
        <f>IFERROR(W30/W327, "NA")</f>
        <v>2.6062169363572581E-2</v>
      </c>
    </row>
    <row r="31" spans="1:24" ht="16.5" customHeight="1" x14ac:dyDescent="0.25">
      <c r="A31" s="5" t="s">
        <v>37</v>
      </c>
      <c r="B31" s="2"/>
      <c r="C31" s="3"/>
      <c r="D31" s="4"/>
      <c r="E31" s="2"/>
      <c r="F31" s="3"/>
      <c r="G31" s="4"/>
      <c r="H31" s="2"/>
      <c r="I31" s="3"/>
      <c r="J31" s="4"/>
      <c r="K31" s="2"/>
      <c r="L31" s="3"/>
      <c r="M31" s="4"/>
      <c r="N31" s="2"/>
      <c r="O31" s="3"/>
      <c r="P31" s="4"/>
      <c r="Q31" s="2"/>
      <c r="R31" s="3"/>
      <c r="S31" s="4"/>
      <c r="T31" s="2"/>
      <c r="U31" s="3"/>
      <c r="V31" s="4"/>
      <c r="W31" s="2"/>
      <c r="X31" s="3"/>
    </row>
    <row r="32" spans="1:24" ht="16.5" customHeight="1" x14ac:dyDescent="0.25">
      <c r="A32" s="6" t="s">
        <v>38</v>
      </c>
      <c r="B32" s="7">
        <v>0</v>
      </c>
      <c r="C32" s="8">
        <f>IFERROR(B32/B327, "NA")</f>
        <v>0</v>
      </c>
      <c r="D32" s="9"/>
      <c r="E32" s="7">
        <v>0</v>
      </c>
      <c r="F32" s="8">
        <f>IFERROR(E32/E327, "NA")</f>
        <v>0</v>
      </c>
      <c r="G32" s="9"/>
      <c r="H32" s="7">
        <v>0</v>
      </c>
      <c r="I32" s="8">
        <f>IFERROR(H32/H327, "NA")</f>
        <v>0</v>
      </c>
      <c r="J32" s="9"/>
      <c r="K32" s="7">
        <v>0</v>
      </c>
      <c r="L32" s="8">
        <f>IFERROR(K32/K327, "NA")</f>
        <v>0</v>
      </c>
      <c r="M32" s="9"/>
      <c r="N32" s="7">
        <v>0</v>
      </c>
      <c r="O32" s="8">
        <f>IFERROR(N32/N327, "NA")</f>
        <v>0</v>
      </c>
      <c r="P32" s="9"/>
      <c r="Q32" s="7">
        <v>0</v>
      </c>
      <c r="R32" s="8">
        <f>IFERROR(Q32/Q327, "NA")</f>
        <v>0</v>
      </c>
      <c r="S32" s="9"/>
      <c r="T32" s="7">
        <v>0</v>
      </c>
      <c r="U32" s="8">
        <f>IFERROR(T32/T327, "NA")</f>
        <v>0</v>
      </c>
      <c r="V32" s="9"/>
      <c r="W32" s="7">
        <v>0</v>
      </c>
      <c r="X32" s="8">
        <f>IFERROR(W32/W327, "NA")</f>
        <v>0</v>
      </c>
    </row>
    <row r="33" spans="1:24" ht="16.5" customHeight="1" x14ac:dyDescent="0.25">
      <c r="A33" s="6" t="s">
        <v>39</v>
      </c>
      <c r="B33" s="7">
        <v>0</v>
      </c>
      <c r="C33" s="8">
        <f>IFERROR(B33/B327, "NA")</f>
        <v>0</v>
      </c>
      <c r="D33" s="9"/>
      <c r="E33" s="7">
        <v>0</v>
      </c>
      <c r="F33" s="8">
        <f>IFERROR(E33/E327, "NA")</f>
        <v>0</v>
      </c>
      <c r="G33" s="9"/>
      <c r="H33" s="7">
        <v>0</v>
      </c>
      <c r="I33" s="8">
        <f>IFERROR(H33/H327, "NA")</f>
        <v>0</v>
      </c>
      <c r="J33" s="9"/>
      <c r="K33" s="7">
        <v>0</v>
      </c>
      <c r="L33" s="8">
        <f>IFERROR(K33/K327, "NA")</f>
        <v>0</v>
      </c>
      <c r="M33" s="9"/>
      <c r="N33" s="7">
        <v>0</v>
      </c>
      <c r="O33" s="8">
        <f>IFERROR(N33/N327, "NA")</f>
        <v>0</v>
      </c>
      <c r="P33" s="9"/>
      <c r="Q33" s="7">
        <v>0</v>
      </c>
      <c r="R33" s="8">
        <f>IFERROR(Q33/Q327, "NA")</f>
        <v>0</v>
      </c>
      <c r="S33" s="9"/>
      <c r="T33" s="7">
        <v>0</v>
      </c>
      <c r="U33" s="8">
        <f>IFERROR(T33/T327, "NA")</f>
        <v>0</v>
      </c>
      <c r="V33" s="9"/>
      <c r="W33" s="7">
        <v>0</v>
      </c>
      <c r="X33" s="8">
        <f>IFERROR(W33/W327, "NA")</f>
        <v>0</v>
      </c>
    </row>
    <row r="34" spans="1:24" ht="16.5" customHeight="1" x14ac:dyDescent="0.25">
      <c r="A34" s="6" t="s">
        <v>40</v>
      </c>
      <c r="B34" s="7">
        <v>0</v>
      </c>
      <c r="C34" s="8">
        <f>IFERROR(B34/B327, "NA")</f>
        <v>0</v>
      </c>
      <c r="D34" s="9"/>
      <c r="E34" s="7">
        <v>0</v>
      </c>
      <c r="F34" s="8">
        <f>IFERROR(E34/E327, "NA")</f>
        <v>0</v>
      </c>
      <c r="G34" s="9"/>
      <c r="H34" s="7">
        <v>0</v>
      </c>
      <c r="I34" s="8">
        <f>IFERROR(H34/H327, "NA")</f>
        <v>0</v>
      </c>
      <c r="J34" s="9"/>
      <c r="K34" s="7">
        <v>0</v>
      </c>
      <c r="L34" s="8">
        <f>IFERROR(K34/K327, "NA")</f>
        <v>0</v>
      </c>
      <c r="M34" s="9"/>
      <c r="N34" s="7">
        <v>0</v>
      </c>
      <c r="O34" s="8">
        <f>IFERROR(N34/N327, "NA")</f>
        <v>0</v>
      </c>
      <c r="P34" s="9"/>
      <c r="Q34" s="7">
        <v>0</v>
      </c>
      <c r="R34" s="8">
        <f>IFERROR(Q34/Q327, "NA")</f>
        <v>0</v>
      </c>
      <c r="S34" s="9"/>
      <c r="T34" s="7">
        <v>0</v>
      </c>
      <c r="U34" s="8">
        <f>IFERROR(T34/T327, "NA")</f>
        <v>0</v>
      </c>
      <c r="V34" s="9"/>
      <c r="W34" s="7">
        <v>0</v>
      </c>
      <c r="X34" s="8">
        <f>IFERROR(W34/W327, "NA")</f>
        <v>0</v>
      </c>
    </row>
    <row r="35" spans="1:24" ht="16.5" customHeight="1" x14ac:dyDescent="0.25">
      <c r="A35" s="6" t="s">
        <v>41</v>
      </c>
      <c r="B35" s="7">
        <v>0</v>
      </c>
      <c r="C35" s="8">
        <f>IFERROR(B35/B327, "NA")</f>
        <v>0</v>
      </c>
      <c r="D35" s="9"/>
      <c r="E35" s="7">
        <v>0</v>
      </c>
      <c r="F35" s="8">
        <f>IFERROR(E35/E327, "NA")</f>
        <v>0</v>
      </c>
      <c r="G35" s="9"/>
      <c r="H35" s="7">
        <v>0</v>
      </c>
      <c r="I35" s="8">
        <f>IFERROR(H35/H327, "NA")</f>
        <v>0</v>
      </c>
      <c r="J35" s="9"/>
      <c r="K35" s="7">
        <v>0</v>
      </c>
      <c r="L35" s="8">
        <f>IFERROR(K35/K327, "NA")</f>
        <v>0</v>
      </c>
      <c r="M35" s="9"/>
      <c r="N35" s="7">
        <v>0</v>
      </c>
      <c r="O35" s="8">
        <f>IFERROR(N35/N327, "NA")</f>
        <v>0</v>
      </c>
      <c r="P35" s="9"/>
      <c r="Q35" s="7">
        <v>0</v>
      </c>
      <c r="R35" s="8">
        <f>IFERROR(Q35/Q327, "NA")</f>
        <v>0</v>
      </c>
      <c r="S35" s="9"/>
      <c r="T35" s="7">
        <v>0</v>
      </c>
      <c r="U35" s="8">
        <f>IFERROR(T35/T327, "NA")</f>
        <v>0</v>
      </c>
      <c r="V35" s="9"/>
      <c r="W35" s="7">
        <v>0</v>
      </c>
      <c r="X35" s="8">
        <f>IFERROR(W35/W327, "NA")</f>
        <v>0</v>
      </c>
    </row>
    <row r="36" spans="1:24" ht="16.5" customHeight="1" x14ac:dyDescent="0.25">
      <c r="A36" s="6" t="s">
        <v>42</v>
      </c>
      <c r="B36" s="7">
        <v>0</v>
      </c>
      <c r="C36" s="8">
        <f>IFERROR(B36/B327, "NA")</f>
        <v>0</v>
      </c>
      <c r="D36" s="9"/>
      <c r="E36" s="7">
        <v>0</v>
      </c>
      <c r="F36" s="8">
        <f>IFERROR(E36/E327, "NA")</f>
        <v>0</v>
      </c>
      <c r="G36" s="9"/>
      <c r="H36" s="7">
        <v>0</v>
      </c>
      <c r="I36" s="8">
        <f>IFERROR(H36/H327, "NA")</f>
        <v>0</v>
      </c>
      <c r="J36" s="9"/>
      <c r="K36" s="7">
        <v>0</v>
      </c>
      <c r="L36" s="8">
        <f>IFERROR(K36/K327, "NA")</f>
        <v>0</v>
      </c>
      <c r="M36" s="9"/>
      <c r="N36" s="7">
        <v>0</v>
      </c>
      <c r="O36" s="8">
        <f>IFERROR(N36/N327, "NA")</f>
        <v>0</v>
      </c>
      <c r="P36" s="9"/>
      <c r="Q36" s="7">
        <v>0</v>
      </c>
      <c r="R36" s="8">
        <f>IFERROR(Q36/Q327, "NA")</f>
        <v>0</v>
      </c>
      <c r="S36" s="9"/>
      <c r="T36" s="7">
        <v>0</v>
      </c>
      <c r="U36" s="8">
        <f>IFERROR(T36/T327, "NA")</f>
        <v>0</v>
      </c>
      <c r="V36" s="9"/>
      <c r="W36" s="7">
        <v>0</v>
      </c>
      <c r="X36" s="8">
        <f>IFERROR(W36/W327, "NA")</f>
        <v>0</v>
      </c>
    </row>
    <row r="37" spans="1:24" ht="16.5" customHeight="1" x14ac:dyDescent="0.25">
      <c r="A37" s="10" t="s">
        <v>43</v>
      </c>
      <c r="B37" s="11">
        <f>IFERROR(B32+B33+B34+B35+B36, "NA")</f>
        <v>0</v>
      </c>
      <c r="C37" s="12">
        <f>IFERROR(B37/B327, "NA")</f>
        <v>0</v>
      </c>
      <c r="D37" s="2"/>
      <c r="E37" s="11">
        <f>IFERROR(E32+E33+E34+E35+E36, "NA")</f>
        <v>0</v>
      </c>
      <c r="F37" s="12">
        <f>IFERROR(E37/E327, "NA")</f>
        <v>0</v>
      </c>
      <c r="G37" s="2"/>
      <c r="H37" s="11">
        <f>IFERROR(H32+H33+H34+H35+H36, "NA")</f>
        <v>0</v>
      </c>
      <c r="I37" s="12">
        <f>IFERROR(H37/H327, "NA")</f>
        <v>0</v>
      </c>
      <c r="J37" s="2"/>
      <c r="K37" s="11">
        <f>IFERROR(K32+K33+K34+K35+K36, "NA")</f>
        <v>0</v>
      </c>
      <c r="L37" s="12">
        <f>IFERROR(K37/K327, "NA")</f>
        <v>0</v>
      </c>
      <c r="M37" s="2"/>
      <c r="N37" s="11">
        <f>IFERROR(N32+N33+N34+N35+N36, "NA")</f>
        <v>0</v>
      </c>
      <c r="O37" s="12">
        <f>IFERROR(N37/N327, "NA")</f>
        <v>0</v>
      </c>
      <c r="P37" s="2"/>
      <c r="Q37" s="11">
        <f>IFERROR(Q32+Q33+Q34+Q35+Q36, "NA")</f>
        <v>0</v>
      </c>
      <c r="R37" s="12">
        <f>IFERROR(Q37/Q327, "NA")</f>
        <v>0</v>
      </c>
      <c r="S37" s="2"/>
      <c r="T37" s="11">
        <f>IFERROR(T32+T33+T34+T35+T36, "NA")</f>
        <v>0</v>
      </c>
      <c r="U37" s="12">
        <f>IFERROR(T37/T327, "NA")</f>
        <v>0</v>
      </c>
      <c r="V37" s="2"/>
      <c r="W37" s="11">
        <f>IFERROR(W32+W33+W34+W35+W36, "NA")</f>
        <v>0</v>
      </c>
      <c r="X37" s="12">
        <f>IFERROR(W37/W327, "NA")</f>
        <v>0</v>
      </c>
    </row>
    <row r="38" spans="1:24" ht="16.5" customHeight="1" x14ac:dyDescent="0.25">
      <c r="A38" s="5" t="s">
        <v>44</v>
      </c>
      <c r="B38" s="2"/>
      <c r="C38" s="3"/>
      <c r="D38" s="4"/>
      <c r="E38" s="2"/>
      <c r="F38" s="3"/>
      <c r="G38" s="4"/>
      <c r="H38" s="2"/>
      <c r="I38" s="3"/>
      <c r="J38" s="4"/>
      <c r="K38" s="2"/>
      <c r="L38" s="3"/>
      <c r="M38" s="4"/>
      <c r="N38" s="2"/>
      <c r="O38" s="3"/>
      <c r="P38" s="4"/>
      <c r="Q38" s="2"/>
      <c r="R38" s="3"/>
      <c r="S38" s="4"/>
      <c r="T38" s="2"/>
      <c r="U38" s="3"/>
      <c r="V38" s="4"/>
      <c r="W38" s="2"/>
      <c r="X38" s="3"/>
    </row>
    <row r="39" spans="1:24" ht="16.5" customHeight="1" x14ac:dyDescent="0.25">
      <c r="A39" s="6" t="s">
        <v>45</v>
      </c>
      <c r="B39" s="7">
        <v>0</v>
      </c>
      <c r="C39" s="8">
        <f>IFERROR(B39/B327, "NA")</f>
        <v>0</v>
      </c>
      <c r="D39" s="9"/>
      <c r="E39" s="7">
        <v>0</v>
      </c>
      <c r="F39" s="8">
        <f>IFERROR(E39/E327, "NA")</f>
        <v>0</v>
      </c>
      <c r="G39" s="9"/>
      <c r="H39" s="7">
        <v>0</v>
      </c>
      <c r="I39" s="8">
        <f>IFERROR(H39/H327, "NA")</f>
        <v>0</v>
      </c>
      <c r="J39" s="9"/>
      <c r="K39" s="7">
        <v>0</v>
      </c>
      <c r="L39" s="8">
        <f>IFERROR(K39/K327, "NA")</f>
        <v>0</v>
      </c>
      <c r="M39" s="9"/>
      <c r="N39" s="7">
        <v>0</v>
      </c>
      <c r="O39" s="8">
        <f>IFERROR(N39/N327, "NA")</f>
        <v>0</v>
      </c>
      <c r="P39" s="9"/>
      <c r="Q39" s="7">
        <v>0</v>
      </c>
      <c r="R39" s="8">
        <f>IFERROR(Q39/Q327, "NA")</f>
        <v>0</v>
      </c>
      <c r="S39" s="9"/>
      <c r="T39" s="7">
        <v>0</v>
      </c>
      <c r="U39" s="8">
        <f>IFERROR(T39/T327, "NA")</f>
        <v>0</v>
      </c>
      <c r="V39" s="9"/>
      <c r="W39" s="7">
        <v>0</v>
      </c>
      <c r="X39" s="8">
        <f>IFERROR(W39/W327, "NA")</f>
        <v>0</v>
      </c>
    </row>
    <row r="40" spans="1:24" ht="16.5" customHeight="1" x14ac:dyDescent="0.25">
      <c r="A40" s="6" t="s">
        <v>46</v>
      </c>
      <c r="B40" s="7">
        <v>-50</v>
      </c>
      <c r="C40" s="8">
        <f>IFERROR(B40/B327, "NA")</f>
        <v>-1.4169178460547667E-4</v>
      </c>
      <c r="D40" s="9"/>
      <c r="E40" s="7">
        <v>-17.5</v>
      </c>
      <c r="F40" s="8">
        <f>IFERROR(E40/E327, "NA")</f>
        <v>-1.1647756921563074E-4</v>
      </c>
      <c r="G40" s="9"/>
      <c r="H40" s="7">
        <v>-6.5</v>
      </c>
      <c r="I40" s="8">
        <f>IFERROR(H40/H327, "NA")</f>
        <v>-2.5711567634278663E-5</v>
      </c>
      <c r="J40" s="9"/>
      <c r="K40" s="7">
        <v>0</v>
      </c>
      <c r="L40" s="8">
        <f>IFERROR(K40/K327, "NA")</f>
        <v>0</v>
      </c>
      <c r="M40" s="9"/>
      <c r="N40" s="7">
        <v>-9.5</v>
      </c>
      <c r="O40" s="8">
        <f>IFERROR(N40/N327, "NA")</f>
        <v>-7.5692940987870963E-5</v>
      </c>
      <c r="P40" s="9"/>
      <c r="Q40" s="7">
        <v>0</v>
      </c>
      <c r="R40" s="8">
        <f>IFERROR(Q40/Q327, "NA")</f>
        <v>0</v>
      </c>
      <c r="S40" s="9"/>
      <c r="T40" s="7">
        <v>0</v>
      </c>
      <c r="U40" s="8">
        <f>IFERROR(T40/T327, "NA")</f>
        <v>0</v>
      </c>
      <c r="V40" s="9"/>
      <c r="W40" s="7">
        <v>-13</v>
      </c>
      <c r="X40" s="8">
        <f>IFERROR(W40/W327, "NA")</f>
        <v>-8.8474838742696316E-5</v>
      </c>
    </row>
    <row r="41" spans="1:24" ht="16.5" customHeight="1" x14ac:dyDescent="0.25">
      <c r="A41" s="6" t="s">
        <v>47</v>
      </c>
      <c r="B41" s="7">
        <v>-311</v>
      </c>
      <c r="C41" s="8">
        <f>IFERROR(B41/B327, "NA")</f>
        <v>-8.8132290024606479E-4</v>
      </c>
      <c r="D41" s="9"/>
      <c r="E41" s="7">
        <v>-319</v>
      </c>
      <c r="F41" s="8">
        <f>IFERROR(E41/E327, "NA")</f>
        <v>-2.1232196902734976E-3</v>
      </c>
      <c r="G41" s="9"/>
      <c r="H41" s="7">
        <v>-390</v>
      </c>
      <c r="I41" s="8">
        <f>IFERROR(H41/H327, "NA")</f>
        <v>-1.5426940580567196E-3</v>
      </c>
      <c r="J41" s="9"/>
      <c r="K41" s="7">
        <v>-360</v>
      </c>
      <c r="L41" s="8">
        <f>IFERROR(K41/K327, "NA")</f>
        <v>-2.7534317894254913E-3</v>
      </c>
      <c r="M41" s="9"/>
      <c r="N41" s="7">
        <v>-324</v>
      </c>
      <c r="O41" s="8">
        <f>IFERROR(N41/N327, "NA")</f>
        <v>-2.5815276715863361E-3</v>
      </c>
      <c r="P41" s="9"/>
      <c r="Q41" s="7">
        <v>-289</v>
      </c>
      <c r="R41" s="8">
        <f>IFERROR(Q41/Q327, "NA")</f>
        <v>-3.6260978670012546E-3</v>
      </c>
      <c r="S41" s="9"/>
      <c r="T41" s="7">
        <v>-239</v>
      </c>
      <c r="U41" s="8">
        <f>IFERROR(T41/T327, "NA")</f>
        <v>-2.7117397909804586E-3</v>
      </c>
      <c r="V41" s="9"/>
      <c r="W41" s="7">
        <v>-479</v>
      </c>
      <c r="X41" s="8">
        <f>IFERROR(W41/W327, "NA")</f>
        <v>-3.2599575198270412E-3</v>
      </c>
    </row>
    <row r="42" spans="1:24" ht="16.5" customHeight="1" x14ac:dyDescent="0.25">
      <c r="A42" s="6" t="s">
        <v>48</v>
      </c>
      <c r="B42" s="7">
        <v>-756</v>
      </c>
      <c r="C42" s="8">
        <f>IFERROR(B42/B327, "NA")</f>
        <v>-2.1423797832348071E-3</v>
      </c>
      <c r="D42" s="9"/>
      <c r="E42" s="7">
        <v>-632</v>
      </c>
      <c r="F42" s="8">
        <f>IFERROR(E42/E327, "NA")</f>
        <v>-4.2065042139587784E-3</v>
      </c>
      <c r="G42" s="9"/>
      <c r="H42" s="7">
        <v>-373</v>
      </c>
      <c r="I42" s="8">
        <f>IFERROR(H42/H327, "NA")</f>
        <v>-1.4754484196286062E-3</v>
      </c>
      <c r="J42" s="9"/>
      <c r="K42" s="7">
        <v>-326</v>
      </c>
      <c r="L42" s="8">
        <f>IFERROR(K42/K327, "NA")</f>
        <v>-2.4933854537575284E-3</v>
      </c>
      <c r="M42" s="9"/>
      <c r="N42" s="7">
        <v>-240</v>
      </c>
      <c r="O42" s="8">
        <f>IFERROR(N42/N327, "NA")</f>
        <v>-1.9122427196935823E-3</v>
      </c>
      <c r="P42" s="9"/>
      <c r="Q42" s="7">
        <v>-265</v>
      </c>
      <c r="R42" s="8">
        <f>IFERROR(Q42/Q327, "NA")</f>
        <v>-3.3249686323713929E-3</v>
      </c>
      <c r="S42" s="9"/>
      <c r="T42" s="7">
        <v>-357</v>
      </c>
      <c r="U42" s="8">
        <f>IFERROR(T42/T327, "NA")</f>
        <v>-4.0505903990795964E-3</v>
      </c>
      <c r="V42" s="9"/>
      <c r="W42" s="7">
        <v>-552</v>
      </c>
      <c r="X42" s="8">
        <f>IFERROR(W42/W327, "NA")</f>
        <v>-3.7567777681514129E-3</v>
      </c>
    </row>
    <row r="43" spans="1:24" ht="16.5" customHeight="1" x14ac:dyDescent="0.25">
      <c r="A43" s="6" t="s">
        <v>49</v>
      </c>
      <c r="B43" s="7">
        <v>-3785</v>
      </c>
      <c r="C43" s="8">
        <f>IFERROR(B43/B327, "NA")</f>
        <v>-1.0726068094634583E-2</v>
      </c>
      <c r="D43" s="9"/>
      <c r="E43" s="7">
        <v>-6123</v>
      </c>
      <c r="F43" s="8">
        <f>IFERROR(E43/E327, "NA")</f>
        <v>-4.0753837503274687E-2</v>
      </c>
      <c r="G43" s="9"/>
      <c r="H43" s="7">
        <v>-3630</v>
      </c>
      <c r="I43" s="8">
        <f>IFERROR(H43/H327, "NA")</f>
        <v>-1.435892161729716E-2</v>
      </c>
      <c r="J43" s="9"/>
      <c r="K43" s="7">
        <v>-10545</v>
      </c>
      <c r="L43" s="8">
        <f>IFERROR(K43/K327, "NA")</f>
        <v>-8.065260616525502E-2</v>
      </c>
      <c r="M43" s="9"/>
      <c r="N43" s="7">
        <v>-5708</v>
      </c>
      <c r="O43" s="8">
        <f>IFERROR(N43/N327, "NA")</f>
        <v>-4.5479506016712364E-2</v>
      </c>
      <c r="P43" s="9"/>
      <c r="Q43" s="7">
        <v>-9363</v>
      </c>
      <c r="R43" s="8">
        <f>IFERROR(Q43/Q327, "NA")</f>
        <v>-0.11747804265997491</v>
      </c>
      <c r="S43" s="9"/>
      <c r="T43" s="7">
        <v>-9141</v>
      </c>
      <c r="U43" s="8">
        <f>IFERROR(T43/T327, "NA")</f>
        <v>-0.10371553736130698</v>
      </c>
      <c r="V43" s="9"/>
      <c r="W43" s="7">
        <v>-6840</v>
      </c>
      <c r="X43" s="8">
        <f>IFERROR(W43/W327, "NA")</f>
        <v>-4.6551376692310985E-2</v>
      </c>
    </row>
    <row r="44" spans="1:24" ht="16.5" customHeight="1" x14ac:dyDescent="0.25">
      <c r="A44" s="6" t="s">
        <v>50</v>
      </c>
      <c r="B44" s="7">
        <v>0</v>
      </c>
      <c r="C44" s="8">
        <f>IFERROR(B44/B327, "NA")</f>
        <v>0</v>
      </c>
      <c r="D44" s="9"/>
      <c r="E44" s="7">
        <v>0</v>
      </c>
      <c r="F44" s="8">
        <f>IFERROR(E44/E327, "NA")</f>
        <v>0</v>
      </c>
      <c r="G44" s="9"/>
      <c r="H44" s="7">
        <v>-26</v>
      </c>
      <c r="I44" s="8">
        <f>IFERROR(H44/H327, "NA")</f>
        <v>-1.0284627053711465E-4</v>
      </c>
      <c r="J44" s="9"/>
      <c r="K44" s="7">
        <v>-400</v>
      </c>
      <c r="L44" s="8">
        <f>IFERROR(K44/K327, "NA")</f>
        <v>-3.0593686549172123E-3</v>
      </c>
      <c r="M44" s="9"/>
      <c r="N44" s="7">
        <v>-737</v>
      </c>
      <c r="O44" s="8">
        <f>IFERROR(N44/N327, "NA")</f>
        <v>-5.8721786850590421E-3</v>
      </c>
      <c r="P44" s="9"/>
      <c r="Q44" s="7">
        <v>-10</v>
      </c>
      <c r="R44" s="8">
        <f>IFERROR(Q44/Q327, "NA")</f>
        <v>-1.2547051442910915E-4</v>
      </c>
      <c r="S44" s="9"/>
      <c r="T44" s="7">
        <v>0</v>
      </c>
      <c r="U44" s="8">
        <f>IFERROR(T44/T327, "NA")</f>
        <v>0</v>
      </c>
      <c r="V44" s="9"/>
      <c r="W44" s="7">
        <v>-1798</v>
      </c>
      <c r="X44" s="8">
        <f>IFERROR(W44/W327, "NA")</f>
        <v>-1.2236750773797538E-2</v>
      </c>
    </row>
    <row r="45" spans="1:24" ht="16.5" customHeight="1" x14ac:dyDescent="0.25">
      <c r="A45" s="6" t="s">
        <v>51</v>
      </c>
      <c r="B45" s="7">
        <v>0</v>
      </c>
      <c r="C45" s="8">
        <f>IFERROR(B45/B327, "NA")</f>
        <v>0</v>
      </c>
      <c r="D45" s="9"/>
      <c r="E45" s="7">
        <v>0</v>
      </c>
      <c r="F45" s="8">
        <f>IFERROR(E45/E327, "NA")</f>
        <v>0</v>
      </c>
      <c r="G45" s="9"/>
      <c r="H45" s="7">
        <v>0</v>
      </c>
      <c r="I45" s="8">
        <f>IFERROR(H45/H327, "NA")</f>
        <v>0</v>
      </c>
      <c r="J45" s="9"/>
      <c r="K45" s="7">
        <v>0</v>
      </c>
      <c r="L45" s="8">
        <f>IFERROR(K45/K327, "NA")</f>
        <v>0</v>
      </c>
      <c r="M45" s="9"/>
      <c r="N45" s="7">
        <v>0</v>
      </c>
      <c r="O45" s="8">
        <f>IFERROR(N45/N327, "NA")</f>
        <v>0</v>
      </c>
      <c r="P45" s="9"/>
      <c r="Q45" s="7">
        <v>0</v>
      </c>
      <c r="R45" s="8">
        <f>IFERROR(Q45/Q327, "NA")</f>
        <v>0</v>
      </c>
      <c r="S45" s="9"/>
      <c r="T45" s="7">
        <v>0</v>
      </c>
      <c r="U45" s="8">
        <f>IFERROR(T45/T327, "NA")</f>
        <v>0</v>
      </c>
      <c r="V45" s="9"/>
      <c r="W45" s="7">
        <v>0</v>
      </c>
      <c r="X45" s="8">
        <f>IFERROR(W45/W327, "NA")</f>
        <v>0</v>
      </c>
    </row>
    <row r="46" spans="1:24" ht="16.5" customHeight="1" x14ac:dyDescent="0.25">
      <c r="A46" s="6" t="s">
        <v>52</v>
      </c>
      <c r="B46" s="7">
        <v>-3536</v>
      </c>
      <c r="C46" s="8">
        <f>IFERROR(B46/B327, "NA")</f>
        <v>-1.0020443007299309E-2</v>
      </c>
      <c r="D46" s="9"/>
      <c r="E46" s="7">
        <v>-1334</v>
      </c>
      <c r="F46" s="8">
        <f>IFERROR(E46/E327, "NA")</f>
        <v>-8.8789187047800811E-3</v>
      </c>
      <c r="G46" s="9"/>
      <c r="H46" s="7">
        <v>-5475</v>
      </c>
      <c r="I46" s="8">
        <f>IFERROR(H46/H327, "NA")</f>
        <v>-2.165705119964241E-2</v>
      </c>
      <c r="J46" s="9"/>
      <c r="K46" s="7">
        <v>-3604</v>
      </c>
      <c r="L46" s="8">
        <f>IFERROR(K46/K327, "NA")</f>
        <v>-2.7564911580804086E-2</v>
      </c>
      <c r="M46" s="9"/>
      <c r="N46" s="7">
        <v>-1812</v>
      </c>
      <c r="O46" s="8">
        <f>IFERROR(N46/N327, "NA")</f>
        <v>-1.4437432533686546E-2</v>
      </c>
      <c r="P46" s="9"/>
      <c r="Q46" s="7">
        <v>-1357</v>
      </c>
      <c r="R46" s="8">
        <f>IFERROR(Q46/Q327, "NA")</f>
        <v>-1.7026348808030112E-2</v>
      </c>
      <c r="S46" s="9"/>
      <c r="T46" s="7">
        <v>-484</v>
      </c>
      <c r="U46" s="8">
        <f>IFERROR(T46/T327, "NA")</f>
        <v>-5.4915567315252795E-3</v>
      </c>
      <c r="V46" s="9"/>
      <c r="W46" s="7">
        <v>-2274</v>
      </c>
      <c r="X46" s="8">
        <f>IFERROR(W46/W327, "NA")</f>
        <v>-1.5476291023145496E-2</v>
      </c>
    </row>
    <row r="47" spans="1:24" ht="16.5" customHeight="1" x14ac:dyDescent="0.25">
      <c r="A47" s="6" t="s">
        <v>53</v>
      </c>
      <c r="B47" s="7">
        <v>-912</v>
      </c>
      <c r="C47" s="8">
        <f>IFERROR(B47/B327, "NA")</f>
        <v>-2.5844581512038944E-3</v>
      </c>
      <c r="D47" s="9"/>
      <c r="E47" s="7">
        <v>-1089</v>
      </c>
      <c r="F47" s="8">
        <f>IFERROR(E47/E327, "NA")</f>
        <v>-7.24823273576125E-3</v>
      </c>
      <c r="G47" s="9"/>
      <c r="H47" s="7">
        <v>-1516</v>
      </c>
      <c r="I47" s="8">
        <f>IFERROR(H47/H327, "NA")</f>
        <v>-5.9967286974717616E-3</v>
      </c>
      <c r="J47" s="9"/>
      <c r="K47" s="7">
        <v>-758</v>
      </c>
      <c r="L47" s="8">
        <f>IFERROR(K47/K327, "NA")</f>
        <v>-5.7975036010681179E-3</v>
      </c>
      <c r="M47" s="9"/>
      <c r="N47" s="7">
        <v>-433</v>
      </c>
      <c r="O47" s="8">
        <f>IFERROR(N47/N327, "NA")</f>
        <v>-3.4500045734471713E-3</v>
      </c>
      <c r="P47" s="9"/>
      <c r="Q47" s="7">
        <v>-414</v>
      </c>
      <c r="R47" s="8">
        <f>IFERROR(Q47/Q327, "NA")</f>
        <v>-5.1944792973651196E-3</v>
      </c>
      <c r="S47" s="9"/>
      <c r="T47" s="7">
        <v>-957</v>
      </c>
      <c r="U47" s="8">
        <f>IFERROR(T47/T327, "NA")</f>
        <v>-1.0858305355515893E-2</v>
      </c>
      <c r="V47" s="9"/>
      <c r="W47" s="7">
        <v>-1678</v>
      </c>
      <c r="X47" s="8">
        <f>IFERROR(W47/W327, "NA")</f>
        <v>-1.1420059954634187E-2</v>
      </c>
    </row>
    <row r="48" spans="1:24" ht="16.5" customHeight="1" x14ac:dyDescent="0.25">
      <c r="A48" s="6" t="s">
        <v>54</v>
      </c>
      <c r="B48" s="7">
        <v>-787</v>
      </c>
      <c r="C48" s="8">
        <f>IFERROR(B48/B327, "NA")</f>
        <v>-2.2302286896902024E-3</v>
      </c>
      <c r="D48" s="9"/>
      <c r="E48" s="7">
        <v>-1029</v>
      </c>
      <c r="F48" s="8">
        <f>IFERROR(E48/E327, "NA")</f>
        <v>-6.8488810698790871E-3</v>
      </c>
      <c r="G48" s="9"/>
      <c r="H48" s="7">
        <v>-283</v>
      </c>
      <c r="I48" s="8">
        <f>IFERROR(H48/H327, "NA")</f>
        <v>-1.119442098538594E-3</v>
      </c>
      <c r="J48" s="9"/>
      <c r="K48" s="7">
        <v>0</v>
      </c>
      <c r="L48" s="8">
        <f>IFERROR(K48/K327, "NA")</f>
        <v>0</v>
      </c>
      <c r="M48" s="9"/>
      <c r="N48" s="7">
        <v>-89</v>
      </c>
      <c r="O48" s="8">
        <f>IFERROR(N48/N327, "NA")</f>
        <v>-7.0912334188637011E-4</v>
      </c>
      <c r="P48" s="9"/>
      <c r="Q48" s="7">
        <v>-482</v>
      </c>
      <c r="R48" s="8">
        <f>IFERROR(Q48/Q327, "NA")</f>
        <v>-6.0476787954830613E-3</v>
      </c>
      <c r="S48" s="9"/>
      <c r="T48" s="7">
        <v>-146</v>
      </c>
      <c r="U48" s="8">
        <f>IFERROR(T48/T327, "NA")</f>
        <v>-1.6565439727328323E-3</v>
      </c>
      <c r="V48" s="9"/>
      <c r="W48" s="7">
        <v>-240</v>
      </c>
      <c r="X48" s="8">
        <f>IFERROR(W48/W327, "NA")</f>
        <v>-1.6333816383267013E-3</v>
      </c>
    </row>
    <row r="49" spans="1:24" ht="16.5" customHeight="1" x14ac:dyDescent="0.25">
      <c r="A49" s="6" t="s">
        <v>55</v>
      </c>
      <c r="B49" s="7">
        <v>0</v>
      </c>
      <c r="C49" s="8">
        <f>IFERROR(B49/B327, "NA")</f>
        <v>0</v>
      </c>
      <c r="D49" s="9"/>
      <c r="E49" s="7">
        <v>0</v>
      </c>
      <c r="F49" s="8">
        <f>IFERROR(E49/E327, "NA")</f>
        <v>0</v>
      </c>
      <c r="G49" s="9"/>
      <c r="H49" s="7">
        <v>0</v>
      </c>
      <c r="I49" s="8">
        <f>IFERROR(H49/H327, "NA")</f>
        <v>0</v>
      </c>
      <c r="J49" s="9"/>
      <c r="K49" s="7">
        <v>0</v>
      </c>
      <c r="L49" s="8">
        <f>IFERROR(K49/K327, "NA")</f>
        <v>0</v>
      </c>
      <c r="M49" s="9"/>
      <c r="N49" s="7">
        <v>0</v>
      </c>
      <c r="O49" s="8">
        <f>IFERROR(N49/N327, "NA")</f>
        <v>0</v>
      </c>
      <c r="P49" s="9"/>
      <c r="Q49" s="7">
        <v>0</v>
      </c>
      <c r="R49" s="8">
        <f>IFERROR(Q49/Q327, "NA")</f>
        <v>0</v>
      </c>
      <c r="S49" s="9"/>
      <c r="T49" s="7">
        <v>0</v>
      </c>
      <c r="U49" s="8">
        <f>IFERROR(T49/T327, "NA")</f>
        <v>0</v>
      </c>
      <c r="V49" s="9"/>
      <c r="W49" s="7">
        <v>0</v>
      </c>
      <c r="X49" s="8">
        <f>IFERROR(W49/W327, "NA")</f>
        <v>0</v>
      </c>
    </row>
    <row r="50" spans="1:24" ht="16.5" customHeight="1" x14ac:dyDescent="0.25">
      <c r="A50" s="6" t="s">
        <v>56</v>
      </c>
      <c r="B50" s="7">
        <v>0</v>
      </c>
      <c r="C50" s="8">
        <f>IFERROR(B50/B327, "NA")</f>
        <v>0</v>
      </c>
      <c r="D50" s="9"/>
      <c r="E50" s="7">
        <v>0</v>
      </c>
      <c r="F50" s="8">
        <f>IFERROR(E50/E327, "NA")</f>
        <v>0</v>
      </c>
      <c r="G50" s="9"/>
      <c r="H50" s="7">
        <v>0</v>
      </c>
      <c r="I50" s="8">
        <f>IFERROR(H50/H327, "NA")</f>
        <v>0</v>
      </c>
      <c r="J50" s="9"/>
      <c r="K50" s="7">
        <v>0</v>
      </c>
      <c r="L50" s="8">
        <f>IFERROR(K50/K327, "NA")</f>
        <v>0</v>
      </c>
      <c r="M50" s="9"/>
      <c r="N50" s="7">
        <v>0</v>
      </c>
      <c r="O50" s="8">
        <f>IFERROR(N50/N327, "NA")</f>
        <v>0</v>
      </c>
      <c r="P50" s="9"/>
      <c r="Q50" s="7">
        <v>0</v>
      </c>
      <c r="R50" s="8">
        <f>IFERROR(Q50/Q327, "NA")</f>
        <v>0</v>
      </c>
      <c r="S50" s="9"/>
      <c r="T50" s="7">
        <v>0</v>
      </c>
      <c r="U50" s="8">
        <f>IFERROR(T50/T327, "NA")</f>
        <v>0</v>
      </c>
      <c r="V50" s="9"/>
      <c r="W50" s="7">
        <v>-194</v>
      </c>
      <c r="X50" s="8">
        <f>IFERROR(W50/W327, "NA")</f>
        <v>-1.3203168243140836E-3</v>
      </c>
    </row>
    <row r="51" spans="1:24" ht="16.5" customHeight="1" x14ac:dyDescent="0.25">
      <c r="A51" s="10" t="s">
        <v>57</v>
      </c>
      <c r="B51" s="11">
        <f>IFERROR(B39+B40+B41+B42+B43+B44+B45+B46+B47+B48+B49+B50, "NA")</f>
        <v>-10137</v>
      </c>
      <c r="C51" s="12">
        <f>IFERROR(B51/B327, "NA")</f>
        <v>-2.8726592410914339E-2</v>
      </c>
      <c r="D51" s="2"/>
      <c r="E51" s="11">
        <f>IFERROR(E39+E40+E41+E42+E43+E44+E45+E46+E47+E48+E49+E50, "NA")</f>
        <v>-10543.5</v>
      </c>
      <c r="F51" s="12">
        <f>IFERROR(E51/E327, "NA")</f>
        <v>-7.0176071487143013E-2</v>
      </c>
      <c r="G51" s="2"/>
      <c r="H51" s="11">
        <f>IFERROR(H39+H40+H41+H42+H43+H44+H45+H46+H47+H48+H49+H50, "NA")</f>
        <v>-11699.5</v>
      </c>
      <c r="I51" s="12">
        <f>IFERROR(H51/H327, "NA")</f>
        <v>-4.627884392880665E-2</v>
      </c>
      <c r="J51" s="2"/>
      <c r="K51" s="11">
        <f>IFERROR(K39+K40+K41+K42+K43+K44+K45+K46+K47+K48+K49+K50, "NA")</f>
        <v>-15993</v>
      </c>
      <c r="L51" s="12">
        <f>IFERROR(K51/K327, "NA")</f>
        <v>-0.12232120724522745</v>
      </c>
      <c r="M51" s="2"/>
      <c r="N51" s="11">
        <f>IFERROR(N39+N40+N41+N42+N43+N44+N45+N46+N47+N48+N49+N50, "NA")</f>
        <v>-9352.5</v>
      </c>
      <c r="O51" s="12">
        <f>IFERROR(N51/N327, "NA")</f>
        <v>-7.4517708483059275E-2</v>
      </c>
      <c r="P51" s="2"/>
      <c r="Q51" s="11">
        <f>IFERROR(Q39+Q40+Q41+Q42+Q43+Q44+Q45+Q46+Q47+Q48+Q49+Q50, "NA")</f>
        <v>-12180</v>
      </c>
      <c r="R51" s="12">
        <f>IFERROR(Q51/Q327, "NA")</f>
        <v>-0.15282308657465496</v>
      </c>
      <c r="S51" s="2"/>
      <c r="T51" s="11">
        <f>IFERROR(T39+T40+T41+T42+T43+T44+T45+T46+T47+T48+T49+T50, "NA")</f>
        <v>-11324</v>
      </c>
      <c r="U51" s="12">
        <f>IFERROR(T51/T327, "NA")</f>
        <v>-0.12848427361114104</v>
      </c>
      <c r="V51" s="2"/>
      <c r="W51" s="11">
        <f>IFERROR(W39+W40+W41+W42+W43+W44+W45+W46+W47+W48+W49+W50, "NA")</f>
        <v>-14068</v>
      </c>
      <c r="X51" s="12">
        <f>IFERROR(W51/W327, "NA")</f>
        <v>-9.5743387033250138E-2</v>
      </c>
    </row>
    <row r="52" spans="1:24" ht="16.5" customHeight="1" x14ac:dyDescent="0.25">
      <c r="A52" s="14" t="s">
        <v>58</v>
      </c>
      <c r="B52" s="11">
        <f>IFERROR(B8+B9+B11+B13+B14+B15+B16+B17+B18+B21+B22+B23+B24+B25+B26+B27+B28+B29+B32+B33+B34+B35+B36+B39+B40+B41+B42+B43+B44+B45+B46+B47+B48+B49+B50, "NA")</f>
        <v>352878.61</v>
      </c>
      <c r="C52" s="12">
        <f>IFERROR(B52/B327, "NA")</f>
        <v>1</v>
      </c>
      <c r="D52" s="2"/>
      <c r="E52" s="11">
        <f>IFERROR(E8+E9+E11+E13+E14+E15+E16+E17+E18+E21+E22+E23+E24+E25+E26+E27+E28+E29+E32+E33+E34+E35+E36+E39+E40+E41+E42+E43+E44+E45+E46+E47+E48+E49+E50, "NA")</f>
        <v>150243.52000000002</v>
      </c>
      <c r="F52" s="12">
        <f>IFERROR(E52/E327, "NA")</f>
        <v>1.0000000000000002</v>
      </c>
      <c r="G52" s="2"/>
      <c r="H52" s="11">
        <f>IFERROR(H8+H9+H11+H13+H14+H15+H16+H17+H18+H21+H22+H23+H24+H25+H26+H27+H28+H29+H32+H33+H34+H35+H36+H39+H40+H41+H42+H43+H44+H45+H46+H47+H48+H49+H50, "NA")</f>
        <v>252804.5</v>
      </c>
      <c r="I52" s="12">
        <f>IFERROR(H52/H327, "NA")</f>
        <v>1</v>
      </c>
      <c r="J52" s="2"/>
      <c r="K52" s="11">
        <f>IFERROR(K8+K9+K11+K13+K14+K15+K16+K17+K18+K21+K22+K23+K24+K25+K26+K27+K28+K29+K32+K33+K34+K35+K36+K39+K40+K41+K42+K43+K44+K45+K46+K47+K48+K49+K50, "NA")</f>
        <v>130745.93</v>
      </c>
      <c r="L52" s="12">
        <f>IFERROR(K52/K327, "NA")</f>
        <v>1</v>
      </c>
      <c r="M52" s="2"/>
      <c r="N52" s="11">
        <f>IFERROR(N8+N9+N11+N13+N14+N15+N16+N17+N18+N21+N22+N23+N24+N25+N26+N27+N28+N29+N32+N33+N34+N35+N36+N39+N40+N41+N42+N43+N44+N45+N46+N47+N48+N49+N50, "NA")</f>
        <v>125507.08000000002</v>
      </c>
      <c r="O52" s="12">
        <f>IFERROR(N52/N327, "NA")</f>
        <v>1.0000000000000002</v>
      </c>
      <c r="P52" s="2"/>
      <c r="Q52" s="11">
        <f>IFERROR(Q8+Q9+Q11+Q13+Q14+Q15+Q16+Q17+Q18+Q21+Q22+Q23+Q24+Q25+Q26+Q27+Q28+Q29+Q32+Q33+Q34+Q35+Q36+Q39+Q40+Q41+Q42+Q43+Q44+Q45+Q46+Q47+Q48+Q49+Q50, "NA")</f>
        <v>79700</v>
      </c>
      <c r="R52" s="12">
        <f>IFERROR(Q52/Q327, "NA")</f>
        <v>1</v>
      </c>
      <c r="S52" s="2"/>
      <c r="T52" s="11">
        <f>IFERROR(T8+T9+T11+T13+T14+T15+T16+T17+T18+T21+T22+T23+T24+T25+T26+T27+T28+T29+T32+T33+T34+T35+T36+T39+T40+T41+T42+T43+T44+T45+T46+T47+T48+T49+T50, "NA")</f>
        <v>88135.3</v>
      </c>
      <c r="U52" s="12">
        <f>IFERROR(T52/T327, "NA")</f>
        <v>1</v>
      </c>
      <c r="V52" s="2"/>
      <c r="W52" s="11">
        <f>IFERROR(W8+W9+W11+W13+W14+W15+W16+W17+W18+W21+W22+W23+W24+W25+W26+W27+W28+W29+W32+W33+W34+W35+W36+W39+W40+W41+W42+W43+W44+W45+W46+W47+W48+W49+W50, "NA")</f>
        <v>146934.43</v>
      </c>
      <c r="X52" s="12">
        <f>IFERROR(W52/W327, "NA")</f>
        <v>1</v>
      </c>
    </row>
    <row r="53" spans="1:24" ht="16.5" customHeight="1" x14ac:dyDescent="0.25">
      <c r="A53" s="1" t="s">
        <v>59</v>
      </c>
      <c r="B53" s="2"/>
      <c r="C53" s="3"/>
      <c r="D53" s="4"/>
      <c r="E53" s="2"/>
      <c r="F53" s="3"/>
      <c r="G53" s="4"/>
      <c r="H53" s="2"/>
      <c r="I53" s="3"/>
      <c r="J53" s="4"/>
      <c r="K53" s="2"/>
      <c r="L53" s="3"/>
      <c r="M53" s="4"/>
      <c r="N53" s="2"/>
      <c r="O53" s="3"/>
      <c r="P53" s="4"/>
      <c r="Q53" s="2"/>
      <c r="R53" s="3"/>
      <c r="S53" s="4"/>
      <c r="T53" s="2"/>
      <c r="U53" s="3"/>
      <c r="V53" s="4"/>
      <c r="W53" s="2"/>
      <c r="X53" s="3"/>
    </row>
    <row r="54" spans="1:24" ht="16.5" customHeight="1" x14ac:dyDescent="0.25">
      <c r="A54" s="5" t="s">
        <v>60</v>
      </c>
      <c r="B54" s="2"/>
      <c r="C54" s="3"/>
      <c r="D54" s="4"/>
      <c r="E54" s="2"/>
      <c r="F54" s="3"/>
      <c r="G54" s="4"/>
      <c r="H54" s="2"/>
      <c r="I54" s="3"/>
      <c r="J54" s="4"/>
      <c r="K54" s="2"/>
      <c r="L54" s="3"/>
      <c r="M54" s="4"/>
      <c r="N54" s="2"/>
      <c r="O54" s="3"/>
      <c r="P54" s="4"/>
      <c r="Q54" s="2"/>
      <c r="R54" s="3"/>
      <c r="S54" s="4"/>
      <c r="T54" s="2"/>
      <c r="U54" s="3"/>
      <c r="V54" s="4"/>
      <c r="W54" s="2"/>
      <c r="X54" s="3"/>
    </row>
    <row r="55" spans="1:24" ht="16.5" customHeight="1" x14ac:dyDescent="0.25">
      <c r="A55" s="6" t="s">
        <v>61</v>
      </c>
      <c r="B55" s="7">
        <v>0</v>
      </c>
      <c r="C55" s="8">
        <f>IFERROR(B55/B327, "NA")</f>
        <v>0</v>
      </c>
      <c r="D55" s="9"/>
      <c r="E55" s="7">
        <v>0</v>
      </c>
      <c r="F55" s="8">
        <f>IFERROR(E55/E327, "NA")</f>
        <v>0</v>
      </c>
      <c r="G55" s="9"/>
      <c r="H55" s="7">
        <v>0</v>
      </c>
      <c r="I55" s="8">
        <f>IFERROR(H55/H327, "NA")</f>
        <v>0</v>
      </c>
      <c r="J55" s="9"/>
      <c r="K55" s="7">
        <v>0</v>
      </c>
      <c r="L55" s="8">
        <f>IFERROR(K55/K327, "NA")</f>
        <v>0</v>
      </c>
      <c r="M55" s="9"/>
      <c r="N55" s="7">
        <v>0</v>
      </c>
      <c r="O55" s="8">
        <f>IFERROR(N55/N327, "NA")</f>
        <v>0</v>
      </c>
      <c r="P55" s="9"/>
      <c r="Q55" s="7">
        <v>0</v>
      </c>
      <c r="R55" s="8">
        <f>IFERROR(Q55/Q327, "NA")</f>
        <v>0</v>
      </c>
      <c r="S55" s="9"/>
      <c r="T55" s="7">
        <v>0</v>
      </c>
      <c r="U55" s="8">
        <f>IFERROR(T55/T327, "NA")</f>
        <v>0</v>
      </c>
      <c r="V55" s="9"/>
      <c r="W55" s="7">
        <v>0</v>
      </c>
      <c r="X55" s="8">
        <f>IFERROR(W55/W327, "NA")</f>
        <v>0</v>
      </c>
    </row>
    <row r="56" spans="1:24" ht="16.5" customHeight="1" x14ac:dyDescent="0.25">
      <c r="A56" s="6" t="s">
        <v>62</v>
      </c>
      <c r="B56" s="7">
        <v>1293.83</v>
      </c>
      <c r="C56" s="8">
        <f>IFERROR(B56/B327, "NA")</f>
        <v>3.6665016335220772E-3</v>
      </c>
      <c r="D56" s="9"/>
      <c r="E56" s="7">
        <v>0</v>
      </c>
      <c r="F56" s="8">
        <f>IFERROR(E56/E327, "NA")</f>
        <v>0</v>
      </c>
      <c r="G56" s="9"/>
      <c r="H56" s="7">
        <v>1294.42</v>
      </c>
      <c r="I56" s="8">
        <f>IFERROR(H56/H327, "NA")</f>
        <v>5.1202411349481518E-3</v>
      </c>
      <c r="J56" s="9"/>
      <c r="K56" s="7">
        <v>680.91</v>
      </c>
      <c r="L56" s="8">
        <f>IFERROR(K56/K327, "NA")</f>
        <v>5.2078867770491977E-3</v>
      </c>
      <c r="M56" s="9"/>
      <c r="N56" s="7">
        <v>551.91</v>
      </c>
      <c r="O56" s="8">
        <f>IFERROR(N56/N327, "NA")</f>
        <v>4.3974411642753539E-3</v>
      </c>
      <c r="P56" s="9"/>
      <c r="Q56" s="7">
        <v>757.66</v>
      </c>
      <c r="R56" s="8">
        <f>IFERROR(Q56/Q327, "NA")</f>
        <v>9.5063989962358847E-3</v>
      </c>
      <c r="S56" s="9"/>
      <c r="T56" s="7">
        <v>1313.49</v>
      </c>
      <c r="U56" s="8">
        <f>IFERROR(T56/T327, "NA")</f>
        <v>1.490310919688252E-2</v>
      </c>
      <c r="V56" s="9"/>
      <c r="W56" s="7">
        <v>0</v>
      </c>
      <c r="X56" s="8">
        <f>IFERROR(W56/W327, "NA")</f>
        <v>0</v>
      </c>
    </row>
    <row r="57" spans="1:24" ht="16.5" customHeight="1" x14ac:dyDescent="0.25">
      <c r="A57" s="6" t="s">
        <v>63</v>
      </c>
      <c r="B57" s="7">
        <v>337.44</v>
      </c>
      <c r="C57" s="8">
        <f>IFERROR(B57/B327, "NA")</f>
        <v>9.5624951594544083E-4</v>
      </c>
      <c r="D57" s="9"/>
      <c r="E57" s="7">
        <v>384.36</v>
      </c>
      <c r="F57" s="8">
        <f>IFERROR(E57/E327, "NA")</f>
        <v>2.5582467716411331E-3</v>
      </c>
      <c r="G57" s="9"/>
      <c r="H57" s="7">
        <v>310.3</v>
      </c>
      <c r="I57" s="8">
        <f>IFERROR(H57/H327, "NA")</f>
        <v>1.2274306826025644E-3</v>
      </c>
      <c r="J57" s="9"/>
      <c r="K57" s="7">
        <v>248.67</v>
      </c>
      <c r="L57" s="8">
        <f>IFERROR(K57/K327, "NA")</f>
        <v>1.9019330085456581E-3</v>
      </c>
      <c r="M57" s="9"/>
      <c r="N57" s="7">
        <v>168.89</v>
      </c>
      <c r="O57" s="8">
        <f>IFERROR(N57/N327, "NA")</f>
        <v>1.3456611372043711E-3</v>
      </c>
      <c r="P57" s="9"/>
      <c r="Q57" s="7">
        <v>242.99</v>
      </c>
      <c r="R57" s="8">
        <f>IFERROR(Q57/Q327, "NA")</f>
        <v>3.0488080301129235E-3</v>
      </c>
      <c r="S57" s="9"/>
      <c r="T57" s="7">
        <v>271.35000000000002</v>
      </c>
      <c r="U57" s="8">
        <f>IFERROR(T57/T327, "NA")</f>
        <v>3.0787890890483158E-3</v>
      </c>
      <c r="V57" s="9"/>
      <c r="W57" s="7">
        <v>0</v>
      </c>
      <c r="X57" s="8">
        <f>IFERROR(W57/W327, "NA")</f>
        <v>0</v>
      </c>
    </row>
    <row r="58" spans="1:24" ht="16.5" customHeight="1" x14ac:dyDescent="0.25">
      <c r="A58" s="6" t="s">
        <v>64</v>
      </c>
      <c r="B58" s="7">
        <v>1405.52</v>
      </c>
      <c r="C58" s="8">
        <f>IFERROR(B58/B327, "NA")</f>
        <v>3.9830127419737908E-3</v>
      </c>
      <c r="D58" s="9"/>
      <c r="E58" s="7">
        <v>1469.36</v>
      </c>
      <c r="F58" s="8">
        <f>IFERROR(E58/E327, "NA")</f>
        <v>9.7798560630102376E-3</v>
      </c>
      <c r="G58" s="9"/>
      <c r="H58" s="7">
        <v>1623.68</v>
      </c>
      <c r="I58" s="8">
        <f>IFERROR(H58/H327, "NA")</f>
        <v>6.4226704825270124E-3</v>
      </c>
      <c r="J58" s="9"/>
      <c r="K58" s="7">
        <v>840.51</v>
      </c>
      <c r="L58" s="8">
        <f>IFERROR(K58/K327, "NA")</f>
        <v>6.4285748703611654E-3</v>
      </c>
      <c r="M58" s="9"/>
      <c r="N58" s="7">
        <v>655.63</v>
      </c>
      <c r="O58" s="8">
        <f>IFERROR(N58/N327, "NA")</f>
        <v>5.2238487263029307E-3</v>
      </c>
      <c r="P58" s="9"/>
      <c r="Q58" s="7">
        <v>850.55</v>
      </c>
      <c r="R58" s="8">
        <f>IFERROR(Q58/Q327, "NA")</f>
        <v>1.0671894604767879E-2</v>
      </c>
      <c r="S58" s="9"/>
      <c r="T58" s="7">
        <v>1723.98</v>
      </c>
      <c r="U58" s="8">
        <f>IFERROR(T58/T327, "NA")</f>
        <v>1.9560607384328414E-2</v>
      </c>
      <c r="V58" s="9"/>
      <c r="W58" s="7">
        <v>0</v>
      </c>
      <c r="X58" s="8">
        <f>IFERROR(W58/W327, "NA")</f>
        <v>0</v>
      </c>
    </row>
    <row r="59" spans="1:24" ht="16.5" customHeight="1" x14ac:dyDescent="0.25">
      <c r="A59" s="6" t="s">
        <v>65</v>
      </c>
      <c r="B59" s="7">
        <v>152.25</v>
      </c>
      <c r="C59" s="8">
        <f>IFERROR(B59/B327, "NA")</f>
        <v>4.3145148412367644E-4</v>
      </c>
      <c r="D59" s="9"/>
      <c r="E59" s="7">
        <v>106.77</v>
      </c>
      <c r="F59" s="8">
        <f>IFERROR(E59/E327, "NA")</f>
        <v>7.1064628943730821E-4</v>
      </c>
      <c r="G59" s="9"/>
      <c r="H59" s="7">
        <v>128.25</v>
      </c>
      <c r="I59" s="8">
        <f>IFERROR(H59/H327, "NA")</f>
        <v>5.0730900755326742E-4</v>
      </c>
      <c r="J59" s="9"/>
      <c r="K59" s="7">
        <v>66.09</v>
      </c>
      <c r="L59" s="8">
        <f>IFERROR(K59/K327, "NA")</f>
        <v>5.0548418600869646E-4</v>
      </c>
      <c r="M59" s="9"/>
      <c r="N59" s="7">
        <v>79.97</v>
      </c>
      <c r="O59" s="8">
        <f>IFERROR(N59/N327, "NA")</f>
        <v>6.3717520955789905E-4</v>
      </c>
      <c r="P59" s="9"/>
      <c r="Q59" s="7">
        <v>94.1</v>
      </c>
      <c r="R59" s="8">
        <f>IFERROR(Q59/Q327, "NA")</f>
        <v>1.1806775407779172E-3</v>
      </c>
      <c r="S59" s="9"/>
      <c r="T59" s="7">
        <v>164.16</v>
      </c>
      <c r="U59" s="8">
        <f>IFERROR(T59/T327, "NA")</f>
        <v>1.862590812080971E-3</v>
      </c>
      <c r="V59" s="9"/>
      <c r="W59" s="7">
        <v>0</v>
      </c>
      <c r="X59" s="8">
        <f>IFERROR(W59/W327, "NA")</f>
        <v>0</v>
      </c>
    </row>
    <row r="60" spans="1:24" ht="16.5" customHeight="1" x14ac:dyDescent="0.25">
      <c r="A60" s="6" t="s">
        <v>66</v>
      </c>
      <c r="B60" s="7">
        <v>2365.2199999999998</v>
      </c>
      <c r="C60" s="8">
        <f>IFERROR(B60/B327, "NA")</f>
        <v>6.7026448556913093E-3</v>
      </c>
      <c r="D60" s="9"/>
      <c r="E60" s="7">
        <v>2091.73</v>
      </c>
      <c r="F60" s="8">
        <f>IFERROR(E60/E327, "NA")</f>
        <v>1.392226433459493E-2</v>
      </c>
      <c r="G60" s="9"/>
      <c r="H60" s="7">
        <v>2750.1</v>
      </c>
      <c r="I60" s="8">
        <f>IFERROR(H60/H327, "NA")</f>
        <v>1.0878366484773807E-2</v>
      </c>
      <c r="J60" s="9"/>
      <c r="K60" s="7">
        <v>1169.68</v>
      </c>
      <c r="L60" s="8">
        <f>IFERROR(K60/K327, "NA")</f>
        <v>8.9462058207089128E-3</v>
      </c>
      <c r="M60" s="9"/>
      <c r="N60" s="7">
        <v>1179.3599999999999</v>
      </c>
      <c r="O60" s="8">
        <f>IFERROR(N60/N327, "NA")</f>
        <v>9.3967607245742622E-3</v>
      </c>
      <c r="P60" s="9"/>
      <c r="Q60" s="7">
        <v>1276.1600000000001</v>
      </c>
      <c r="R60" s="8">
        <f>IFERROR(Q60/Q327, "NA")</f>
        <v>1.6012045169385196E-2</v>
      </c>
      <c r="S60" s="9"/>
      <c r="T60" s="7">
        <v>2576.5100000000002</v>
      </c>
      <c r="U60" s="8">
        <f>IFERROR(T60/T327, "NA")</f>
        <v>2.9233576104012809E-2</v>
      </c>
      <c r="V60" s="9"/>
      <c r="W60" s="7">
        <v>0</v>
      </c>
      <c r="X60" s="8">
        <f>IFERROR(W60/W327, "NA")</f>
        <v>0</v>
      </c>
    </row>
    <row r="61" spans="1:24" ht="16.5" customHeight="1" x14ac:dyDescent="0.25">
      <c r="A61" s="6" t="s">
        <v>67</v>
      </c>
      <c r="B61" s="7">
        <v>966.13</v>
      </c>
      <c r="C61" s="8">
        <f>IFERROR(B61/B327, "NA")</f>
        <v>2.7378536772177833E-3</v>
      </c>
      <c r="D61" s="9"/>
      <c r="E61" s="7">
        <v>0</v>
      </c>
      <c r="F61" s="8">
        <f>IFERROR(E61/E327, "NA")</f>
        <v>0</v>
      </c>
      <c r="G61" s="9"/>
      <c r="H61" s="7">
        <v>1031.06</v>
      </c>
      <c r="I61" s="8">
        <f>IFERROR(H61/H327, "NA")</f>
        <v>4.0784875269229779E-3</v>
      </c>
      <c r="J61" s="9"/>
      <c r="K61" s="7">
        <v>691.02</v>
      </c>
      <c r="L61" s="8">
        <f>IFERROR(K61/K327, "NA")</f>
        <v>5.2852123198022299E-3</v>
      </c>
      <c r="M61" s="9"/>
      <c r="N61" s="7">
        <v>485.76</v>
      </c>
      <c r="O61" s="8">
        <f>IFERROR(N61/N327, "NA")</f>
        <v>3.8703792646598103E-3</v>
      </c>
      <c r="P61" s="9"/>
      <c r="Q61" s="7">
        <v>885.31</v>
      </c>
      <c r="R61" s="8">
        <f>IFERROR(Q61/Q327, "NA")</f>
        <v>1.1108030112923462E-2</v>
      </c>
      <c r="S61" s="9"/>
      <c r="T61" s="7">
        <v>1420.85</v>
      </c>
      <c r="U61" s="8">
        <f>IFERROR(T61/T327, "NA")</f>
        <v>1.6121236326420853E-2</v>
      </c>
      <c r="V61" s="9"/>
      <c r="W61" s="7">
        <v>0</v>
      </c>
      <c r="X61" s="8">
        <f>IFERROR(W61/W327, "NA")</f>
        <v>0</v>
      </c>
    </row>
    <row r="62" spans="1:24" ht="16.5" customHeight="1" x14ac:dyDescent="0.25">
      <c r="A62" s="6" t="s">
        <v>68</v>
      </c>
      <c r="B62" s="7">
        <v>160.19</v>
      </c>
      <c r="C62" s="8">
        <f>IFERROR(B62/B327, "NA")</f>
        <v>4.5395213951902614E-4</v>
      </c>
      <c r="D62" s="9"/>
      <c r="E62" s="7">
        <v>231</v>
      </c>
      <c r="F62" s="8">
        <f>IFERROR(E62/E327, "NA")</f>
        <v>1.5375039136463257E-3</v>
      </c>
      <c r="G62" s="9"/>
      <c r="H62" s="7">
        <v>145.28</v>
      </c>
      <c r="I62" s="8">
        <f>IFERROR(H62/H327, "NA")</f>
        <v>5.7467331475507752E-4</v>
      </c>
      <c r="J62" s="9"/>
      <c r="K62" s="7">
        <v>117.93</v>
      </c>
      <c r="L62" s="8">
        <f>IFERROR(K62/K327, "NA")</f>
        <v>9.019783636859672E-4</v>
      </c>
      <c r="M62" s="9"/>
      <c r="N62" s="7">
        <v>91.63</v>
      </c>
      <c r="O62" s="8">
        <f>IFERROR(N62/N327, "NA")</f>
        <v>7.3007833502301215E-4</v>
      </c>
      <c r="P62" s="9"/>
      <c r="Q62" s="7">
        <v>152.77000000000001</v>
      </c>
      <c r="R62" s="8">
        <f>IFERROR(Q62/Q327, "NA")</f>
        <v>1.9168130489335008E-3</v>
      </c>
      <c r="S62" s="9"/>
      <c r="T62" s="7">
        <v>299.58</v>
      </c>
      <c r="U62" s="8">
        <f>IFERROR(T62/T327, "NA")</f>
        <v>3.3990920777486429E-3</v>
      </c>
      <c r="V62" s="9"/>
      <c r="W62" s="7">
        <v>0</v>
      </c>
      <c r="X62" s="8">
        <f>IFERROR(W62/W327, "NA")</f>
        <v>0</v>
      </c>
    </row>
    <row r="63" spans="1:24" ht="16.5" customHeight="1" x14ac:dyDescent="0.25">
      <c r="A63" s="6" t="s">
        <v>69</v>
      </c>
      <c r="B63" s="7">
        <v>237.9</v>
      </c>
      <c r="C63" s="8">
        <f>IFERROR(B63/B327, "NA")</f>
        <v>6.7416951115285796E-4</v>
      </c>
      <c r="D63" s="9"/>
      <c r="E63" s="7">
        <v>197.5</v>
      </c>
      <c r="F63" s="8">
        <f>IFERROR(E63/E327, "NA")</f>
        <v>1.3145325668621184E-3</v>
      </c>
      <c r="G63" s="9"/>
      <c r="H63" s="7">
        <v>118.58</v>
      </c>
      <c r="I63" s="8">
        <f>IFERROR(H63/H327, "NA")</f>
        <v>4.6905810616504058E-4</v>
      </c>
      <c r="J63" s="9"/>
      <c r="K63" s="7">
        <v>163.95</v>
      </c>
      <c r="L63" s="8">
        <f>IFERROR(K63/K327, "NA")</f>
        <v>1.2539587274341924E-3</v>
      </c>
      <c r="M63" s="9"/>
      <c r="N63" s="7">
        <v>148.28</v>
      </c>
      <c r="O63" s="8">
        <f>IFERROR(N63/N327, "NA")</f>
        <v>1.1814472936506849E-3</v>
      </c>
      <c r="P63" s="9"/>
      <c r="Q63" s="7">
        <v>143.78</v>
      </c>
      <c r="R63" s="8">
        <f>IFERROR(Q63/Q327, "NA")</f>
        <v>1.8040150564617315E-3</v>
      </c>
      <c r="S63" s="9"/>
      <c r="T63" s="7">
        <v>439.68</v>
      </c>
      <c r="U63" s="8">
        <f>IFERROR(T63/T327, "NA")</f>
        <v>4.988693520076519E-3</v>
      </c>
      <c r="V63" s="9"/>
      <c r="W63" s="7">
        <v>0</v>
      </c>
      <c r="X63" s="8">
        <f>IFERROR(W63/W327, "NA")</f>
        <v>0</v>
      </c>
    </row>
    <row r="64" spans="1:24" ht="16.5" customHeight="1" x14ac:dyDescent="0.25">
      <c r="A64" s="6" t="s">
        <v>70</v>
      </c>
      <c r="B64" s="7">
        <v>0</v>
      </c>
      <c r="C64" s="8">
        <f>IFERROR(B64/B327, "NA")</f>
        <v>0</v>
      </c>
      <c r="D64" s="9"/>
      <c r="E64" s="7">
        <v>0</v>
      </c>
      <c r="F64" s="8">
        <f>IFERROR(E64/E327, "NA")</f>
        <v>0</v>
      </c>
      <c r="G64" s="9"/>
      <c r="H64" s="7">
        <v>0</v>
      </c>
      <c r="I64" s="8">
        <f>IFERROR(H64/H327, "NA")</f>
        <v>0</v>
      </c>
      <c r="J64" s="9"/>
      <c r="K64" s="7">
        <v>0</v>
      </c>
      <c r="L64" s="8">
        <f>IFERROR(K64/K327, "NA")</f>
        <v>0</v>
      </c>
      <c r="M64" s="9"/>
      <c r="N64" s="7">
        <v>0</v>
      </c>
      <c r="O64" s="8">
        <f>IFERROR(N64/N327, "NA")</f>
        <v>0</v>
      </c>
      <c r="P64" s="9"/>
      <c r="Q64" s="7">
        <v>0</v>
      </c>
      <c r="R64" s="8">
        <f>IFERROR(Q64/Q327, "NA")</f>
        <v>0</v>
      </c>
      <c r="S64" s="9"/>
      <c r="T64" s="7">
        <v>0</v>
      </c>
      <c r="U64" s="8">
        <f>IFERROR(T64/T327, "NA")</f>
        <v>0</v>
      </c>
      <c r="V64" s="9"/>
      <c r="W64" s="7">
        <v>0</v>
      </c>
      <c r="X64" s="8">
        <f>IFERROR(W64/W327, "NA")</f>
        <v>0</v>
      </c>
    </row>
    <row r="65" spans="1:24" ht="16.5" customHeight="1" x14ac:dyDescent="0.25">
      <c r="A65" s="10" t="s">
        <v>71</v>
      </c>
      <c r="B65" s="11">
        <f>IFERROR(B55+B56+B57+B58+B59+B60+B61+B62+B63+B64, "NA")</f>
        <v>6918.48</v>
      </c>
      <c r="C65" s="12">
        <f>IFERROR(B65/B327, "NA")</f>
        <v>1.9605835559145961E-2</v>
      </c>
      <c r="D65" s="2"/>
      <c r="E65" s="11">
        <f>IFERROR(E55+E56+E57+E58+E59+E60+E61+E62+E63+E64, "NA")</f>
        <v>4480.7199999999993</v>
      </c>
      <c r="F65" s="12">
        <f>IFERROR(E65/E327, "NA")</f>
        <v>2.9823049939192051E-2</v>
      </c>
      <c r="G65" s="2"/>
      <c r="H65" s="11">
        <f>IFERROR(H55+H56+H57+H58+H59+H60+H61+H62+H63+H64, "NA")</f>
        <v>7401.6699999999992</v>
      </c>
      <c r="I65" s="12">
        <f>IFERROR(H65/H327, "NA")</f>
        <v>2.9278236740247897E-2</v>
      </c>
      <c r="J65" s="2"/>
      <c r="K65" s="11">
        <f>IFERROR(K55+K56+K57+K58+K59+K60+K61+K62+K63+K64, "NA")</f>
        <v>3978.7599999999993</v>
      </c>
      <c r="L65" s="12">
        <f>IFERROR(K65/K327, "NA")</f>
        <v>3.0431234073596016E-2</v>
      </c>
      <c r="M65" s="2"/>
      <c r="N65" s="11">
        <f>IFERROR(N55+N56+N57+N58+N59+N60+N61+N62+N63+N64, "NA")</f>
        <v>3361.43</v>
      </c>
      <c r="O65" s="12">
        <f>IFERROR(N65/N327, "NA")</f>
        <v>2.6782791855248324E-2</v>
      </c>
      <c r="P65" s="2"/>
      <c r="Q65" s="11">
        <f>IFERROR(Q55+Q56+Q57+Q58+Q59+Q60+Q61+Q62+Q63+Q64, "NA")</f>
        <v>4403.3200000000006</v>
      </c>
      <c r="R65" s="12">
        <f>IFERROR(Q65/Q327, "NA")</f>
        <v>5.52486825595985E-2</v>
      </c>
      <c r="S65" s="2"/>
      <c r="T65" s="11">
        <f>IFERROR(T55+T56+T57+T58+T59+T60+T61+T62+T63+T64, "NA")</f>
        <v>8209.6</v>
      </c>
      <c r="U65" s="12">
        <f>IFERROR(T65/T327, "NA")</f>
        <v>9.3147694510599052E-2</v>
      </c>
      <c r="V65" s="2"/>
      <c r="W65" s="11">
        <f>IFERROR(W55+W56+W57+W58+W59+W60+W61+W62+W63+W64, "NA")</f>
        <v>0</v>
      </c>
      <c r="X65" s="12">
        <f>IFERROR(W65/W327, "NA")</f>
        <v>0</v>
      </c>
    </row>
    <row r="66" spans="1:24" ht="16.5" customHeight="1" x14ac:dyDescent="0.25">
      <c r="A66" s="13" t="s">
        <v>72</v>
      </c>
      <c r="B66" s="7">
        <v>1316.31</v>
      </c>
      <c r="C66" s="8">
        <f>IFERROR(B66/B327, "NA")</f>
        <v>3.7302062598806997E-3</v>
      </c>
      <c r="D66" s="9"/>
      <c r="E66" s="7">
        <v>1488.29</v>
      </c>
      <c r="F66" s="8">
        <f>IFERROR(E66/E327, "NA")</f>
        <v>9.9058515135960618E-3</v>
      </c>
      <c r="G66" s="9"/>
      <c r="H66" s="7">
        <v>1582.96</v>
      </c>
      <c r="I66" s="8">
        <f>IFERROR(H66/H327, "NA")</f>
        <v>6.2615974003627306E-3</v>
      </c>
      <c r="J66" s="9"/>
      <c r="K66" s="7">
        <v>1083.23</v>
      </c>
      <c r="L66" s="8">
        <f>IFERROR(K66/K327, "NA")</f>
        <v>8.2849997701649296E-3</v>
      </c>
      <c r="M66" s="9"/>
      <c r="N66" s="7">
        <v>622.47</v>
      </c>
      <c r="O66" s="8">
        <f>IFERROR(N66/N327, "NA")</f>
        <v>4.9596405238652675E-3</v>
      </c>
      <c r="P66" s="9"/>
      <c r="Q66" s="7">
        <v>661.74</v>
      </c>
      <c r="R66" s="8">
        <f>IFERROR(Q66/Q327, "NA")</f>
        <v>8.3028858218318694E-3</v>
      </c>
      <c r="S66" s="9"/>
      <c r="T66" s="7">
        <v>350.73</v>
      </c>
      <c r="U66" s="8">
        <f>IFERROR(T66/T327, "NA")</f>
        <v>3.9794497777848378E-3</v>
      </c>
      <c r="V66" s="9"/>
      <c r="W66" s="7">
        <v>0</v>
      </c>
      <c r="X66" s="8">
        <f>IFERROR(W66/W327, "NA")</f>
        <v>0</v>
      </c>
    </row>
    <row r="67" spans="1:24" ht="16.5" customHeight="1" x14ac:dyDescent="0.25">
      <c r="A67" s="5" t="s">
        <v>73</v>
      </c>
      <c r="B67" s="2"/>
      <c r="C67" s="3"/>
      <c r="D67" s="4"/>
      <c r="E67" s="2"/>
      <c r="F67" s="3"/>
      <c r="G67" s="4"/>
      <c r="H67" s="2"/>
      <c r="I67" s="3"/>
      <c r="J67" s="4"/>
      <c r="K67" s="2"/>
      <c r="L67" s="3"/>
      <c r="M67" s="4"/>
      <c r="N67" s="2"/>
      <c r="O67" s="3"/>
      <c r="P67" s="4"/>
      <c r="Q67" s="2"/>
      <c r="R67" s="3"/>
      <c r="S67" s="4"/>
      <c r="T67" s="2"/>
      <c r="U67" s="3"/>
      <c r="V67" s="4"/>
      <c r="W67" s="2"/>
      <c r="X67" s="3"/>
    </row>
    <row r="68" spans="1:24" ht="16.5" customHeight="1" x14ac:dyDescent="0.25">
      <c r="A68" s="6" t="s">
        <v>74</v>
      </c>
      <c r="B68" s="7">
        <v>0</v>
      </c>
      <c r="C68" s="8">
        <f>IFERROR(B68/B327, "NA")</f>
        <v>0</v>
      </c>
      <c r="D68" s="9"/>
      <c r="E68" s="7">
        <v>0</v>
      </c>
      <c r="F68" s="8">
        <f>IFERROR(E68/E327, "NA")</f>
        <v>0</v>
      </c>
      <c r="G68" s="9"/>
      <c r="H68" s="7">
        <v>0</v>
      </c>
      <c r="I68" s="8">
        <f>IFERROR(H68/H327, "NA")</f>
        <v>0</v>
      </c>
      <c r="J68" s="9"/>
      <c r="K68" s="7">
        <v>0</v>
      </c>
      <c r="L68" s="8">
        <f>IFERROR(K68/K327, "NA")</f>
        <v>0</v>
      </c>
      <c r="M68" s="9"/>
      <c r="N68" s="7">
        <v>0</v>
      </c>
      <c r="O68" s="8">
        <f>IFERROR(N68/N327, "NA")</f>
        <v>0</v>
      </c>
      <c r="P68" s="9"/>
      <c r="Q68" s="7">
        <v>0</v>
      </c>
      <c r="R68" s="8">
        <f>IFERROR(Q68/Q327, "NA")</f>
        <v>0</v>
      </c>
      <c r="S68" s="9"/>
      <c r="T68" s="7">
        <v>0</v>
      </c>
      <c r="U68" s="8">
        <f>IFERROR(T68/T327, "NA")</f>
        <v>0</v>
      </c>
      <c r="V68" s="9"/>
      <c r="W68" s="7">
        <v>0</v>
      </c>
      <c r="X68" s="8">
        <f>IFERROR(W68/W327, "NA")</f>
        <v>0</v>
      </c>
    </row>
    <row r="69" spans="1:24" ht="16.5" customHeight="1" x14ac:dyDescent="0.25">
      <c r="A69" s="6" t="s">
        <v>75</v>
      </c>
      <c r="B69" s="7">
        <v>160.02000000000001</v>
      </c>
      <c r="C69" s="8">
        <f>IFERROR(B69/B327, "NA")</f>
        <v>4.5347038745136752E-4</v>
      </c>
      <c r="D69" s="9"/>
      <c r="E69" s="7">
        <v>198.74</v>
      </c>
      <c r="F69" s="8">
        <f>IFERROR(E69/E327, "NA")</f>
        <v>1.322785834623683E-3</v>
      </c>
      <c r="G69" s="9"/>
      <c r="H69" s="7">
        <v>187.64</v>
      </c>
      <c r="I69" s="8">
        <f>IFERROR(H69/H327, "NA")</f>
        <v>7.4223362321477657E-4</v>
      </c>
      <c r="J69" s="9"/>
      <c r="K69" s="7">
        <v>158.46</v>
      </c>
      <c r="L69" s="8">
        <f>IFERROR(K69/K327, "NA")</f>
        <v>1.2119688926454538E-3</v>
      </c>
      <c r="M69" s="9"/>
      <c r="N69" s="7">
        <v>47.31</v>
      </c>
      <c r="O69" s="8">
        <f>IFERROR(N69/N327, "NA")</f>
        <v>3.7695084611959743E-4</v>
      </c>
      <c r="P69" s="9"/>
      <c r="Q69" s="7">
        <v>73.52</v>
      </c>
      <c r="R69" s="8">
        <f>IFERROR(Q69/Q327, "NA")</f>
        <v>9.2245922208281051E-4</v>
      </c>
      <c r="S69" s="9"/>
      <c r="T69" s="7">
        <v>143.46</v>
      </c>
      <c r="U69" s="8">
        <f>IFERROR(T69/T327, "NA")</f>
        <v>1.6277246460839187E-3</v>
      </c>
      <c r="V69" s="9"/>
      <c r="W69" s="7">
        <v>0</v>
      </c>
      <c r="X69" s="8">
        <f>IFERROR(W69/W327, "NA")</f>
        <v>0</v>
      </c>
    </row>
    <row r="70" spans="1:24" ht="16.5" customHeight="1" x14ac:dyDescent="0.25">
      <c r="A70" s="6" t="s">
        <v>76</v>
      </c>
      <c r="B70" s="7">
        <v>0</v>
      </c>
      <c r="C70" s="8">
        <f>IFERROR(B70/B327, "NA")</f>
        <v>0</v>
      </c>
      <c r="D70" s="9"/>
      <c r="E70" s="7">
        <v>0</v>
      </c>
      <c r="F70" s="8">
        <f>IFERROR(E70/E327, "NA")</f>
        <v>0</v>
      </c>
      <c r="G70" s="9"/>
      <c r="H70" s="7">
        <v>0</v>
      </c>
      <c r="I70" s="8">
        <f>IFERROR(H70/H327, "NA")</f>
        <v>0</v>
      </c>
      <c r="J70" s="9"/>
      <c r="K70" s="7">
        <v>0</v>
      </c>
      <c r="L70" s="8">
        <f>IFERROR(K70/K327, "NA")</f>
        <v>0</v>
      </c>
      <c r="M70" s="9"/>
      <c r="N70" s="7">
        <v>0</v>
      </c>
      <c r="O70" s="8">
        <f>IFERROR(N70/N327, "NA")</f>
        <v>0</v>
      </c>
      <c r="P70" s="9"/>
      <c r="Q70" s="7">
        <v>0</v>
      </c>
      <c r="R70" s="8">
        <f>IFERROR(Q70/Q327, "NA")</f>
        <v>0</v>
      </c>
      <c r="S70" s="9"/>
      <c r="T70" s="7">
        <v>0</v>
      </c>
      <c r="U70" s="8">
        <f>IFERROR(T70/T327, "NA")</f>
        <v>0</v>
      </c>
      <c r="V70" s="9"/>
      <c r="W70" s="7">
        <v>0</v>
      </c>
      <c r="X70" s="8">
        <f>IFERROR(W70/W327, "NA")</f>
        <v>0</v>
      </c>
    </row>
    <row r="71" spans="1:24" ht="16.5" customHeight="1" x14ac:dyDescent="0.25">
      <c r="A71" s="6" t="s">
        <v>77</v>
      </c>
      <c r="B71" s="7">
        <v>10746.53</v>
      </c>
      <c r="C71" s="8">
        <f>IFERROR(B71/B327, "NA")</f>
        <v>3.0453900280325862E-2</v>
      </c>
      <c r="D71" s="9"/>
      <c r="E71" s="7">
        <v>5187.72</v>
      </c>
      <c r="F71" s="8">
        <f>IFERROR(E71/E327, "NA")</f>
        <v>3.4528743735503541E-2</v>
      </c>
      <c r="G71" s="9"/>
      <c r="H71" s="7">
        <v>7841.5</v>
      </c>
      <c r="I71" s="8">
        <f>IFERROR(H71/H327, "NA")</f>
        <v>3.1018039631414789E-2</v>
      </c>
      <c r="J71" s="9"/>
      <c r="K71" s="7">
        <v>4095.45</v>
      </c>
      <c r="L71" s="8">
        <f>IFERROR(K71/K327, "NA")</f>
        <v>3.1323728394451744E-2</v>
      </c>
      <c r="M71" s="9"/>
      <c r="N71" s="7">
        <v>1735.99</v>
      </c>
      <c r="O71" s="8">
        <f>IFERROR(N71/N327, "NA")</f>
        <v>1.383180932900359E-2</v>
      </c>
      <c r="P71" s="9"/>
      <c r="Q71" s="7">
        <v>2270.38</v>
      </c>
      <c r="R71" s="8">
        <f>IFERROR(Q71/Q327, "NA")</f>
        <v>2.8486574654956087E-2</v>
      </c>
      <c r="S71" s="9"/>
      <c r="T71" s="7">
        <v>1701.51</v>
      </c>
      <c r="U71" s="8">
        <f>IFERROR(T71/T327, "NA")</f>
        <v>1.9305658459209875E-2</v>
      </c>
      <c r="V71" s="9"/>
      <c r="W71" s="7">
        <v>0</v>
      </c>
      <c r="X71" s="8">
        <f>IFERROR(W71/W327, "NA")</f>
        <v>0</v>
      </c>
    </row>
    <row r="72" spans="1:24" ht="16.5" customHeight="1" x14ac:dyDescent="0.25">
      <c r="A72" s="6" t="s">
        <v>78</v>
      </c>
      <c r="B72" s="7">
        <v>0</v>
      </c>
      <c r="C72" s="8">
        <f>IFERROR(B72/B327, "NA")</f>
        <v>0</v>
      </c>
      <c r="D72" s="9"/>
      <c r="E72" s="7">
        <v>0</v>
      </c>
      <c r="F72" s="8">
        <f>IFERROR(E72/E327, "NA")</f>
        <v>0</v>
      </c>
      <c r="G72" s="9"/>
      <c r="H72" s="7">
        <v>0</v>
      </c>
      <c r="I72" s="8">
        <f>IFERROR(H72/H327, "NA")</f>
        <v>0</v>
      </c>
      <c r="J72" s="9"/>
      <c r="K72" s="7">
        <v>0</v>
      </c>
      <c r="L72" s="8">
        <f>IFERROR(K72/K327, "NA")</f>
        <v>0</v>
      </c>
      <c r="M72" s="9"/>
      <c r="N72" s="7">
        <v>0</v>
      </c>
      <c r="O72" s="8">
        <f>IFERROR(N72/N327, "NA")</f>
        <v>0</v>
      </c>
      <c r="P72" s="9"/>
      <c r="Q72" s="7">
        <v>0</v>
      </c>
      <c r="R72" s="8">
        <f>IFERROR(Q72/Q327, "NA")</f>
        <v>0</v>
      </c>
      <c r="S72" s="9"/>
      <c r="T72" s="7">
        <v>0</v>
      </c>
      <c r="U72" s="8">
        <f>IFERROR(T72/T327, "NA")</f>
        <v>0</v>
      </c>
      <c r="V72" s="9"/>
      <c r="W72" s="7">
        <v>0</v>
      </c>
      <c r="X72" s="8">
        <f>IFERROR(W72/W327, "NA")</f>
        <v>0</v>
      </c>
    </row>
    <row r="73" spans="1:24" ht="16.5" customHeight="1" x14ac:dyDescent="0.25">
      <c r="A73" s="6" t="s">
        <v>79</v>
      </c>
      <c r="B73" s="7">
        <v>20692.36</v>
      </c>
      <c r="C73" s="8">
        <f>IFERROR(B73/B327, "NA")</f>
        <v>5.8638748321979621E-2</v>
      </c>
      <c r="D73" s="9"/>
      <c r="E73" s="7">
        <v>13801.87</v>
      </c>
      <c r="F73" s="8">
        <f>IFERROR(E73/E327, "NA")</f>
        <v>9.1863329613150718E-2</v>
      </c>
      <c r="G73" s="9"/>
      <c r="H73" s="7">
        <v>14598.25</v>
      </c>
      <c r="I73" s="8">
        <f>IFERROR(H73/H327, "NA")</f>
        <v>5.7745214187247457E-2</v>
      </c>
      <c r="J73" s="9"/>
      <c r="K73" s="7">
        <v>9675.7900000000009</v>
      </c>
      <c r="L73" s="8">
        <f>IFERROR(K73/K327, "NA")</f>
        <v>7.4004521593903541E-2</v>
      </c>
      <c r="M73" s="9"/>
      <c r="N73" s="7">
        <v>5920.93</v>
      </c>
      <c r="O73" s="8">
        <f>IFERROR(N73/N327, "NA")</f>
        <v>4.717606369298051E-2</v>
      </c>
      <c r="P73" s="9"/>
      <c r="Q73" s="7">
        <v>5650.39</v>
      </c>
      <c r="R73" s="8">
        <f>IFERROR(Q73/Q327, "NA")</f>
        <v>7.0895734002509411E-2</v>
      </c>
      <c r="S73" s="9"/>
      <c r="T73" s="7">
        <v>4639.92</v>
      </c>
      <c r="U73" s="8">
        <f>IFERROR(T73/T327, "NA")</f>
        <v>5.2645421301113174E-2</v>
      </c>
      <c r="V73" s="9"/>
      <c r="W73" s="7">
        <v>0</v>
      </c>
      <c r="X73" s="8">
        <f>IFERROR(W73/W327, "NA")</f>
        <v>0</v>
      </c>
    </row>
    <row r="74" spans="1:24" ht="16.5" customHeight="1" x14ac:dyDescent="0.25">
      <c r="A74" s="6" t="s">
        <v>80</v>
      </c>
      <c r="B74" s="7">
        <v>0</v>
      </c>
      <c r="C74" s="8">
        <f>IFERROR(B74/B327, "NA")</f>
        <v>0</v>
      </c>
      <c r="D74" s="9"/>
      <c r="E74" s="7">
        <v>0</v>
      </c>
      <c r="F74" s="8">
        <f>IFERROR(E74/E327, "NA")</f>
        <v>0</v>
      </c>
      <c r="G74" s="9"/>
      <c r="H74" s="7">
        <v>0</v>
      </c>
      <c r="I74" s="8">
        <f>IFERROR(H74/H327, "NA")</f>
        <v>0</v>
      </c>
      <c r="J74" s="9"/>
      <c r="K74" s="7">
        <v>0</v>
      </c>
      <c r="L74" s="8">
        <f>IFERROR(K74/K327, "NA")</f>
        <v>0</v>
      </c>
      <c r="M74" s="9"/>
      <c r="N74" s="7">
        <v>0</v>
      </c>
      <c r="O74" s="8">
        <f>IFERROR(N74/N327, "NA")</f>
        <v>0</v>
      </c>
      <c r="P74" s="9"/>
      <c r="Q74" s="7">
        <v>0</v>
      </c>
      <c r="R74" s="8">
        <f>IFERROR(Q74/Q327, "NA")</f>
        <v>0</v>
      </c>
      <c r="S74" s="9"/>
      <c r="T74" s="7">
        <v>0</v>
      </c>
      <c r="U74" s="8">
        <f>IFERROR(T74/T327, "NA")</f>
        <v>0</v>
      </c>
      <c r="V74" s="9"/>
      <c r="W74" s="7">
        <v>0</v>
      </c>
      <c r="X74" s="8">
        <f>IFERROR(W74/W327, "NA")</f>
        <v>0</v>
      </c>
    </row>
    <row r="75" spans="1:24" ht="16.5" customHeight="1" x14ac:dyDescent="0.25">
      <c r="A75" s="6" t="s">
        <v>81</v>
      </c>
      <c r="B75" s="7">
        <v>1265.32</v>
      </c>
      <c r="C75" s="8">
        <f>IFERROR(B75/B327, "NA")</f>
        <v>3.5857089779400345E-3</v>
      </c>
      <c r="D75" s="9"/>
      <c r="E75" s="7">
        <v>1396.59</v>
      </c>
      <c r="F75" s="8">
        <f>IFERROR(E75/E327, "NA")</f>
        <v>9.2955090509061564E-3</v>
      </c>
      <c r="G75" s="9"/>
      <c r="H75" s="7">
        <v>1105.72</v>
      </c>
      <c r="I75" s="8">
        <f>IFERROR(H75/H327, "NA")</f>
        <v>4.3738145483960926E-3</v>
      </c>
      <c r="J75" s="9"/>
      <c r="K75" s="7">
        <v>1192.29</v>
      </c>
      <c r="L75" s="8">
        <f>IFERROR(K75/K327, "NA")</f>
        <v>9.1191366339281078E-3</v>
      </c>
      <c r="M75" s="9"/>
      <c r="N75" s="7">
        <v>744.06</v>
      </c>
      <c r="O75" s="8">
        <f>IFERROR(N75/N327, "NA")</f>
        <v>5.9284304917300275E-3</v>
      </c>
      <c r="P75" s="9"/>
      <c r="Q75" s="7">
        <v>963.34</v>
      </c>
      <c r="R75" s="8">
        <f>IFERROR(Q75/Q327, "NA")</f>
        <v>1.2087076537013802E-2</v>
      </c>
      <c r="S75" s="9"/>
      <c r="T75" s="7">
        <v>590.78</v>
      </c>
      <c r="U75" s="8">
        <f>IFERROR(T75/T327, "NA")</f>
        <v>6.7031030699390591E-3</v>
      </c>
      <c r="V75" s="9"/>
      <c r="W75" s="7">
        <v>0</v>
      </c>
      <c r="X75" s="8">
        <f>IFERROR(W75/W327, "NA")</f>
        <v>0</v>
      </c>
    </row>
    <row r="76" spans="1:24" ht="16.5" customHeight="1" x14ac:dyDescent="0.25">
      <c r="A76" s="10" t="s">
        <v>82</v>
      </c>
      <c r="B76" s="11">
        <f>IFERROR(B68+B69+B70+B71+B72+B73+B74+B75, "NA")</f>
        <v>32864.230000000003</v>
      </c>
      <c r="C76" s="12">
        <f>IFERROR(B76/B327, "NA")</f>
        <v>9.3131827967696895E-2</v>
      </c>
      <c r="D76" s="2"/>
      <c r="E76" s="11">
        <f>IFERROR(E68+E69+E70+E71+E72+E73+E74+E75, "NA")</f>
        <v>20584.920000000002</v>
      </c>
      <c r="F76" s="12">
        <f>IFERROR(E76/E327, "NA")</f>
        <v>0.13701036823418411</v>
      </c>
      <c r="G76" s="2"/>
      <c r="H76" s="11">
        <f>IFERROR(H68+H69+H70+H71+H72+H73+H74+H75, "NA")</f>
        <v>23733.11</v>
      </c>
      <c r="I76" s="12">
        <f>IFERROR(H76/H327, "NA")</f>
        <v>9.3879301990273112E-2</v>
      </c>
      <c r="J76" s="2"/>
      <c r="K76" s="11">
        <f>IFERROR(K68+K69+K70+K71+K72+K73+K74+K75, "NA")</f>
        <v>15121.990000000002</v>
      </c>
      <c r="L76" s="12">
        <f>IFERROR(K76/K327, "NA")</f>
        <v>0.11565935551492885</v>
      </c>
      <c r="M76" s="2"/>
      <c r="N76" s="11">
        <f>IFERROR(N68+N69+N70+N71+N72+N73+N74+N75, "NA")</f>
        <v>8448.2900000000009</v>
      </c>
      <c r="O76" s="12">
        <f>IFERROR(N76/N327, "NA")</f>
        <v>6.7313254359833735E-2</v>
      </c>
      <c r="P76" s="2"/>
      <c r="Q76" s="11">
        <f>IFERROR(Q68+Q69+Q70+Q71+Q72+Q73+Q74+Q75, "NA")</f>
        <v>8957.630000000001</v>
      </c>
      <c r="R76" s="12">
        <f>IFERROR(Q76/Q327, "NA")</f>
        <v>0.11239184441656212</v>
      </c>
      <c r="S76" s="2"/>
      <c r="T76" s="11">
        <f>IFERROR(T68+T69+T70+T71+T72+T73+T74+T75, "NA")</f>
        <v>7075.67</v>
      </c>
      <c r="U76" s="12">
        <f>IFERROR(T76/T327, "NA")</f>
        <v>8.0281907476346032E-2</v>
      </c>
      <c r="V76" s="2"/>
      <c r="W76" s="11">
        <f>IFERROR(W68+W69+W70+W71+W72+W73+W74+W75, "NA")</f>
        <v>0</v>
      </c>
      <c r="X76" s="12">
        <f>IFERROR(W76/W327, "NA")</f>
        <v>0</v>
      </c>
    </row>
    <row r="77" spans="1:24" ht="16.5" customHeight="1" x14ac:dyDescent="0.25">
      <c r="A77" s="5" t="s">
        <v>83</v>
      </c>
      <c r="B77" s="2"/>
      <c r="C77" s="3"/>
      <c r="D77" s="4"/>
      <c r="E77" s="2"/>
      <c r="F77" s="3"/>
      <c r="G77" s="4"/>
      <c r="H77" s="2"/>
      <c r="I77" s="3"/>
      <c r="J77" s="4"/>
      <c r="K77" s="2"/>
      <c r="L77" s="3"/>
      <c r="M77" s="4"/>
      <c r="N77" s="2"/>
      <c r="O77" s="3"/>
      <c r="P77" s="4"/>
      <c r="Q77" s="2"/>
      <c r="R77" s="3"/>
      <c r="S77" s="4"/>
      <c r="T77" s="2"/>
      <c r="U77" s="3"/>
      <c r="V77" s="4"/>
      <c r="W77" s="2"/>
      <c r="X77" s="3"/>
    </row>
    <row r="78" spans="1:24" ht="16.5" customHeight="1" x14ac:dyDescent="0.25">
      <c r="A78" s="6" t="s">
        <v>84</v>
      </c>
      <c r="B78" s="7">
        <v>0</v>
      </c>
      <c r="C78" s="8">
        <f>IFERROR(B78/B327, "NA")</f>
        <v>0</v>
      </c>
      <c r="D78" s="9"/>
      <c r="E78" s="7">
        <v>0</v>
      </c>
      <c r="F78" s="8">
        <f>IFERROR(E78/E327, "NA")</f>
        <v>0</v>
      </c>
      <c r="G78" s="9"/>
      <c r="H78" s="7">
        <v>0</v>
      </c>
      <c r="I78" s="8">
        <f>IFERROR(H78/H327, "NA")</f>
        <v>0</v>
      </c>
      <c r="J78" s="9"/>
      <c r="K78" s="7">
        <v>0</v>
      </c>
      <c r="L78" s="8">
        <f>IFERROR(K78/K327, "NA")</f>
        <v>0</v>
      </c>
      <c r="M78" s="9"/>
      <c r="N78" s="7">
        <v>0</v>
      </c>
      <c r="O78" s="8">
        <f>IFERROR(N78/N327, "NA")</f>
        <v>0</v>
      </c>
      <c r="P78" s="9"/>
      <c r="Q78" s="7">
        <v>0</v>
      </c>
      <c r="R78" s="8">
        <f>IFERROR(Q78/Q327, "NA")</f>
        <v>0</v>
      </c>
      <c r="S78" s="9"/>
      <c r="T78" s="7">
        <v>0</v>
      </c>
      <c r="U78" s="8">
        <f>IFERROR(T78/T327, "NA")</f>
        <v>0</v>
      </c>
      <c r="V78" s="9"/>
      <c r="W78" s="7">
        <v>0</v>
      </c>
      <c r="X78" s="8">
        <f>IFERROR(W78/W327, "NA")</f>
        <v>0</v>
      </c>
    </row>
    <row r="79" spans="1:24" ht="16.5" customHeight="1" x14ac:dyDescent="0.25">
      <c r="A79" s="6" t="s">
        <v>85</v>
      </c>
      <c r="B79" s="7">
        <v>0</v>
      </c>
      <c r="C79" s="8">
        <f>IFERROR(B79/B327, "NA")</f>
        <v>0</v>
      </c>
      <c r="D79" s="9"/>
      <c r="E79" s="7">
        <v>0</v>
      </c>
      <c r="F79" s="8">
        <f>IFERROR(E79/E327, "NA")</f>
        <v>0</v>
      </c>
      <c r="G79" s="9"/>
      <c r="H79" s="7">
        <v>0</v>
      </c>
      <c r="I79" s="8">
        <f>IFERROR(H79/H327, "NA")</f>
        <v>0</v>
      </c>
      <c r="J79" s="9"/>
      <c r="K79" s="7">
        <v>0</v>
      </c>
      <c r="L79" s="8">
        <f>IFERROR(K79/K327, "NA")</f>
        <v>0</v>
      </c>
      <c r="M79" s="9"/>
      <c r="N79" s="7">
        <v>0</v>
      </c>
      <c r="O79" s="8">
        <f>IFERROR(N79/N327, "NA")</f>
        <v>0</v>
      </c>
      <c r="P79" s="9"/>
      <c r="Q79" s="7">
        <v>0</v>
      </c>
      <c r="R79" s="8">
        <f>IFERROR(Q79/Q327, "NA")</f>
        <v>0</v>
      </c>
      <c r="S79" s="9"/>
      <c r="T79" s="7">
        <v>0</v>
      </c>
      <c r="U79" s="8">
        <f>IFERROR(T79/T327, "NA")</f>
        <v>0</v>
      </c>
      <c r="V79" s="9"/>
      <c r="W79" s="7">
        <v>0</v>
      </c>
      <c r="X79" s="8">
        <f>IFERROR(W79/W327, "NA")</f>
        <v>0</v>
      </c>
    </row>
    <row r="80" spans="1:24" ht="16.5" customHeight="1" x14ac:dyDescent="0.25">
      <c r="A80" s="10" t="s">
        <v>86</v>
      </c>
      <c r="B80" s="11">
        <f>IFERROR(B78+B79, "NA")</f>
        <v>0</v>
      </c>
      <c r="C80" s="12">
        <f>IFERROR(B80/B327, "NA")</f>
        <v>0</v>
      </c>
      <c r="D80" s="2"/>
      <c r="E80" s="11">
        <f>IFERROR(E78+E79, "NA")</f>
        <v>0</v>
      </c>
      <c r="F80" s="12">
        <f>IFERROR(E80/E327, "NA")</f>
        <v>0</v>
      </c>
      <c r="G80" s="2"/>
      <c r="H80" s="11">
        <f>IFERROR(H78+H79, "NA")</f>
        <v>0</v>
      </c>
      <c r="I80" s="12">
        <f>IFERROR(H80/H327, "NA")</f>
        <v>0</v>
      </c>
      <c r="J80" s="2"/>
      <c r="K80" s="11">
        <f>IFERROR(K78+K79, "NA")</f>
        <v>0</v>
      </c>
      <c r="L80" s="12">
        <f>IFERROR(K80/K327, "NA")</f>
        <v>0</v>
      </c>
      <c r="M80" s="2"/>
      <c r="N80" s="11">
        <f>IFERROR(N78+N79, "NA")</f>
        <v>0</v>
      </c>
      <c r="O80" s="12">
        <f>IFERROR(N80/N327, "NA")</f>
        <v>0</v>
      </c>
      <c r="P80" s="2"/>
      <c r="Q80" s="11">
        <f>IFERROR(Q78+Q79, "NA")</f>
        <v>0</v>
      </c>
      <c r="R80" s="12">
        <f>IFERROR(Q80/Q327, "NA")</f>
        <v>0</v>
      </c>
      <c r="S80" s="2"/>
      <c r="T80" s="11">
        <f>IFERROR(T78+T79, "NA")</f>
        <v>0</v>
      </c>
      <c r="U80" s="12">
        <f>IFERROR(T80/T327, "NA")</f>
        <v>0</v>
      </c>
      <c r="V80" s="2"/>
      <c r="W80" s="11">
        <f>IFERROR(W78+W79, "NA")</f>
        <v>0</v>
      </c>
      <c r="X80" s="12">
        <f>IFERROR(W80/W327, "NA")</f>
        <v>0</v>
      </c>
    </row>
    <row r="81" spans="1:24" ht="16.5" customHeight="1" x14ac:dyDescent="0.25">
      <c r="A81" s="5" t="s">
        <v>87</v>
      </c>
      <c r="B81" s="2"/>
      <c r="C81" s="3"/>
      <c r="D81" s="4"/>
      <c r="E81" s="2"/>
      <c r="F81" s="3"/>
      <c r="G81" s="4"/>
      <c r="H81" s="2"/>
      <c r="I81" s="3"/>
      <c r="J81" s="4"/>
      <c r="K81" s="2"/>
      <c r="L81" s="3"/>
      <c r="M81" s="4"/>
      <c r="N81" s="2"/>
      <c r="O81" s="3"/>
      <c r="P81" s="4"/>
      <c r="Q81" s="2"/>
      <c r="R81" s="3"/>
      <c r="S81" s="4"/>
      <c r="T81" s="2"/>
      <c r="U81" s="3"/>
      <c r="V81" s="4"/>
      <c r="W81" s="2"/>
      <c r="X81" s="3"/>
    </row>
    <row r="82" spans="1:24" ht="16.5" customHeight="1" x14ac:dyDescent="0.25">
      <c r="A82" s="6" t="s">
        <v>88</v>
      </c>
      <c r="B82" s="7">
        <v>0</v>
      </c>
      <c r="C82" s="8">
        <f>IFERROR(B82/B327, "NA")</f>
        <v>0</v>
      </c>
      <c r="D82" s="9"/>
      <c r="E82" s="7">
        <v>0</v>
      </c>
      <c r="F82" s="8">
        <f>IFERROR(E82/E327, "NA")</f>
        <v>0</v>
      </c>
      <c r="G82" s="9"/>
      <c r="H82" s="7">
        <v>0</v>
      </c>
      <c r="I82" s="8">
        <f>IFERROR(H82/H327, "NA")</f>
        <v>0</v>
      </c>
      <c r="J82" s="9"/>
      <c r="K82" s="7">
        <v>0</v>
      </c>
      <c r="L82" s="8">
        <f>IFERROR(K82/K327, "NA")</f>
        <v>0</v>
      </c>
      <c r="M82" s="9"/>
      <c r="N82" s="7">
        <v>0</v>
      </c>
      <c r="O82" s="8">
        <f>IFERROR(N82/N327, "NA")</f>
        <v>0</v>
      </c>
      <c r="P82" s="9"/>
      <c r="Q82" s="7">
        <v>0</v>
      </c>
      <c r="R82" s="8">
        <f>IFERROR(Q82/Q327, "NA")</f>
        <v>0</v>
      </c>
      <c r="S82" s="9"/>
      <c r="T82" s="7">
        <v>0</v>
      </c>
      <c r="U82" s="8">
        <f>IFERROR(T82/T327, "NA")</f>
        <v>0</v>
      </c>
      <c r="V82" s="9"/>
      <c r="W82" s="7">
        <v>0</v>
      </c>
      <c r="X82" s="8">
        <f>IFERROR(W82/W327, "NA")</f>
        <v>0</v>
      </c>
    </row>
    <row r="83" spans="1:24" ht="16.5" customHeight="1" x14ac:dyDescent="0.25">
      <c r="A83" s="15" t="s">
        <v>89</v>
      </c>
      <c r="B83" s="2"/>
      <c r="C83" s="3"/>
      <c r="D83" s="4"/>
      <c r="E83" s="2"/>
      <c r="F83" s="3"/>
      <c r="G83" s="4"/>
      <c r="H83" s="2"/>
      <c r="I83" s="3"/>
      <c r="J83" s="4"/>
      <c r="K83" s="2"/>
      <c r="L83" s="3"/>
      <c r="M83" s="4"/>
      <c r="N83" s="2"/>
      <c r="O83" s="3"/>
      <c r="P83" s="4"/>
      <c r="Q83" s="2"/>
      <c r="R83" s="3"/>
      <c r="S83" s="4"/>
      <c r="T83" s="2"/>
      <c r="U83" s="3"/>
      <c r="V83" s="4"/>
      <c r="W83" s="2"/>
      <c r="X83" s="3"/>
    </row>
    <row r="84" spans="1:24" ht="16.5" customHeight="1" x14ac:dyDescent="0.25">
      <c r="A84" s="16" t="s">
        <v>90</v>
      </c>
      <c r="B84" s="7">
        <v>0</v>
      </c>
      <c r="C84" s="8">
        <f>IFERROR(B84/B327, "NA")</f>
        <v>0</v>
      </c>
      <c r="D84" s="9"/>
      <c r="E84" s="7">
        <v>0</v>
      </c>
      <c r="F84" s="8">
        <f>IFERROR(E84/E327, "NA")</f>
        <v>0</v>
      </c>
      <c r="G84" s="9"/>
      <c r="H84" s="7">
        <v>0</v>
      </c>
      <c r="I84" s="8">
        <f>IFERROR(H84/H327, "NA")</f>
        <v>0</v>
      </c>
      <c r="J84" s="9"/>
      <c r="K84" s="7">
        <v>0</v>
      </c>
      <c r="L84" s="8">
        <f>IFERROR(K84/K327, "NA")</f>
        <v>0</v>
      </c>
      <c r="M84" s="9"/>
      <c r="N84" s="7">
        <v>0</v>
      </c>
      <c r="O84" s="8">
        <f>IFERROR(N84/N327, "NA")</f>
        <v>0</v>
      </c>
      <c r="P84" s="9"/>
      <c r="Q84" s="7">
        <v>0</v>
      </c>
      <c r="R84" s="8">
        <f>IFERROR(Q84/Q327, "NA")</f>
        <v>0</v>
      </c>
      <c r="S84" s="9"/>
      <c r="T84" s="7">
        <v>0</v>
      </c>
      <c r="U84" s="8">
        <f>IFERROR(T84/T327, "NA")</f>
        <v>0</v>
      </c>
      <c r="V84" s="9"/>
      <c r="W84" s="7">
        <v>0</v>
      </c>
      <c r="X84" s="8">
        <f>IFERROR(W84/W327, "NA")</f>
        <v>0</v>
      </c>
    </row>
    <row r="85" spans="1:24" ht="16.5" customHeight="1" x14ac:dyDescent="0.25">
      <c r="A85" s="16" t="s">
        <v>91</v>
      </c>
      <c r="B85" s="7">
        <v>0</v>
      </c>
      <c r="C85" s="8">
        <f>IFERROR(B85/B327, "NA")</f>
        <v>0</v>
      </c>
      <c r="D85" s="9"/>
      <c r="E85" s="7">
        <v>0</v>
      </c>
      <c r="F85" s="8">
        <f>IFERROR(E85/E327, "NA")</f>
        <v>0</v>
      </c>
      <c r="G85" s="9"/>
      <c r="H85" s="7">
        <v>0</v>
      </c>
      <c r="I85" s="8">
        <f>IFERROR(H85/H327, "NA")</f>
        <v>0</v>
      </c>
      <c r="J85" s="9"/>
      <c r="K85" s="7">
        <v>0</v>
      </c>
      <c r="L85" s="8">
        <f>IFERROR(K85/K327, "NA")</f>
        <v>0</v>
      </c>
      <c r="M85" s="9"/>
      <c r="N85" s="7">
        <v>0</v>
      </c>
      <c r="O85" s="8">
        <f>IFERROR(N85/N327, "NA")</f>
        <v>0</v>
      </c>
      <c r="P85" s="9"/>
      <c r="Q85" s="7">
        <v>0</v>
      </c>
      <c r="R85" s="8">
        <f>IFERROR(Q85/Q327, "NA")</f>
        <v>0</v>
      </c>
      <c r="S85" s="9"/>
      <c r="T85" s="7">
        <v>0</v>
      </c>
      <c r="U85" s="8">
        <f>IFERROR(T85/T327, "NA")</f>
        <v>0</v>
      </c>
      <c r="V85" s="9"/>
      <c r="W85" s="7">
        <v>0</v>
      </c>
      <c r="X85" s="8">
        <f>IFERROR(W85/W327, "NA")</f>
        <v>0</v>
      </c>
    </row>
    <row r="86" spans="1:24" ht="16.5" customHeight="1" x14ac:dyDescent="0.25">
      <c r="A86" s="16" t="s">
        <v>92</v>
      </c>
      <c r="B86" s="7">
        <v>0</v>
      </c>
      <c r="C86" s="8">
        <f>IFERROR(B86/B327, "NA")</f>
        <v>0</v>
      </c>
      <c r="D86" s="9"/>
      <c r="E86" s="7">
        <v>0</v>
      </c>
      <c r="F86" s="8">
        <f>IFERROR(E86/E327, "NA")</f>
        <v>0</v>
      </c>
      <c r="G86" s="9"/>
      <c r="H86" s="7">
        <v>0</v>
      </c>
      <c r="I86" s="8">
        <f>IFERROR(H86/H327, "NA")</f>
        <v>0</v>
      </c>
      <c r="J86" s="9"/>
      <c r="K86" s="7">
        <v>0</v>
      </c>
      <c r="L86" s="8">
        <f>IFERROR(K86/K327, "NA")</f>
        <v>0</v>
      </c>
      <c r="M86" s="9"/>
      <c r="N86" s="7">
        <v>0</v>
      </c>
      <c r="O86" s="8">
        <f>IFERROR(N86/N327, "NA")</f>
        <v>0</v>
      </c>
      <c r="P86" s="9"/>
      <c r="Q86" s="7">
        <v>0</v>
      </c>
      <c r="R86" s="8">
        <f>IFERROR(Q86/Q327, "NA")</f>
        <v>0</v>
      </c>
      <c r="S86" s="9"/>
      <c r="T86" s="7">
        <v>0</v>
      </c>
      <c r="U86" s="8">
        <f>IFERROR(T86/T327, "NA")</f>
        <v>0</v>
      </c>
      <c r="V86" s="9"/>
      <c r="W86" s="7">
        <v>0</v>
      </c>
      <c r="X86" s="8">
        <f>IFERROR(W86/W327, "NA")</f>
        <v>0</v>
      </c>
    </row>
    <row r="87" spans="1:24" ht="16.5" customHeight="1" x14ac:dyDescent="0.25">
      <c r="A87" s="16" t="s">
        <v>93</v>
      </c>
      <c r="B87" s="7">
        <v>0</v>
      </c>
      <c r="C87" s="8">
        <f>IFERROR(B87/B327, "NA")</f>
        <v>0</v>
      </c>
      <c r="D87" s="9"/>
      <c r="E87" s="7">
        <v>0</v>
      </c>
      <c r="F87" s="8">
        <f>IFERROR(E87/E327, "NA")</f>
        <v>0</v>
      </c>
      <c r="G87" s="9"/>
      <c r="H87" s="7">
        <v>0</v>
      </c>
      <c r="I87" s="8">
        <f>IFERROR(H87/H327, "NA")</f>
        <v>0</v>
      </c>
      <c r="J87" s="9"/>
      <c r="K87" s="7">
        <v>0</v>
      </c>
      <c r="L87" s="8">
        <f>IFERROR(K87/K327, "NA")</f>
        <v>0</v>
      </c>
      <c r="M87" s="9"/>
      <c r="N87" s="7">
        <v>0</v>
      </c>
      <c r="O87" s="8">
        <f>IFERROR(N87/N327, "NA")</f>
        <v>0</v>
      </c>
      <c r="P87" s="9"/>
      <c r="Q87" s="7">
        <v>0</v>
      </c>
      <c r="R87" s="8">
        <f>IFERROR(Q87/Q327, "NA")</f>
        <v>0</v>
      </c>
      <c r="S87" s="9"/>
      <c r="T87" s="7">
        <v>0</v>
      </c>
      <c r="U87" s="8">
        <f>IFERROR(T87/T327, "NA")</f>
        <v>0</v>
      </c>
      <c r="V87" s="9"/>
      <c r="W87" s="7">
        <v>0</v>
      </c>
      <c r="X87" s="8">
        <f>IFERROR(W87/W327, "NA")</f>
        <v>0</v>
      </c>
    </row>
    <row r="88" spans="1:24" ht="16.5" customHeight="1" x14ac:dyDescent="0.25">
      <c r="A88" s="16" t="s">
        <v>94</v>
      </c>
      <c r="B88" s="7">
        <v>0</v>
      </c>
      <c r="C88" s="8">
        <f>IFERROR(B88/B327, "NA")</f>
        <v>0</v>
      </c>
      <c r="D88" s="9"/>
      <c r="E88" s="7">
        <v>0</v>
      </c>
      <c r="F88" s="8">
        <f>IFERROR(E88/E327, "NA")</f>
        <v>0</v>
      </c>
      <c r="G88" s="9"/>
      <c r="H88" s="7">
        <v>0</v>
      </c>
      <c r="I88" s="8">
        <f>IFERROR(H88/H327, "NA")</f>
        <v>0</v>
      </c>
      <c r="J88" s="9"/>
      <c r="K88" s="7">
        <v>0</v>
      </c>
      <c r="L88" s="8">
        <f>IFERROR(K88/K327, "NA")</f>
        <v>0</v>
      </c>
      <c r="M88" s="9"/>
      <c r="N88" s="7">
        <v>0</v>
      </c>
      <c r="O88" s="8">
        <f>IFERROR(N88/N327, "NA")</f>
        <v>0</v>
      </c>
      <c r="P88" s="9"/>
      <c r="Q88" s="7">
        <v>0</v>
      </c>
      <c r="R88" s="8">
        <f>IFERROR(Q88/Q327, "NA")</f>
        <v>0</v>
      </c>
      <c r="S88" s="9"/>
      <c r="T88" s="7">
        <v>0</v>
      </c>
      <c r="U88" s="8">
        <f>IFERROR(T88/T327, "NA")</f>
        <v>0</v>
      </c>
      <c r="V88" s="9"/>
      <c r="W88" s="7">
        <v>0</v>
      </c>
      <c r="X88" s="8">
        <f>IFERROR(W88/W327, "NA")</f>
        <v>0</v>
      </c>
    </row>
    <row r="89" spans="1:24" ht="16.5" customHeight="1" x14ac:dyDescent="0.25">
      <c r="A89" s="16" t="s">
        <v>95</v>
      </c>
      <c r="B89" s="7">
        <v>0</v>
      </c>
      <c r="C89" s="8">
        <f>IFERROR(B89/B327, "NA")</f>
        <v>0</v>
      </c>
      <c r="D89" s="9"/>
      <c r="E89" s="7">
        <v>0</v>
      </c>
      <c r="F89" s="8">
        <f>IFERROR(E89/E327, "NA")</f>
        <v>0</v>
      </c>
      <c r="G89" s="9"/>
      <c r="H89" s="7">
        <v>0</v>
      </c>
      <c r="I89" s="8">
        <f>IFERROR(H89/H327, "NA")</f>
        <v>0</v>
      </c>
      <c r="J89" s="9"/>
      <c r="K89" s="7">
        <v>0</v>
      </c>
      <c r="L89" s="8">
        <f>IFERROR(K89/K327, "NA")</f>
        <v>0</v>
      </c>
      <c r="M89" s="9"/>
      <c r="N89" s="7">
        <v>0</v>
      </c>
      <c r="O89" s="8">
        <f>IFERROR(N89/N327, "NA")</f>
        <v>0</v>
      </c>
      <c r="P89" s="9"/>
      <c r="Q89" s="7">
        <v>0</v>
      </c>
      <c r="R89" s="8">
        <f>IFERROR(Q89/Q327, "NA")</f>
        <v>0</v>
      </c>
      <c r="S89" s="9"/>
      <c r="T89" s="7">
        <v>0</v>
      </c>
      <c r="U89" s="8">
        <f>IFERROR(T89/T327, "NA")</f>
        <v>0</v>
      </c>
      <c r="V89" s="9"/>
      <c r="W89" s="7">
        <v>0</v>
      </c>
      <c r="X89" s="8">
        <f>IFERROR(W89/W327, "NA")</f>
        <v>0</v>
      </c>
    </row>
    <row r="90" spans="1:24" ht="16.5" customHeight="1" x14ac:dyDescent="0.25">
      <c r="A90" s="16" t="s">
        <v>96</v>
      </c>
      <c r="B90" s="7">
        <v>0</v>
      </c>
      <c r="C90" s="8">
        <f>IFERROR(B90/B327, "NA")</f>
        <v>0</v>
      </c>
      <c r="D90" s="9"/>
      <c r="E90" s="7">
        <v>0</v>
      </c>
      <c r="F90" s="8">
        <f>IFERROR(E90/E327, "NA")</f>
        <v>0</v>
      </c>
      <c r="G90" s="9"/>
      <c r="H90" s="7">
        <v>0</v>
      </c>
      <c r="I90" s="8">
        <f>IFERROR(H90/H327, "NA")</f>
        <v>0</v>
      </c>
      <c r="J90" s="9"/>
      <c r="K90" s="7">
        <v>0</v>
      </c>
      <c r="L90" s="8">
        <f>IFERROR(K90/K327, "NA")</f>
        <v>0</v>
      </c>
      <c r="M90" s="9"/>
      <c r="N90" s="7">
        <v>0</v>
      </c>
      <c r="O90" s="8">
        <f>IFERROR(N90/N327, "NA")</f>
        <v>0</v>
      </c>
      <c r="P90" s="9"/>
      <c r="Q90" s="7">
        <v>0</v>
      </c>
      <c r="R90" s="8">
        <f>IFERROR(Q90/Q327, "NA")</f>
        <v>0</v>
      </c>
      <c r="S90" s="9"/>
      <c r="T90" s="7">
        <v>0</v>
      </c>
      <c r="U90" s="8">
        <f>IFERROR(T90/T327, "NA")</f>
        <v>0</v>
      </c>
      <c r="V90" s="9"/>
      <c r="W90" s="7">
        <v>0</v>
      </c>
      <c r="X90" s="8">
        <f>IFERROR(W90/W327, "NA")</f>
        <v>0</v>
      </c>
    </row>
    <row r="91" spans="1:24" ht="16.5" customHeight="1" x14ac:dyDescent="0.25">
      <c r="A91" s="16" t="s">
        <v>97</v>
      </c>
      <c r="B91" s="7">
        <v>0</v>
      </c>
      <c r="C91" s="8">
        <f>IFERROR(B91/B327, "NA")</f>
        <v>0</v>
      </c>
      <c r="D91" s="9"/>
      <c r="E91" s="7">
        <v>0</v>
      </c>
      <c r="F91" s="8">
        <f>IFERROR(E91/E327, "NA")</f>
        <v>0</v>
      </c>
      <c r="G91" s="9"/>
      <c r="H91" s="7">
        <v>0</v>
      </c>
      <c r="I91" s="8">
        <f>IFERROR(H91/H327, "NA")</f>
        <v>0</v>
      </c>
      <c r="J91" s="9"/>
      <c r="K91" s="7">
        <v>0</v>
      </c>
      <c r="L91" s="8">
        <f>IFERROR(K91/K327, "NA")</f>
        <v>0</v>
      </c>
      <c r="M91" s="9"/>
      <c r="N91" s="7">
        <v>0</v>
      </c>
      <c r="O91" s="8">
        <f>IFERROR(N91/N327, "NA")</f>
        <v>0</v>
      </c>
      <c r="P91" s="9"/>
      <c r="Q91" s="7">
        <v>0</v>
      </c>
      <c r="R91" s="8">
        <f>IFERROR(Q91/Q327, "NA")</f>
        <v>0</v>
      </c>
      <c r="S91" s="9"/>
      <c r="T91" s="7">
        <v>0</v>
      </c>
      <c r="U91" s="8">
        <f>IFERROR(T91/T327, "NA")</f>
        <v>0</v>
      </c>
      <c r="V91" s="9"/>
      <c r="W91" s="7">
        <v>0</v>
      </c>
      <c r="X91" s="8">
        <f>IFERROR(W91/W327, "NA")</f>
        <v>0</v>
      </c>
    </row>
    <row r="92" spans="1:24" ht="16.5" customHeight="1" x14ac:dyDescent="0.25">
      <c r="A92" s="16" t="s">
        <v>98</v>
      </c>
      <c r="B92" s="7">
        <v>0</v>
      </c>
      <c r="C92" s="8">
        <f>IFERROR(B92/B327, "NA")</f>
        <v>0</v>
      </c>
      <c r="D92" s="9"/>
      <c r="E92" s="7">
        <v>0</v>
      </c>
      <c r="F92" s="8">
        <f>IFERROR(E92/E327, "NA")</f>
        <v>0</v>
      </c>
      <c r="G92" s="9"/>
      <c r="H92" s="7">
        <v>0</v>
      </c>
      <c r="I92" s="8">
        <f>IFERROR(H92/H327, "NA")</f>
        <v>0</v>
      </c>
      <c r="J92" s="9"/>
      <c r="K92" s="7">
        <v>0</v>
      </c>
      <c r="L92" s="8">
        <f>IFERROR(K92/K327, "NA")</f>
        <v>0</v>
      </c>
      <c r="M92" s="9"/>
      <c r="N92" s="7">
        <v>0</v>
      </c>
      <c r="O92" s="8">
        <f>IFERROR(N92/N327, "NA")</f>
        <v>0</v>
      </c>
      <c r="P92" s="9"/>
      <c r="Q92" s="7">
        <v>0</v>
      </c>
      <c r="R92" s="8">
        <f>IFERROR(Q92/Q327, "NA")</f>
        <v>0</v>
      </c>
      <c r="S92" s="9"/>
      <c r="T92" s="7">
        <v>0</v>
      </c>
      <c r="U92" s="8">
        <f>IFERROR(T92/T327, "NA")</f>
        <v>0</v>
      </c>
      <c r="V92" s="9"/>
      <c r="W92" s="7">
        <v>0</v>
      </c>
      <c r="X92" s="8">
        <f>IFERROR(W92/W327, "NA")</f>
        <v>0</v>
      </c>
    </row>
    <row r="93" spans="1:24" ht="16.5" customHeight="1" x14ac:dyDescent="0.25">
      <c r="A93" s="16" t="s">
        <v>99</v>
      </c>
      <c r="B93" s="7">
        <v>0</v>
      </c>
      <c r="C93" s="8">
        <f>IFERROR(B93/B327, "NA")</f>
        <v>0</v>
      </c>
      <c r="D93" s="9"/>
      <c r="E93" s="7">
        <v>0</v>
      </c>
      <c r="F93" s="8">
        <f>IFERROR(E93/E327, "NA")</f>
        <v>0</v>
      </c>
      <c r="G93" s="9"/>
      <c r="H93" s="7">
        <v>0</v>
      </c>
      <c r="I93" s="8">
        <f>IFERROR(H93/H327, "NA")</f>
        <v>0</v>
      </c>
      <c r="J93" s="9"/>
      <c r="K93" s="7">
        <v>0</v>
      </c>
      <c r="L93" s="8">
        <f>IFERROR(K93/K327, "NA")</f>
        <v>0</v>
      </c>
      <c r="M93" s="9"/>
      <c r="N93" s="7">
        <v>0</v>
      </c>
      <c r="O93" s="8">
        <f>IFERROR(N93/N327, "NA")</f>
        <v>0</v>
      </c>
      <c r="P93" s="9"/>
      <c r="Q93" s="7">
        <v>0</v>
      </c>
      <c r="R93" s="8">
        <f>IFERROR(Q93/Q327, "NA")</f>
        <v>0</v>
      </c>
      <c r="S93" s="9"/>
      <c r="T93" s="7">
        <v>0</v>
      </c>
      <c r="U93" s="8">
        <f>IFERROR(T93/T327, "NA")</f>
        <v>0</v>
      </c>
      <c r="V93" s="9"/>
      <c r="W93" s="7">
        <v>0</v>
      </c>
      <c r="X93" s="8">
        <f>IFERROR(W93/W327, "NA")</f>
        <v>0</v>
      </c>
    </row>
    <row r="94" spans="1:24" ht="16.5" customHeight="1" x14ac:dyDescent="0.25">
      <c r="A94" s="16" t="s">
        <v>100</v>
      </c>
      <c r="B94" s="7">
        <v>0</v>
      </c>
      <c r="C94" s="8">
        <f>IFERROR(B94/B327, "NA")</f>
        <v>0</v>
      </c>
      <c r="D94" s="9"/>
      <c r="E94" s="7">
        <v>0</v>
      </c>
      <c r="F94" s="8">
        <f>IFERROR(E94/E327, "NA")</f>
        <v>0</v>
      </c>
      <c r="G94" s="9"/>
      <c r="H94" s="7">
        <v>0</v>
      </c>
      <c r="I94" s="8">
        <f>IFERROR(H94/H327, "NA")</f>
        <v>0</v>
      </c>
      <c r="J94" s="9"/>
      <c r="K94" s="7">
        <v>0</v>
      </c>
      <c r="L94" s="8">
        <f>IFERROR(K94/K327, "NA")</f>
        <v>0</v>
      </c>
      <c r="M94" s="9"/>
      <c r="N94" s="7">
        <v>0</v>
      </c>
      <c r="O94" s="8">
        <f>IFERROR(N94/N327, "NA")</f>
        <v>0</v>
      </c>
      <c r="P94" s="9"/>
      <c r="Q94" s="7">
        <v>0</v>
      </c>
      <c r="R94" s="8">
        <f>IFERROR(Q94/Q327, "NA")</f>
        <v>0</v>
      </c>
      <c r="S94" s="9"/>
      <c r="T94" s="7">
        <v>0</v>
      </c>
      <c r="U94" s="8">
        <f>IFERROR(T94/T327, "NA")</f>
        <v>0</v>
      </c>
      <c r="V94" s="9"/>
      <c r="W94" s="7">
        <v>0</v>
      </c>
      <c r="X94" s="8">
        <f>IFERROR(W94/W327, "NA")</f>
        <v>0</v>
      </c>
    </row>
    <row r="95" spans="1:24" ht="16.5" customHeight="1" x14ac:dyDescent="0.25">
      <c r="A95" s="16" t="s">
        <v>101</v>
      </c>
      <c r="B95" s="7">
        <v>0</v>
      </c>
      <c r="C95" s="8">
        <f>IFERROR(B95/B327, "NA")</f>
        <v>0</v>
      </c>
      <c r="D95" s="9"/>
      <c r="E95" s="7">
        <v>0</v>
      </c>
      <c r="F95" s="8">
        <f>IFERROR(E95/E327, "NA")</f>
        <v>0</v>
      </c>
      <c r="G95" s="9"/>
      <c r="H95" s="7">
        <v>0</v>
      </c>
      <c r="I95" s="8">
        <f>IFERROR(H95/H327, "NA")</f>
        <v>0</v>
      </c>
      <c r="J95" s="9"/>
      <c r="K95" s="7">
        <v>0</v>
      </c>
      <c r="L95" s="8">
        <f>IFERROR(K95/K327, "NA")</f>
        <v>0</v>
      </c>
      <c r="M95" s="9"/>
      <c r="N95" s="7">
        <v>0</v>
      </c>
      <c r="O95" s="8">
        <f>IFERROR(N95/N327, "NA")</f>
        <v>0</v>
      </c>
      <c r="P95" s="9"/>
      <c r="Q95" s="7">
        <v>0</v>
      </c>
      <c r="R95" s="8">
        <f>IFERROR(Q95/Q327, "NA")</f>
        <v>0</v>
      </c>
      <c r="S95" s="9"/>
      <c r="T95" s="7">
        <v>0</v>
      </c>
      <c r="U95" s="8">
        <f>IFERROR(T95/T327, "NA")</f>
        <v>0</v>
      </c>
      <c r="V95" s="9"/>
      <c r="W95" s="7">
        <v>0</v>
      </c>
      <c r="X95" s="8">
        <f>IFERROR(W95/W327, "NA")</f>
        <v>0</v>
      </c>
    </row>
    <row r="96" spans="1:24" ht="16.5" customHeight="1" x14ac:dyDescent="0.25">
      <c r="A96" s="16" t="s">
        <v>102</v>
      </c>
      <c r="B96" s="7">
        <v>0</v>
      </c>
      <c r="C96" s="8">
        <f>IFERROR(B96/B327, "NA")</f>
        <v>0</v>
      </c>
      <c r="D96" s="9"/>
      <c r="E96" s="7">
        <v>0</v>
      </c>
      <c r="F96" s="8">
        <f>IFERROR(E96/E327, "NA")</f>
        <v>0</v>
      </c>
      <c r="G96" s="9"/>
      <c r="H96" s="7">
        <v>0</v>
      </c>
      <c r="I96" s="8">
        <f>IFERROR(H96/H327, "NA")</f>
        <v>0</v>
      </c>
      <c r="J96" s="9"/>
      <c r="K96" s="7">
        <v>0</v>
      </c>
      <c r="L96" s="8">
        <f>IFERROR(K96/K327, "NA")</f>
        <v>0</v>
      </c>
      <c r="M96" s="9"/>
      <c r="N96" s="7">
        <v>0</v>
      </c>
      <c r="O96" s="8">
        <f>IFERROR(N96/N327, "NA")</f>
        <v>0</v>
      </c>
      <c r="P96" s="9"/>
      <c r="Q96" s="7">
        <v>0</v>
      </c>
      <c r="R96" s="8">
        <f>IFERROR(Q96/Q327, "NA")</f>
        <v>0</v>
      </c>
      <c r="S96" s="9"/>
      <c r="T96" s="7">
        <v>0</v>
      </c>
      <c r="U96" s="8">
        <f>IFERROR(T96/T327, "NA")</f>
        <v>0</v>
      </c>
      <c r="V96" s="9"/>
      <c r="W96" s="7">
        <v>0</v>
      </c>
      <c r="X96" s="8">
        <f>IFERROR(W96/W327, "NA")</f>
        <v>0</v>
      </c>
    </row>
    <row r="97" spans="1:24" ht="16.5" customHeight="1" x14ac:dyDescent="0.25">
      <c r="A97" s="16" t="s">
        <v>103</v>
      </c>
      <c r="B97" s="7">
        <v>3081.57</v>
      </c>
      <c r="C97" s="8">
        <f>IFERROR(B97/B327, "NA")</f>
        <v>8.7326630537339755E-3</v>
      </c>
      <c r="D97" s="9"/>
      <c r="E97" s="7">
        <v>2822.82</v>
      </c>
      <c r="F97" s="8">
        <f>IFERROR(E97/E327, "NA")</f>
        <v>1.8788297824758101E-2</v>
      </c>
      <c r="G97" s="9"/>
      <c r="H97" s="7">
        <v>2783.88</v>
      </c>
      <c r="I97" s="8">
        <f>IFERROR(H97/H327, "NA")</f>
        <v>1.1011987523956259E-2</v>
      </c>
      <c r="J97" s="9"/>
      <c r="K97" s="7">
        <v>1516.91</v>
      </c>
      <c r="L97" s="8">
        <f>IFERROR(K97/K327, "NA")</f>
        <v>1.1601967265826173E-2</v>
      </c>
      <c r="M97" s="9"/>
      <c r="N97" s="7">
        <v>2659.4</v>
      </c>
      <c r="O97" s="8">
        <f>IFERROR(N97/N327, "NA")</f>
        <v>2.1189242869804635E-2</v>
      </c>
      <c r="P97" s="9"/>
      <c r="Q97" s="7">
        <v>1612.6</v>
      </c>
      <c r="R97" s="8">
        <f>IFERROR(Q97/Q327, "NA")</f>
        <v>2.0233375156838141E-2</v>
      </c>
      <c r="S97" s="9"/>
      <c r="T97" s="7">
        <v>1827.31</v>
      </c>
      <c r="U97" s="8">
        <f>IFERROR(T97/T327, "NA")</f>
        <v>2.0733009361742685E-2</v>
      </c>
      <c r="V97" s="9"/>
      <c r="W97" s="7">
        <v>2242.9699999999998</v>
      </c>
      <c r="X97" s="8">
        <f>IFERROR(W97/W327, "NA")</f>
        <v>1.5265108388823504E-2</v>
      </c>
    </row>
    <row r="98" spans="1:24" ht="16.5" customHeight="1" x14ac:dyDescent="0.25">
      <c r="A98" s="16" t="s">
        <v>104</v>
      </c>
      <c r="B98" s="7">
        <v>1105</v>
      </c>
      <c r="C98" s="8">
        <f>IFERROR(B98/B327, "NA")</f>
        <v>3.1313884397810342E-3</v>
      </c>
      <c r="D98" s="9"/>
      <c r="E98" s="7">
        <v>0</v>
      </c>
      <c r="F98" s="8">
        <f>IFERROR(E98/E327, "NA")</f>
        <v>0</v>
      </c>
      <c r="G98" s="9"/>
      <c r="H98" s="7">
        <v>1089</v>
      </c>
      <c r="I98" s="8">
        <f>IFERROR(H98/H327, "NA")</f>
        <v>4.3076764851891483E-3</v>
      </c>
      <c r="J98" s="9"/>
      <c r="K98" s="7">
        <v>0</v>
      </c>
      <c r="L98" s="8">
        <f>IFERROR(K98/K327, "NA")</f>
        <v>0</v>
      </c>
      <c r="M98" s="9"/>
      <c r="N98" s="7">
        <v>2846</v>
      </c>
      <c r="O98" s="8">
        <f>IFERROR(N98/N327, "NA")</f>
        <v>2.2676011584366395E-2</v>
      </c>
      <c r="P98" s="9"/>
      <c r="Q98" s="7">
        <v>600</v>
      </c>
      <c r="R98" s="8">
        <f>IFERROR(Q98/Q327, "NA")</f>
        <v>7.5282308657465494E-3</v>
      </c>
      <c r="S98" s="9"/>
      <c r="T98" s="7">
        <v>614</v>
      </c>
      <c r="U98" s="8">
        <f>IFERROR(T98/T327, "NA")</f>
        <v>6.9665616387531437E-3</v>
      </c>
      <c r="V98" s="9"/>
      <c r="W98" s="7">
        <v>979</v>
      </c>
      <c r="X98" s="8">
        <f>IFERROR(W98/W327, "NA")</f>
        <v>6.6628359330076692E-3</v>
      </c>
    </row>
    <row r="99" spans="1:24" ht="16.5" customHeight="1" x14ac:dyDescent="0.25">
      <c r="A99" s="16" t="s">
        <v>105</v>
      </c>
      <c r="B99" s="7">
        <v>0</v>
      </c>
      <c r="C99" s="8">
        <f>IFERROR(B99/B327, "NA")</f>
        <v>0</v>
      </c>
      <c r="D99" s="9"/>
      <c r="E99" s="7">
        <v>0</v>
      </c>
      <c r="F99" s="8">
        <f>IFERROR(E99/E327, "NA")</f>
        <v>0</v>
      </c>
      <c r="G99" s="9"/>
      <c r="H99" s="7">
        <v>0</v>
      </c>
      <c r="I99" s="8">
        <f>IFERROR(H99/H327, "NA")</f>
        <v>0</v>
      </c>
      <c r="J99" s="9"/>
      <c r="K99" s="7">
        <v>0</v>
      </c>
      <c r="L99" s="8">
        <f>IFERROR(K99/K327, "NA")</f>
        <v>0</v>
      </c>
      <c r="M99" s="9"/>
      <c r="N99" s="7">
        <v>0</v>
      </c>
      <c r="O99" s="8">
        <f>IFERROR(N99/N327, "NA")</f>
        <v>0</v>
      </c>
      <c r="P99" s="9"/>
      <c r="Q99" s="7">
        <v>0</v>
      </c>
      <c r="R99" s="8">
        <f>IFERROR(Q99/Q327, "NA")</f>
        <v>0</v>
      </c>
      <c r="S99" s="9"/>
      <c r="T99" s="7">
        <v>0</v>
      </c>
      <c r="U99" s="8">
        <f>IFERROR(T99/T327, "NA")</f>
        <v>0</v>
      </c>
      <c r="V99" s="9"/>
      <c r="W99" s="7">
        <v>0</v>
      </c>
      <c r="X99" s="8">
        <f>IFERROR(W99/W327, "NA")</f>
        <v>0</v>
      </c>
    </row>
    <row r="100" spans="1:24" ht="16.5" customHeight="1" x14ac:dyDescent="0.25">
      <c r="A100" s="16" t="s">
        <v>106</v>
      </c>
      <c r="B100" s="7">
        <v>0</v>
      </c>
      <c r="C100" s="8">
        <f>IFERROR(B100/B327, "NA")</f>
        <v>0</v>
      </c>
      <c r="D100" s="9"/>
      <c r="E100" s="7">
        <v>0</v>
      </c>
      <c r="F100" s="8">
        <f>IFERROR(E100/E327, "NA")</f>
        <v>0</v>
      </c>
      <c r="G100" s="9"/>
      <c r="H100" s="7">
        <v>0</v>
      </c>
      <c r="I100" s="8">
        <f>IFERROR(H100/H327, "NA")</f>
        <v>0</v>
      </c>
      <c r="J100" s="9"/>
      <c r="K100" s="7">
        <v>0</v>
      </c>
      <c r="L100" s="8">
        <f>IFERROR(K100/K327, "NA")</f>
        <v>0</v>
      </c>
      <c r="M100" s="9"/>
      <c r="N100" s="7">
        <v>0</v>
      </c>
      <c r="O100" s="8">
        <f>IFERROR(N100/N327, "NA")</f>
        <v>0</v>
      </c>
      <c r="P100" s="9"/>
      <c r="Q100" s="7">
        <v>0</v>
      </c>
      <c r="R100" s="8">
        <f>IFERROR(Q100/Q327, "NA")</f>
        <v>0</v>
      </c>
      <c r="S100" s="9"/>
      <c r="T100" s="7">
        <v>0</v>
      </c>
      <c r="U100" s="8">
        <f>IFERROR(T100/T327, "NA")</f>
        <v>0</v>
      </c>
      <c r="V100" s="9"/>
      <c r="W100" s="7">
        <v>0</v>
      </c>
      <c r="X100" s="8">
        <f>IFERROR(W100/W327, "NA")</f>
        <v>0</v>
      </c>
    </row>
    <row r="101" spans="1:24" ht="16.5" customHeight="1" x14ac:dyDescent="0.25">
      <c r="A101" s="16" t="s">
        <v>107</v>
      </c>
      <c r="B101" s="7">
        <v>0</v>
      </c>
      <c r="C101" s="8">
        <f>IFERROR(B101/B327, "NA")</f>
        <v>0</v>
      </c>
      <c r="D101" s="9"/>
      <c r="E101" s="7">
        <v>0</v>
      </c>
      <c r="F101" s="8">
        <f>IFERROR(E101/E327, "NA")</f>
        <v>0</v>
      </c>
      <c r="G101" s="9"/>
      <c r="H101" s="7">
        <v>0</v>
      </c>
      <c r="I101" s="8">
        <f>IFERROR(H101/H327, "NA")</f>
        <v>0</v>
      </c>
      <c r="J101" s="9"/>
      <c r="K101" s="7">
        <v>0</v>
      </c>
      <c r="L101" s="8">
        <f>IFERROR(K101/K327, "NA")</f>
        <v>0</v>
      </c>
      <c r="M101" s="9"/>
      <c r="N101" s="7">
        <v>0</v>
      </c>
      <c r="O101" s="8">
        <f>IFERROR(N101/N327, "NA")</f>
        <v>0</v>
      </c>
      <c r="P101" s="9"/>
      <c r="Q101" s="7">
        <v>0</v>
      </c>
      <c r="R101" s="8">
        <f>IFERROR(Q101/Q327, "NA")</f>
        <v>0</v>
      </c>
      <c r="S101" s="9"/>
      <c r="T101" s="7">
        <v>0</v>
      </c>
      <c r="U101" s="8">
        <f>IFERROR(T101/T327, "NA")</f>
        <v>0</v>
      </c>
      <c r="V101" s="9"/>
      <c r="W101" s="7">
        <v>0</v>
      </c>
      <c r="X101" s="8">
        <f>IFERROR(W101/W327, "NA")</f>
        <v>0</v>
      </c>
    </row>
    <row r="102" spans="1:24" ht="16.5" customHeight="1" x14ac:dyDescent="0.25">
      <c r="A102" s="16" t="s">
        <v>108</v>
      </c>
      <c r="B102" s="7">
        <v>0</v>
      </c>
      <c r="C102" s="8">
        <f>IFERROR(B102/B327, "NA")</f>
        <v>0</v>
      </c>
      <c r="D102" s="9"/>
      <c r="E102" s="7">
        <v>0</v>
      </c>
      <c r="F102" s="8">
        <f>IFERROR(E102/E327, "NA")</f>
        <v>0</v>
      </c>
      <c r="G102" s="9"/>
      <c r="H102" s="7">
        <v>0</v>
      </c>
      <c r="I102" s="8">
        <f>IFERROR(H102/H327, "NA")</f>
        <v>0</v>
      </c>
      <c r="J102" s="9"/>
      <c r="K102" s="7">
        <v>0</v>
      </c>
      <c r="L102" s="8">
        <f>IFERROR(K102/K327, "NA")</f>
        <v>0</v>
      </c>
      <c r="M102" s="9"/>
      <c r="N102" s="7">
        <v>0</v>
      </c>
      <c r="O102" s="8">
        <f>IFERROR(N102/N327, "NA")</f>
        <v>0</v>
      </c>
      <c r="P102" s="9"/>
      <c r="Q102" s="7">
        <v>0</v>
      </c>
      <c r="R102" s="8">
        <f>IFERROR(Q102/Q327, "NA")</f>
        <v>0</v>
      </c>
      <c r="S102" s="9"/>
      <c r="T102" s="7">
        <v>0</v>
      </c>
      <c r="U102" s="8">
        <f>IFERROR(T102/T327, "NA")</f>
        <v>0</v>
      </c>
      <c r="V102" s="9"/>
      <c r="W102" s="7">
        <v>0</v>
      </c>
      <c r="X102" s="8">
        <f>IFERROR(W102/W327, "NA")</f>
        <v>0</v>
      </c>
    </row>
    <row r="103" spans="1:24" ht="16.5" customHeight="1" x14ac:dyDescent="0.25">
      <c r="A103" s="16" t="s">
        <v>109</v>
      </c>
      <c r="B103" s="7">
        <v>0</v>
      </c>
      <c r="C103" s="8">
        <f>IFERROR(B103/B327, "NA")</f>
        <v>0</v>
      </c>
      <c r="D103" s="9"/>
      <c r="E103" s="7">
        <v>0</v>
      </c>
      <c r="F103" s="8">
        <f>IFERROR(E103/E327, "NA")</f>
        <v>0</v>
      </c>
      <c r="G103" s="9"/>
      <c r="H103" s="7">
        <v>0</v>
      </c>
      <c r="I103" s="8">
        <f>IFERROR(H103/H327, "NA")</f>
        <v>0</v>
      </c>
      <c r="J103" s="9"/>
      <c r="K103" s="7">
        <v>0</v>
      </c>
      <c r="L103" s="8">
        <f>IFERROR(K103/K327, "NA")</f>
        <v>0</v>
      </c>
      <c r="M103" s="9"/>
      <c r="N103" s="7">
        <v>0</v>
      </c>
      <c r="O103" s="8">
        <f>IFERROR(N103/N327, "NA")</f>
        <v>0</v>
      </c>
      <c r="P103" s="9"/>
      <c r="Q103" s="7">
        <v>0</v>
      </c>
      <c r="R103" s="8">
        <f>IFERROR(Q103/Q327, "NA")</f>
        <v>0</v>
      </c>
      <c r="S103" s="9"/>
      <c r="T103" s="7">
        <v>0</v>
      </c>
      <c r="U103" s="8">
        <f>IFERROR(T103/T327, "NA")</f>
        <v>0</v>
      </c>
      <c r="V103" s="9"/>
      <c r="W103" s="7">
        <v>0</v>
      </c>
      <c r="X103" s="8">
        <f>IFERROR(W103/W327, "NA")</f>
        <v>0</v>
      </c>
    </row>
    <row r="104" spans="1:24" ht="16.5" customHeight="1" x14ac:dyDescent="0.25">
      <c r="A104" s="16" t="s">
        <v>110</v>
      </c>
      <c r="B104" s="7">
        <v>0</v>
      </c>
      <c r="C104" s="8">
        <f>IFERROR(B104/B327, "NA")</f>
        <v>0</v>
      </c>
      <c r="D104" s="9"/>
      <c r="E104" s="7">
        <v>0</v>
      </c>
      <c r="F104" s="8">
        <f>IFERROR(E104/E327, "NA")</f>
        <v>0</v>
      </c>
      <c r="G104" s="9"/>
      <c r="H104" s="7">
        <v>0</v>
      </c>
      <c r="I104" s="8">
        <f>IFERROR(H104/H327, "NA")</f>
        <v>0</v>
      </c>
      <c r="J104" s="9"/>
      <c r="K104" s="7">
        <v>0</v>
      </c>
      <c r="L104" s="8">
        <f>IFERROR(K104/K327, "NA")</f>
        <v>0</v>
      </c>
      <c r="M104" s="9"/>
      <c r="N104" s="7">
        <v>0</v>
      </c>
      <c r="O104" s="8">
        <f>IFERROR(N104/N327, "NA")</f>
        <v>0</v>
      </c>
      <c r="P104" s="9"/>
      <c r="Q104" s="7">
        <v>0</v>
      </c>
      <c r="R104" s="8">
        <f>IFERROR(Q104/Q327, "NA")</f>
        <v>0</v>
      </c>
      <c r="S104" s="9"/>
      <c r="T104" s="7">
        <v>0</v>
      </c>
      <c r="U104" s="8">
        <f>IFERROR(T104/T327, "NA")</f>
        <v>0</v>
      </c>
      <c r="V104" s="9"/>
      <c r="W104" s="7">
        <v>0</v>
      </c>
      <c r="X104" s="8">
        <f>IFERROR(W104/W327, "NA")</f>
        <v>0</v>
      </c>
    </row>
    <row r="105" spans="1:24" ht="16.5" customHeight="1" x14ac:dyDescent="0.25">
      <c r="A105" s="16" t="s">
        <v>111</v>
      </c>
      <c r="B105" s="7">
        <v>0</v>
      </c>
      <c r="C105" s="8">
        <f>IFERROR(B105/B327, "NA")</f>
        <v>0</v>
      </c>
      <c r="D105" s="9"/>
      <c r="E105" s="7">
        <v>0</v>
      </c>
      <c r="F105" s="8">
        <f>IFERROR(E105/E327, "NA")</f>
        <v>0</v>
      </c>
      <c r="G105" s="9"/>
      <c r="H105" s="7">
        <v>0</v>
      </c>
      <c r="I105" s="8">
        <f>IFERROR(H105/H327, "NA")</f>
        <v>0</v>
      </c>
      <c r="J105" s="9"/>
      <c r="K105" s="7">
        <v>0</v>
      </c>
      <c r="L105" s="8">
        <f>IFERROR(K105/K327, "NA")</f>
        <v>0</v>
      </c>
      <c r="M105" s="9"/>
      <c r="N105" s="7">
        <v>0</v>
      </c>
      <c r="O105" s="8">
        <f>IFERROR(N105/N327, "NA")</f>
        <v>0</v>
      </c>
      <c r="P105" s="9"/>
      <c r="Q105" s="7">
        <v>0</v>
      </c>
      <c r="R105" s="8">
        <f>IFERROR(Q105/Q327, "NA")</f>
        <v>0</v>
      </c>
      <c r="S105" s="9"/>
      <c r="T105" s="7">
        <v>0</v>
      </c>
      <c r="U105" s="8">
        <f>IFERROR(T105/T327, "NA")</f>
        <v>0</v>
      </c>
      <c r="V105" s="9"/>
      <c r="W105" s="7">
        <v>0</v>
      </c>
      <c r="X105" s="8">
        <f>IFERROR(W105/W327, "NA")</f>
        <v>0</v>
      </c>
    </row>
    <row r="106" spans="1:24" ht="16.5" customHeight="1" x14ac:dyDescent="0.25">
      <c r="A106" s="16" t="s">
        <v>112</v>
      </c>
      <c r="B106" s="7">
        <v>0</v>
      </c>
      <c r="C106" s="8">
        <f>IFERROR(B106/B327, "NA")</f>
        <v>0</v>
      </c>
      <c r="D106" s="9"/>
      <c r="E106" s="7">
        <v>0</v>
      </c>
      <c r="F106" s="8">
        <f>IFERROR(E106/E327, "NA")</f>
        <v>0</v>
      </c>
      <c r="G106" s="9"/>
      <c r="H106" s="7">
        <v>0</v>
      </c>
      <c r="I106" s="8">
        <f>IFERROR(H106/H327, "NA")</f>
        <v>0</v>
      </c>
      <c r="J106" s="9"/>
      <c r="K106" s="7">
        <v>0</v>
      </c>
      <c r="L106" s="8">
        <f>IFERROR(K106/K327, "NA")</f>
        <v>0</v>
      </c>
      <c r="M106" s="9"/>
      <c r="N106" s="7">
        <v>0</v>
      </c>
      <c r="O106" s="8">
        <f>IFERROR(N106/N327, "NA")</f>
        <v>0</v>
      </c>
      <c r="P106" s="9"/>
      <c r="Q106" s="7">
        <v>0</v>
      </c>
      <c r="R106" s="8">
        <f>IFERROR(Q106/Q327, "NA")</f>
        <v>0</v>
      </c>
      <c r="S106" s="9"/>
      <c r="T106" s="7">
        <v>0</v>
      </c>
      <c r="U106" s="8">
        <f>IFERROR(T106/T327, "NA")</f>
        <v>0</v>
      </c>
      <c r="V106" s="9"/>
      <c r="W106" s="7">
        <v>0</v>
      </c>
      <c r="X106" s="8">
        <f>IFERROR(W106/W327, "NA")</f>
        <v>0</v>
      </c>
    </row>
    <row r="107" spans="1:24" ht="16.5" customHeight="1" x14ac:dyDescent="0.25">
      <c r="A107" s="16" t="s">
        <v>113</v>
      </c>
      <c r="B107" s="7">
        <v>0</v>
      </c>
      <c r="C107" s="8">
        <f>IFERROR(B107/B327, "NA")</f>
        <v>0</v>
      </c>
      <c r="D107" s="9"/>
      <c r="E107" s="7">
        <v>0</v>
      </c>
      <c r="F107" s="8">
        <f>IFERROR(E107/E327, "NA")</f>
        <v>0</v>
      </c>
      <c r="G107" s="9"/>
      <c r="H107" s="7">
        <v>0</v>
      </c>
      <c r="I107" s="8">
        <f>IFERROR(H107/H327, "NA")</f>
        <v>0</v>
      </c>
      <c r="J107" s="9"/>
      <c r="K107" s="7">
        <v>0</v>
      </c>
      <c r="L107" s="8">
        <f>IFERROR(K107/K327, "NA")</f>
        <v>0</v>
      </c>
      <c r="M107" s="9"/>
      <c r="N107" s="7">
        <v>0</v>
      </c>
      <c r="O107" s="8">
        <f>IFERROR(N107/N327, "NA")</f>
        <v>0</v>
      </c>
      <c r="P107" s="9"/>
      <c r="Q107" s="7">
        <v>0</v>
      </c>
      <c r="R107" s="8">
        <f>IFERROR(Q107/Q327, "NA")</f>
        <v>0</v>
      </c>
      <c r="S107" s="9"/>
      <c r="T107" s="7">
        <v>0</v>
      </c>
      <c r="U107" s="8">
        <f>IFERROR(T107/T327, "NA")</f>
        <v>0</v>
      </c>
      <c r="V107" s="9"/>
      <c r="W107" s="7">
        <v>0</v>
      </c>
      <c r="X107" s="8">
        <f>IFERROR(W107/W327, "NA")</f>
        <v>0</v>
      </c>
    </row>
    <row r="108" spans="1:24" ht="16.5" customHeight="1" x14ac:dyDescent="0.25">
      <c r="A108" s="16" t="s">
        <v>114</v>
      </c>
      <c r="B108" s="7">
        <v>0</v>
      </c>
      <c r="C108" s="8">
        <f>IFERROR(B108/B327, "NA")</f>
        <v>0</v>
      </c>
      <c r="D108" s="9"/>
      <c r="E108" s="7">
        <v>0</v>
      </c>
      <c r="F108" s="8">
        <f>IFERROR(E108/E327, "NA")</f>
        <v>0</v>
      </c>
      <c r="G108" s="9"/>
      <c r="H108" s="7">
        <v>0</v>
      </c>
      <c r="I108" s="8">
        <f>IFERROR(H108/H327, "NA")</f>
        <v>0</v>
      </c>
      <c r="J108" s="9"/>
      <c r="K108" s="7">
        <v>0</v>
      </c>
      <c r="L108" s="8">
        <f>IFERROR(K108/K327, "NA")</f>
        <v>0</v>
      </c>
      <c r="M108" s="9"/>
      <c r="N108" s="7">
        <v>0</v>
      </c>
      <c r="O108" s="8">
        <f>IFERROR(N108/N327, "NA")</f>
        <v>0</v>
      </c>
      <c r="P108" s="9"/>
      <c r="Q108" s="7">
        <v>0</v>
      </c>
      <c r="R108" s="8">
        <f>IFERROR(Q108/Q327, "NA")</f>
        <v>0</v>
      </c>
      <c r="S108" s="9"/>
      <c r="T108" s="7">
        <v>0</v>
      </c>
      <c r="U108" s="8">
        <f>IFERROR(T108/T327, "NA")</f>
        <v>0</v>
      </c>
      <c r="V108" s="9"/>
      <c r="W108" s="7">
        <v>0</v>
      </c>
      <c r="X108" s="8">
        <f>IFERROR(W108/W327, "NA")</f>
        <v>0</v>
      </c>
    </row>
    <row r="109" spans="1:24" ht="16.5" customHeight="1" x14ac:dyDescent="0.25">
      <c r="A109" s="16" t="s">
        <v>115</v>
      </c>
      <c r="B109" s="7">
        <v>0</v>
      </c>
      <c r="C109" s="8">
        <f>IFERROR(B109/B327, "NA")</f>
        <v>0</v>
      </c>
      <c r="D109" s="9"/>
      <c r="E109" s="7">
        <v>0</v>
      </c>
      <c r="F109" s="8">
        <f>IFERROR(E109/E327, "NA")</f>
        <v>0</v>
      </c>
      <c r="G109" s="9"/>
      <c r="H109" s="7">
        <v>0</v>
      </c>
      <c r="I109" s="8">
        <f>IFERROR(H109/H327, "NA")</f>
        <v>0</v>
      </c>
      <c r="J109" s="9"/>
      <c r="K109" s="7">
        <v>0</v>
      </c>
      <c r="L109" s="8">
        <f>IFERROR(K109/K327, "NA")</f>
        <v>0</v>
      </c>
      <c r="M109" s="9"/>
      <c r="N109" s="7">
        <v>0</v>
      </c>
      <c r="O109" s="8">
        <f>IFERROR(N109/N327, "NA")</f>
        <v>0</v>
      </c>
      <c r="P109" s="9"/>
      <c r="Q109" s="7">
        <v>0</v>
      </c>
      <c r="R109" s="8">
        <f>IFERROR(Q109/Q327, "NA")</f>
        <v>0</v>
      </c>
      <c r="S109" s="9"/>
      <c r="T109" s="7">
        <v>0</v>
      </c>
      <c r="U109" s="8">
        <f>IFERROR(T109/T327, "NA")</f>
        <v>0</v>
      </c>
      <c r="V109" s="9"/>
      <c r="W109" s="7">
        <v>0</v>
      </c>
      <c r="X109" s="8">
        <f>IFERROR(W109/W327, "NA")</f>
        <v>0</v>
      </c>
    </row>
    <row r="110" spans="1:24" ht="16.5" customHeight="1" x14ac:dyDescent="0.25">
      <c r="A110" s="16" t="s">
        <v>116</v>
      </c>
      <c r="B110" s="7">
        <v>1196.07</v>
      </c>
      <c r="C110" s="8">
        <f>IFERROR(B110/B327, "NA")</f>
        <v>3.3894658562614493E-3</v>
      </c>
      <c r="D110" s="9"/>
      <c r="E110" s="7">
        <v>1116.6300000000001</v>
      </c>
      <c r="F110" s="8">
        <f>IFERROR(E110/E327, "NA")</f>
        <v>7.4321341778999864E-3</v>
      </c>
      <c r="G110" s="9"/>
      <c r="H110" s="7">
        <v>1127.5999999999999</v>
      </c>
      <c r="I110" s="8">
        <f>IFERROR(H110/H327, "NA")</f>
        <v>4.4603636406788643E-3</v>
      </c>
      <c r="J110" s="9"/>
      <c r="K110" s="7">
        <v>1017.7</v>
      </c>
      <c r="L110" s="8">
        <f>IFERROR(K110/K327, "NA")</f>
        <v>7.7837987002731179E-3</v>
      </c>
      <c r="M110" s="9"/>
      <c r="N110" s="7">
        <v>844.58</v>
      </c>
      <c r="O110" s="8">
        <f>IFERROR(N110/N327, "NA")</f>
        <v>6.7293414841616906E-3</v>
      </c>
      <c r="P110" s="9"/>
      <c r="Q110" s="7">
        <v>873.52</v>
      </c>
      <c r="R110" s="8">
        <f>IFERROR(Q110/Q327, "NA")</f>
        <v>1.0960100376411543E-2</v>
      </c>
      <c r="S110" s="9"/>
      <c r="T110" s="7">
        <v>882.27</v>
      </c>
      <c r="U110" s="8">
        <f>IFERROR(T110/T327, "NA")</f>
        <v>1.0010404457691753E-2</v>
      </c>
      <c r="V110" s="9"/>
      <c r="W110" s="7">
        <v>1002.9</v>
      </c>
      <c r="X110" s="8">
        <f>IFERROR(W110/W327, "NA")</f>
        <v>6.8254935211577031E-3</v>
      </c>
    </row>
    <row r="111" spans="1:24" ht="16.5" customHeight="1" x14ac:dyDescent="0.25">
      <c r="A111" s="16" t="s">
        <v>117</v>
      </c>
      <c r="B111" s="7">
        <v>0</v>
      </c>
      <c r="C111" s="8">
        <f>IFERROR(B111/B327, "NA")</f>
        <v>0</v>
      </c>
      <c r="D111" s="9"/>
      <c r="E111" s="7">
        <v>0</v>
      </c>
      <c r="F111" s="8">
        <f>IFERROR(E111/E327, "NA")</f>
        <v>0</v>
      </c>
      <c r="G111" s="9"/>
      <c r="H111" s="7">
        <v>0</v>
      </c>
      <c r="I111" s="8">
        <f>IFERROR(H111/H327, "NA")</f>
        <v>0</v>
      </c>
      <c r="J111" s="9"/>
      <c r="K111" s="7">
        <v>0</v>
      </c>
      <c r="L111" s="8">
        <f>IFERROR(K111/K327, "NA")</f>
        <v>0</v>
      </c>
      <c r="M111" s="9"/>
      <c r="N111" s="7">
        <v>0</v>
      </c>
      <c r="O111" s="8">
        <f>IFERROR(N111/N327, "NA")</f>
        <v>0</v>
      </c>
      <c r="P111" s="9"/>
      <c r="Q111" s="7">
        <v>0</v>
      </c>
      <c r="R111" s="8">
        <f>IFERROR(Q111/Q327, "NA")</f>
        <v>0</v>
      </c>
      <c r="S111" s="9"/>
      <c r="T111" s="7">
        <v>0</v>
      </c>
      <c r="U111" s="8">
        <f>IFERROR(T111/T327, "NA")</f>
        <v>0</v>
      </c>
      <c r="V111" s="9"/>
      <c r="W111" s="7">
        <v>0</v>
      </c>
      <c r="X111" s="8">
        <f>IFERROR(W111/W327, "NA")</f>
        <v>0</v>
      </c>
    </row>
    <row r="112" spans="1:24" ht="16.5" customHeight="1" x14ac:dyDescent="0.25">
      <c r="A112" s="16" t="s">
        <v>118</v>
      </c>
      <c r="B112" s="7">
        <v>1418.86</v>
      </c>
      <c r="C112" s="8">
        <f>IFERROR(B112/B327, "NA")</f>
        <v>4.0208161101065324E-3</v>
      </c>
      <c r="D112" s="9"/>
      <c r="E112" s="7">
        <v>1253.55</v>
      </c>
      <c r="F112" s="8">
        <f>IFERROR(E112/E327, "NA")</f>
        <v>8.3434546794430801E-3</v>
      </c>
      <c r="G112" s="9"/>
      <c r="H112" s="7">
        <v>1257.8900000000001</v>
      </c>
      <c r="I112" s="8">
        <f>IFERROR(H112/H327, "NA")</f>
        <v>4.9757421248435062E-3</v>
      </c>
      <c r="J112" s="9"/>
      <c r="K112" s="7">
        <v>1173.1099999999999</v>
      </c>
      <c r="L112" s="8">
        <f>IFERROR(K112/K327, "NA")</f>
        <v>8.9724399069248274E-3</v>
      </c>
      <c r="M112" s="9"/>
      <c r="N112" s="7">
        <v>1105.1400000000001</v>
      </c>
      <c r="O112" s="8">
        <f>IFERROR(N112/N327, "NA")</f>
        <v>8.805399663509024E-3</v>
      </c>
      <c r="P112" s="9"/>
      <c r="Q112" s="7">
        <v>1070.8599999999999</v>
      </c>
      <c r="R112" s="8">
        <f>IFERROR(Q112/Q327, "NA")</f>
        <v>1.3436135508155582E-2</v>
      </c>
      <c r="S112" s="9"/>
      <c r="T112" s="7">
        <v>1078.6199999999999</v>
      </c>
      <c r="U112" s="8">
        <f>IFERROR(T112/T327, "NA")</f>
        <v>1.223822917718553E-2</v>
      </c>
      <c r="V112" s="9"/>
      <c r="W112" s="7">
        <v>761.17</v>
      </c>
      <c r="X112" s="8">
        <f>IFERROR(W112/W327, "NA")</f>
        <v>5.1803379235213966E-3</v>
      </c>
    </row>
    <row r="113" spans="1:24" ht="16.5" customHeight="1" x14ac:dyDescent="0.25">
      <c r="A113" s="16" t="s">
        <v>119</v>
      </c>
      <c r="B113" s="7">
        <v>0</v>
      </c>
      <c r="C113" s="8">
        <f>IFERROR(B113/B327, "NA")</f>
        <v>0</v>
      </c>
      <c r="D113" s="9"/>
      <c r="E113" s="7">
        <v>0</v>
      </c>
      <c r="F113" s="8">
        <f>IFERROR(E113/E327, "NA")</f>
        <v>0</v>
      </c>
      <c r="G113" s="9"/>
      <c r="H113" s="7">
        <v>0</v>
      </c>
      <c r="I113" s="8">
        <f>IFERROR(H113/H327, "NA")</f>
        <v>0</v>
      </c>
      <c r="J113" s="9"/>
      <c r="K113" s="7">
        <v>0</v>
      </c>
      <c r="L113" s="8">
        <f>IFERROR(K113/K327, "NA")</f>
        <v>0</v>
      </c>
      <c r="M113" s="9"/>
      <c r="N113" s="7">
        <v>0</v>
      </c>
      <c r="O113" s="8">
        <f>IFERROR(N113/N327, "NA")</f>
        <v>0</v>
      </c>
      <c r="P113" s="9"/>
      <c r="Q113" s="7">
        <v>0</v>
      </c>
      <c r="R113" s="8">
        <f>IFERROR(Q113/Q327, "NA")</f>
        <v>0</v>
      </c>
      <c r="S113" s="9"/>
      <c r="T113" s="7">
        <v>0</v>
      </c>
      <c r="U113" s="8">
        <f>IFERROR(T113/T327, "NA")</f>
        <v>0</v>
      </c>
      <c r="V113" s="9"/>
      <c r="W113" s="7">
        <v>0</v>
      </c>
      <c r="X113" s="8">
        <f>IFERROR(W113/W327, "NA")</f>
        <v>0</v>
      </c>
    </row>
    <row r="114" spans="1:24" ht="16.5" customHeight="1" x14ac:dyDescent="0.25">
      <c r="A114" s="16" t="s">
        <v>120</v>
      </c>
      <c r="B114" s="7">
        <v>0</v>
      </c>
      <c r="C114" s="8">
        <f>IFERROR(B114/B327, "NA")</f>
        <v>0</v>
      </c>
      <c r="D114" s="9"/>
      <c r="E114" s="7">
        <v>168.17</v>
      </c>
      <c r="F114" s="8">
        <f>IFERROR(E114/E327, "NA")</f>
        <v>1.1193161608567211E-3</v>
      </c>
      <c r="G114" s="9"/>
      <c r="H114" s="7">
        <v>0</v>
      </c>
      <c r="I114" s="8">
        <f>IFERROR(H114/H327, "NA")</f>
        <v>0</v>
      </c>
      <c r="J114" s="9"/>
      <c r="K114" s="7">
        <v>39.619999999999997</v>
      </c>
      <c r="L114" s="8">
        <f>IFERROR(K114/K327, "NA")</f>
        <v>3.0303046526954986E-4</v>
      </c>
      <c r="M114" s="9"/>
      <c r="N114" s="7">
        <v>0</v>
      </c>
      <c r="O114" s="8">
        <f>IFERROR(N114/N327, "NA")</f>
        <v>0</v>
      </c>
      <c r="P114" s="9"/>
      <c r="Q114" s="7">
        <v>321.75</v>
      </c>
      <c r="R114" s="8">
        <f>IFERROR(Q114/Q327, "NA")</f>
        <v>4.0370138017565872E-3</v>
      </c>
      <c r="S114" s="9"/>
      <c r="T114" s="7">
        <v>0</v>
      </c>
      <c r="U114" s="8">
        <f>IFERROR(T114/T327, "NA")</f>
        <v>0</v>
      </c>
      <c r="V114" s="9"/>
      <c r="W114" s="7">
        <v>0</v>
      </c>
      <c r="X114" s="8">
        <f>IFERROR(W114/W327, "NA")</f>
        <v>0</v>
      </c>
    </row>
    <row r="115" spans="1:24" ht="16.5" customHeight="1" x14ac:dyDescent="0.25">
      <c r="A115" s="16" t="s">
        <v>121</v>
      </c>
      <c r="B115" s="7">
        <v>0</v>
      </c>
      <c r="C115" s="8">
        <f>IFERROR(B115/B327, "NA")</f>
        <v>0</v>
      </c>
      <c r="D115" s="9"/>
      <c r="E115" s="7">
        <v>0</v>
      </c>
      <c r="F115" s="8">
        <f>IFERROR(E115/E327, "NA")</f>
        <v>0</v>
      </c>
      <c r="G115" s="9"/>
      <c r="H115" s="7">
        <v>0</v>
      </c>
      <c r="I115" s="8">
        <f>IFERROR(H115/H327, "NA")</f>
        <v>0</v>
      </c>
      <c r="J115" s="9"/>
      <c r="K115" s="7">
        <v>0</v>
      </c>
      <c r="L115" s="8">
        <f>IFERROR(K115/K327, "NA")</f>
        <v>0</v>
      </c>
      <c r="M115" s="9"/>
      <c r="N115" s="7">
        <v>0</v>
      </c>
      <c r="O115" s="8">
        <f>IFERROR(N115/N327, "NA")</f>
        <v>0</v>
      </c>
      <c r="P115" s="9"/>
      <c r="Q115" s="7">
        <v>0</v>
      </c>
      <c r="R115" s="8">
        <f>IFERROR(Q115/Q327, "NA")</f>
        <v>0</v>
      </c>
      <c r="S115" s="9"/>
      <c r="T115" s="7">
        <v>0</v>
      </c>
      <c r="U115" s="8">
        <f>IFERROR(T115/T327, "NA")</f>
        <v>0</v>
      </c>
      <c r="V115" s="9"/>
      <c r="W115" s="7">
        <v>0</v>
      </c>
      <c r="X115" s="8">
        <f>IFERROR(W115/W327, "NA")</f>
        <v>0</v>
      </c>
    </row>
    <row r="116" spans="1:24" ht="16.5" customHeight="1" x14ac:dyDescent="0.25">
      <c r="A116" s="16" t="s">
        <v>122</v>
      </c>
      <c r="B116" s="7">
        <v>0</v>
      </c>
      <c r="C116" s="8">
        <f>IFERROR(B116/B327, "NA")</f>
        <v>0</v>
      </c>
      <c r="D116" s="9"/>
      <c r="E116" s="7">
        <v>0</v>
      </c>
      <c r="F116" s="8">
        <f>IFERROR(E116/E327, "NA")</f>
        <v>0</v>
      </c>
      <c r="G116" s="9"/>
      <c r="H116" s="7">
        <v>0</v>
      </c>
      <c r="I116" s="8">
        <f>IFERROR(H116/H327, "NA")</f>
        <v>0</v>
      </c>
      <c r="J116" s="9"/>
      <c r="K116" s="7">
        <v>0</v>
      </c>
      <c r="L116" s="8">
        <f>IFERROR(K116/K327, "NA")</f>
        <v>0</v>
      </c>
      <c r="M116" s="9"/>
      <c r="N116" s="7">
        <v>0</v>
      </c>
      <c r="O116" s="8">
        <f>IFERROR(N116/N327, "NA")</f>
        <v>0</v>
      </c>
      <c r="P116" s="9"/>
      <c r="Q116" s="7">
        <v>0</v>
      </c>
      <c r="R116" s="8">
        <f>IFERROR(Q116/Q327, "NA")</f>
        <v>0</v>
      </c>
      <c r="S116" s="9"/>
      <c r="T116" s="7">
        <v>0</v>
      </c>
      <c r="U116" s="8">
        <f>IFERROR(T116/T327, "NA")</f>
        <v>0</v>
      </c>
      <c r="V116" s="9"/>
      <c r="W116" s="7">
        <v>0</v>
      </c>
      <c r="X116" s="8">
        <f>IFERROR(W116/W327, "NA")</f>
        <v>0</v>
      </c>
    </row>
    <row r="117" spans="1:24" ht="16.5" customHeight="1" x14ac:dyDescent="0.25">
      <c r="A117" s="16" t="s">
        <v>123</v>
      </c>
      <c r="B117" s="7">
        <v>0</v>
      </c>
      <c r="C117" s="8">
        <f>IFERROR(B117/B327, "NA")</f>
        <v>0</v>
      </c>
      <c r="D117" s="9"/>
      <c r="E117" s="7">
        <v>0</v>
      </c>
      <c r="F117" s="8">
        <f>IFERROR(E117/E327, "NA")</f>
        <v>0</v>
      </c>
      <c r="G117" s="9"/>
      <c r="H117" s="7">
        <v>0</v>
      </c>
      <c r="I117" s="8">
        <f>IFERROR(H117/H327, "NA")</f>
        <v>0</v>
      </c>
      <c r="J117" s="9"/>
      <c r="K117" s="7">
        <v>0</v>
      </c>
      <c r="L117" s="8">
        <f>IFERROR(K117/K327, "NA")</f>
        <v>0</v>
      </c>
      <c r="M117" s="9"/>
      <c r="N117" s="7">
        <v>0</v>
      </c>
      <c r="O117" s="8">
        <f>IFERROR(N117/N327, "NA")</f>
        <v>0</v>
      </c>
      <c r="P117" s="9"/>
      <c r="Q117" s="7">
        <v>0</v>
      </c>
      <c r="R117" s="8">
        <f>IFERROR(Q117/Q327, "NA")</f>
        <v>0</v>
      </c>
      <c r="S117" s="9"/>
      <c r="T117" s="7">
        <v>0</v>
      </c>
      <c r="U117" s="8">
        <f>IFERROR(T117/T327, "NA")</f>
        <v>0</v>
      </c>
      <c r="V117" s="9"/>
      <c r="W117" s="7">
        <v>0</v>
      </c>
      <c r="X117" s="8">
        <f>IFERROR(W117/W327, "NA")</f>
        <v>0</v>
      </c>
    </row>
    <row r="118" spans="1:24" ht="16.5" customHeight="1" x14ac:dyDescent="0.25">
      <c r="A118" s="16" t="s">
        <v>124</v>
      </c>
      <c r="B118" s="7">
        <v>0</v>
      </c>
      <c r="C118" s="8">
        <f>IFERROR(B118/B327, "NA")</f>
        <v>0</v>
      </c>
      <c r="D118" s="9"/>
      <c r="E118" s="7">
        <v>1370.17</v>
      </c>
      <c r="F118" s="8">
        <f>IFERROR(E118/E327, "NA")</f>
        <v>9.1196612006960442E-3</v>
      </c>
      <c r="G118" s="9"/>
      <c r="H118" s="7">
        <v>0</v>
      </c>
      <c r="I118" s="8">
        <f>IFERROR(H118/H327, "NA")</f>
        <v>0</v>
      </c>
      <c r="J118" s="9"/>
      <c r="K118" s="7">
        <v>1115.5</v>
      </c>
      <c r="L118" s="8">
        <f>IFERROR(K118/K327, "NA")</f>
        <v>8.5318143364003767E-3</v>
      </c>
      <c r="M118" s="9"/>
      <c r="N118" s="7">
        <v>0</v>
      </c>
      <c r="O118" s="8">
        <f>IFERROR(N118/N327, "NA")</f>
        <v>0</v>
      </c>
      <c r="P118" s="9"/>
      <c r="Q118" s="7">
        <v>9537.2199999999993</v>
      </c>
      <c r="R118" s="8">
        <f>IFERROR(Q118/Q327, "NA")</f>
        <v>0.11966398996235884</v>
      </c>
      <c r="S118" s="9"/>
      <c r="T118" s="7">
        <v>0</v>
      </c>
      <c r="U118" s="8">
        <f>IFERROR(T118/T327, "NA")</f>
        <v>0</v>
      </c>
      <c r="V118" s="9"/>
      <c r="W118" s="7">
        <v>0</v>
      </c>
      <c r="X118" s="8">
        <f>IFERROR(W118/W327, "NA")</f>
        <v>0</v>
      </c>
    </row>
    <row r="119" spans="1:24" ht="16.5" customHeight="1" x14ac:dyDescent="0.25">
      <c r="A119" s="17" t="s">
        <v>125</v>
      </c>
      <c r="B119" s="11">
        <f>IFERROR(B84+B85+B86+B87+B88+B89+B90+B91+B92+B93+B94+B95+B96+B97+B98+B99+B100+B101+B102+B103+B104+B105+B106+B107+B108+B109+B110+B111+B112+B113+B114+B115+B116+B117+B118, "NA")</f>
        <v>6801.4999999999991</v>
      </c>
      <c r="C119" s="12">
        <f>IFERROR(B119/B327, "NA")</f>
        <v>1.9274333459882987E-2</v>
      </c>
      <c r="D119" s="2"/>
      <c r="E119" s="11">
        <f>IFERROR(E84+E85+E86+E87+E88+E89+E90+E91+E92+E93+E94+E95+E96+E97+E98+E99+E100+E101+E102+E103+E104+E105+E106+E107+E108+E109+E110+E111+E112+E113+E114+E115+E116+E117+E118, "NA")</f>
        <v>6731.34</v>
      </c>
      <c r="F119" s="12">
        <f>IFERROR(E119/E327, "NA")</f>
        <v>4.4802864043653932E-2</v>
      </c>
      <c r="G119" s="2"/>
      <c r="H119" s="11">
        <f>IFERROR(H84+H85+H86+H87+H88+H89+H90+H91+H92+H93+H94+H95+H96+H97+H98+H99+H100+H101+H102+H103+H104+H105+H106+H107+H108+H109+H110+H111+H112+H113+H114+H115+H116+H117+H118, "NA")</f>
        <v>6258.37</v>
      </c>
      <c r="I119" s="12">
        <f>IFERROR(H119/H327, "NA")</f>
        <v>2.4755769774667775E-2</v>
      </c>
      <c r="J119" s="2"/>
      <c r="K119" s="11">
        <f>IFERROR(K84+K85+K86+K87+K88+K89+K90+K91+K92+K93+K94+K95+K96+K97+K98+K99+K100+K101+K102+K103+K104+K105+K106+K107+K108+K109+K110+K111+K112+K113+K114+K115+K116+K117+K118, "NA")</f>
        <v>4862.84</v>
      </c>
      <c r="L119" s="12">
        <f>IFERROR(K119/K327, "NA")</f>
        <v>3.7193050674694042E-2</v>
      </c>
      <c r="M119" s="2"/>
      <c r="N119" s="11">
        <f>IFERROR(N84+N85+N86+N87+N88+N89+N90+N91+N92+N93+N94+N95+N96+N97+N98+N99+N100+N101+N102+N103+N104+N105+N106+N107+N108+N109+N110+N111+N112+N113+N114+N115+N116+N117+N118, "NA")</f>
        <v>7455.12</v>
      </c>
      <c r="O119" s="12">
        <f>IFERROR(N119/N327, "NA")</f>
        <v>5.939999560184174E-2</v>
      </c>
      <c r="P119" s="2"/>
      <c r="Q119" s="11">
        <f>IFERROR(Q84+Q85+Q86+Q87+Q88+Q89+Q90+Q91+Q92+Q93+Q94+Q95+Q96+Q97+Q98+Q99+Q100+Q101+Q102+Q103+Q104+Q105+Q106+Q107+Q108+Q109+Q110+Q111+Q112+Q113+Q114+Q115+Q116+Q117+Q118, "NA")</f>
        <v>14015.949999999999</v>
      </c>
      <c r="R119" s="12">
        <f>IFERROR(Q119/Q327, "NA")</f>
        <v>0.17585884567126725</v>
      </c>
      <c r="S119" s="2"/>
      <c r="T119" s="11">
        <f>IFERROR(T84+T85+T86+T87+T88+T89+T90+T91+T92+T93+T94+T95+T96+T97+T98+T99+T100+T101+T102+T103+T104+T105+T106+T107+T108+T109+T110+T111+T112+T113+T114+T115+T116+T117+T118, "NA")</f>
        <v>4402.2</v>
      </c>
      <c r="U119" s="12">
        <f>IFERROR(T119/T327, "NA")</f>
        <v>4.9948204635373111E-2</v>
      </c>
      <c r="V119" s="2"/>
      <c r="W119" s="11">
        <f>IFERROR(W84+W85+W86+W87+W88+W89+W90+W91+W92+W93+W94+W95+W96+W97+W98+W99+W100+W101+W102+W103+W104+W105+W106+W107+W108+W109+W110+W111+W112+W113+W114+W115+W116+W117+W118, "NA")</f>
        <v>4986.04</v>
      </c>
      <c r="X119" s="12">
        <f>IFERROR(W119/W327, "NA")</f>
        <v>3.3933775766510271E-2</v>
      </c>
    </row>
    <row r="120" spans="1:24" ht="16.5" customHeight="1" x14ac:dyDescent="0.25">
      <c r="A120" s="10" t="s">
        <v>126</v>
      </c>
      <c r="B120" s="11">
        <f>IFERROR(B82+B84+B85+B86+B87+B88+B89+B90+B91+B92+B93+B94+B95+B96+B97+B98+B99+B100+B101+B102+B103+B104+B105+B106+B107+B108+B109+B110+B111+B112+B113+B114+B115+B116+B117+B118, "NA")</f>
        <v>6801.4999999999991</v>
      </c>
      <c r="C120" s="12">
        <f>IFERROR(B120/B327, "NA")</f>
        <v>1.9274333459882987E-2</v>
      </c>
      <c r="D120" s="2"/>
      <c r="E120" s="11">
        <f>IFERROR(E82+E84+E85+E86+E87+E88+E89+E90+E91+E92+E93+E94+E95+E96+E97+E98+E99+E100+E101+E102+E103+E104+E105+E106+E107+E108+E109+E110+E111+E112+E113+E114+E115+E116+E117+E118, "NA")</f>
        <v>6731.34</v>
      </c>
      <c r="F120" s="12">
        <f>IFERROR(E120/E327, "NA")</f>
        <v>4.4802864043653932E-2</v>
      </c>
      <c r="G120" s="2"/>
      <c r="H120" s="11">
        <f>IFERROR(H82+H84+H85+H86+H87+H88+H89+H90+H91+H92+H93+H94+H95+H96+H97+H98+H99+H100+H101+H102+H103+H104+H105+H106+H107+H108+H109+H110+H111+H112+H113+H114+H115+H116+H117+H118, "NA")</f>
        <v>6258.37</v>
      </c>
      <c r="I120" s="12">
        <f>IFERROR(H120/H327, "NA")</f>
        <v>2.4755769774667775E-2</v>
      </c>
      <c r="J120" s="2"/>
      <c r="K120" s="11">
        <f>IFERROR(K82+K84+K85+K86+K87+K88+K89+K90+K91+K92+K93+K94+K95+K96+K97+K98+K99+K100+K101+K102+K103+K104+K105+K106+K107+K108+K109+K110+K111+K112+K113+K114+K115+K116+K117+K118, "NA")</f>
        <v>4862.84</v>
      </c>
      <c r="L120" s="12">
        <f>IFERROR(K120/K327, "NA")</f>
        <v>3.7193050674694042E-2</v>
      </c>
      <c r="M120" s="2"/>
      <c r="N120" s="11">
        <f>IFERROR(N82+N84+N85+N86+N87+N88+N89+N90+N91+N92+N93+N94+N95+N96+N97+N98+N99+N100+N101+N102+N103+N104+N105+N106+N107+N108+N109+N110+N111+N112+N113+N114+N115+N116+N117+N118, "NA")</f>
        <v>7455.12</v>
      </c>
      <c r="O120" s="12">
        <f>IFERROR(N120/N327, "NA")</f>
        <v>5.939999560184174E-2</v>
      </c>
      <c r="P120" s="2"/>
      <c r="Q120" s="11">
        <f>IFERROR(Q82+Q84+Q85+Q86+Q87+Q88+Q89+Q90+Q91+Q92+Q93+Q94+Q95+Q96+Q97+Q98+Q99+Q100+Q101+Q102+Q103+Q104+Q105+Q106+Q107+Q108+Q109+Q110+Q111+Q112+Q113+Q114+Q115+Q116+Q117+Q118, "NA")</f>
        <v>14015.949999999999</v>
      </c>
      <c r="R120" s="12">
        <f>IFERROR(Q120/Q327, "NA")</f>
        <v>0.17585884567126725</v>
      </c>
      <c r="S120" s="2"/>
      <c r="T120" s="11">
        <f>IFERROR(T82+T84+T85+T86+T87+T88+T89+T90+T91+T92+T93+T94+T95+T96+T97+T98+T99+T100+T101+T102+T103+T104+T105+T106+T107+T108+T109+T110+T111+T112+T113+T114+T115+T116+T117+T118, "NA")</f>
        <v>4402.2</v>
      </c>
      <c r="U120" s="12">
        <f>IFERROR(T120/T327, "NA")</f>
        <v>4.9948204635373111E-2</v>
      </c>
      <c r="V120" s="2"/>
      <c r="W120" s="11">
        <f>IFERROR(W82+W84+W85+W86+W87+W88+W89+W90+W91+W92+W93+W94+W95+W96+W97+W98+W99+W100+W101+W102+W103+W104+W105+W106+W107+W108+W109+W110+W111+W112+W113+W114+W115+W116+W117+W118, "NA")</f>
        <v>4986.04</v>
      </c>
      <c r="X120" s="12">
        <f>IFERROR(W120/W327, "NA")</f>
        <v>3.3933775766510271E-2</v>
      </c>
    </row>
    <row r="121" spans="1:24" ht="16.5" customHeight="1" x14ac:dyDescent="0.25">
      <c r="A121" s="5" t="s">
        <v>127</v>
      </c>
      <c r="B121" s="2"/>
      <c r="C121" s="3"/>
      <c r="D121" s="4"/>
      <c r="E121" s="2"/>
      <c r="F121" s="3"/>
      <c r="G121" s="4"/>
      <c r="H121" s="2"/>
      <c r="I121" s="3"/>
      <c r="J121" s="4"/>
      <c r="K121" s="2"/>
      <c r="L121" s="3"/>
      <c r="M121" s="4"/>
      <c r="N121" s="2"/>
      <c r="O121" s="3"/>
      <c r="P121" s="4"/>
      <c r="Q121" s="2"/>
      <c r="R121" s="3"/>
      <c r="S121" s="4"/>
      <c r="T121" s="2"/>
      <c r="U121" s="3"/>
      <c r="V121" s="4"/>
      <c r="W121" s="2"/>
      <c r="X121" s="3"/>
    </row>
    <row r="122" spans="1:24" ht="16.5" customHeight="1" x14ac:dyDescent="0.25">
      <c r="A122" s="6" t="s">
        <v>128</v>
      </c>
      <c r="B122" s="7">
        <v>0</v>
      </c>
      <c r="C122" s="8">
        <f>IFERROR(B122/B327, "NA")</f>
        <v>0</v>
      </c>
      <c r="D122" s="9"/>
      <c r="E122" s="7">
        <v>0</v>
      </c>
      <c r="F122" s="8">
        <f>IFERROR(E122/E327, "NA")</f>
        <v>0</v>
      </c>
      <c r="G122" s="9"/>
      <c r="H122" s="7">
        <v>0</v>
      </c>
      <c r="I122" s="8">
        <f>IFERROR(H122/H327, "NA")</f>
        <v>0</v>
      </c>
      <c r="J122" s="9"/>
      <c r="K122" s="7">
        <v>0</v>
      </c>
      <c r="L122" s="8">
        <f>IFERROR(K122/K327, "NA")</f>
        <v>0</v>
      </c>
      <c r="M122" s="9"/>
      <c r="N122" s="7">
        <v>0</v>
      </c>
      <c r="O122" s="8">
        <f>IFERROR(N122/N327, "NA")</f>
        <v>0</v>
      </c>
      <c r="P122" s="9"/>
      <c r="Q122" s="7">
        <v>0</v>
      </c>
      <c r="R122" s="8">
        <f>IFERROR(Q122/Q327, "NA")</f>
        <v>0</v>
      </c>
      <c r="S122" s="9"/>
      <c r="T122" s="7">
        <v>0</v>
      </c>
      <c r="U122" s="8">
        <f>IFERROR(T122/T327, "NA")</f>
        <v>0</v>
      </c>
      <c r="V122" s="9"/>
      <c r="W122" s="7">
        <v>0</v>
      </c>
      <c r="X122" s="8">
        <f>IFERROR(W122/W327, "NA")</f>
        <v>0</v>
      </c>
    </row>
    <row r="123" spans="1:24" ht="16.5" customHeight="1" x14ac:dyDescent="0.25">
      <c r="A123" s="6" t="s">
        <v>129</v>
      </c>
      <c r="B123" s="7">
        <v>471.15</v>
      </c>
      <c r="C123" s="8">
        <f>IFERROR(B123/B327, "NA")</f>
        <v>1.3351616863374065E-3</v>
      </c>
      <c r="D123" s="9"/>
      <c r="E123" s="7">
        <v>7134.63</v>
      </c>
      <c r="F123" s="8">
        <f>IFERROR(E123/E327, "NA")</f>
        <v>4.7487106265880888E-2</v>
      </c>
      <c r="G123" s="9"/>
      <c r="H123" s="7">
        <v>-1750.01</v>
      </c>
      <c r="I123" s="8">
        <f>IFERROR(H123/H327, "NA")</f>
        <v>-6.9223846885636924E-3</v>
      </c>
      <c r="J123" s="9"/>
      <c r="K123" s="7">
        <v>2692.31</v>
      </c>
      <c r="L123" s="8">
        <f>IFERROR(K123/K327, "NA")</f>
        <v>2.0591922058300401E-2</v>
      </c>
      <c r="M123" s="9"/>
      <c r="N123" s="7">
        <v>7134.63</v>
      </c>
      <c r="O123" s="8">
        <f>IFERROR(N123/N327, "NA")</f>
        <v>5.6846434480030926E-2</v>
      </c>
      <c r="P123" s="9"/>
      <c r="Q123" s="7">
        <v>2692.31</v>
      </c>
      <c r="R123" s="8">
        <f>IFERROR(Q123/Q327, "NA")</f>
        <v>3.3780552070263488E-2</v>
      </c>
      <c r="S123" s="9"/>
      <c r="T123" s="7">
        <v>7134.63</v>
      </c>
      <c r="U123" s="8">
        <f>IFERROR(T123/T327, "NA")</f>
        <v>8.0950878932731826E-2</v>
      </c>
      <c r="V123" s="9"/>
      <c r="W123" s="7">
        <v>-2692.31</v>
      </c>
      <c r="X123" s="8">
        <f>IFERROR(W123/W327, "NA")</f>
        <v>-1.8323207161180671E-2</v>
      </c>
    </row>
    <row r="124" spans="1:24" ht="16.5" customHeight="1" x14ac:dyDescent="0.25">
      <c r="A124" s="6" t="s">
        <v>130</v>
      </c>
      <c r="B124" s="7">
        <v>4442.32</v>
      </c>
      <c r="C124" s="8">
        <f>IFERROR(B124/B327, "NA")</f>
        <v>1.2588804971772021E-2</v>
      </c>
      <c r="D124" s="9"/>
      <c r="E124" s="7">
        <v>0</v>
      </c>
      <c r="F124" s="8">
        <f>IFERROR(E124/E327, "NA")</f>
        <v>0</v>
      </c>
      <c r="G124" s="9"/>
      <c r="H124" s="7">
        <v>4442.32</v>
      </c>
      <c r="I124" s="8">
        <f>IFERROR(H124/H327, "NA")</f>
        <v>1.7572155558939814E-2</v>
      </c>
      <c r="J124" s="9"/>
      <c r="K124" s="7">
        <v>0</v>
      </c>
      <c r="L124" s="8">
        <f>IFERROR(K124/K327, "NA")</f>
        <v>0</v>
      </c>
      <c r="M124" s="9"/>
      <c r="N124" s="7">
        <v>0</v>
      </c>
      <c r="O124" s="8">
        <f>IFERROR(N124/N327, "NA")</f>
        <v>0</v>
      </c>
      <c r="P124" s="9"/>
      <c r="Q124" s="7">
        <v>0</v>
      </c>
      <c r="R124" s="8">
        <f>IFERROR(Q124/Q327, "NA")</f>
        <v>0</v>
      </c>
      <c r="S124" s="9"/>
      <c r="T124" s="7">
        <v>0</v>
      </c>
      <c r="U124" s="8">
        <f>IFERROR(T124/T327, "NA")</f>
        <v>0</v>
      </c>
      <c r="V124" s="9"/>
      <c r="W124" s="7">
        <v>0</v>
      </c>
      <c r="X124" s="8">
        <f>IFERROR(W124/W327, "NA")</f>
        <v>0</v>
      </c>
    </row>
    <row r="125" spans="1:24" ht="30.75" customHeight="1" x14ac:dyDescent="0.25">
      <c r="A125" s="6" t="s">
        <v>131</v>
      </c>
      <c r="B125" s="7">
        <v>0</v>
      </c>
      <c r="C125" s="8">
        <f>IFERROR(B125/B327, "NA")</f>
        <v>0</v>
      </c>
      <c r="D125" s="9"/>
      <c r="E125" s="7">
        <v>0</v>
      </c>
      <c r="F125" s="8">
        <f>IFERROR(E125/E327, "NA")</f>
        <v>0</v>
      </c>
      <c r="G125" s="9"/>
      <c r="H125" s="7">
        <v>0</v>
      </c>
      <c r="I125" s="8">
        <f>IFERROR(H125/H327, "NA")</f>
        <v>0</v>
      </c>
      <c r="J125" s="9"/>
      <c r="K125" s="7">
        <v>0</v>
      </c>
      <c r="L125" s="8">
        <f>IFERROR(K125/K327, "NA")</f>
        <v>0</v>
      </c>
      <c r="M125" s="9"/>
      <c r="N125" s="7">
        <v>0</v>
      </c>
      <c r="O125" s="8">
        <f>IFERROR(N125/N327, "NA")</f>
        <v>0</v>
      </c>
      <c r="P125" s="9"/>
      <c r="Q125" s="7">
        <v>0</v>
      </c>
      <c r="R125" s="8">
        <f>IFERROR(Q125/Q327, "NA")</f>
        <v>0</v>
      </c>
      <c r="S125" s="9"/>
      <c r="T125" s="7">
        <v>0</v>
      </c>
      <c r="U125" s="8">
        <f>IFERROR(T125/T327, "NA")</f>
        <v>0</v>
      </c>
      <c r="V125" s="9"/>
      <c r="W125" s="7">
        <v>0</v>
      </c>
      <c r="X125" s="8">
        <f>IFERROR(W125/W327, "NA")</f>
        <v>0</v>
      </c>
    </row>
    <row r="126" spans="1:24" ht="16.5" customHeight="1" x14ac:dyDescent="0.25">
      <c r="A126" s="6" t="s">
        <v>132</v>
      </c>
      <c r="B126" s="7">
        <v>0</v>
      </c>
      <c r="C126" s="8">
        <f>IFERROR(B126/B327, "NA")</f>
        <v>0</v>
      </c>
      <c r="D126" s="9"/>
      <c r="E126" s="7">
        <v>0</v>
      </c>
      <c r="F126" s="8">
        <f>IFERROR(E126/E327, "NA")</f>
        <v>0</v>
      </c>
      <c r="G126" s="9"/>
      <c r="H126" s="7">
        <v>0</v>
      </c>
      <c r="I126" s="8">
        <f>IFERROR(H126/H327, "NA")</f>
        <v>0</v>
      </c>
      <c r="J126" s="9"/>
      <c r="K126" s="7">
        <v>0</v>
      </c>
      <c r="L126" s="8">
        <f>IFERROR(K126/K327, "NA")</f>
        <v>0</v>
      </c>
      <c r="M126" s="9"/>
      <c r="N126" s="7">
        <v>0</v>
      </c>
      <c r="O126" s="8">
        <f>IFERROR(N126/N327, "NA")</f>
        <v>0</v>
      </c>
      <c r="P126" s="9"/>
      <c r="Q126" s="7">
        <v>0</v>
      </c>
      <c r="R126" s="8">
        <f>IFERROR(Q126/Q327, "NA")</f>
        <v>0</v>
      </c>
      <c r="S126" s="9"/>
      <c r="T126" s="7">
        <v>0</v>
      </c>
      <c r="U126" s="8">
        <f>IFERROR(T126/T327, "NA")</f>
        <v>0</v>
      </c>
      <c r="V126" s="9"/>
      <c r="W126" s="7">
        <v>0</v>
      </c>
      <c r="X126" s="8">
        <f>IFERROR(W126/W327, "NA")</f>
        <v>0</v>
      </c>
    </row>
    <row r="127" spans="1:24" ht="16.5" customHeight="1" x14ac:dyDescent="0.25">
      <c r="A127" s="6" t="s">
        <v>133</v>
      </c>
      <c r="B127" s="7">
        <v>0</v>
      </c>
      <c r="C127" s="8">
        <f>IFERROR(B127/B327, "NA")</f>
        <v>0</v>
      </c>
      <c r="D127" s="9"/>
      <c r="E127" s="7">
        <v>0</v>
      </c>
      <c r="F127" s="8">
        <f>IFERROR(E127/E327, "NA")</f>
        <v>0</v>
      </c>
      <c r="G127" s="9"/>
      <c r="H127" s="7">
        <v>0</v>
      </c>
      <c r="I127" s="8">
        <f>IFERROR(H127/H327, "NA")</f>
        <v>0</v>
      </c>
      <c r="J127" s="9"/>
      <c r="K127" s="7">
        <v>0</v>
      </c>
      <c r="L127" s="8">
        <f>IFERROR(K127/K327, "NA")</f>
        <v>0</v>
      </c>
      <c r="M127" s="9"/>
      <c r="N127" s="7">
        <v>0</v>
      </c>
      <c r="O127" s="8">
        <f>IFERROR(N127/N327, "NA")</f>
        <v>0</v>
      </c>
      <c r="P127" s="9"/>
      <c r="Q127" s="7">
        <v>0</v>
      </c>
      <c r="R127" s="8">
        <f>IFERROR(Q127/Q327, "NA")</f>
        <v>0</v>
      </c>
      <c r="S127" s="9"/>
      <c r="T127" s="7">
        <v>0</v>
      </c>
      <c r="U127" s="8">
        <f>IFERROR(T127/T327, "NA")</f>
        <v>0</v>
      </c>
      <c r="V127" s="9"/>
      <c r="W127" s="7">
        <v>0</v>
      </c>
      <c r="X127" s="8">
        <f>IFERROR(W127/W327, "NA")</f>
        <v>0</v>
      </c>
    </row>
    <row r="128" spans="1:24" ht="16.5" customHeight="1" x14ac:dyDescent="0.25">
      <c r="A128" s="6" t="s">
        <v>134</v>
      </c>
      <c r="B128" s="7">
        <v>0</v>
      </c>
      <c r="C128" s="8">
        <f>IFERROR(B128/B327, "NA")</f>
        <v>0</v>
      </c>
      <c r="D128" s="9"/>
      <c r="E128" s="7">
        <v>0</v>
      </c>
      <c r="F128" s="8">
        <f>IFERROR(E128/E327, "NA")</f>
        <v>0</v>
      </c>
      <c r="G128" s="9"/>
      <c r="H128" s="7">
        <v>0</v>
      </c>
      <c r="I128" s="8">
        <f>IFERROR(H128/H327, "NA")</f>
        <v>0</v>
      </c>
      <c r="J128" s="9"/>
      <c r="K128" s="7">
        <v>0</v>
      </c>
      <c r="L128" s="8">
        <f>IFERROR(K128/K327, "NA")</f>
        <v>0</v>
      </c>
      <c r="M128" s="9"/>
      <c r="N128" s="7">
        <v>0</v>
      </c>
      <c r="O128" s="8">
        <f>IFERROR(N128/N327, "NA")</f>
        <v>0</v>
      </c>
      <c r="P128" s="9"/>
      <c r="Q128" s="7">
        <v>0</v>
      </c>
      <c r="R128" s="8">
        <f>IFERROR(Q128/Q327, "NA")</f>
        <v>0</v>
      </c>
      <c r="S128" s="9"/>
      <c r="T128" s="7">
        <v>0</v>
      </c>
      <c r="U128" s="8">
        <f>IFERROR(T128/T327, "NA")</f>
        <v>0</v>
      </c>
      <c r="V128" s="9"/>
      <c r="W128" s="7">
        <v>0</v>
      </c>
      <c r="X128" s="8">
        <f>IFERROR(W128/W327, "NA")</f>
        <v>0</v>
      </c>
    </row>
    <row r="129" spans="1:24" ht="16.5" customHeight="1" x14ac:dyDescent="0.25">
      <c r="A129" s="6" t="s">
        <v>135</v>
      </c>
      <c r="B129" s="7">
        <v>0</v>
      </c>
      <c r="C129" s="8">
        <f>IFERROR(B129/B327, "NA")</f>
        <v>0</v>
      </c>
      <c r="D129" s="9"/>
      <c r="E129" s="7">
        <v>0</v>
      </c>
      <c r="F129" s="8">
        <f>IFERROR(E129/E327, "NA")</f>
        <v>0</v>
      </c>
      <c r="G129" s="9"/>
      <c r="H129" s="7">
        <v>0</v>
      </c>
      <c r="I129" s="8">
        <f>IFERROR(H129/H327, "NA")</f>
        <v>0</v>
      </c>
      <c r="J129" s="9"/>
      <c r="K129" s="7">
        <v>0</v>
      </c>
      <c r="L129" s="8">
        <f>IFERROR(K129/K327, "NA")</f>
        <v>0</v>
      </c>
      <c r="M129" s="9"/>
      <c r="N129" s="7">
        <v>0</v>
      </c>
      <c r="O129" s="8">
        <f>IFERROR(N129/N327, "NA")</f>
        <v>0</v>
      </c>
      <c r="P129" s="9"/>
      <c r="Q129" s="7">
        <v>0</v>
      </c>
      <c r="R129" s="8">
        <f>IFERROR(Q129/Q327, "NA")</f>
        <v>0</v>
      </c>
      <c r="S129" s="9"/>
      <c r="T129" s="7">
        <v>0</v>
      </c>
      <c r="U129" s="8">
        <f>IFERROR(T129/T327, "NA")</f>
        <v>0</v>
      </c>
      <c r="V129" s="9"/>
      <c r="W129" s="7">
        <v>0</v>
      </c>
      <c r="X129" s="8">
        <f>IFERROR(W129/W327, "NA")</f>
        <v>0</v>
      </c>
    </row>
    <row r="130" spans="1:24" ht="16.5" customHeight="1" x14ac:dyDescent="0.25">
      <c r="A130" s="6" t="s">
        <v>136</v>
      </c>
      <c r="B130" s="7">
        <v>0</v>
      </c>
      <c r="C130" s="8">
        <f>IFERROR(B130/B327, "NA")</f>
        <v>0</v>
      </c>
      <c r="D130" s="9"/>
      <c r="E130" s="7">
        <v>0</v>
      </c>
      <c r="F130" s="8">
        <f>IFERROR(E130/E327, "NA")</f>
        <v>0</v>
      </c>
      <c r="G130" s="9"/>
      <c r="H130" s="7">
        <v>0</v>
      </c>
      <c r="I130" s="8">
        <f>IFERROR(H130/H327, "NA")</f>
        <v>0</v>
      </c>
      <c r="J130" s="9"/>
      <c r="K130" s="7">
        <v>0</v>
      </c>
      <c r="L130" s="8">
        <f>IFERROR(K130/K327, "NA")</f>
        <v>0</v>
      </c>
      <c r="M130" s="9"/>
      <c r="N130" s="7">
        <v>0</v>
      </c>
      <c r="O130" s="8">
        <f>IFERROR(N130/N327, "NA")</f>
        <v>0</v>
      </c>
      <c r="P130" s="9"/>
      <c r="Q130" s="7">
        <v>0</v>
      </c>
      <c r="R130" s="8">
        <f>IFERROR(Q130/Q327, "NA")</f>
        <v>0</v>
      </c>
      <c r="S130" s="9"/>
      <c r="T130" s="7">
        <v>0</v>
      </c>
      <c r="U130" s="8">
        <f>IFERROR(T130/T327, "NA")</f>
        <v>0</v>
      </c>
      <c r="V130" s="9"/>
      <c r="W130" s="7">
        <v>0</v>
      </c>
      <c r="X130" s="8">
        <f>IFERROR(W130/W327, "NA")</f>
        <v>0</v>
      </c>
    </row>
    <row r="131" spans="1:24" ht="16.5" customHeight="1" x14ac:dyDescent="0.25">
      <c r="A131" s="6" t="s">
        <v>137</v>
      </c>
      <c r="B131" s="7">
        <v>0</v>
      </c>
      <c r="C131" s="8">
        <f>IFERROR(B131/B327, "NA")</f>
        <v>0</v>
      </c>
      <c r="D131" s="9"/>
      <c r="E131" s="7">
        <v>0</v>
      </c>
      <c r="F131" s="8">
        <f>IFERROR(E131/E327, "NA")</f>
        <v>0</v>
      </c>
      <c r="G131" s="9"/>
      <c r="H131" s="7">
        <v>0</v>
      </c>
      <c r="I131" s="8">
        <f>IFERROR(H131/H327, "NA")</f>
        <v>0</v>
      </c>
      <c r="J131" s="9"/>
      <c r="K131" s="7">
        <v>0</v>
      </c>
      <c r="L131" s="8">
        <f>IFERROR(K131/K327, "NA")</f>
        <v>0</v>
      </c>
      <c r="M131" s="9"/>
      <c r="N131" s="7">
        <v>0</v>
      </c>
      <c r="O131" s="8">
        <f>IFERROR(N131/N327, "NA")</f>
        <v>0</v>
      </c>
      <c r="P131" s="9"/>
      <c r="Q131" s="7">
        <v>0</v>
      </c>
      <c r="R131" s="8">
        <f>IFERROR(Q131/Q327, "NA")</f>
        <v>0</v>
      </c>
      <c r="S131" s="9"/>
      <c r="T131" s="7">
        <v>0</v>
      </c>
      <c r="U131" s="8">
        <f>IFERROR(T131/T327, "NA")</f>
        <v>0</v>
      </c>
      <c r="V131" s="9"/>
      <c r="W131" s="7">
        <v>0</v>
      </c>
      <c r="X131" s="8">
        <f>IFERROR(W131/W327, "NA")</f>
        <v>0</v>
      </c>
    </row>
    <row r="132" spans="1:24" ht="16.5" customHeight="1" x14ac:dyDescent="0.25">
      <c r="A132" s="6" t="s">
        <v>138</v>
      </c>
      <c r="B132" s="7">
        <v>0</v>
      </c>
      <c r="C132" s="8">
        <f>IFERROR(B132/B327, "NA")</f>
        <v>0</v>
      </c>
      <c r="D132" s="9"/>
      <c r="E132" s="7">
        <v>0</v>
      </c>
      <c r="F132" s="8">
        <f>IFERROR(E132/E327, "NA")</f>
        <v>0</v>
      </c>
      <c r="G132" s="9"/>
      <c r="H132" s="7">
        <v>0</v>
      </c>
      <c r="I132" s="8">
        <f>IFERROR(H132/H327, "NA")</f>
        <v>0</v>
      </c>
      <c r="J132" s="9"/>
      <c r="K132" s="7">
        <v>0</v>
      </c>
      <c r="L132" s="8">
        <f>IFERROR(K132/K327, "NA")</f>
        <v>0</v>
      </c>
      <c r="M132" s="9"/>
      <c r="N132" s="7">
        <v>0</v>
      </c>
      <c r="O132" s="8">
        <f>IFERROR(N132/N327, "NA")</f>
        <v>0</v>
      </c>
      <c r="P132" s="9"/>
      <c r="Q132" s="7">
        <v>0</v>
      </c>
      <c r="R132" s="8">
        <f>IFERROR(Q132/Q327, "NA")</f>
        <v>0</v>
      </c>
      <c r="S132" s="9"/>
      <c r="T132" s="7">
        <v>0</v>
      </c>
      <c r="U132" s="8">
        <f>IFERROR(T132/T327, "NA")</f>
        <v>0</v>
      </c>
      <c r="V132" s="9"/>
      <c r="W132" s="7">
        <v>0</v>
      </c>
      <c r="X132" s="8">
        <f>IFERROR(W132/W327, "NA")</f>
        <v>0</v>
      </c>
    </row>
    <row r="133" spans="1:24" ht="16.5" customHeight="1" x14ac:dyDescent="0.25">
      <c r="A133" s="6" t="s">
        <v>139</v>
      </c>
      <c r="B133" s="7">
        <v>0</v>
      </c>
      <c r="C133" s="8">
        <f>IFERROR(B133/B327, "NA")</f>
        <v>0</v>
      </c>
      <c r="D133" s="9"/>
      <c r="E133" s="7">
        <v>0</v>
      </c>
      <c r="F133" s="8">
        <f>IFERROR(E133/E327, "NA")</f>
        <v>0</v>
      </c>
      <c r="G133" s="9"/>
      <c r="H133" s="7">
        <v>0</v>
      </c>
      <c r="I133" s="8">
        <f>IFERROR(H133/H327, "NA")</f>
        <v>0</v>
      </c>
      <c r="J133" s="9"/>
      <c r="K133" s="7">
        <v>0</v>
      </c>
      <c r="L133" s="8">
        <f>IFERROR(K133/K327, "NA")</f>
        <v>0</v>
      </c>
      <c r="M133" s="9"/>
      <c r="N133" s="7">
        <v>0</v>
      </c>
      <c r="O133" s="8">
        <f>IFERROR(N133/N327, "NA")</f>
        <v>0</v>
      </c>
      <c r="P133" s="9"/>
      <c r="Q133" s="7">
        <v>0</v>
      </c>
      <c r="R133" s="8">
        <f>IFERROR(Q133/Q327, "NA")</f>
        <v>0</v>
      </c>
      <c r="S133" s="9"/>
      <c r="T133" s="7">
        <v>0</v>
      </c>
      <c r="U133" s="8">
        <f>IFERROR(T133/T327, "NA")</f>
        <v>0</v>
      </c>
      <c r="V133" s="9"/>
      <c r="W133" s="7">
        <v>0</v>
      </c>
      <c r="X133" s="8">
        <f>IFERROR(W133/W327, "NA")</f>
        <v>0</v>
      </c>
    </row>
    <row r="134" spans="1:24" ht="16.5" customHeight="1" x14ac:dyDescent="0.25">
      <c r="A134" s="6" t="s">
        <v>140</v>
      </c>
      <c r="B134" s="7">
        <v>0</v>
      </c>
      <c r="C134" s="8">
        <f>IFERROR(B134/B327, "NA")</f>
        <v>0</v>
      </c>
      <c r="D134" s="9"/>
      <c r="E134" s="7">
        <v>0</v>
      </c>
      <c r="F134" s="8">
        <f>IFERROR(E134/E327, "NA")</f>
        <v>0</v>
      </c>
      <c r="G134" s="9"/>
      <c r="H134" s="7">
        <v>0</v>
      </c>
      <c r="I134" s="8">
        <f>IFERROR(H134/H327, "NA")</f>
        <v>0</v>
      </c>
      <c r="J134" s="9"/>
      <c r="K134" s="7">
        <v>0</v>
      </c>
      <c r="L134" s="8">
        <f>IFERROR(K134/K327, "NA")</f>
        <v>0</v>
      </c>
      <c r="M134" s="9"/>
      <c r="N134" s="7">
        <v>0</v>
      </c>
      <c r="O134" s="8">
        <f>IFERROR(N134/N327, "NA")</f>
        <v>0</v>
      </c>
      <c r="P134" s="9"/>
      <c r="Q134" s="7">
        <v>0</v>
      </c>
      <c r="R134" s="8">
        <f>IFERROR(Q134/Q327, "NA")</f>
        <v>0</v>
      </c>
      <c r="S134" s="9"/>
      <c r="T134" s="7">
        <v>0</v>
      </c>
      <c r="U134" s="8">
        <f>IFERROR(T134/T327, "NA")</f>
        <v>0</v>
      </c>
      <c r="V134" s="9"/>
      <c r="W134" s="7">
        <v>0</v>
      </c>
      <c r="X134" s="8">
        <f>IFERROR(W134/W327, "NA")</f>
        <v>0</v>
      </c>
    </row>
    <row r="135" spans="1:24" ht="16.5" customHeight="1" x14ac:dyDescent="0.25">
      <c r="A135" s="6" t="s">
        <v>141</v>
      </c>
      <c r="B135" s="7">
        <v>0</v>
      </c>
      <c r="C135" s="8">
        <f>IFERROR(B135/B327, "NA")</f>
        <v>0</v>
      </c>
      <c r="D135" s="9"/>
      <c r="E135" s="7">
        <v>0</v>
      </c>
      <c r="F135" s="8">
        <f>IFERROR(E135/E327, "NA")</f>
        <v>0</v>
      </c>
      <c r="G135" s="9"/>
      <c r="H135" s="7">
        <v>0</v>
      </c>
      <c r="I135" s="8">
        <f>IFERROR(H135/H327, "NA")</f>
        <v>0</v>
      </c>
      <c r="J135" s="9"/>
      <c r="K135" s="7">
        <v>0</v>
      </c>
      <c r="L135" s="8">
        <f>IFERROR(K135/K327, "NA")</f>
        <v>0</v>
      </c>
      <c r="M135" s="9"/>
      <c r="N135" s="7">
        <v>0</v>
      </c>
      <c r="O135" s="8">
        <f>IFERROR(N135/N327, "NA")</f>
        <v>0</v>
      </c>
      <c r="P135" s="9"/>
      <c r="Q135" s="7">
        <v>0</v>
      </c>
      <c r="R135" s="8">
        <f>IFERROR(Q135/Q327, "NA")</f>
        <v>0</v>
      </c>
      <c r="S135" s="9"/>
      <c r="T135" s="7">
        <v>0</v>
      </c>
      <c r="U135" s="8">
        <f>IFERROR(T135/T327, "NA")</f>
        <v>0</v>
      </c>
      <c r="V135" s="9"/>
      <c r="W135" s="7">
        <v>0</v>
      </c>
      <c r="X135" s="8">
        <f>IFERROR(W135/W327, "NA")</f>
        <v>0</v>
      </c>
    </row>
    <row r="136" spans="1:24" ht="16.5" customHeight="1" x14ac:dyDescent="0.25">
      <c r="A136" s="6" t="s">
        <v>142</v>
      </c>
      <c r="B136" s="7">
        <v>0</v>
      </c>
      <c r="C136" s="8">
        <f>IFERROR(B136/B327, "NA")</f>
        <v>0</v>
      </c>
      <c r="D136" s="9"/>
      <c r="E136" s="7">
        <v>0</v>
      </c>
      <c r="F136" s="8">
        <f>IFERROR(E136/E327, "NA")</f>
        <v>0</v>
      </c>
      <c r="G136" s="9"/>
      <c r="H136" s="7">
        <v>0</v>
      </c>
      <c r="I136" s="8">
        <f>IFERROR(H136/H327, "NA")</f>
        <v>0</v>
      </c>
      <c r="J136" s="9"/>
      <c r="K136" s="7">
        <v>0</v>
      </c>
      <c r="L136" s="8">
        <f>IFERROR(K136/K327, "NA")</f>
        <v>0</v>
      </c>
      <c r="M136" s="9"/>
      <c r="N136" s="7">
        <v>0</v>
      </c>
      <c r="O136" s="8">
        <f>IFERROR(N136/N327, "NA")</f>
        <v>0</v>
      </c>
      <c r="P136" s="9"/>
      <c r="Q136" s="7">
        <v>0</v>
      </c>
      <c r="R136" s="8">
        <f>IFERROR(Q136/Q327, "NA")</f>
        <v>0</v>
      </c>
      <c r="S136" s="9"/>
      <c r="T136" s="7">
        <v>0</v>
      </c>
      <c r="U136" s="8">
        <f>IFERROR(T136/T327, "NA")</f>
        <v>0</v>
      </c>
      <c r="V136" s="9"/>
      <c r="W136" s="7">
        <v>0</v>
      </c>
      <c r="X136" s="8">
        <f>IFERROR(W136/W327, "NA")</f>
        <v>0</v>
      </c>
    </row>
    <row r="137" spans="1:24" ht="16.5" customHeight="1" x14ac:dyDescent="0.25">
      <c r="A137" s="6" t="s">
        <v>143</v>
      </c>
      <c r="B137" s="7">
        <v>0</v>
      </c>
      <c r="C137" s="8">
        <f>IFERROR(B137/B327, "NA")</f>
        <v>0</v>
      </c>
      <c r="D137" s="9"/>
      <c r="E137" s="7">
        <v>0</v>
      </c>
      <c r="F137" s="8">
        <f>IFERROR(E137/E327, "NA")</f>
        <v>0</v>
      </c>
      <c r="G137" s="9"/>
      <c r="H137" s="7">
        <v>0</v>
      </c>
      <c r="I137" s="8">
        <f>IFERROR(H137/H327, "NA")</f>
        <v>0</v>
      </c>
      <c r="J137" s="9"/>
      <c r="K137" s="7">
        <v>0</v>
      </c>
      <c r="L137" s="8">
        <f>IFERROR(K137/K327, "NA")</f>
        <v>0</v>
      </c>
      <c r="M137" s="9"/>
      <c r="N137" s="7">
        <v>0</v>
      </c>
      <c r="O137" s="8">
        <f>IFERROR(N137/N327, "NA")</f>
        <v>0</v>
      </c>
      <c r="P137" s="9"/>
      <c r="Q137" s="7">
        <v>0</v>
      </c>
      <c r="R137" s="8">
        <f>IFERROR(Q137/Q327, "NA")</f>
        <v>0</v>
      </c>
      <c r="S137" s="9"/>
      <c r="T137" s="7">
        <v>0</v>
      </c>
      <c r="U137" s="8">
        <f>IFERROR(T137/T327, "NA")</f>
        <v>0</v>
      </c>
      <c r="V137" s="9"/>
      <c r="W137" s="7">
        <v>0</v>
      </c>
      <c r="X137" s="8">
        <f>IFERROR(W137/W327, "NA")</f>
        <v>0</v>
      </c>
    </row>
    <row r="138" spans="1:24" ht="16.5" customHeight="1" x14ac:dyDescent="0.25">
      <c r="A138" s="6" t="s">
        <v>144</v>
      </c>
      <c r="B138" s="7">
        <v>0</v>
      </c>
      <c r="C138" s="8">
        <f>IFERROR(B138/B327, "NA")</f>
        <v>0</v>
      </c>
      <c r="D138" s="9"/>
      <c r="E138" s="7">
        <v>0</v>
      </c>
      <c r="F138" s="8">
        <f>IFERROR(E138/E327, "NA")</f>
        <v>0</v>
      </c>
      <c r="G138" s="9"/>
      <c r="H138" s="7">
        <v>0</v>
      </c>
      <c r="I138" s="8">
        <f>IFERROR(H138/H327, "NA")</f>
        <v>0</v>
      </c>
      <c r="J138" s="9"/>
      <c r="K138" s="7">
        <v>0</v>
      </c>
      <c r="L138" s="8">
        <f>IFERROR(K138/K327, "NA")</f>
        <v>0</v>
      </c>
      <c r="M138" s="9"/>
      <c r="N138" s="7">
        <v>0</v>
      </c>
      <c r="O138" s="8">
        <f>IFERROR(N138/N327, "NA")</f>
        <v>0</v>
      </c>
      <c r="P138" s="9"/>
      <c r="Q138" s="7">
        <v>0</v>
      </c>
      <c r="R138" s="8">
        <f>IFERROR(Q138/Q327, "NA")</f>
        <v>0</v>
      </c>
      <c r="S138" s="9"/>
      <c r="T138" s="7">
        <v>0</v>
      </c>
      <c r="U138" s="8">
        <f>IFERROR(T138/T327, "NA")</f>
        <v>0</v>
      </c>
      <c r="V138" s="9"/>
      <c r="W138" s="7">
        <v>0</v>
      </c>
      <c r="X138" s="8">
        <f>IFERROR(W138/W327, "NA")</f>
        <v>0</v>
      </c>
    </row>
    <row r="139" spans="1:24" ht="16.5" customHeight="1" x14ac:dyDescent="0.25">
      <c r="A139" s="6" t="s">
        <v>145</v>
      </c>
      <c r="B139" s="7">
        <v>7880.16</v>
      </c>
      <c r="C139" s="8">
        <f>IFERROR(B139/B327, "NA")</f>
        <v>2.2331078667533859E-2</v>
      </c>
      <c r="D139" s="9"/>
      <c r="E139" s="7">
        <v>9010.6200000000008</v>
      </c>
      <c r="F139" s="8">
        <f>IFERROR(E139/E327, "NA")</f>
        <v>5.9973435127185531E-2</v>
      </c>
      <c r="G139" s="9"/>
      <c r="H139" s="7">
        <v>7898.62</v>
      </c>
      <c r="I139" s="8">
        <f>IFERROR(H139/H327, "NA")</f>
        <v>3.1243984976533249E-2</v>
      </c>
      <c r="J139" s="9"/>
      <c r="K139" s="7">
        <v>8891.6200000000008</v>
      </c>
      <c r="L139" s="8">
        <f>IFERROR(K139/K327, "NA")</f>
        <v>6.8006858798587463E-2</v>
      </c>
      <c r="M139" s="9"/>
      <c r="N139" s="7">
        <v>6269.62</v>
      </c>
      <c r="O139" s="8">
        <f>IFERROR(N139/N327, "NA")</f>
        <v>4.9954313334355321E-2</v>
      </c>
      <c r="P139" s="9"/>
      <c r="Q139" s="7">
        <v>7387.18</v>
      </c>
      <c r="R139" s="8">
        <f>IFERROR(Q139/Q327, "NA")</f>
        <v>9.2687327478042661E-2</v>
      </c>
      <c r="S139" s="9"/>
      <c r="T139" s="7">
        <v>7387.18</v>
      </c>
      <c r="U139" s="8">
        <f>IFERROR(T139/T327, "NA")</f>
        <v>8.3816359619811806E-2</v>
      </c>
      <c r="V139" s="9"/>
      <c r="W139" s="7">
        <v>7387.18</v>
      </c>
      <c r="X139" s="8">
        <f>IFERROR(W139/W327, "NA")</f>
        <v>5.0275350712559341E-2</v>
      </c>
    </row>
    <row r="140" spans="1:24" ht="16.5" customHeight="1" x14ac:dyDescent="0.25">
      <c r="A140" s="6" t="s">
        <v>146</v>
      </c>
      <c r="B140" s="7">
        <v>0</v>
      </c>
      <c r="C140" s="8">
        <f>IFERROR(B140/B327, "NA")</f>
        <v>0</v>
      </c>
      <c r="D140" s="9"/>
      <c r="E140" s="7">
        <v>0</v>
      </c>
      <c r="F140" s="8">
        <f>IFERROR(E140/E327, "NA")</f>
        <v>0</v>
      </c>
      <c r="G140" s="9"/>
      <c r="H140" s="7">
        <v>0</v>
      </c>
      <c r="I140" s="8">
        <f>IFERROR(H140/H327, "NA")</f>
        <v>0</v>
      </c>
      <c r="J140" s="9"/>
      <c r="K140" s="7">
        <v>0</v>
      </c>
      <c r="L140" s="8">
        <f>IFERROR(K140/K327, "NA")</f>
        <v>0</v>
      </c>
      <c r="M140" s="9"/>
      <c r="N140" s="7">
        <v>0</v>
      </c>
      <c r="O140" s="8">
        <f>IFERROR(N140/N327, "NA")</f>
        <v>0</v>
      </c>
      <c r="P140" s="9"/>
      <c r="Q140" s="7">
        <v>0</v>
      </c>
      <c r="R140" s="8">
        <f>IFERROR(Q140/Q327, "NA")</f>
        <v>0</v>
      </c>
      <c r="S140" s="9"/>
      <c r="T140" s="7">
        <v>0</v>
      </c>
      <c r="U140" s="8">
        <f>IFERROR(T140/T327, "NA")</f>
        <v>0</v>
      </c>
      <c r="V140" s="9"/>
      <c r="W140" s="7">
        <v>0</v>
      </c>
      <c r="X140" s="8">
        <f>IFERROR(W140/W327, "NA")</f>
        <v>0</v>
      </c>
    </row>
    <row r="141" spans="1:24" ht="16.5" customHeight="1" x14ac:dyDescent="0.25">
      <c r="A141" s="6" t="s">
        <v>147</v>
      </c>
      <c r="B141" s="7">
        <v>15124.13</v>
      </c>
      <c r="C141" s="8">
        <f>IFERROR(B141/B327, "NA")</f>
        <v>4.2859299406104549E-2</v>
      </c>
      <c r="D141" s="9"/>
      <c r="E141" s="7">
        <v>0</v>
      </c>
      <c r="F141" s="8">
        <f>IFERROR(E141/E327, "NA")</f>
        <v>0</v>
      </c>
      <c r="G141" s="9"/>
      <c r="H141" s="7">
        <v>0</v>
      </c>
      <c r="I141" s="8">
        <f>IFERROR(H141/H327, "NA")</f>
        <v>0</v>
      </c>
      <c r="J141" s="9"/>
      <c r="K141" s="7">
        <v>0</v>
      </c>
      <c r="L141" s="8">
        <f>IFERROR(K141/K327, "NA")</f>
        <v>0</v>
      </c>
      <c r="M141" s="9"/>
      <c r="N141" s="7">
        <v>12238.95</v>
      </c>
      <c r="O141" s="8">
        <f>IFERROR(N141/N327, "NA")</f>
        <v>9.7516012642474045E-2</v>
      </c>
      <c r="P141" s="9"/>
      <c r="Q141" s="7">
        <v>0</v>
      </c>
      <c r="R141" s="8">
        <f>IFERROR(Q141/Q327, "NA")</f>
        <v>0</v>
      </c>
      <c r="S141" s="9"/>
      <c r="T141" s="7">
        <v>0</v>
      </c>
      <c r="U141" s="8">
        <f>IFERROR(T141/T327, "NA")</f>
        <v>0</v>
      </c>
      <c r="V141" s="9"/>
      <c r="W141" s="7">
        <v>0</v>
      </c>
      <c r="X141" s="8">
        <f>IFERROR(W141/W327, "NA")</f>
        <v>0</v>
      </c>
    </row>
    <row r="142" spans="1:24" ht="16.5" customHeight="1" x14ac:dyDescent="0.25">
      <c r="A142" s="6" t="s">
        <v>148</v>
      </c>
      <c r="B142" s="7">
        <v>7513.18</v>
      </c>
      <c r="C142" s="8">
        <f>IFERROR(B142/B327, "NA")</f>
        <v>2.1291117645243503E-2</v>
      </c>
      <c r="D142" s="9"/>
      <c r="E142" s="7">
        <v>0</v>
      </c>
      <c r="F142" s="8">
        <f>IFERROR(E142/E327, "NA")</f>
        <v>0</v>
      </c>
      <c r="G142" s="9"/>
      <c r="H142" s="7">
        <v>0</v>
      </c>
      <c r="I142" s="8">
        <f>IFERROR(H142/H327, "NA")</f>
        <v>0</v>
      </c>
      <c r="J142" s="9"/>
      <c r="K142" s="7">
        <v>0</v>
      </c>
      <c r="L142" s="8">
        <f>IFERROR(K142/K327, "NA")</f>
        <v>0</v>
      </c>
      <c r="M142" s="9"/>
      <c r="N142" s="7">
        <v>5373.5</v>
      </c>
      <c r="O142" s="8">
        <f>IFERROR(N142/N327, "NA")</f>
        <v>4.2814317726139431E-2</v>
      </c>
      <c r="P142" s="9"/>
      <c r="Q142" s="7">
        <v>0</v>
      </c>
      <c r="R142" s="8">
        <f>IFERROR(Q142/Q327, "NA")</f>
        <v>0</v>
      </c>
      <c r="S142" s="9"/>
      <c r="T142" s="7">
        <v>0</v>
      </c>
      <c r="U142" s="8">
        <f>IFERROR(T142/T327, "NA")</f>
        <v>0</v>
      </c>
      <c r="V142" s="9"/>
      <c r="W142" s="7">
        <v>0</v>
      </c>
      <c r="X142" s="8">
        <f>IFERROR(W142/W327, "NA")</f>
        <v>0</v>
      </c>
    </row>
    <row r="143" spans="1:24" ht="16.5" customHeight="1" x14ac:dyDescent="0.25">
      <c r="A143" s="10" t="s">
        <v>149</v>
      </c>
      <c r="B143" s="11">
        <f>IFERROR(B122+B123+B124+B125+B126+B127+B128+B129+B130+B131+B132+B133+B134+B135+B136+B137+B138+B139+B140+B141+B142, "NA")</f>
        <v>35430.94</v>
      </c>
      <c r="C143" s="12">
        <f>IFERROR(B143/B327, "NA")</f>
        <v>0.10040546237699136</v>
      </c>
      <c r="D143" s="2"/>
      <c r="E143" s="11">
        <f>IFERROR(E122+E123+E124+E125+E126+E127+E128+E129+E130+E131+E132+E133+E134+E135+E136+E137+E138+E139+E140+E141+E142, "NA")</f>
        <v>16145.25</v>
      </c>
      <c r="F143" s="12">
        <f>IFERROR(E143/E327, "NA")</f>
        <v>0.10746054139306641</v>
      </c>
      <c r="G143" s="2"/>
      <c r="H143" s="11">
        <f>IFERROR(H122+H123+H124+H125+H126+H127+H128+H129+H130+H131+H132+H133+H134+H135+H136+H137+H138+H139+H140+H141+H142, "NA")</f>
        <v>10590.93</v>
      </c>
      <c r="I143" s="12">
        <f>IFERROR(H143/H327, "NA")</f>
        <v>4.1893755846909374E-2</v>
      </c>
      <c r="J143" s="2"/>
      <c r="K143" s="11">
        <f>IFERROR(K122+K123+K124+K125+K126+K127+K128+K129+K130+K131+K132+K133+K134+K135+K136+K137+K138+K139+K140+K141+K142, "NA")</f>
        <v>11583.93</v>
      </c>
      <c r="L143" s="12">
        <f>IFERROR(K143/K327, "NA")</f>
        <v>8.8598780856887868E-2</v>
      </c>
      <c r="M143" s="2"/>
      <c r="N143" s="11">
        <f>IFERROR(N122+N123+N124+N125+N126+N127+N128+N129+N130+N131+N132+N133+N134+N135+N136+N137+N138+N139+N140+N141+N142, "NA")</f>
        <v>31016.7</v>
      </c>
      <c r="O143" s="12">
        <f>IFERROR(N143/N327, "NA")</f>
        <v>0.24713107818299973</v>
      </c>
      <c r="P143" s="2"/>
      <c r="Q143" s="11">
        <f>IFERROR(Q122+Q123+Q124+Q125+Q126+Q127+Q128+Q129+Q130+Q131+Q132+Q133+Q134+Q135+Q136+Q137+Q138+Q139+Q140+Q141+Q142, "NA")</f>
        <v>10079.49</v>
      </c>
      <c r="R143" s="12">
        <f>IFERROR(Q143/Q327, "NA")</f>
        <v>0.12646787954830616</v>
      </c>
      <c r="S143" s="2"/>
      <c r="T143" s="11">
        <f>IFERROR(T122+T123+T124+T125+T126+T127+T128+T129+T130+T131+T132+T133+T134+T135+T136+T137+T138+T139+T140+T141+T142, "NA")</f>
        <v>14521.810000000001</v>
      </c>
      <c r="U143" s="12">
        <f>IFERROR(T143/T327, "NA")</f>
        <v>0.16476723855254366</v>
      </c>
      <c r="V143" s="2"/>
      <c r="W143" s="11">
        <f>IFERROR(W122+W123+W124+W125+W126+W127+W128+W129+W130+W131+W132+W133+W134+W135+W136+W137+W138+W139+W140+W141+W142, "NA")</f>
        <v>4694.8700000000008</v>
      </c>
      <c r="X143" s="12">
        <f>IFERROR(W143/W327, "NA")</f>
        <v>3.1952143551378674E-2</v>
      </c>
    </row>
    <row r="144" spans="1:24" ht="16.5" customHeight="1" x14ac:dyDescent="0.25">
      <c r="A144" s="5" t="s">
        <v>150</v>
      </c>
      <c r="B144" s="2"/>
      <c r="C144" s="3"/>
      <c r="D144" s="4"/>
      <c r="E144" s="2"/>
      <c r="F144" s="3"/>
      <c r="G144" s="4"/>
      <c r="H144" s="2"/>
      <c r="I144" s="3"/>
      <c r="J144" s="4"/>
      <c r="K144" s="2"/>
      <c r="L144" s="3"/>
      <c r="M144" s="4"/>
      <c r="N144" s="2"/>
      <c r="O144" s="3"/>
      <c r="P144" s="4"/>
      <c r="Q144" s="2"/>
      <c r="R144" s="3"/>
      <c r="S144" s="4"/>
      <c r="T144" s="2"/>
      <c r="U144" s="3"/>
      <c r="V144" s="4"/>
      <c r="W144" s="2"/>
      <c r="X144" s="3"/>
    </row>
    <row r="145" spans="1:24" ht="16.5" customHeight="1" x14ac:dyDescent="0.25">
      <c r="A145" s="6" t="s">
        <v>151</v>
      </c>
      <c r="B145" s="7">
        <v>0</v>
      </c>
      <c r="C145" s="8">
        <f>IFERROR(B145/B327, "NA")</f>
        <v>0</v>
      </c>
      <c r="D145" s="9"/>
      <c r="E145" s="7">
        <v>0</v>
      </c>
      <c r="F145" s="8">
        <f>IFERROR(E145/E327, "NA")</f>
        <v>0</v>
      </c>
      <c r="G145" s="9"/>
      <c r="H145" s="7">
        <v>0</v>
      </c>
      <c r="I145" s="8">
        <f>IFERROR(H145/H327, "NA")</f>
        <v>0</v>
      </c>
      <c r="J145" s="9"/>
      <c r="K145" s="7">
        <v>0</v>
      </c>
      <c r="L145" s="8">
        <f>IFERROR(K145/K327, "NA")</f>
        <v>0</v>
      </c>
      <c r="M145" s="9"/>
      <c r="N145" s="7">
        <v>0</v>
      </c>
      <c r="O145" s="8">
        <f>IFERROR(N145/N327, "NA")</f>
        <v>0</v>
      </c>
      <c r="P145" s="9"/>
      <c r="Q145" s="7">
        <v>0</v>
      </c>
      <c r="R145" s="8">
        <f>IFERROR(Q145/Q327, "NA")</f>
        <v>0</v>
      </c>
      <c r="S145" s="9"/>
      <c r="T145" s="7">
        <v>0</v>
      </c>
      <c r="U145" s="8">
        <f>IFERROR(T145/T327, "NA")</f>
        <v>0</v>
      </c>
      <c r="V145" s="9"/>
      <c r="W145" s="7">
        <v>0</v>
      </c>
      <c r="X145" s="8">
        <f>IFERROR(W145/W327, "NA")</f>
        <v>0</v>
      </c>
    </row>
    <row r="146" spans="1:24" ht="16.5" customHeight="1" x14ac:dyDescent="0.25">
      <c r="A146" s="6" t="s">
        <v>152</v>
      </c>
      <c r="B146" s="7">
        <v>5863.19</v>
      </c>
      <c r="C146" s="8">
        <f>IFERROR(B146/B327, "NA")</f>
        <v>1.6615317091619692E-2</v>
      </c>
      <c r="D146" s="9"/>
      <c r="E146" s="7">
        <v>1743.41</v>
      </c>
      <c r="F146" s="8">
        <f>IFERROR(E146/E327, "NA")</f>
        <v>1.1603894796927017E-2</v>
      </c>
      <c r="G146" s="9"/>
      <c r="H146" s="7">
        <v>5024.05</v>
      </c>
      <c r="I146" s="8">
        <f>IFERROR(H146/H327, "NA")</f>
        <v>1.9873261749691958E-2</v>
      </c>
      <c r="J146" s="9"/>
      <c r="K146" s="7">
        <v>1025.69</v>
      </c>
      <c r="L146" s="8">
        <f>IFERROR(K146/K327, "NA")</f>
        <v>7.8449095891550899E-3</v>
      </c>
      <c r="M146" s="9"/>
      <c r="N146" s="7">
        <v>2482.0300000000002</v>
      </c>
      <c r="O146" s="8">
        <f>IFERROR(N146/N327, "NA")</f>
        <v>1.9776015823171091E-2</v>
      </c>
      <c r="P146" s="9"/>
      <c r="Q146" s="7">
        <v>1926.33</v>
      </c>
      <c r="R146" s="8">
        <f>IFERROR(Q146/Q327, "NA")</f>
        <v>2.4169761606022584E-2</v>
      </c>
      <c r="S146" s="9"/>
      <c r="T146" s="7">
        <v>2482.54</v>
      </c>
      <c r="U146" s="8">
        <f>IFERROR(T146/T327, "NA")</f>
        <v>2.816737447991894E-2</v>
      </c>
      <c r="V146" s="9"/>
      <c r="W146" s="7">
        <v>-2154.1799999999998</v>
      </c>
      <c r="X146" s="8">
        <f>IFERROR(W146/W327, "NA")</f>
        <v>-1.4660825240210888E-2</v>
      </c>
    </row>
    <row r="147" spans="1:24" ht="16.5" customHeight="1" x14ac:dyDescent="0.25">
      <c r="A147" s="6" t="s">
        <v>153</v>
      </c>
      <c r="B147" s="7">
        <v>4077.26</v>
      </c>
      <c r="C147" s="8">
        <f>IFERROR(B147/B327, "NA")</f>
        <v>1.1554284914010516E-2</v>
      </c>
      <c r="D147" s="9"/>
      <c r="E147" s="7">
        <v>-935.99</v>
      </c>
      <c r="F147" s="8">
        <f>IFERROR(E147/E327, "NA")</f>
        <v>-6.229819429150755E-3</v>
      </c>
      <c r="G147" s="9"/>
      <c r="H147" s="7">
        <v>2451.2600000000002</v>
      </c>
      <c r="I147" s="8">
        <f>IFERROR(H147/H327, "NA")</f>
        <v>9.6962672737233718E-3</v>
      </c>
      <c r="J147" s="9"/>
      <c r="K147" s="7">
        <v>-117.92</v>
      </c>
      <c r="L147" s="8">
        <f>IFERROR(K147/K327, "NA")</f>
        <v>-9.0190187946959425E-4</v>
      </c>
      <c r="M147" s="9"/>
      <c r="N147" s="7">
        <v>1242.8699999999999</v>
      </c>
      <c r="O147" s="8">
        <f>IFERROR(N147/N327, "NA")</f>
        <v>9.9027879542731758E-3</v>
      </c>
      <c r="P147" s="9"/>
      <c r="Q147" s="7">
        <v>-17.53</v>
      </c>
      <c r="R147" s="8">
        <f>IFERROR(Q147/Q327, "NA")</f>
        <v>-2.1994981179422837E-4</v>
      </c>
      <c r="S147" s="9"/>
      <c r="T147" s="7">
        <v>683.25</v>
      </c>
      <c r="U147" s="8">
        <f>IFERROR(T147/T327, "NA")</f>
        <v>7.7522854066418333E-3</v>
      </c>
      <c r="V147" s="9"/>
      <c r="W147" s="7">
        <v>-168.96</v>
      </c>
      <c r="X147" s="8">
        <f>IFERROR(W147/W327, "NA")</f>
        <v>-1.1499006733819979E-3</v>
      </c>
    </row>
    <row r="148" spans="1:24" ht="16.5" customHeight="1" x14ac:dyDescent="0.25">
      <c r="A148" s="6" t="s">
        <v>154</v>
      </c>
      <c r="B148" s="7">
        <v>884</v>
      </c>
      <c r="C148" s="8">
        <f>IFERROR(B148/B327, "NA")</f>
        <v>2.5051107518248273E-3</v>
      </c>
      <c r="D148" s="9"/>
      <c r="E148" s="7">
        <v>317.3</v>
      </c>
      <c r="F148" s="8">
        <f>IFERROR(E148/E327, "NA")</f>
        <v>2.1119047264068361E-3</v>
      </c>
      <c r="G148" s="9"/>
      <c r="H148" s="7">
        <v>0</v>
      </c>
      <c r="I148" s="8">
        <f>IFERROR(H148/H327, "NA")</f>
        <v>0</v>
      </c>
      <c r="J148" s="9"/>
      <c r="K148" s="7">
        <v>1165.02</v>
      </c>
      <c r="L148" s="8">
        <f>IFERROR(K148/K327, "NA")</f>
        <v>8.9105641758791265E-3</v>
      </c>
      <c r="M148" s="9"/>
      <c r="N148" s="7">
        <v>451.64</v>
      </c>
      <c r="O148" s="8">
        <f>IFERROR(N148/N327, "NA")</f>
        <v>3.5985220913433728E-3</v>
      </c>
      <c r="P148" s="9"/>
      <c r="Q148" s="7">
        <v>0</v>
      </c>
      <c r="R148" s="8">
        <f>IFERROR(Q148/Q327, "NA")</f>
        <v>0</v>
      </c>
      <c r="S148" s="9"/>
      <c r="T148" s="7">
        <v>0</v>
      </c>
      <c r="U148" s="8">
        <f>IFERROR(T148/T327, "NA")</f>
        <v>0</v>
      </c>
      <c r="V148" s="9"/>
      <c r="W148" s="7">
        <v>0</v>
      </c>
      <c r="X148" s="8">
        <f>IFERROR(W148/W327, "NA")</f>
        <v>0</v>
      </c>
    </row>
    <row r="149" spans="1:24" ht="16.5" customHeight="1" x14ac:dyDescent="0.25">
      <c r="A149" s="6" t="s">
        <v>155</v>
      </c>
      <c r="B149" s="7">
        <v>2220.2800000000002</v>
      </c>
      <c r="C149" s="8">
        <f>IFERROR(B149/B327, "NA")</f>
        <v>6.2919087104769547E-3</v>
      </c>
      <c r="D149" s="9"/>
      <c r="E149" s="7">
        <v>-816.06</v>
      </c>
      <c r="F149" s="8">
        <f>IFERROR(E149/E327, "NA")</f>
        <v>-5.4315820076632926E-3</v>
      </c>
      <c r="G149" s="9"/>
      <c r="H149" s="7">
        <v>2150.7800000000002</v>
      </c>
      <c r="I149" s="8">
        <f>IFERROR(H149/H327, "NA")</f>
        <v>8.5076808363775177E-3</v>
      </c>
      <c r="J149" s="9"/>
      <c r="K149" s="7">
        <v>269.56</v>
      </c>
      <c r="L149" s="8">
        <f>IFERROR(K149/K327, "NA")</f>
        <v>2.0617085365487093E-3</v>
      </c>
      <c r="M149" s="9"/>
      <c r="N149" s="7">
        <v>1301.22</v>
      </c>
      <c r="O149" s="8">
        <f>IFERROR(N149/N327, "NA")</f>
        <v>1.0367701965498679E-2</v>
      </c>
      <c r="P149" s="9"/>
      <c r="Q149" s="7">
        <v>405.95</v>
      </c>
      <c r="R149" s="8">
        <f>IFERROR(Q149/Q327, "NA")</f>
        <v>5.0934755332496858E-3</v>
      </c>
      <c r="S149" s="9"/>
      <c r="T149" s="7">
        <v>2735.53</v>
      </c>
      <c r="U149" s="8">
        <f>IFERROR(T149/T327, "NA")</f>
        <v>3.103784749130031E-2</v>
      </c>
      <c r="V149" s="9"/>
      <c r="W149" s="7">
        <v>-309.75</v>
      </c>
      <c r="X149" s="8">
        <f>IFERROR(W149/W327, "NA")</f>
        <v>-2.1080831769653987E-3</v>
      </c>
    </row>
    <row r="150" spans="1:24" ht="16.5" customHeight="1" x14ac:dyDescent="0.25">
      <c r="A150" s="6" t="s">
        <v>156</v>
      </c>
      <c r="B150" s="7">
        <v>2107.52</v>
      </c>
      <c r="C150" s="8">
        <f>IFERROR(B150/B327, "NA")</f>
        <v>5.972365397834683E-3</v>
      </c>
      <c r="D150" s="9"/>
      <c r="E150" s="7">
        <v>2057.8200000000002</v>
      </c>
      <c r="F150" s="8">
        <f>IFERROR(E150/E327, "NA")</f>
        <v>1.369656408476053E-2</v>
      </c>
      <c r="G150" s="9"/>
      <c r="H150" s="7">
        <v>2057.8200000000002</v>
      </c>
      <c r="I150" s="8">
        <f>IFERROR(H150/H327, "NA")</f>
        <v>8.1399658629494331E-3</v>
      </c>
      <c r="J150" s="9"/>
      <c r="K150" s="7">
        <v>3267.83</v>
      </c>
      <c r="L150" s="8">
        <f>IFERROR(K150/K327, "NA")</f>
        <v>2.4993741678995287E-2</v>
      </c>
      <c r="M150" s="9"/>
      <c r="N150" s="7">
        <v>2057.8200000000002</v>
      </c>
      <c r="O150" s="8">
        <f>IFERROR(N150/N327, "NA")</f>
        <v>1.6396047139332699E-2</v>
      </c>
      <c r="P150" s="9"/>
      <c r="Q150" s="7">
        <v>1902.08</v>
      </c>
      <c r="R150" s="8">
        <f>IFERROR(Q150/Q327, "NA")</f>
        <v>2.3865495608531993E-2</v>
      </c>
      <c r="S150" s="9"/>
      <c r="T150" s="7">
        <v>1902.08</v>
      </c>
      <c r="U150" s="8">
        <f>IFERROR(T150/T327, "NA")</f>
        <v>2.1581364107230588E-2</v>
      </c>
      <c r="V150" s="9"/>
      <c r="W150" s="7">
        <v>781.14</v>
      </c>
      <c r="X150" s="8">
        <f>IFERROR(W150/W327, "NA")</f>
        <v>5.3162488873438312E-3</v>
      </c>
    </row>
    <row r="151" spans="1:24" ht="16.5" customHeight="1" x14ac:dyDescent="0.25">
      <c r="A151" s="10" t="s">
        <v>157</v>
      </c>
      <c r="B151" s="11">
        <f>IFERROR(B145+B146+B147+B148+B149+B150, "NA")</f>
        <v>15152.250000000002</v>
      </c>
      <c r="C151" s="12">
        <f>IFERROR(B151/B327, "NA")</f>
        <v>4.2938986865766679E-2</v>
      </c>
      <c r="D151" s="2"/>
      <c r="E151" s="11">
        <f>IFERROR(E145+E146+E147+E148+E149+E150, "NA")</f>
        <v>2366.4800000000005</v>
      </c>
      <c r="F151" s="12">
        <f>IFERROR(E151/E327, "NA")</f>
        <v>1.5750962171280337E-2</v>
      </c>
      <c r="G151" s="2"/>
      <c r="H151" s="11">
        <f>IFERROR(H145+H146+H147+H148+H149+H150, "NA")</f>
        <v>11683.91</v>
      </c>
      <c r="I151" s="12">
        <f>IFERROR(H151/H327, "NA")</f>
        <v>4.6217175722742275E-2</v>
      </c>
      <c r="J151" s="2"/>
      <c r="K151" s="11">
        <f>IFERROR(K145+K146+K147+K148+K149+K150, "NA")</f>
        <v>5610.18</v>
      </c>
      <c r="L151" s="12">
        <f>IFERROR(K151/K327, "NA")</f>
        <v>4.290902210110862E-2</v>
      </c>
      <c r="M151" s="2"/>
      <c r="N151" s="11">
        <f>IFERROR(N145+N146+N147+N148+N149+N150, "NA")</f>
        <v>7535.58</v>
      </c>
      <c r="O151" s="12">
        <f>IFERROR(N151/N327, "NA")</f>
        <v>6.0041074973619019E-2</v>
      </c>
      <c r="P151" s="2"/>
      <c r="Q151" s="11">
        <f>IFERROR(Q145+Q146+Q147+Q148+Q149+Q150, "NA")</f>
        <v>4216.83</v>
      </c>
      <c r="R151" s="12">
        <f>IFERROR(Q151/Q327, "NA")</f>
        <v>5.2908782936010035E-2</v>
      </c>
      <c r="S151" s="2"/>
      <c r="T151" s="11">
        <f>IFERROR(T145+T146+T147+T148+T149+T150, "NA")</f>
        <v>7803.4</v>
      </c>
      <c r="U151" s="12">
        <f>IFERROR(T151/T327, "NA")</f>
        <v>8.8538871485091666E-2</v>
      </c>
      <c r="V151" s="2"/>
      <c r="W151" s="11">
        <f>IFERROR(W145+W146+W147+W148+W149+W150, "NA")</f>
        <v>-1851.75</v>
      </c>
      <c r="X151" s="12">
        <f>IFERROR(W151/W327, "NA")</f>
        <v>-1.2602560203214454E-2</v>
      </c>
    </row>
    <row r="152" spans="1:24" ht="16.5" customHeight="1" x14ac:dyDescent="0.25">
      <c r="A152" s="13" t="s">
        <v>158</v>
      </c>
      <c r="B152" s="7">
        <v>0</v>
      </c>
      <c r="C152" s="8">
        <f>IFERROR(B152/B327, "NA")</f>
        <v>0</v>
      </c>
      <c r="D152" s="9"/>
      <c r="E152" s="7">
        <v>0</v>
      </c>
      <c r="F152" s="8">
        <f>IFERROR(E152/E327, "NA")</f>
        <v>0</v>
      </c>
      <c r="G152" s="9"/>
      <c r="H152" s="7">
        <v>0</v>
      </c>
      <c r="I152" s="8">
        <f>IFERROR(H152/H327, "NA")</f>
        <v>0</v>
      </c>
      <c r="J152" s="9"/>
      <c r="K152" s="7">
        <v>0</v>
      </c>
      <c r="L152" s="8">
        <f>IFERROR(K152/K327, "NA")</f>
        <v>0</v>
      </c>
      <c r="M152" s="9"/>
      <c r="N152" s="7">
        <v>0</v>
      </c>
      <c r="O152" s="8">
        <f>IFERROR(N152/N327, "NA")</f>
        <v>0</v>
      </c>
      <c r="P152" s="9"/>
      <c r="Q152" s="7">
        <v>0</v>
      </c>
      <c r="R152" s="8">
        <f>IFERROR(Q152/Q327, "NA")</f>
        <v>0</v>
      </c>
      <c r="S152" s="9"/>
      <c r="T152" s="7">
        <v>0</v>
      </c>
      <c r="U152" s="8">
        <f>IFERROR(T152/T327, "NA")</f>
        <v>0</v>
      </c>
      <c r="V152" s="9"/>
      <c r="W152" s="7">
        <v>0</v>
      </c>
      <c r="X152" s="8">
        <f>IFERROR(W152/W327, "NA")</f>
        <v>0</v>
      </c>
    </row>
    <row r="153" spans="1:24" ht="16.5" customHeight="1" x14ac:dyDescent="0.25">
      <c r="A153" s="13" t="s">
        <v>159</v>
      </c>
      <c r="B153" s="7">
        <v>2548.98</v>
      </c>
      <c r="C153" s="8">
        <f>IFERROR(B153/B327, "NA")</f>
        <v>7.2233905024733577E-3</v>
      </c>
      <c r="D153" s="9"/>
      <c r="E153" s="7">
        <v>-1207.55</v>
      </c>
      <c r="F153" s="8">
        <f>IFERROR(E153/E327, "NA")</f>
        <v>-8.0372850689334231E-3</v>
      </c>
      <c r="G153" s="9"/>
      <c r="H153" s="7">
        <v>0</v>
      </c>
      <c r="I153" s="8">
        <f>IFERROR(H153/H327, "NA")</f>
        <v>0</v>
      </c>
      <c r="J153" s="9"/>
      <c r="K153" s="7">
        <v>4259.22</v>
      </c>
      <c r="L153" s="8">
        <f>IFERROR(K153/K327, "NA")</f>
        <v>3.2576310405991224E-2</v>
      </c>
      <c r="M153" s="9"/>
      <c r="N153" s="7">
        <v>2497.65</v>
      </c>
      <c r="O153" s="8">
        <f>IFERROR(N153/N327, "NA")</f>
        <v>1.9900470953511148E-2</v>
      </c>
      <c r="P153" s="9"/>
      <c r="Q153" s="7">
        <v>-739.91</v>
      </c>
      <c r="R153" s="8">
        <f>IFERROR(Q153/Q327, "NA")</f>
        <v>-9.2836888331242155E-3</v>
      </c>
      <c r="S153" s="9"/>
      <c r="T153" s="7">
        <v>0</v>
      </c>
      <c r="U153" s="8">
        <f>IFERROR(T153/T327, "NA")</f>
        <v>0</v>
      </c>
      <c r="V153" s="9"/>
      <c r="W153" s="7">
        <v>0</v>
      </c>
      <c r="X153" s="8">
        <f>IFERROR(W153/W327, "NA")</f>
        <v>0</v>
      </c>
    </row>
    <row r="154" spans="1:24" ht="16.5" customHeight="1" x14ac:dyDescent="0.25">
      <c r="A154" s="13" t="s">
        <v>160</v>
      </c>
      <c r="B154" s="7">
        <v>252.89</v>
      </c>
      <c r="C154" s="8">
        <f>IFERROR(B154/B327, "NA")</f>
        <v>7.166487081775798E-4</v>
      </c>
      <c r="D154" s="9"/>
      <c r="E154" s="7">
        <v>-177.69</v>
      </c>
      <c r="F154" s="8">
        <f>IFERROR(E154/E327, "NA")</f>
        <v>-1.1826799585100242E-3</v>
      </c>
      <c r="G154" s="9"/>
      <c r="H154" s="7">
        <v>0</v>
      </c>
      <c r="I154" s="8">
        <f>IFERROR(H154/H327, "NA")</f>
        <v>0</v>
      </c>
      <c r="J154" s="9"/>
      <c r="K154" s="7">
        <v>312.55</v>
      </c>
      <c r="L154" s="8">
        <f>IFERROR(K154/K327, "NA")</f>
        <v>2.3905141827359369E-3</v>
      </c>
      <c r="M154" s="9"/>
      <c r="N154" s="7">
        <v>0</v>
      </c>
      <c r="O154" s="8">
        <f>IFERROR(N154/N327, "NA")</f>
        <v>0</v>
      </c>
      <c r="P154" s="9"/>
      <c r="Q154" s="7">
        <v>-122.34</v>
      </c>
      <c r="R154" s="8">
        <f>IFERROR(Q154/Q327, "NA")</f>
        <v>-1.5350062735257216E-3</v>
      </c>
      <c r="S154" s="9"/>
      <c r="T154" s="7">
        <v>0</v>
      </c>
      <c r="U154" s="8">
        <f>IFERROR(T154/T327, "NA")</f>
        <v>0</v>
      </c>
      <c r="V154" s="9"/>
      <c r="W154" s="7">
        <v>0</v>
      </c>
      <c r="X154" s="8">
        <f>IFERROR(W154/W327, "NA")</f>
        <v>0</v>
      </c>
    </row>
    <row r="155" spans="1:24" ht="16.5" customHeight="1" x14ac:dyDescent="0.25">
      <c r="A155" s="13" t="s">
        <v>161</v>
      </c>
      <c r="B155" s="7">
        <v>0</v>
      </c>
      <c r="C155" s="8">
        <f>IFERROR(B155/B327, "NA")</f>
        <v>0</v>
      </c>
      <c r="D155" s="9"/>
      <c r="E155" s="7">
        <v>-14.85</v>
      </c>
      <c r="F155" s="8">
        <f>IFERROR(E155/E327, "NA")</f>
        <v>-9.8839537305835221E-5</v>
      </c>
      <c r="G155" s="9"/>
      <c r="H155" s="7">
        <v>0</v>
      </c>
      <c r="I155" s="8">
        <f>IFERROR(H155/H327, "NA")</f>
        <v>0</v>
      </c>
      <c r="J155" s="9"/>
      <c r="K155" s="7">
        <v>-14.85</v>
      </c>
      <c r="L155" s="8">
        <f>IFERROR(K155/K327, "NA")</f>
        <v>-1.1357906131380151E-4</v>
      </c>
      <c r="M155" s="9"/>
      <c r="N155" s="7">
        <v>0</v>
      </c>
      <c r="O155" s="8">
        <f>IFERROR(N155/N327, "NA")</f>
        <v>0</v>
      </c>
      <c r="P155" s="9"/>
      <c r="Q155" s="7">
        <v>-8.91</v>
      </c>
      <c r="R155" s="8">
        <f>IFERROR(Q155/Q327, "NA")</f>
        <v>-1.1179422835633626E-4</v>
      </c>
      <c r="S155" s="9"/>
      <c r="T155" s="7">
        <v>0</v>
      </c>
      <c r="U155" s="8">
        <f>IFERROR(T155/T327, "NA")</f>
        <v>0</v>
      </c>
      <c r="V155" s="9"/>
      <c r="W155" s="7">
        <v>0</v>
      </c>
      <c r="X155" s="8">
        <f>IFERROR(W155/W327, "NA")</f>
        <v>0</v>
      </c>
    </row>
    <row r="156" spans="1:24" ht="16.5" customHeight="1" x14ac:dyDescent="0.25">
      <c r="A156" s="13" t="s">
        <v>162</v>
      </c>
      <c r="B156" s="7">
        <v>0</v>
      </c>
      <c r="C156" s="8">
        <f>IFERROR(B156/B327, "NA")</f>
        <v>0</v>
      </c>
      <c r="D156" s="9"/>
      <c r="E156" s="7">
        <v>9.8000000000000007</v>
      </c>
      <c r="F156" s="8">
        <f>IFERROR(E156/E327, "NA")</f>
        <v>6.5227438760753225E-5</v>
      </c>
      <c r="G156" s="9"/>
      <c r="H156" s="7">
        <v>0</v>
      </c>
      <c r="I156" s="8">
        <f>IFERROR(H156/H327, "NA")</f>
        <v>0</v>
      </c>
      <c r="J156" s="9"/>
      <c r="K156" s="7">
        <v>0</v>
      </c>
      <c r="L156" s="8">
        <f>IFERROR(K156/K327, "NA")</f>
        <v>0</v>
      </c>
      <c r="M156" s="9"/>
      <c r="N156" s="7">
        <v>0</v>
      </c>
      <c r="O156" s="8">
        <f>IFERROR(N156/N327, "NA")</f>
        <v>0</v>
      </c>
      <c r="P156" s="9"/>
      <c r="Q156" s="7">
        <v>0</v>
      </c>
      <c r="R156" s="8">
        <f>IFERROR(Q156/Q327, "NA")</f>
        <v>0</v>
      </c>
      <c r="S156" s="9"/>
      <c r="T156" s="7">
        <v>0</v>
      </c>
      <c r="U156" s="8">
        <f>IFERROR(T156/T327, "NA")</f>
        <v>0</v>
      </c>
      <c r="V156" s="9"/>
      <c r="W156" s="7">
        <v>0</v>
      </c>
      <c r="X156" s="8">
        <f>IFERROR(W156/W327, "NA")</f>
        <v>0</v>
      </c>
    </row>
    <row r="157" spans="1:24" ht="16.5" customHeight="1" x14ac:dyDescent="0.25">
      <c r="A157" s="14" t="s">
        <v>163</v>
      </c>
      <c r="B157" s="11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  <v>101285.57999999999</v>
      </c>
      <c r="C157" s="12">
        <f>IFERROR(B157/B327, "NA")</f>
        <v>0.28702669170001543</v>
      </c>
      <c r="D157" s="2"/>
      <c r="E157" s="11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  <v>50406.710000000006</v>
      </c>
      <c r="F157" s="12">
        <f>IFERROR(E157/E327, "NA")</f>
        <v>0.33550006016898437</v>
      </c>
      <c r="G157" s="2"/>
      <c r="H157" s="11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  <v>61250.95</v>
      </c>
      <c r="I157" s="12">
        <f>IFERROR(H157/H327, "NA")</f>
        <v>0.24228583747520316</v>
      </c>
      <c r="J157" s="2"/>
      <c r="K157" s="11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46797.850000000013</v>
      </c>
      <c r="L157" s="12">
        <f>IFERROR(K157/K327, "NA")</f>
        <v>0.35792968851879381</v>
      </c>
      <c r="M157" s="2"/>
      <c r="N157" s="11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60937.240000000013</v>
      </c>
      <c r="O157" s="12">
        <f>IFERROR(N157/N327, "NA")</f>
        <v>0.48552830645091904</v>
      </c>
      <c r="P157" s="2"/>
      <c r="Q157" s="11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41463.800000000003</v>
      </c>
      <c r="R157" s="12">
        <f>IFERROR(Q157/Q327, "NA")</f>
        <v>0.52024843161856971</v>
      </c>
      <c r="S157" s="2"/>
      <c r="T157" s="11">
        <f>IFERROR(T55+T56+T57+T58+T59+T60+T61+T62+T63+T64+T66+T68+T69+T70+T71+T72+T73+T74+T75+T78+T79+T82+T84+T85+T86+T87+T88+T89+T90+T91+T92+T93+T94+T95+T96+T97+T98+T99+T100+T101+T102+T103+T104+T105+T106+T107+T108+T109+T110+T111+T112+T113+T114+T115+T116+T117+T118+T122+T123+T124+T125+T126+T127+T128+T129+T130+T131+T132+T133+T134+T135+T136+T137+T138+T139+T140+T141+T142+T145+T146+T147+T148+T149+T150+T152+T153+T154+T155+T156, "NA")</f>
        <v>42363.41</v>
      </c>
      <c r="U157" s="12">
        <f>IFERROR(T157/T327, "NA")</f>
        <v>0.48066336643773838</v>
      </c>
      <c r="V157" s="2"/>
      <c r="W157" s="11">
        <f>IFERROR(W55+W56+W57+W58+W59+W60+W61+W62+W63+W64+W66+W68+W69+W70+W71+W72+W73+W74+W75+W78+W79+W82+W84+W85+W86+W87+W88+W89+W90+W91+W92+W93+W94+W95+W96+W97+W98+W99+W100+W101+W102+W103+W104+W105+W106+W107+W108+W109+W110+W111+W112+W113+W114+W115+W116+W117+W118+W122+W123+W124+W125+W126+W127+W128+W129+W130+W131+W132+W133+W134+W135+W136+W137+W138+W139+W140+W141+W142+W145+W146+W147+W148+W149+W150+W152+W153+W154+W155+W156, "NA")</f>
        <v>7829.16</v>
      </c>
      <c r="X157" s="12">
        <f>IFERROR(W157/W327, "NA")</f>
        <v>5.3283359114674488E-2</v>
      </c>
    </row>
    <row r="158" spans="1:24" ht="16.5" customHeight="1" x14ac:dyDescent="0.25">
      <c r="A158" s="1" t="s">
        <v>164</v>
      </c>
      <c r="B158" s="2"/>
      <c r="C158" s="3"/>
      <c r="D158" s="4"/>
      <c r="E158" s="2"/>
      <c r="F158" s="3"/>
      <c r="G158" s="4"/>
      <c r="H158" s="2"/>
      <c r="I158" s="3"/>
      <c r="J158" s="4"/>
      <c r="K158" s="2"/>
      <c r="L158" s="3"/>
      <c r="M158" s="4"/>
      <c r="N158" s="2"/>
      <c r="O158" s="3"/>
      <c r="P158" s="4"/>
      <c r="Q158" s="2"/>
      <c r="R158" s="3"/>
      <c r="S158" s="4"/>
      <c r="T158" s="2"/>
      <c r="U158" s="3"/>
      <c r="V158" s="4"/>
      <c r="W158" s="2"/>
      <c r="X158" s="3"/>
    </row>
    <row r="159" spans="1:24" ht="16.5" customHeight="1" x14ac:dyDescent="0.25">
      <c r="A159" s="5" t="s">
        <v>165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</row>
    <row r="160" spans="1:24" ht="16.5" customHeight="1" x14ac:dyDescent="0.25">
      <c r="A160" s="6" t="s">
        <v>166</v>
      </c>
      <c r="B160" s="7">
        <v>0</v>
      </c>
      <c r="C160" s="8">
        <f>IFERROR(B160/B327, "NA")</f>
        <v>0</v>
      </c>
      <c r="D160" s="9"/>
      <c r="E160" s="7">
        <v>0</v>
      </c>
      <c r="F160" s="8">
        <f>IFERROR(E160/E327, "NA")</f>
        <v>0</v>
      </c>
      <c r="G160" s="9"/>
      <c r="H160" s="7">
        <v>0</v>
      </c>
      <c r="I160" s="8">
        <f>IFERROR(H160/H327, "NA")</f>
        <v>0</v>
      </c>
      <c r="J160" s="9"/>
      <c r="K160" s="7">
        <v>0</v>
      </c>
      <c r="L160" s="8">
        <f>IFERROR(K160/K327, "NA")</f>
        <v>0</v>
      </c>
      <c r="M160" s="9"/>
      <c r="N160" s="7">
        <v>0</v>
      </c>
      <c r="O160" s="8">
        <f>IFERROR(N160/N327, "NA")</f>
        <v>0</v>
      </c>
      <c r="P160" s="9"/>
      <c r="Q160" s="7">
        <v>0</v>
      </c>
      <c r="R160" s="8">
        <f>IFERROR(Q160/Q327, "NA")</f>
        <v>0</v>
      </c>
      <c r="S160" s="9"/>
      <c r="T160" s="7">
        <v>0</v>
      </c>
      <c r="U160" s="8">
        <f>IFERROR(T160/T327, "NA")</f>
        <v>0</v>
      </c>
      <c r="V160" s="9"/>
      <c r="W160" s="7">
        <v>0</v>
      </c>
      <c r="X160" s="8">
        <f>IFERROR(W160/W327, "NA")</f>
        <v>0</v>
      </c>
    </row>
    <row r="161" spans="1:24" ht="16.5" customHeight="1" x14ac:dyDescent="0.25">
      <c r="A161" s="6" t="s">
        <v>167</v>
      </c>
      <c r="B161" s="7">
        <v>0</v>
      </c>
      <c r="C161" s="8">
        <f>IFERROR(B161/B327, "NA")</f>
        <v>0</v>
      </c>
      <c r="D161" s="9"/>
      <c r="E161" s="7">
        <v>0</v>
      </c>
      <c r="F161" s="8">
        <f>IFERROR(E161/E327, "NA")</f>
        <v>0</v>
      </c>
      <c r="G161" s="9"/>
      <c r="H161" s="7">
        <v>0</v>
      </c>
      <c r="I161" s="8">
        <f>IFERROR(H161/H327, "NA")</f>
        <v>0</v>
      </c>
      <c r="J161" s="9"/>
      <c r="K161" s="7">
        <v>0</v>
      </c>
      <c r="L161" s="8">
        <f>IFERROR(K161/K327, "NA")</f>
        <v>0</v>
      </c>
      <c r="M161" s="9"/>
      <c r="N161" s="7">
        <v>0</v>
      </c>
      <c r="O161" s="8">
        <f>IFERROR(N161/N327, "NA")</f>
        <v>0</v>
      </c>
      <c r="P161" s="9"/>
      <c r="Q161" s="7">
        <v>0</v>
      </c>
      <c r="R161" s="8">
        <f>IFERROR(Q161/Q327, "NA")</f>
        <v>0</v>
      </c>
      <c r="S161" s="9"/>
      <c r="T161" s="7">
        <v>0</v>
      </c>
      <c r="U161" s="8">
        <f>IFERROR(T161/T327, "NA")</f>
        <v>0</v>
      </c>
      <c r="V161" s="9"/>
      <c r="W161" s="7">
        <v>0</v>
      </c>
      <c r="X161" s="8">
        <f>IFERROR(W161/W327, "NA")</f>
        <v>0</v>
      </c>
    </row>
    <row r="162" spans="1:24" ht="16.5" customHeight="1" x14ac:dyDescent="0.25">
      <c r="A162" s="6" t="s">
        <v>168</v>
      </c>
      <c r="B162" s="7">
        <v>-3616.21</v>
      </c>
      <c r="C162" s="8">
        <f>IFERROR(B162/B327, "NA")</f>
        <v>-1.0247744968163415E-2</v>
      </c>
      <c r="D162" s="9"/>
      <c r="E162" s="7">
        <v>0</v>
      </c>
      <c r="F162" s="8">
        <f>IFERROR(E162/E327, "NA")</f>
        <v>0</v>
      </c>
      <c r="G162" s="9"/>
      <c r="H162" s="7">
        <v>0</v>
      </c>
      <c r="I162" s="8">
        <f>IFERROR(H162/H327, "NA")</f>
        <v>0</v>
      </c>
      <c r="J162" s="9"/>
      <c r="K162" s="7">
        <v>0</v>
      </c>
      <c r="L162" s="8">
        <f>IFERROR(K162/K327, "NA")</f>
        <v>0</v>
      </c>
      <c r="M162" s="9"/>
      <c r="N162" s="7">
        <v>181.28</v>
      </c>
      <c r="O162" s="8">
        <f>IFERROR(N162/N327, "NA")</f>
        <v>1.4443806676085525E-3</v>
      </c>
      <c r="P162" s="9"/>
      <c r="Q162" s="7">
        <v>0</v>
      </c>
      <c r="R162" s="8">
        <f>IFERROR(Q162/Q327, "NA")</f>
        <v>0</v>
      </c>
      <c r="S162" s="9"/>
      <c r="T162" s="7">
        <v>0</v>
      </c>
      <c r="U162" s="8">
        <f>IFERROR(T162/T327, "NA")</f>
        <v>0</v>
      </c>
      <c r="V162" s="9"/>
      <c r="W162" s="7">
        <v>0</v>
      </c>
      <c r="X162" s="8">
        <f>IFERROR(W162/W327, "NA")</f>
        <v>0</v>
      </c>
    </row>
    <row r="163" spans="1:24" ht="16.5" customHeight="1" x14ac:dyDescent="0.25">
      <c r="A163" s="6" t="s">
        <v>169</v>
      </c>
      <c r="B163" s="7">
        <v>1118.0999999999999</v>
      </c>
      <c r="C163" s="8">
        <f>IFERROR(B163/B327, "NA")</f>
        <v>3.168511687347669E-3</v>
      </c>
      <c r="D163" s="9"/>
      <c r="E163" s="7">
        <v>0</v>
      </c>
      <c r="F163" s="8">
        <f>IFERROR(E163/E327, "NA")</f>
        <v>0</v>
      </c>
      <c r="G163" s="9"/>
      <c r="H163" s="7">
        <v>0</v>
      </c>
      <c r="I163" s="8">
        <f>IFERROR(H163/H327, "NA")</f>
        <v>0</v>
      </c>
      <c r="J163" s="9"/>
      <c r="K163" s="7">
        <v>0</v>
      </c>
      <c r="L163" s="8">
        <f>IFERROR(K163/K327, "NA")</f>
        <v>0</v>
      </c>
      <c r="M163" s="9"/>
      <c r="N163" s="7">
        <v>1762.94</v>
      </c>
      <c r="O163" s="8">
        <f>IFERROR(N163/N327, "NA")</f>
        <v>1.4046538251069184E-2</v>
      </c>
      <c r="P163" s="9"/>
      <c r="Q163" s="7">
        <v>0</v>
      </c>
      <c r="R163" s="8">
        <f>IFERROR(Q163/Q327, "NA")</f>
        <v>0</v>
      </c>
      <c r="S163" s="9"/>
      <c r="T163" s="7">
        <v>0</v>
      </c>
      <c r="U163" s="8">
        <f>IFERROR(T163/T327, "NA")</f>
        <v>0</v>
      </c>
      <c r="V163" s="9"/>
      <c r="W163" s="7">
        <v>0</v>
      </c>
      <c r="X163" s="8">
        <f>IFERROR(W163/W327, "NA")</f>
        <v>0</v>
      </c>
    </row>
    <row r="164" spans="1:24" ht="16.5" customHeight="1" x14ac:dyDescent="0.25">
      <c r="A164" s="6" t="s">
        <v>170</v>
      </c>
      <c r="B164" s="7">
        <v>2137.94</v>
      </c>
      <c r="C164" s="8">
        <f>IFERROR(B164/B327, "NA")</f>
        <v>6.0585706795886554E-3</v>
      </c>
      <c r="D164" s="9"/>
      <c r="E164" s="7">
        <v>0</v>
      </c>
      <c r="F164" s="8">
        <f>IFERROR(E164/E327, "NA")</f>
        <v>0</v>
      </c>
      <c r="G164" s="9"/>
      <c r="H164" s="7">
        <v>0</v>
      </c>
      <c r="I164" s="8">
        <f>IFERROR(H164/H327, "NA")</f>
        <v>0</v>
      </c>
      <c r="J164" s="9"/>
      <c r="K164" s="7">
        <v>0</v>
      </c>
      <c r="L164" s="8">
        <f>IFERROR(K164/K327, "NA")</f>
        <v>0</v>
      </c>
      <c r="M164" s="9"/>
      <c r="N164" s="7">
        <v>867.56</v>
      </c>
      <c r="O164" s="8">
        <f>IFERROR(N164/N327, "NA")</f>
        <v>6.91243872457235E-3</v>
      </c>
      <c r="P164" s="9"/>
      <c r="Q164" s="7">
        <v>0</v>
      </c>
      <c r="R164" s="8">
        <f>IFERROR(Q164/Q327, "NA")</f>
        <v>0</v>
      </c>
      <c r="S164" s="9"/>
      <c r="T164" s="7">
        <v>0</v>
      </c>
      <c r="U164" s="8">
        <f>IFERROR(T164/T327, "NA")</f>
        <v>0</v>
      </c>
      <c r="V164" s="9"/>
      <c r="W164" s="7">
        <v>0</v>
      </c>
      <c r="X164" s="8">
        <f>IFERROR(W164/W327, "NA")</f>
        <v>0</v>
      </c>
    </row>
    <row r="165" spans="1:24" ht="16.5" customHeight="1" x14ac:dyDescent="0.25">
      <c r="A165" s="6" t="s">
        <v>171</v>
      </c>
      <c r="B165" s="7">
        <v>24.01</v>
      </c>
      <c r="C165" s="8">
        <f>IFERROR(B165/B327, "NA")</f>
        <v>6.8040394967549896E-5</v>
      </c>
      <c r="D165" s="9"/>
      <c r="E165" s="7">
        <v>0</v>
      </c>
      <c r="F165" s="8">
        <f>IFERROR(E165/E327, "NA")</f>
        <v>0</v>
      </c>
      <c r="G165" s="9"/>
      <c r="H165" s="7">
        <v>0</v>
      </c>
      <c r="I165" s="8">
        <f>IFERROR(H165/H327, "NA")</f>
        <v>0</v>
      </c>
      <c r="J165" s="9"/>
      <c r="K165" s="7">
        <v>461.11</v>
      </c>
      <c r="L165" s="8">
        <f>IFERROR(K165/K327, "NA")</f>
        <v>3.5267637011721898E-3</v>
      </c>
      <c r="M165" s="9"/>
      <c r="N165" s="7">
        <v>170.94</v>
      </c>
      <c r="O165" s="8">
        <f>IFERROR(N165/N327, "NA")</f>
        <v>1.3619948771017539E-3</v>
      </c>
      <c r="P165" s="9"/>
      <c r="Q165" s="7">
        <v>162.19</v>
      </c>
      <c r="R165" s="8">
        <f>IFERROR(Q165/Q327, "NA")</f>
        <v>2.0350062735257214E-3</v>
      </c>
      <c r="S165" s="9"/>
      <c r="T165" s="7">
        <v>0</v>
      </c>
      <c r="U165" s="8">
        <f>IFERROR(T165/T327, "NA")</f>
        <v>0</v>
      </c>
      <c r="V165" s="9"/>
      <c r="W165" s="7">
        <v>0</v>
      </c>
      <c r="X165" s="8">
        <f>IFERROR(W165/W327, "NA")</f>
        <v>0</v>
      </c>
    </row>
    <row r="166" spans="1:24" ht="16.5" customHeight="1" x14ac:dyDescent="0.25">
      <c r="A166" s="6" t="s">
        <v>172</v>
      </c>
      <c r="B166" s="7">
        <v>668.81</v>
      </c>
      <c r="C166" s="8">
        <f>IFERROR(B166/B327, "NA")</f>
        <v>1.8952976492397767E-3</v>
      </c>
      <c r="D166" s="9"/>
      <c r="E166" s="7">
        <v>673.03</v>
      </c>
      <c r="F166" s="8">
        <f>IFERROR(E166/E327, "NA")</f>
        <v>4.4795941948111975E-3</v>
      </c>
      <c r="G166" s="9"/>
      <c r="H166" s="7">
        <v>217.01</v>
      </c>
      <c r="I166" s="8">
        <f>IFERROR(H166/H327, "NA")</f>
        <v>8.584103526638173E-4</v>
      </c>
      <c r="J166" s="9"/>
      <c r="K166" s="7">
        <v>767.94</v>
      </c>
      <c r="L166" s="8">
        <f>IFERROR(K166/K327, "NA")</f>
        <v>5.8735289121428112E-3</v>
      </c>
      <c r="M166" s="9"/>
      <c r="N166" s="7">
        <v>454.73</v>
      </c>
      <c r="O166" s="8">
        <f>IFERROR(N166/N327, "NA")</f>
        <v>3.623142216359428E-3</v>
      </c>
      <c r="P166" s="9"/>
      <c r="Q166" s="7">
        <v>828.43</v>
      </c>
      <c r="R166" s="8">
        <f>IFERROR(Q166/Q327, "NA")</f>
        <v>1.0394353826850689E-2</v>
      </c>
      <c r="S166" s="9"/>
      <c r="T166" s="7">
        <v>614.20000000000005</v>
      </c>
      <c r="U166" s="8">
        <f>IFERROR(T166/T327, "NA")</f>
        <v>6.9688308770719564E-3</v>
      </c>
      <c r="V166" s="9"/>
      <c r="W166" s="7">
        <v>0</v>
      </c>
      <c r="X166" s="8">
        <f>IFERROR(W166/W327, "NA")</f>
        <v>0</v>
      </c>
    </row>
    <row r="167" spans="1:24" ht="16.5" customHeight="1" x14ac:dyDescent="0.25">
      <c r="A167" s="6" t="s">
        <v>173</v>
      </c>
      <c r="B167" s="7">
        <v>813.24</v>
      </c>
      <c r="C167" s="8">
        <f>IFERROR(B167/B327, "NA")</f>
        <v>2.304588538251157E-3</v>
      </c>
      <c r="D167" s="9"/>
      <c r="E167" s="7">
        <v>628.73</v>
      </c>
      <c r="F167" s="8">
        <f>IFERROR(E167/E327, "NA")</f>
        <v>4.1847395481682008E-3</v>
      </c>
      <c r="G167" s="9"/>
      <c r="H167" s="7">
        <v>787.57</v>
      </c>
      <c r="I167" s="8">
        <f>IFERROR(H167/H327, "NA")</f>
        <v>3.1153322033428995E-3</v>
      </c>
      <c r="J167" s="9"/>
      <c r="K167" s="7">
        <v>1431.59</v>
      </c>
      <c r="L167" s="8">
        <f>IFERROR(K167/K327, "NA")</f>
        <v>1.094940393173233E-2</v>
      </c>
      <c r="M167" s="9"/>
      <c r="N167" s="7">
        <v>680.36</v>
      </c>
      <c r="O167" s="8">
        <f>IFERROR(N167/N327, "NA")</f>
        <v>5.4208894032113566E-3</v>
      </c>
      <c r="P167" s="9"/>
      <c r="Q167" s="7">
        <v>678.08</v>
      </c>
      <c r="R167" s="8">
        <f>IFERROR(Q167/Q327, "NA")</f>
        <v>8.5079046424090341E-3</v>
      </c>
      <c r="S167" s="9"/>
      <c r="T167" s="7">
        <v>403.54</v>
      </c>
      <c r="U167" s="8">
        <f>IFERROR(T167/T327, "NA")</f>
        <v>4.5786421558671724E-3</v>
      </c>
      <c r="V167" s="9"/>
      <c r="W167" s="7">
        <v>0</v>
      </c>
      <c r="X167" s="8">
        <f>IFERROR(W167/W327, "NA")</f>
        <v>0</v>
      </c>
    </row>
    <row r="168" spans="1:24" ht="16.5" customHeight="1" x14ac:dyDescent="0.25">
      <c r="A168" s="6" t="s">
        <v>174</v>
      </c>
      <c r="B168" s="7">
        <v>1114.3399999999999</v>
      </c>
      <c r="C168" s="8">
        <f>IFERROR(B168/B327, "NA")</f>
        <v>3.1578564651453369E-3</v>
      </c>
      <c r="D168" s="9"/>
      <c r="E168" s="7">
        <v>845.06</v>
      </c>
      <c r="F168" s="8">
        <f>IFERROR(E168/E327, "NA")</f>
        <v>5.6246019795063371E-3</v>
      </c>
      <c r="G168" s="9"/>
      <c r="H168" s="7">
        <v>1020.63</v>
      </c>
      <c r="I168" s="8">
        <f>IFERROR(H168/H327, "NA")</f>
        <v>4.0372303499344358E-3</v>
      </c>
      <c r="J168" s="9"/>
      <c r="K168" s="7">
        <v>2495.3200000000002</v>
      </c>
      <c r="L168" s="8">
        <f>IFERROR(K168/K327, "NA")</f>
        <v>1.9085259479970047E-2</v>
      </c>
      <c r="M168" s="9"/>
      <c r="N168" s="7">
        <v>1109.45</v>
      </c>
      <c r="O168" s="8">
        <f>IFERROR(N168/N327, "NA")</f>
        <v>8.8397403556835195E-3</v>
      </c>
      <c r="P168" s="9"/>
      <c r="Q168" s="7">
        <v>730.4</v>
      </c>
      <c r="R168" s="8">
        <f>IFERROR(Q168/Q327, "NA")</f>
        <v>9.1643663739021334E-3</v>
      </c>
      <c r="S168" s="9"/>
      <c r="T168" s="7">
        <v>700.97</v>
      </c>
      <c r="U168" s="8">
        <f>IFERROR(T168/T327, "NA")</f>
        <v>7.9533399216885851E-3</v>
      </c>
      <c r="V168" s="9"/>
      <c r="W168" s="7">
        <v>0</v>
      </c>
      <c r="X168" s="8">
        <f>IFERROR(W168/W327, "NA")</f>
        <v>0</v>
      </c>
    </row>
    <row r="169" spans="1:24" ht="16.5" customHeight="1" x14ac:dyDescent="0.25">
      <c r="A169" s="6" t="s">
        <v>175</v>
      </c>
      <c r="B169" s="7">
        <v>0</v>
      </c>
      <c r="C169" s="8">
        <f>IFERROR(B169/B327, "NA")</f>
        <v>0</v>
      </c>
      <c r="D169" s="9"/>
      <c r="E169" s="7">
        <v>0</v>
      </c>
      <c r="F169" s="8">
        <f>IFERROR(E169/E327, "NA")</f>
        <v>0</v>
      </c>
      <c r="G169" s="9"/>
      <c r="H169" s="7">
        <v>0</v>
      </c>
      <c r="I169" s="8">
        <f>IFERROR(H169/H327, "NA")</f>
        <v>0</v>
      </c>
      <c r="J169" s="9"/>
      <c r="K169" s="7">
        <v>0</v>
      </c>
      <c r="L169" s="8">
        <f>IFERROR(K169/K327, "NA")</f>
        <v>0</v>
      </c>
      <c r="M169" s="9"/>
      <c r="N169" s="7">
        <v>0</v>
      </c>
      <c r="O169" s="8">
        <f>IFERROR(N169/N327, "NA")</f>
        <v>0</v>
      </c>
      <c r="P169" s="9"/>
      <c r="Q169" s="7">
        <v>0</v>
      </c>
      <c r="R169" s="8">
        <f>IFERROR(Q169/Q327, "NA")</f>
        <v>0</v>
      </c>
      <c r="S169" s="9"/>
      <c r="T169" s="7">
        <v>0</v>
      </c>
      <c r="U169" s="8">
        <f>IFERROR(T169/T327, "NA")</f>
        <v>0</v>
      </c>
      <c r="V169" s="9"/>
      <c r="W169" s="7">
        <v>0</v>
      </c>
      <c r="X169" s="8">
        <f>IFERROR(W169/W327, "NA")</f>
        <v>0</v>
      </c>
    </row>
    <row r="170" spans="1:24" ht="16.5" customHeight="1" x14ac:dyDescent="0.25">
      <c r="A170" s="6" t="s">
        <v>176</v>
      </c>
      <c r="B170" s="7">
        <v>255.59</v>
      </c>
      <c r="C170" s="8">
        <f>IFERROR(B170/B327, "NA")</f>
        <v>7.2430006454627565E-4</v>
      </c>
      <c r="D170" s="9"/>
      <c r="E170" s="7">
        <v>3151.41</v>
      </c>
      <c r="F170" s="8">
        <f>IFERROR(E170/E327, "NA")</f>
        <v>2.0975347222961762E-2</v>
      </c>
      <c r="G170" s="9"/>
      <c r="H170" s="7">
        <v>56.05</v>
      </c>
      <c r="I170" s="8">
        <f>IFERROR(H170/H327, "NA")</f>
        <v>2.2171282552327983E-4</v>
      </c>
      <c r="J170" s="9"/>
      <c r="K170" s="7">
        <v>679.77</v>
      </c>
      <c r="L170" s="8">
        <f>IFERROR(K170/K327, "NA")</f>
        <v>5.199167576382684E-3</v>
      </c>
      <c r="M170" s="9"/>
      <c r="N170" s="7">
        <v>389.95</v>
      </c>
      <c r="O170" s="8">
        <f>IFERROR(N170/N327, "NA")</f>
        <v>3.1069960356021348E-3</v>
      </c>
      <c r="P170" s="9"/>
      <c r="Q170" s="7">
        <v>5317.21</v>
      </c>
      <c r="R170" s="8">
        <f>IFERROR(Q170/Q327, "NA")</f>
        <v>6.6715307402760354E-2</v>
      </c>
      <c r="S170" s="9"/>
      <c r="T170" s="7">
        <v>120.18</v>
      </c>
      <c r="U170" s="8">
        <f>IFERROR(T170/T327, "NA")</f>
        <v>1.3635853057741903E-3</v>
      </c>
      <c r="V170" s="9"/>
      <c r="W170" s="7">
        <v>0</v>
      </c>
      <c r="X170" s="8">
        <f>IFERROR(W170/W327, "NA")</f>
        <v>0</v>
      </c>
    </row>
    <row r="171" spans="1:24" ht="16.5" customHeight="1" x14ac:dyDescent="0.25">
      <c r="A171" s="6" t="s">
        <v>177</v>
      </c>
      <c r="B171" s="7">
        <v>3585.3</v>
      </c>
      <c r="C171" s="8">
        <f>IFERROR(B171/B327, "NA")</f>
        <v>1.016015110692031E-2</v>
      </c>
      <c r="D171" s="9"/>
      <c r="E171" s="7">
        <v>189.4</v>
      </c>
      <c r="F171" s="8">
        <f>IFERROR(E171/E327, "NA")</f>
        <v>1.2606200919680263E-3</v>
      </c>
      <c r="G171" s="9"/>
      <c r="H171" s="7">
        <v>630.04999999999995</v>
      </c>
      <c r="I171" s="8">
        <f>IFERROR(H171/H327, "NA")</f>
        <v>2.4922420289195798E-3</v>
      </c>
      <c r="J171" s="9"/>
      <c r="K171" s="7">
        <v>2249</v>
      </c>
      <c r="L171" s="8">
        <f>IFERROR(K171/K327, "NA")</f>
        <v>1.7201300262272026E-2</v>
      </c>
      <c r="M171" s="9"/>
      <c r="N171" s="7">
        <v>0</v>
      </c>
      <c r="O171" s="8">
        <f>IFERROR(N171/N327, "NA")</f>
        <v>0</v>
      </c>
      <c r="P171" s="9"/>
      <c r="Q171" s="7">
        <v>0</v>
      </c>
      <c r="R171" s="8">
        <f>IFERROR(Q171/Q327, "NA")</f>
        <v>0</v>
      </c>
      <c r="S171" s="9"/>
      <c r="T171" s="7">
        <v>570.05999999999995</v>
      </c>
      <c r="U171" s="8">
        <f>IFERROR(T171/T327, "NA")</f>
        <v>6.4680099801101253E-3</v>
      </c>
      <c r="V171" s="9"/>
      <c r="W171" s="7">
        <v>0</v>
      </c>
      <c r="X171" s="8">
        <f>IFERROR(W171/W327, "NA")</f>
        <v>0</v>
      </c>
    </row>
    <row r="172" spans="1:24" ht="16.5" customHeight="1" x14ac:dyDescent="0.25">
      <c r="A172" s="6" t="s">
        <v>178</v>
      </c>
      <c r="B172" s="7">
        <v>0</v>
      </c>
      <c r="C172" s="8">
        <f>IFERROR(B172/B327, "NA")</f>
        <v>0</v>
      </c>
      <c r="D172" s="9"/>
      <c r="E172" s="7">
        <v>0</v>
      </c>
      <c r="F172" s="8">
        <f>IFERROR(E172/E327, "NA")</f>
        <v>0</v>
      </c>
      <c r="G172" s="9"/>
      <c r="H172" s="7">
        <v>0</v>
      </c>
      <c r="I172" s="8">
        <f>IFERROR(H172/H327, "NA")</f>
        <v>0</v>
      </c>
      <c r="J172" s="9"/>
      <c r="K172" s="7">
        <v>0</v>
      </c>
      <c r="L172" s="8">
        <f>IFERROR(K172/K327, "NA")</f>
        <v>0</v>
      </c>
      <c r="M172" s="9"/>
      <c r="N172" s="7">
        <v>0</v>
      </c>
      <c r="O172" s="8">
        <f>IFERROR(N172/N327, "NA")</f>
        <v>0</v>
      </c>
      <c r="P172" s="9"/>
      <c r="Q172" s="7">
        <v>0</v>
      </c>
      <c r="R172" s="8">
        <f>IFERROR(Q172/Q327, "NA")</f>
        <v>0</v>
      </c>
      <c r="S172" s="9"/>
      <c r="T172" s="7">
        <v>0</v>
      </c>
      <c r="U172" s="8">
        <f>IFERROR(T172/T327, "NA")</f>
        <v>0</v>
      </c>
      <c r="V172" s="9"/>
      <c r="W172" s="7">
        <v>0</v>
      </c>
      <c r="X172" s="8">
        <f>IFERROR(W172/W327, "NA")</f>
        <v>0</v>
      </c>
    </row>
    <row r="173" spans="1:24" ht="16.5" customHeight="1" x14ac:dyDescent="0.25">
      <c r="A173" s="6" t="s">
        <v>179</v>
      </c>
      <c r="B173" s="7">
        <v>0</v>
      </c>
      <c r="C173" s="8">
        <f>IFERROR(B173/B327, "NA")</f>
        <v>0</v>
      </c>
      <c r="D173" s="9"/>
      <c r="E173" s="7">
        <v>0</v>
      </c>
      <c r="F173" s="8">
        <f>IFERROR(E173/E327, "NA")</f>
        <v>0</v>
      </c>
      <c r="G173" s="9"/>
      <c r="H173" s="7">
        <v>0</v>
      </c>
      <c r="I173" s="8">
        <f>IFERROR(H173/H327, "NA")</f>
        <v>0</v>
      </c>
      <c r="J173" s="9"/>
      <c r="K173" s="7">
        <v>0</v>
      </c>
      <c r="L173" s="8">
        <f>IFERROR(K173/K327, "NA")</f>
        <v>0</v>
      </c>
      <c r="M173" s="9"/>
      <c r="N173" s="7">
        <v>0</v>
      </c>
      <c r="O173" s="8">
        <f>IFERROR(N173/N327, "NA")</f>
        <v>0</v>
      </c>
      <c r="P173" s="9"/>
      <c r="Q173" s="7">
        <v>0</v>
      </c>
      <c r="R173" s="8">
        <f>IFERROR(Q173/Q327, "NA")</f>
        <v>0</v>
      </c>
      <c r="S173" s="9"/>
      <c r="T173" s="7">
        <v>0</v>
      </c>
      <c r="U173" s="8">
        <f>IFERROR(T173/T327, "NA")</f>
        <v>0</v>
      </c>
      <c r="V173" s="9"/>
      <c r="W173" s="7">
        <v>0</v>
      </c>
      <c r="X173" s="8">
        <f>IFERROR(W173/W327, "NA")</f>
        <v>0</v>
      </c>
    </row>
    <row r="174" spans="1:24" ht="16.5" customHeight="1" x14ac:dyDescent="0.25">
      <c r="A174" s="6" t="s">
        <v>180</v>
      </c>
      <c r="B174" s="7">
        <v>0</v>
      </c>
      <c r="C174" s="8">
        <f>IFERROR(B174/B327, "NA")</f>
        <v>0</v>
      </c>
      <c r="D174" s="9"/>
      <c r="E174" s="7">
        <v>0</v>
      </c>
      <c r="F174" s="8">
        <f>IFERROR(E174/E327, "NA")</f>
        <v>0</v>
      </c>
      <c r="G174" s="9"/>
      <c r="H174" s="7">
        <v>0</v>
      </c>
      <c r="I174" s="8">
        <f>IFERROR(H174/H327, "NA")</f>
        <v>0</v>
      </c>
      <c r="J174" s="9"/>
      <c r="K174" s="7">
        <v>0</v>
      </c>
      <c r="L174" s="8">
        <f>IFERROR(K174/K327, "NA")</f>
        <v>0</v>
      </c>
      <c r="M174" s="9"/>
      <c r="N174" s="7">
        <v>0</v>
      </c>
      <c r="O174" s="8">
        <f>IFERROR(N174/N327, "NA")</f>
        <v>0</v>
      </c>
      <c r="P174" s="9"/>
      <c r="Q174" s="7">
        <v>0</v>
      </c>
      <c r="R174" s="8">
        <f>IFERROR(Q174/Q327, "NA")</f>
        <v>0</v>
      </c>
      <c r="S174" s="9"/>
      <c r="T174" s="7">
        <v>0</v>
      </c>
      <c r="U174" s="8">
        <f>IFERROR(T174/T327, "NA")</f>
        <v>0</v>
      </c>
      <c r="V174" s="9"/>
      <c r="W174" s="7">
        <v>0</v>
      </c>
      <c r="X174" s="8">
        <f>IFERROR(W174/W327, "NA")</f>
        <v>0</v>
      </c>
    </row>
    <row r="175" spans="1:24" ht="16.5" customHeight="1" x14ac:dyDescent="0.25">
      <c r="A175" s="6" t="s">
        <v>181</v>
      </c>
      <c r="B175" s="7">
        <v>753.4</v>
      </c>
      <c r="C175" s="8">
        <f>IFERROR(B175/B327, "NA")</f>
        <v>2.1350118104353222E-3</v>
      </c>
      <c r="D175" s="9"/>
      <c r="E175" s="7">
        <v>684.16</v>
      </c>
      <c r="F175" s="8">
        <f>IFERROR(E175/E327, "NA")</f>
        <v>4.5536739288323386E-3</v>
      </c>
      <c r="G175" s="9"/>
      <c r="H175" s="7">
        <v>914.33</v>
      </c>
      <c r="I175" s="8">
        <f>IFERROR(H175/H327, "NA")</f>
        <v>3.6167473284692323E-3</v>
      </c>
      <c r="J175" s="9"/>
      <c r="K175" s="7">
        <v>1738.72</v>
      </c>
      <c r="L175" s="8">
        <f>IFERROR(K175/K327, "NA")</f>
        <v>1.3298463669194139E-2</v>
      </c>
      <c r="M175" s="9"/>
      <c r="N175" s="7">
        <v>808.1</v>
      </c>
      <c r="O175" s="8">
        <f>IFERROR(N175/N327, "NA")</f>
        <v>6.4386805907682655E-3</v>
      </c>
      <c r="P175" s="9"/>
      <c r="Q175" s="7">
        <v>945.95</v>
      </c>
      <c r="R175" s="8">
        <f>IFERROR(Q175/Q327, "NA")</f>
        <v>1.1868883312421582E-2</v>
      </c>
      <c r="S175" s="9"/>
      <c r="T175" s="7">
        <v>547.92999999999995</v>
      </c>
      <c r="U175" s="8">
        <f>IFERROR(T175/T327, "NA")</f>
        <v>6.2169187601335664E-3</v>
      </c>
      <c r="V175" s="9"/>
      <c r="W175" s="7">
        <v>0</v>
      </c>
      <c r="X175" s="8">
        <f>IFERROR(W175/W327, "NA")</f>
        <v>0</v>
      </c>
    </row>
    <row r="176" spans="1:24" ht="16.5" customHeight="1" x14ac:dyDescent="0.25">
      <c r="A176" s="6" t="s">
        <v>182</v>
      </c>
      <c r="B176" s="7">
        <v>704.42</v>
      </c>
      <c r="C176" s="8">
        <f>IFERROR(B176/B327, "NA")</f>
        <v>1.9962105382357971E-3</v>
      </c>
      <c r="D176" s="9"/>
      <c r="E176" s="7">
        <v>837.99</v>
      </c>
      <c r="F176" s="8">
        <f>IFERROR(E176/E327, "NA")</f>
        <v>5.5775450415432234E-3</v>
      </c>
      <c r="G176" s="9"/>
      <c r="H176" s="7">
        <v>915.3</v>
      </c>
      <c r="I176" s="8">
        <f>IFERROR(H176/H327, "NA")</f>
        <v>3.6205842854854244E-3</v>
      </c>
      <c r="J176" s="9"/>
      <c r="K176" s="7">
        <v>1896.93</v>
      </c>
      <c r="L176" s="8">
        <f>IFERROR(K176/K327, "NA")</f>
        <v>1.4508520456430271E-2</v>
      </c>
      <c r="M176" s="9"/>
      <c r="N176" s="7">
        <v>799.75</v>
      </c>
      <c r="O176" s="8">
        <f>IFERROR(N176/N327, "NA")</f>
        <v>6.3721504794789262E-3</v>
      </c>
      <c r="P176" s="9"/>
      <c r="Q176" s="7">
        <v>626.86</v>
      </c>
      <c r="R176" s="8">
        <f>IFERROR(Q176/Q327, "NA")</f>
        <v>7.8652446675031365E-3</v>
      </c>
      <c r="S176" s="9"/>
      <c r="T176" s="7">
        <v>452.56</v>
      </c>
      <c r="U176" s="8">
        <f>IFERROR(T176/T327, "NA")</f>
        <v>5.1348324678080178E-3</v>
      </c>
      <c r="V176" s="9"/>
      <c r="W176" s="7">
        <v>0</v>
      </c>
      <c r="X176" s="8">
        <f>IFERROR(W176/W327, "NA")</f>
        <v>0</v>
      </c>
    </row>
    <row r="177" spans="1:24" ht="16.5" customHeight="1" x14ac:dyDescent="0.25">
      <c r="A177" s="6" t="s">
        <v>183</v>
      </c>
      <c r="B177" s="7">
        <v>4209.5200000000004</v>
      </c>
      <c r="C177" s="8">
        <f>IFERROR(B177/B327, "NA")</f>
        <v>1.1929088022648924E-2</v>
      </c>
      <c r="D177" s="9"/>
      <c r="E177" s="7">
        <v>0</v>
      </c>
      <c r="F177" s="8">
        <f>IFERROR(E177/E327, "NA")</f>
        <v>0</v>
      </c>
      <c r="G177" s="9"/>
      <c r="H177" s="7">
        <v>0</v>
      </c>
      <c r="I177" s="8">
        <f>IFERROR(H177/H327, "NA")</f>
        <v>0</v>
      </c>
      <c r="J177" s="9"/>
      <c r="K177" s="7">
        <v>0</v>
      </c>
      <c r="L177" s="8">
        <f>IFERROR(K177/K327, "NA")</f>
        <v>0</v>
      </c>
      <c r="M177" s="9"/>
      <c r="N177" s="7">
        <v>1615.49</v>
      </c>
      <c r="O177" s="8">
        <f>IFERROR(N177/N327, "NA")</f>
        <v>1.2871704130157438E-2</v>
      </c>
      <c r="P177" s="9"/>
      <c r="Q177" s="7">
        <v>0</v>
      </c>
      <c r="R177" s="8">
        <f>IFERROR(Q177/Q327, "NA")</f>
        <v>0</v>
      </c>
      <c r="S177" s="9"/>
      <c r="T177" s="7">
        <v>0</v>
      </c>
      <c r="U177" s="8">
        <f>IFERROR(T177/T327, "NA")</f>
        <v>0</v>
      </c>
      <c r="V177" s="9"/>
      <c r="W177" s="7">
        <v>0</v>
      </c>
      <c r="X177" s="8">
        <f>IFERROR(W177/W327, "NA")</f>
        <v>0</v>
      </c>
    </row>
    <row r="178" spans="1:24" ht="16.5" customHeight="1" x14ac:dyDescent="0.25">
      <c r="A178" s="6" t="s">
        <v>184</v>
      </c>
      <c r="B178" s="7">
        <v>148.77000000000001</v>
      </c>
      <c r="C178" s="8">
        <f>IFERROR(B178/B327, "NA")</f>
        <v>4.215897359151353E-4</v>
      </c>
      <c r="D178" s="9"/>
      <c r="E178" s="7">
        <v>-83.33</v>
      </c>
      <c r="F178" s="8">
        <f>IFERROR(E178/E327, "NA")</f>
        <v>-5.5463290529934341E-4</v>
      </c>
      <c r="G178" s="9"/>
      <c r="H178" s="7">
        <v>0</v>
      </c>
      <c r="I178" s="8">
        <f>IFERROR(H178/H327, "NA")</f>
        <v>0</v>
      </c>
      <c r="J178" s="9"/>
      <c r="K178" s="7">
        <v>5.43</v>
      </c>
      <c r="L178" s="8">
        <f>IFERROR(K178/K327, "NA")</f>
        <v>4.1530929490501159E-5</v>
      </c>
      <c r="M178" s="9"/>
      <c r="N178" s="7">
        <v>88.76</v>
      </c>
      <c r="O178" s="8">
        <f>IFERROR(N178/N327, "NA")</f>
        <v>7.0721109916667651E-4</v>
      </c>
      <c r="P178" s="9"/>
      <c r="Q178" s="7">
        <v>-0.01</v>
      </c>
      <c r="R178" s="8">
        <f>IFERROR(Q178/Q327, "NA")</f>
        <v>-1.2547051442910915E-7</v>
      </c>
      <c r="S178" s="9"/>
      <c r="T178" s="7">
        <v>0</v>
      </c>
      <c r="U178" s="8">
        <f>IFERROR(T178/T327, "NA")</f>
        <v>0</v>
      </c>
      <c r="V178" s="9"/>
      <c r="W178" s="7">
        <v>0</v>
      </c>
      <c r="X178" s="8">
        <f>IFERROR(W178/W327, "NA")</f>
        <v>0</v>
      </c>
    </row>
    <row r="179" spans="1:24" ht="16.5" customHeight="1" x14ac:dyDescent="0.25">
      <c r="A179" s="6" t="s">
        <v>185</v>
      </c>
      <c r="B179" s="7">
        <v>0</v>
      </c>
      <c r="C179" s="8">
        <f>IFERROR(B179/B327, "NA")</f>
        <v>0</v>
      </c>
      <c r="D179" s="9"/>
      <c r="E179" s="7">
        <v>1925.48</v>
      </c>
      <c r="F179" s="8">
        <f>IFERROR(E179/E327, "NA")</f>
        <v>1.2815727427046439E-2</v>
      </c>
      <c r="G179" s="9"/>
      <c r="H179" s="7">
        <v>0</v>
      </c>
      <c r="I179" s="8">
        <f>IFERROR(H179/H327, "NA")</f>
        <v>0</v>
      </c>
      <c r="J179" s="9"/>
      <c r="K179" s="7">
        <v>0</v>
      </c>
      <c r="L179" s="8">
        <f>IFERROR(K179/K327, "NA")</f>
        <v>0</v>
      </c>
      <c r="M179" s="9"/>
      <c r="N179" s="7">
        <v>0</v>
      </c>
      <c r="O179" s="8">
        <f>IFERROR(N179/N327, "NA")</f>
        <v>0</v>
      </c>
      <c r="P179" s="9"/>
      <c r="Q179" s="7">
        <v>2094.5700000000002</v>
      </c>
      <c r="R179" s="8">
        <f>IFERROR(Q179/Q327, "NA")</f>
        <v>2.6280677540777918E-2</v>
      </c>
      <c r="S179" s="9"/>
      <c r="T179" s="7">
        <v>0</v>
      </c>
      <c r="U179" s="8">
        <f>IFERROR(T179/T327, "NA")</f>
        <v>0</v>
      </c>
      <c r="V179" s="9"/>
      <c r="W179" s="7">
        <v>0</v>
      </c>
      <c r="X179" s="8">
        <f>IFERROR(W179/W327, "NA")</f>
        <v>0</v>
      </c>
    </row>
    <row r="180" spans="1:24" ht="16.5" customHeight="1" x14ac:dyDescent="0.25">
      <c r="A180" s="6" t="s">
        <v>186</v>
      </c>
      <c r="B180" s="7">
        <v>2215.5</v>
      </c>
      <c r="C180" s="8">
        <f>IFERROR(B180/B327, "NA")</f>
        <v>6.2783629758686706E-3</v>
      </c>
      <c r="D180" s="9"/>
      <c r="E180" s="7">
        <v>539.5</v>
      </c>
      <c r="F180" s="8">
        <f>IFERROR(E180/E327, "NA")</f>
        <v>3.5908370623904447E-3</v>
      </c>
      <c r="G180" s="9"/>
      <c r="H180" s="7">
        <v>218.5</v>
      </c>
      <c r="I180" s="8">
        <f>IFERROR(H180/H327, "NA")</f>
        <v>8.6430423509075197E-4</v>
      </c>
      <c r="J180" s="9"/>
      <c r="K180" s="7">
        <v>914.5</v>
      </c>
      <c r="L180" s="8">
        <f>IFERROR(K180/K327, "NA")</f>
        <v>6.9944815873044771E-3</v>
      </c>
      <c r="M180" s="9"/>
      <c r="N180" s="7">
        <v>0</v>
      </c>
      <c r="O180" s="8">
        <f>IFERROR(N180/N327, "NA")</f>
        <v>0</v>
      </c>
      <c r="P180" s="9"/>
      <c r="Q180" s="7">
        <v>329.6</v>
      </c>
      <c r="R180" s="8">
        <f>IFERROR(Q180/Q327, "NA")</f>
        <v>4.135508155583438E-3</v>
      </c>
      <c r="S180" s="9"/>
      <c r="T180" s="7">
        <v>0</v>
      </c>
      <c r="U180" s="8">
        <f>IFERROR(T180/T327, "NA")</f>
        <v>0</v>
      </c>
      <c r="V180" s="9"/>
      <c r="W180" s="7">
        <v>0</v>
      </c>
      <c r="X180" s="8">
        <f>IFERROR(W180/W327, "NA")</f>
        <v>0</v>
      </c>
    </row>
    <row r="181" spans="1:24" ht="16.5" customHeight="1" x14ac:dyDescent="0.25">
      <c r="A181" s="6" t="s">
        <v>187</v>
      </c>
      <c r="B181" s="7">
        <v>0</v>
      </c>
      <c r="C181" s="8">
        <f>IFERROR(B181/B327, "NA")</f>
        <v>0</v>
      </c>
      <c r="D181" s="9"/>
      <c r="E181" s="7">
        <v>0</v>
      </c>
      <c r="F181" s="8">
        <f>IFERROR(E181/E327, "NA")</f>
        <v>0</v>
      </c>
      <c r="G181" s="9"/>
      <c r="H181" s="7">
        <v>0</v>
      </c>
      <c r="I181" s="8">
        <f>IFERROR(H181/H327, "NA")</f>
        <v>0</v>
      </c>
      <c r="J181" s="9"/>
      <c r="K181" s="7">
        <v>0</v>
      </c>
      <c r="L181" s="8">
        <f>IFERROR(K181/K327, "NA")</f>
        <v>0</v>
      </c>
      <c r="M181" s="9"/>
      <c r="N181" s="7">
        <v>0</v>
      </c>
      <c r="O181" s="8">
        <f>IFERROR(N181/N327, "NA")</f>
        <v>0</v>
      </c>
      <c r="P181" s="9"/>
      <c r="Q181" s="7">
        <v>0</v>
      </c>
      <c r="R181" s="8">
        <f>IFERROR(Q181/Q327, "NA")</f>
        <v>0</v>
      </c>
      <c r="S181" s="9"/>
      <c r="T181" s="7">
        <v>0</v>
      </c>
      <c r="U181" s="8">
        <f>IFERROR(T181/T327, "NA")</f>
        <v>0</v>
      </c>
      <c r="V181" s="9"/>
      <c r="W181" s="7">
        <v>0</v>
      </c>
      <c r="X181" s="8">
        <f>IFERROR(W181/W327, "NA")</f>
        <v>0</v>
      </c>
    </row>
    <row r="182" spans="1:24" ht="16.5" customHeight="1" x14ac:dyDescent="0.25">
      <c r="A182" s="6" t="s">
        <v>188</v>
      </c>
      <c r="B182" s="7">
        <v>30.31</v>
      </c>
      <c r="C182" s="8">
        <f>IFERROR(B182/B327, "NA")</f>
        <v>8.5893559827839941E-5</v>
      </c>
      <c r="D182" s="9"/>
      <c r="E182" s="7">
        <v>0</v>
      </c>
      <c r="F182" s="8">
        <f>IFERROR(E182/E327, "NA")</f>
        <v>0</v>
      </c>
      <c r="G182" s="9"/>
      <c r="H182" s="7">
        <v>0</v>
      </c>
      <c r="I182" s="8">
        <f>IFERROR(H182/H327, "NA")</f>
        <v>0</v>
      </c>
      <c r="J182" s="9"/>
      <c r="K182" s="7">
        <v>105.72</v>
      </c>
      <c r="L182" s="8">
        <f>IFERROR(K182/K327, "NA")</f>
        <v>8.0859113549461921E-4</v>
      </c>
      <c r="M182" s="9"/>
      <c r="N182" s="7">
        <v>248.58</v>
      </c>
      <c r="O182" s="8">
        <f>IFERROR(N182/N327, "NA")</f>
        <v>1.9806053969226279E-3</v>
      </c>
      <c r="P182" s="9"/>
      <c r="Q182" s="7">
        <v>52.86</v>
      </c>
      <c r="R182" s="8">
        <f>IFERROR(Q182/Q327, "NA")</f>
        <v>6.6323713927227102E-4</v>
      </c>
      <c r="S182" s="9"/>
      <c r="T182" s="7">
        <v>0</v>
      </c>
      <c r="U182" s="8">
        <f>IFERROR(T182/T327, "NA")</f>
        <v>0</v>
      </c>
      <c r="V182" s="9"/>
      <c r="W182" s="7">
        <v>0</v>
      </c>
      <c r="X182" s="8">
        <f>IFERROR(W182/W327, "NA")</f>
        <v>0</v>
      </c>
    </row>
    <row r="183" spans="1:24" ht="16.5" customHeight="1" x14ac:dyDescent="0.25">
      <c r="A183" s="6" t="s">
        <v>189</v>
      </c>
      <c r="B183" s="7">
        <v>2538.79</v>
      </c>
      <c r="C183" s="8">
        <f>IFERROR(B183/B327, "NA")</f>
        <v>7.1945137167707613E-3</v>
      </c>
      <c r="D183" s="9"/>
      <c r="E183" s="7">
        <v>0</v>
      </c>
      <c r="F183" s="8">
        <f>IFERROR(E183/E327, "NA")</f>
        <v>0</v>
      </c>
      <c r="G183" s="9"/>
      <c r="H183" s="7">
        <v>0</v>
      </c>
      <c r="I183" s="8">
        <f>IFERROR(H183/H327, "NA")</f>
        <v>0</v>
      </c>
      <c r="J183" s="9"/>
      <c r="K183" s="7">
        <v>0</v>
      </c>
      <c r="L183" s="8">
        <f>IFERROR(K183/K327, "NA")</f>
        <v>0</v>
      </c>
      <c r="M183" s="9"/>
      <c r="N183" s="7">
        <v>1904.92</v>
      </c>
      <c r="O183" s="8">
        <f>IFERROR(N183/N327, "NA")</f>
        <v>1.5177789173327912E-2</v>
      </c>
      <c r="P183" s="9"/>
      <c r="Q183" s="7">
        <v>0</v>
      </c>
      <c r="R183" s="8">
        <f>IFERROR(Q183/Q327, "NA")</f>
        <v>0</v>
      </c>
      <c r="S183" s="9"/>
      <c r="T183" s="7">
        <v>0</v>
      </c>
      <c r="U183" s="8">
        <f>IFERROR(T183/T327, "NA")</f>
        <v>0</v>
      </c>
      <c r="V183" s="9"/>
      <c r="W183" s="7">
        <v>0</v>
      </c>
      <c r="X183" s="8">
        <f>IFERROR(W183/W327, "NA")</f>
        <v>0</v>
      </c>
    </row>
    <row r="184" spans="1:24" ht="16.5" customHeight="1" x14ac:dyDescent="0.25">
      <c r="A184" s="6" t="s">
        <v>190</v>
      </c>
      <c r="B184" s="7">
        <v>114.92</v>
      </c>
      <c r="C184" s="8">
        <f>IFERROR(B184/B327, "NA")</f>
        <v>3.2566439773722757E-4</v>
      </c>
      <c r="D184" s="9"/>
      <c r="E184" s="7">
        <v>116.36</v>
      </c>
      <c r="F184" s="8">
        <f>IFERROR(E184/E327, "NA")</f>
        <v>7.7447599736747382E-4</v>
      </c>
      <c r="G184" s="9"/>
      <c r="H184" s="7">
        <v>0</v>
      </c>
      <c r="I184" s="8">
        <f>IFERROR(H184/H327, "NA")</f>
        <v>0</v>
      </c>
      <c r="J184" s="9"/>
      <c r="K184" s="7">
        <v>264.70999999999998</v>
      </c>
      <c r="L184" s="8">
        <f>IFERROR(K184/K327, "NA")</f>
        <v>2.024613691607838E-3</v>
      </c>
      <c r="M184" s="9"/>
      <c r="N184" s="7">
        <v>20.14</v>
      </c>
      <c r="O184" s="8">
        <f>IFERROR(N184/N327, "NA")</f>
        <v>1.6046903489428643E-4</v>
      </c>
      <c r="P184" s="9"/>
      <c r="Q184" s="7">
        <v>0</v>
      </c>
      <c r="R184" s="8">
        <f>IFERROR(Q184/Q327, "NA")</f>
        <v>0</v>
      </c>
      <c r="S184" s="9"/>
      <c r="T184" s="7">
        <v>81.77</v>
      </c>
      <c r="U184" s="8">
        <f>IFERROR(T184/T327, "NA")</f>
        <v>9.277780866463267E-4</v>
      </c>
      <c r="V184" s="9"/>
      <c r="W184" s="7">
        <v>0</v>
      </c>
      <c r="X184" s="8">
        <f>IFERROR(W184/W327, "NA")</f>
        <v>0</v>
      </c>
    </row>
    <row r="185" spans="1:24" ht="16.5" customHeight="1" x14ac:dyDescent="0.25">
      <c r="A185" s="6" t="s">
        <v>191</v>
      </c>
      <c r="B185" s="7">
        <v>0</v>
      </c>
      <c r="C185" s="8">
        <f>IFERROR(B185/B327, "NA")</f>
        <v>0</v>
      </c>
      <c r="D185" s="9"/>
      <c r="E185" s="7">
        <v>1800</v>
      </c>
      <c r="F185" s="8">
        <f>IFERROR(E185/E327, "NA")</f>
        <v>1.1980549976464876E-2</v>
      </c>
      <c r="G185" s="9"/>
      <c r="H185" s="7">
        <v>0</v>
      </c>
      <c r="I185" s="8">
        <f>IFERROR(H185/H327, "NA")</f>
        <v>0</v>
      </c>
      <c r="J185" s="9"/>
      <c r="K185" s="7">
        <v>0</v>
      </c>
      <c r="L185" s="8">
        <f>IFERROR(K185/K327, "NA")</f>
        <v>0</v>
      </c>
      <c r="M185" s="9"/>
      <c r="N185" s="7">
        <v>0</v>
      </c>
      <c r="O185" s="8">
        <f>IFERROR(N185/N327, "NA")</f>
        <v>0</v>
      </c>
      <c r="P185" s="9"/>
      <c r="Q185" s="7">
        <v>0</v>
      </c>
      <c r="R185" s="8">
        <f>IFERROR(Q185/Q327, "NA")</f>
        <v>0</v>
      </c>
      <c r="S185" s="9"/>
      <c r="T185" s="7">
        <v>0</v>
      </c>
      <c r="U185" s="8">
        <f>IFERROR(T185/T327, "NA")</f>
        <v>0</v>
      </c>
      <c r="V185" s="9"/>
      <c r="W185" s="7">
        <v>0</v>
      </c>
      <c r="X185" s="8">
        <f>IFERROR(W185/W327, "NA")</f>
        <v>0</v>
      </c>
    </row>
    <row r="186" spans="1:24" ht="16.5" customHeight="1" x14ac:dyDescent="0.25">
      <c r="A186" s="6" t="s">
        <v>192</v>
      </c>
      <c r="B186" s="7">
        <v>0</v>
      </c>
      <c r="C186" s="8">
        <f>IFERROR(B186/B327, "NA")</f>
        <v>0</v>
      </c>
      <c r="D186" s="9"/>
      <c r="E186" s="7">
        <v>0</v>
      </c>
      <c r="F186" s="8">
        <f>IFERROR(E186/E327, "NA")</f>
        <v>0</v>
      </c>
      <c r="G186" s="9"/>
      <c r="H186" s="7">
        <v>0</v>
      </c>
      <c r="I186" s="8">
        <f>IFERROR(H186/H327, "NA")</f>
        <v>0</v>
      </c>
      <c r="J186" s="9"/>
      <c r="K186" s="7">
        <v>0</v>
      </c>
      <c r="L186" s="8">
        <f>IFERROR(K186/K327, "NA")</f>
        <v>0</v>
      </c>
      <c r="M186" s="9"/>
      <c r="N186" s="7">
        <v>0</v>
      </c>
      <c r="O186" s="8">
        <f>IFERROR(N186/N327, "NA")</f>
        <v>0</v>
      </c>
      <c r="P186" s="9"/>
      <c r="Q186" s="7">
        <v>0</v>
      </c>
      <c r="R186" s="8">
        <f>IFERROR(Q186/Q327, "NA")</f>
        <v>0</v>
      </c>
      <c r="S186" s="9"/>
      <c r="T186" s="7">
        <v>0</v>
      </c>
      <c r="U186" s="8">
        <f>IFERROR(T186/T327, "NA")</f>
        <v>0</v>
      </c>
      <c r="V186" s="9"/>
      <c r="W186" s="7">
        <v>0</v>
      </c>
      <c r="X186" s="8">
        <f>IFERROR(W186/W327, "NA")</f>
        <v>0</v>
      </c>
    </row>
    <row r="187" spans="1:24" ht="16.5" customHeight="1" x14ac:dyDescent="0.25">
      <c r="A187" s="6" t="s">
        <v>193</v>
      </c>
      <c r="B187" s="7">
        <v>1016.27</v>
      </c>
      <c r="C187" s="8">
        <f>IFERROR(B187/B327, "NA")</f>
        <v>2.8799421988201551E-3</v>
      </c>
      <c r="D187" s="9"/>
      <c r="E187" s="7">
        <v>0</v>
      </c>
      <c r="F187" s="8">
        <f>IFERROR(E187/E327, "NA")</f>
        <v>0</v>
      </c>
      <c r="G187" s="9"/>
      <c r="H187" s="7">
        <v>0</v>
      </c>
      <c r="I187" s="8">
        <f>IFERROR(H187/H327, "NA")</f>
        <v>0</v>
      </c>
      <c r="J187" s="9"/>
      <c r="K187" s="7">
        <v>660.87</v>
      </c>
      <c r="L187" s="8">
        <f>IFERROR(K187/K327, "NA")</f>
        <v>5.0546124074378456E-3</v>
      </c>
      <c r="M187" s="9"/>
      <c r="N187" s="7">
        <v>1009.33</v>
      </c>
      <c r="O187" s="8">
        <f>IFERROR(N187/N327, "NA")</f>
        <v>8.0420164344513472E-3</v>
      </c>
      <c r="P187" s="9"/>
      <c r="Q187" s="7">
        <v>677.16</v>
      </c>
      <c r="R187" s="8">
        <f>IFERROR(Q187/Q327, "NA")</f>
        <v>8.4963613550815553E-3</v>
      </c>
      <c r="S187" s="9"/>
      <c r="T187" s="7">
        <v>822.42</v>
      </c>
      <c r="U187" s="8">
        <f>IFERROR(T187/T327, "NA")</f>
        <v>9.3313348907872323E-3</v>
      </c>
      <c r="V187" s="9"/>
      <c r="W187" s="7">
        <v>0</v>
      </c>
      <c r="X187" s="8">
        <f>IFERROR(W187/W327, "NA")</f>
        <v>0</v>
      </c>
    </row>
    <row r="188" spans="1:24" ht="16.5" customHeight="1" x14ac:dyDescent="0.25">
      <c r="A188" s="6" t="s">
        <v>194</v>
      </c>
      <c r="B188" s="7">
        <v>1006.21</v>
      </c>
      <c r="C188" s="8">
        <f>IFERROR(B188/B327, "NA")</f>
        <v>2.8514338117575336E-3</v>
      </c>
      <c r="D188" s="9"/>
      <c r="E188" s="7">
        <v>256.64</v>
      </c>
      <c r="F188" s="8">
        <f>IFERROR(E188/E327, "NA")</f>
        <v>1.7081601921999697E-3</v>
      </c>
      <c r="G188" s="9"/>
      <c r="H188" s="7">
        <v>336.6</v>
      </c>
      <c r="I188" s="8">
        <f>IFERROR(H188/H327, "NA")</f>
        <v>1.331463640876646E-3</v>
      </c>
      <c r="J188" s="9"/>
      <c r="K188" s="7">
        <v>742.08</v>
      </c>
      <c r="L188" s="8">
        <f>IFERROR(K188/K327, "NA")</f>
        <v>5.6757407286024131E-3</v>
      </c>
      <c r="M188" s="9"/>
      <c r="N188" s="7">
        <v>597.67999999999995</v>
      </c>
      <c r="O188" s="8">
        <f>IFERROR(N188/N327, "NA")</f>
        <v>4.7621217862769171E-3</v>
      </c>
      <c r="P188" s="9"/>
      <c r="Q188" s="7">
        <v>230.95</v>
      </c>
      <c r="R188" s="8">
        <f>IFERROR(Q188/Q327, "NA")</f>
        <v>2.8977415307402761E-3</v>
      </c>
      <c r="S188" s="9"/>
      <c r="T188" s="7">
        <v>27.9</v>
      </c>
      <c r="U188" s="8">
        <f>IFERROR(T188/T327, "NA")</f>
        <v>3.1655874547428781E-4</v>
      </c>
      <c r="V188" s="9"/>
      <c r="W188" s="7">
        <v>0</v>
      </c>
      <c r="X188" s="8">
        <f>IFERROR(W188/W327, "NA")</f>
        <v>0</v>
      </c>
    </row>
    <row r="189" spans="1:24" ht="16.5" customHeight="1" x14ac:dyDescent="0.25">
      <c r="A189" s="6" t="s">
        <v>195</v>
      </c>
      <c r="B189" s="7">
        <v>1863.06</v>
      </c>
      <c r="C189" s="8">
        <f>IFERROR(B189/B327, "NA")</f>
        <v>5.2796059245415871E-3</v>
      </c>
      <c r="D189" s="9"/>
      <c r="E189" s="7">
        <v>6151.8</v>
      </c>
      <c r="F189" s="8">
        <f>IFERROR(E189/E327, "NA")</f>
        <v>4.0945526302898126E-2</v>
      </c>
      <c r="G189" s="9"/>
      <c r="H189" s="7">
        <v>106.89</v>
      </c>
      <c r="I189" s="8">
        <f>IFERROR(H189/H327, "NA")</f>
        <v>4.2281684068123785E-4</v>
      </c>
      <c r="J189" s="9"/>
      <c r="K189" s="7">
        <v>2679.42</v>
      </c>
      <c r="L189" s="8">
        <f>IFERROR(K189/K327, "NA")</f>
        <v>2.0493333903395694E-2</v>
      </c>
      <c r="M189" s="9"/>
      <c r="N189" s="7">
        <v>1368.1</v>
      </c>
      <c r="O189" s="8">
        <f>IFERROR(N189/N327, "NA")</f>
        <v>1.090058027005329E-2</v>
      </c>
      <c r="P189" s="9"/>
      <c r="Q189" s="7">
        <v>514.4</v>
      </c>
      <c r="R189" s="8">
        <f>IFERROR(Q189/Q327, "NA")</f>
        <v>6.4542032622333751E-3</v>
      </c>
      <c r="S189" s="9"/>
      <c r="T189" s="7">
        <v>360</v>
      </c>
      <c r="U189" s="8">
        <f>IFERROR(T189/T327, "NA")</f>
        <v>4.0846289738617784E-3</v>
      </c>
      <c r="V189" s="9"/>
      <c r="W189" s="7">
        <v>0</v>
      </c>
      <c r="X189" s="8">
        <f>IFERROR(W189/W327, "NA")</f>
        <v>0</v>
      </c>
    </row>
    <row r="190" spans="1:24" ht="16.5" customHeight="1" x14ac:dyDescent="0.25">
      <c r="A190" s="6" t="s">
        <v>196</v>
      </c>
      <c r="B190" s="7">
        <v>0</v>
      </c>
      <c r="C190" s="8">
        <f>IFERROR(B190/B327, "NA")</f>
        <v>0</v>
      </c>
      <c r="D190" s="9"/>
      <c r="E190" s="7">
        <v>0</v>
      </c>
      <c r="F190" s="8">
        <f>IFERROR(E190/E327, "NA")</f>
        <v>0</v>
      </c>
      <c r="G190" s="9"/>
      <c r="H190" s="7">
        <v>0</v>
      </c>
      <c r="I190" s="8">
        <f>IFERROR(H190/H327, "NA")</f>
        <v>0</v>
      </c>
      <c r="J190" s="9"/>
      <c r="K190" s="7">
        <v>0</v>
      </c>
      <c r="L190" s="8">
        <f>IFERROR(K190/K327, "NA")</f>
        <v>0</v>
      </c>
      <c r="M190" s="9"/>
      <c r="N190" s="7">
        <v>0</v>
      </c>
      <c r="O190" s="8">
        <f>IFERROR(N190/N327, "NA")</f>
        <v>0</v>
      </c>
      <c r="P190" s="9"/>
      <c r="Q190" s="7">
        <v>0</v>
      </c>
      <c r="R190" s="8">
        <f>IFERROR(Q190/Q327, "NA")</f>
        <v>0</v>
      </c>
      <c r="S190" s="9"/>
      <c r="T190" s="7">
        <v>0</v>
      </c>
      <c r="U190" s="8">
        <f>IFERROR(T190/T327, "NA")</f>
        <v>0</v>
      </c>
      <c r="V190" s="9"/>
      <c r="W190" s="7">
        <v>0</v>
      </c>
      <c r="X190" s="8">
        <f>IFERROR(W190/W327, "NA")</f>
        <v>0</v>
      </c>
    </row>
    <row r="191" spans="1:24" ht="16.5" customHeight="1" x14ac:dyDescent="0.25">
      <c r="A191" s="6" t="s">
        <v>197</v>
      </c>
      <c r="B191" s="7">
        <v>0</v>
      </c>
      <c r="C191" s="8">
        <f>IFERROR(B191/B327, "NA")</f>
        <v>0</v>
      </c>
      <c r="D191" s="9"/>
      <c r="E191" s="7">
        <v>0</v>
      </c>
      <c r="F191" s="8">
        <f>IFERROR(E191/E327, "NA")</f>
        <v>0</v>
      </c>
      <c r="G191" s="9"/>
      <c r="H191" s="7">
        <v>0</v>
      </c>
      <c r="I191" s="8">
        <f>IFERROR(H191/H327, "NA")</f>
        <v>0</v>
      </c>
      <c r="J191" s="9"/>
      <c r="K191" s="7">
        <v>0</v>
      </c>
      <c r="L191" s="8">
        <f>IFERROR(K191/K327, "NA")</f>
        <v>0</v>
      </c>
      <c r="M191" s="9"/>
      <c r="N191" s="7">
        <v>0</v>
      </c>
      <c r="O191" s="8">
        <f>IFERROR(N191/N327, "NA")</f>
        <v>0</v>
      </c>
      <c r="P191" s="9"/>
      <c r="Q191" s="7">
        <v>0</v>
      </c>
      <c r="R191" s="8">
        <f>IFERROR(Q191/Q327, "NA")</f>
        <v>0</v>
      </c>
      <c r="S191" s="9"/>
      <c r="T191" s="7">
        <v>0</v>
      </c>
      <c r="U191" s="8">
        <f>IFERROR(T191/T327, "NA")</f>
        <v>0</v>
      </c>
      <c r="V191" s="9"/>
      <c r="W191" s="7">
        <v>0</v>
      </c>
      <c r="X191" s="8">
        <f>IFERROR(W191/W327, "NA")</f>
        <v>0</v>
      </c>
    </row>
    <row r="192" spans="1:24" ht="16.5" customHeight="1" x14ac:dyDescent="0.25">
      <c r="A192" s="6" t="s">
        <v>198</v>
      </c>
      <c r="B192" s="7">
        <v>0</v>
      </c>
      <c r="C192" s="8">
        <f>IFERROR(B192/B327, "NA")</f>
        <v>0</v>
      </c>
      <c r="D192" s="9"/>
      <c r="E192" s="7">
        <v>1109.42</v>
      </c>
      <c r="F192" s="8">
        <f>IFERROR(E192/E327, "NA")</f>
        <v>7.3841454193831462E-3</v>
      </c>
      <c r="G192" s="9"/>
      <c r="H192" s="7">
        <v>2006.51</v>
      </c>
      <c r="I192" s="8">
        <f>IFERROR(H192/H327, "NA")</f>
        <v>7.9370027036702265E-3</v>
      </c>
      <c r="J192" s="9"/>
      <c r="K192" s="7">
        <v>0</v>
      </c>
      <c r="L192" s="8">
        <f>IFERROR(K192/K327, "NA")</f>
        <v>0</v>
      </c>
      <c r="M192" s="9"/>
      <c r="N192" s="7">
        <v>0</v>
      </c>
      <c r="O192" s="8">
        <f>IFERROR(N192/N327, "NA")</f>
        <v>0</v>
      </c>
      <c r="P192" s="9"/>
      <c r="Q192" s="7">
        <v>0</v>
      </c>
      <c r="R192" s="8">
        <f>IFERROR(Q192/Q327, "NA")</f>
        <v>0</v>
      </c>
      <c r="S192" s="9"/>
      <c r="T192" s="7">
        <v>462.5</v>
      </c>
      <c r="U192" s="8">
        <f>IFERROR(T192/T327, "NA")</f>
        <v>5.2476136122529791E-3</v>
      </c>
      <c r="V192" s="9"/>
      <c r="W192" s="7">
        <v>0</v>
      </c>
      <c r="X192" s="8">
        <f>IFERROR(W192/W327, "NA")</f>
        <v>0</v>
      </c>
    </row>
    <row r="193" spans="1:24" ht="16.5" customHeight="1" x14ac:dyDescent="0.25">
      <c r="A193" s="6" t="s">
        <v>199</v>
      </c>
      <c r="B193" s="7">
        <v>15033.09</v>
      </c>
      <c r="C193" s="8">
        <f>IFERROR(B193/B327, "NA")</f>
        <v>4.2601307004694902E-2</v>
      </c>
      <c r="D193" s="9"/>
      <c r="E193" s="7">
        <v>0</v>
      </c>
      <c r="F193" s="8">
        <f>IFERROR(E193/E327, "NA")</f>
        <v>0</v>
      </c>
      <c r="G193" s="9"/>
      <c r="H193" s="7">
        <v>0</v>
      </c>
      <c r="I193" s="8">
        <f>IFERROR(H193/H327, "NA")</f>
        <v>0</v>
      </c>
      <c r="J193" s="9"/>
      <c r="K193" s="7">
        <v>0</v>
      </c>
      <c r="L193" s="8">
        <f>IFERROR(K193/K327, "NA")</f>
        <v>0</v>
      </c>
      <c r="M193" s="9"/>
      <c r="N193" s="7">
        <v>10693.94</v>
      </c>
      <c r="O193" s="8">
        <f>IFERROR(N193/N327, "NA")</f>
        <v>8.5205870457666616E-2</v>
      </c>
      <c r="P193" s="9"/>
      <c r="Q193" s="7">
        <v>0</v>
      </c>
      <c r="R193" s="8">
        <f>IFERROR(Q193/Q327, "NA")</f>
        <v>0</v>
      </c>
      <c r="S193" s="9"/>
      <c r="T193" s="7">
        <v>0</v>
      </c>
      <c r="U193" s="8">
        <f>IFERROR(T193/T327, "NA")</f>
        <v>0</v>
      </c>
      <c r="V193" s="9"/>
      <c r="W193" s="7">
        <v>0</v>
      </c>
      <c r="X193" s="8">
        <f>IFERROR(W193/W327, "NA")</f>
        <v>0</v>
      </c>
    </row>
    <row r="194" spans="1:24" ht="16.5" customHeight="1" x14ac:dyDescent="0.25">
      <c r="A194" s="6" t="s">
        <v>200</v>
      </c>
      <c r="B194" s="7">
        <v>10510.93</v>
      </c>
      <c r="C194" s="8">
        <f>IFERROR(B194/B327, "NA")</f>
        <v>2.9786248591264858E-2</v>
      </c>
      <c r="D194" s="9"/>
      <c r="E194" s="7">
        <v>0</v>
      </c>
      <c r="F194" s="8">
        <f>IFERROR(E194/E327, "NA")</f>
        <v>0</v>
      </c>
      <c r="G194" s="9"/>
      <c r="H194" s="7">
        <v>0</v>
      </c>
      <c r="I194" s="8">
        <f>IFERROR(H194/H327, "NA")</f>
        <v>0</v>
      </c>
      <c r="J194" s="9"/>
      <c r="K194" s="7">
        <v>0</v>
      </c>
      <c r="L194" s="8">
        <f>IFERROR(K194/K327, "NA")</f>
        <v>0</v>
      </c>
      <c r="M194" s="9"/>
      <c r="N194" s="7">
        <v>4848.5600000000004</v>
      </c>
      <c r="O194" s="8">
        <f>IFERROR(N194/N327, "NA")</f>
        <v>3.8631764837489646E-2</v>
      </c>
      <c r="P194" s="9"/>
      <c r="Q194" s="7">
        <v>0</v>
      </c>
      <c r="R194" s="8">
        <f>IFERROR(Q194/Q327, "NA")</f>
        <v>0</v>
      </c>
      <c r="S194" s="9"/>
      <c r="T194" s="7">
        <v>0</v>
      </c>
      <c r="U194" s="8">
        <f>IFERROR(T194/T327, "NA")</f>
        <v>0</v>
      </c>
      <c r="V194" s="9"/>
      <c r="W194" s="7">
        <v>0</v>
      </c>
      <c r="X194" s="8">
        <f>IFERROR(W194/W327, "NA")</f>
        <v>0</v>
      </c>
    </row>
    <row r="195" spans="1:24" ht="16.5" customHeight="1" x14ac:dyDescent="0.25">
      <c r="A195" s="6" t="s">
        <v>201</v>
      </c>
      <c r="B195" s="7">
        <v>0</v>
      </c>
      <c r="C195" s="8">
        <f>IFERROR(B195/B327, "NA")</f>
        <v>0</v>
      </c>
      <c r="D195" s="9"/>
      <c r="E195" s="7">
        <v>0</v>
      </c>
      <c r="F195" s="8">
        <f>IFERROR(E195/E327, "NA")</f>
        <v>0</v>
      </c>
      <c r="G195" s="9"/>
      <c r="H195" s="7">
        <v>0</v>
      </c>
      <c r="I195" s="8">
        <f>IFERROR(H195/H327, "NA")</f>
        <v>0</v>
      </c>
      <c r="J195" s="9"/>
      <c r="K195" s="7">
        <v>778.64</v>
      </c>
      <c r="L195" s="8">
        <f>IFERROR(K195/K327, "NA")</f>
        <v>5.9553670236618455E-3</v>
      </c>
      <c r="M195" s="9"/>
      <c r="N195" s="7">
        <v>778.64</v>
      </c>
      <c r="O195" s="8">
        <f>IFERROR(N195/N327, "NA")</f>
        <v>6.2039527969258781E-3</v>
      </c>
      <c r="P195" s="9"/>
      <c r="Q195" s="7">
        <v>0</v>
      </c>
      <c r="R195" s="8">
        <f>IFERROR(Q195/Q327, "NA")</f>
        <v>0</v>
      </c>
      <c r="S195" s="9"/>
      <c r="T195" s="7">
        <v>310.8</v>
      </c>
      <c r="U195" s="8">
        <f>IFERROR(T195/T327, "NA")</f>
        <v>3.5263963474340019E-3</v>
      </c>
      <c r="V195" s="9"/>
      <c r="W195" s="7">
        <v>0</v>
      </c>
      <c r="X195" s="8">
        <f>IFERROR(W195/W327, "NA")</f>
        <v>0</v>
      </c>
    </row>
    <row r="196" spans="1:24" ht="16.5" customHeight="1" x14ac:dyDescent="0.25">
      <c r="A196" s="6" t="s">
        <v>202</v>
      </c>
      <c r="B196" s="7">
        <v>16704.54</v>
      </c>
      <c r="C196" s="8">
        <f>IFERROR(B196/B327, "NA")</f>
        <v>4.7337921672271382E-2</v>
      </c>
      <c r="D196" s="9"/>
      <c r="E196" s="7">
        <v>8469.91</v>
      </c>
      <c r="F196" s="8">
        <f>IFERROR(E196/E327, "NA")</f>
        <v>5.6374544472866453E-2</v>
      </c>
      <c r="G196" s="9"/>
      <c r="H196" s="7">
        <v>21245</v>
      </c>
      <c r="I196" s="8">
        <f>IFERROR(H196/H327, "NA")</f>
        <v>8.4037269906192341E-2</v>
      </c>
      <c r="J196" s="9"/>
      <c r="K196" s="7">
        <v>53600</v>
      </c>
      <c r="L196" s="8">
        <f>IFERROR(K196/K327, "NA")</f>
        <v>0.40995539975890649</v>
      </c>
      <c r="M196" s="9"/>
      <c r="N196" s="7">
        <v>14650</v>
      </c>
      <c r="O196" s="8">
        <f>IFERROR(N196/N327, "NA")</f>
        <v>0.11672648268129575</v>
      </c>
      <c r="P196" s="9"/>
      <c r="Q196" s="7">
        <v>4650</v>
      </c>
      <c r="R196" s="8">
        <f>IFERROR(Q196/Q327, "NA")</f>
        <v>5.8343789209535757E-2</v>
      </c>
      <c r="S196" s="9"/>
      <c r="T196" s="7">
        <v>3176.81</v>
      </c>
      <c r="U196" s="8">
        <f>IFERROR(T196/T327, "NA")</f>
        <v>3.604469491792732E-2</v>
      </c>
      <c r="V196" s="9"/>
      <c r="W196" s="7">
        <v>7200</v>
      </c>
      <c r="X196" s="8">
        <f>IFERROR(W196/W327, "NA")</f>
        <v>4.9001449149801042E-2</v>
      </c>
    </row>
    <row r="197" spans="1:24" ht="16.5" customHeight="1" x14ac:dyDescent="0.25">
      <c r="A197" s="6" t="s">
        <v>203</v>
      </c>
      <c r="B197" s="7">
        <v>0</v>
      </c>
      <c r="C197" s="8">
        <f>IFERROR(B197/B327, "NA")</f>
        <v>0</v>
      </c>
      <c r="D197" s="9"/>
      <c r="E197" s="7">
        <v>0</v>
      </c>
      <c r="F197" s="8">
        <f>IFERROR(E197/E327, "NA")</f>
        <v>0</v>
      </c>
      <c r="G197" s="9"/>
      <c r="H197" s="7">
        <v>0</v>
      </c>
      <c r="I197" s="8">
        <f>IFERROR(H197/H327, "NA")</f>
        <v>0</v>
      </c>
      <c r="J197" s="9"/>
      <c r="K197" s="7">
        <v>0</v>
      </c>
      <c r="L197" s="8">
        <f>IFERROR(K197/K327, "NA")</f>
        <v>0</v>
      </c>
      <c r="M197" s="9"/>
      <c r="N197" s="7">
        <v>0</v>
      </c>
      <c r="O197" s="8">
        <f>IFERROR(N197/N327, "NA")</f>
        <v>0</v>
      </c>
      <c r="P197" s="9"/>
      <c r="Q197" s="7">
        <v>816.48</v>
      </c>
      <c r="R197" s="8">
        <f>IFERROR(Q197/Q327, "NA")</f>
        <v>1.0244416562107905E-2</v>
      </c>
      <c r="S197" s="9"/>
      <c r="T197" s="7">
        <v>0</v>
      </c>
      <c r="U197" s="8">
        <f>IFERROR(T197/T327, "NA")</f>
        <v>0</v>
      </c>
      <c r="V197" s="9"/>
      <c r="W197" s="7">
        <v>0</v>
      </c>
      <c r="X197" s="8">
        <f>IFERROR(W197/W327, "NA")</f>
        <v>0</v>
      </c>
    </row>
    <row r="198" spans="1:24" ht="16.5" customHeight="1" x14ac:dyDescent="0.25">
      <c r="A198" s="6" t="s">
        <v>204</v>
      </c>
      <c r="B198" s="7">
        <v>0</v>
      </c>
      <c r="C198" s="8">
        <f>IFERROR(B198/B327, "NA")</f>
        <v>0</v>
      </c>
      <c r="D198" s="9"/>
      <c r="E198" s="7">
        <v>0</v>
      </c>
      <c r="F198" s="8">
        <f>IFERROR(E198/E327, "NA")</f>
        <v>0</v>
      </c>
      <c r="G198" s="9"/>
      <c r="H198" s="7">
        <v>0</v>
      </c>
      <c r="I198" s="8">
        <f>IFERROR(H198/H327, "NA")</f>
        <v>0</v>
      </c>
      <c r="J198" s="9"/>
      <c r="K198" s="7">
        <v>0</v>
      </c>
      <c r="L198" s="8">
        <f>IFERROR(K198/K327, "NA")</f>
        <v>0</v>
      </c>
      <c r="M198" s="9"/>
      <c r="N198" s="7">
        <v>0</v>
      </c>
      <c r="O198" s="8">
        <f>IFERROR(N198/N327, "NA")</f>
        <v>0</v>
      </c>
      <c r="P198" s="9"/>
      <c r="Q198" s="7">
        <v>0</v>
      </c>
      <c r="R198" s="8">
        <f>IFERROR(Q198/Q327, "NA")</f>
        <v>0</v>
      </c>
      <c r="S198" s="9"/>
      <c r="T198" s="7">
        <v>0</v>
      </c>
      <c r="U198" s="8">
        <f>IFERROR(T198/T327, "NA")</f>
        <v>0</v>
      </c>
      <c r="V198" s="9"/>
      <c r="W198" s="7">
        <v>0</v>
      </c>
      <c r="X198" s="8">
        <f>IFERROR(W198/W327, "NA")</f>
        <v>0</v>
      </c>
    </row>
    <row r="199" spans="1:24" ht="16.5" customHeight="1" x14ac:dyDescent="0.25">
      <c r="A199" s="6" t="s">
        <v>205</v>
      </c>
      <c r="B199" s="7">
        <v>0</v>
      </c>
      <c r="C199" s="8">
        <f>IFERROR(B199/B327, "NA")</f>
        <v>0</v>
      </c>
      <c r="D199" s="9"/>
      <c r="E199" s="7">
        <v>0</v>
      </c>
      <c r="F199" s="8">
        <f>IFERROR(E199/E327, "NA")</f>
        <v>0</v>
      </c>
      <c r="G199" s="9"/>
      <c r="H199" s="7">
        <v>0</v>
      </c>
      <c r="I199" s="8">
        <f>IFERROR(H199/H327, "NA")</f>
        <v>0</v>
      </c>
      <c r="J199" s="9"/>
      <c r="K199" s="7">
        <v>0</v>
      </c>
      <c r="L199" s="8">
        <f>IFERROR(K199/K327, "NA")</f>
        <v>0</v>
      </c>
      <c r="M199" s="9"/>
      <c r="N199" s="7">
        <v>0</v>
      </c>
      <c r="O199" s="8">
        <f>IFERROR(N199/N327, "NA")</f>
        <v>0</v>
      </c>
      <c r="P199" s="9"/>
      <c r="Q199" s="7">
        <v>0</v>
      </c>
      <c r="R199" s="8">
        <f>IFERROR(Q199/Q327, "NA")</f>
        <v>0</v>
      </c>
      <c r="S199" s="9"/>
      <c r="T199" s="7">
        <v>0</v>
      </c>
      <c r="U199" s="8">
        <f>IFERROR(T199/T327, "NA")</f>
        <v>0</v>
      </c>
      <c r="V199" s="9"/>
      <c r="W199" s="7">
        <v>0</v>
      </c>
      <c r="X199" s="8">
        <f>IFERROR(W199/W327, "NA")</f>
        <v>0</v>
      </c>
    </row>
    <row r="200" spans="1:24" ht="16.5" customHeight="1" x14ac:dyDescent="0.25">
      <c r="A200" s="6" t="s">
        <v>206</v>
      </c>
      <c r="B200" s="7">
        <v>0</v>
      </c>
      <c r="C200" s="8">
        <f>IFERROR(B200/B327, "NA")</f>
        <v>0</v>
      </c>
      <c r="D200" s="9"/>
      <c r="E200" s="7">
        <v>0</v>
      </c>
      <c r="F200" s="8">
        <f>IFERROR(E200/E327, "NA")</f>
        <v>0</v>
      </c>
      <c r="G200" s="9"/>
      <c r="H200" s="7">
        <v>0</v>
      </c>
      <c r="I200" s="8">
        <f>IFERROR(H200/H327, "NA")</f>
        <v>0</v>
      </c>
      <c r="J200" s="9"/>
      <c r="K200" s="7">
        <v>0</v>
      </c>
      <c r="L200" s="8">
        <f>IFERROR(K200/K327, "NA")</f>
        <v>0</v>
      </c>
      <c r="M200" s="9"/>
      <c r="N200" s="7">
        <v>0</v>
      </c>
      <c r="O200" s="8">
        <f>IFERROR(N200/N327, "NA")</f>
        <v>0</v>
      </c>
      <c r="P200" s="9"/>
      <c r="Q200" s="7">
        <v>0</v>
      </c>
      <c r="R200" s="8">
        <f>IFERROR(Q200/Q327, "NA")</f>
        <v>0</v>
      </c>
      <c r="S200" s="9"/>
      <c r="T200" s="7">
        <v>0</v>
      </c>
      <c r="U200" s="8">
        <f>IFERROR(T200/T327, "NA")</f>
        <v>0</v>
      </c>
      <c r="V200" s="9"/>
      <c r="W200" s="7">
        <v>0</v>
      </c>
      <c r="X200" s="8">
        <f>IFERROR(W200/W327, "NA")</f>
        <v>0</v>
      </c>
    </row>
    <row r="201" spans="1:24" ht="16.5" customHeight="1" x14ac:dyDescent="0.25">
      <c r="A201" s="6" t="s">
        <v>207</v>
      </c>
      <c r="B201" s="7">
        <v>320.93</v>
      </c>
      <c r="C201" s="8">
        <f>IFERROR(B201/B327, "NA")</f>
        <v>9.094628886687125E-4</v>
      </c>
      <c r="D201" s="9"/>
      <c r="E201" s="7">
        <v>0</v>
      </c>
      <c r="F201" s="8">
        <f>IFERROR(E201/E327, "NA")</f>
        <v>0</v>
      </c>
      <c r="G201" s="9"/>
      <c r="H201" s="7">
        <v>0</v>
      </c>
      <c r="I201" s="8">
        <f>IFERROR(H201/H327, "NA")</f>
        <v>0</v>
      </c>
      <c r="J201" s="9"/>
      <c r="K201" s="7">
        <v>0</v>
      </c>
      <c r="L201" s="8">
        <f>IFERROR(K201/K327, "NA")</f>
        <v>0</v>
      </c>
      <c r="M201" s="9"/>
      <c r="N201" s="7">
        <v>502.77</v>
      </c>
      <c r="O201" s="8">
        <f>IFERROR(N201/N327, "NA")</f>
        <v>4.0059094674180932E-3</v>
      </c>
      <c r="P201" s="9"/>
      <c r="Q201" s="7">
        <v>0</v>
      </c>
      <c r="R201" s="8">
        <f>IFERROR(Q201/Q327, "NA")</f>
        <v>0</v>
      </c>
      <c r="S201" s="9"/>
      <c r="T201" s="7">
        <v>0</v>
      </c>
      <c r="U201" s="8">
        <f>IFERROR(T201/T327, "NA")</f>
        <v>0</v>
      </c>
      <c r="V201" s="9"/>
      <c r="W201" s="7">
        <v>0</v>
      </c>
      <c r="X201" s="8">
        <f>IFERROR(W201/W327, "NA")</f>
        <v>0</v>
      </c>
    </row>
    <row r="202" spans="1:24" ht="16.5" customHeight="1" x14ac:dyDescent="0.25">
      <c r="A202" s="6" t="s">
        <v>208</v>
      </c>
      <c r="B202" s="7">
        <v>0</v>
      </c>
      <c r="C202" s="8">
        <f>IFERROR(B202/B327, "NA")</f>
        <v>0</v>
      </c>
      <c r="D202" s="9"/>
      <c r="E202" s="7">
        <v>0</v>
      </c>
      <c r="F202" s="8">
        <f>IFERROR(E202/E327, "NA")</f>
        <v>0</v>
      </c>
      <c r="G202" s="9"/>
      <c r="H202" s="7">
        <v>0</v>
      </c>
      <c r="I202" s="8">
        <f>IFERROR(H202/H327, "NA")</f>
        <v>0</v>
      </c>
      <c r="J202" s="9"/>
      <c r="K202" s="7">
        <v>0</v>
      </c>
      <c r="L202" s="8">
        <f>IFERROR(K202/K327, "NA")</f>
        <v>0</v>
      </c>
      <c r="M202" s="9"/>
      <c r="N202" s="7">
        <v>0</v>
      </c>
      <c r="O202" s="8">
        <f>IFERROR(N202/N327, "NA")</f>
        <v>0</v>
      </c>
      <c r="P202" s="9"/>
      <c r="Q202" s="7">
        <v>0</v>
      </c>
      <c r="R202" s="8">
        <f>IFERROR(Q202/Q327, "NA")</f>
        <v>0</v>
      </c>
      <c r="S202" s="9"/>
      <c r="T202" s="7">
        <v>0</v>
      </c>
      <c r="U202" s="8">
        <f>IFERROR(T202/T327, "NA")</f>
        <v>0</v>
      </c>
      <c r="V202" s="9"/>
      <c r="W202" s="7">
        <v>0</v>
      </c>
      <c r="X202" s="8">
        <f>IFERROR(W202/W327, "NA")</f>
        <v>0</v>
      </c>
    </row>
    <row r="203" spans="1:24" ht="16.5" customHeight="1" x14ac:dyDescent="0.25">
      <c r="A203" s="6" t="s">
        <v>209</v>
      </c>
      <c r="B203" s="7">
        <v>0</v>
      </c>
      <c r="C203" s="8">
        <f>IFERROR(B203/B327, "NA")</f>
        <v>0</v>
      </c>
      <c r="D203" s="9"/>
      <c r="E203" s="7">
        <v>0</v>
      </c>
      <c r="F203" s="8">
        <f>IFERROR(E203/E327, "NA")</f>
        <v>0</v>
      </c>
      <c r="G203" s="9"/>
      <c r="H203" s="7">
        <v>0</v>
      </c>
      <c r="I203" s="8">
        <f>IFERROR(H203/H327, "NA")</f>
        <v>0</v>
      </c>
      <c r="J203" s="9"/>
      <c r="K203" s="7">
        <v>0</v>
      </c>
      <c r="L203" s="8">
        <f>IFERROR(K203/K327, "NA")</f>
        <v>0</v>
      </c>
      <c r="M203" s="9"/>
      <c r="N203" s="7">
        <v>0</v>
      </c>
      <c r="O203" s="8">
        <f>IFERROR(N203/N327, "NA")</f>
        <v>0</v>
      </c>
      <c r="P203" s="9"/>
      <c r="Q203" s="7">
        <v>0</v>
      </c>
      <c r="R203" s="8">
        <f>IFERROR(Q203/Q327, "NA")</f>
        <v>0</v>
      </c>
      <c r="S203" s="9"/>
      <c r="T203" s="7">
        <v>0</v>
      </c>
      <c r="U203" s="8">
        <f>IFERROR(T203/T327, "NA")</f>
        <v>0</v>
      </c>
      <c r="V203" s="9"/>
      <c r="W203" s="7">
        <v>0</v>
      </c>
      <c r="X203" s="8">
        <f>IFERROR(W203/W327, "NA")</f>
        <v>0</v>
      </c>
    </row>
    <row r="204" spans="1:24" ht="16.5" customHeight="1" x14ac:dyDescent="0.25">
      <c r="A204" s="6" t="s">
        <v>210</v>
      </c>
      <c r="B204" s="7">
        <v>0</v>
      </c>
      <c r="C204" s="8">
        <f>IFERROR(B204/B327, "NA")</f>
        <v>0</v>
      </c>
      <c r="D204" s="9"/>
      <c r="E204" s="7">
        <v>0</v>
      </c>
      <c r="F204" s="8">
        <f>IFERROR(E204/E327, "NA")</f>
        <v>0</v>
      </c>
      <c r="G204" s="9"/>
      <c r="H204" s="7">
        <v>0</v>
      </c>
      <c r="I204" s="8">
        <f>IFERROR(H204/H327, "NA")</f>
        <v>0</v>
      </c>
      <c r="J204" s="9"/>
      <c r="K204" s="7">
        <v>0</v>
      </c>
      <c r="L204" s="8">
        <f>IFERROR(K204/K327, "NA")</f>
        <v>0</v>
      </c>
      <c r="M204" s="9"/>
      <c r="N204" s="7">
        <v>0</v>
      </c>
      <c r="O204" s="8">
        <f>IFERROR(N204/N327, "NA")</f>
        <v>0</v>
      </c>
      <c r="P204" s="9"/>
      <c r="Q204" s="7">
        <v>0</v>
      </c>
      <c r="R204" s="8">
        <f>IFERROR(Q204/Q327, "NA")</f>
        <v>0</v>
      </c>
      <c r="S204" s="9"/>
      <c r="T204" s="7">
        <v>0</v>
      </c>
      <c r="U204" s="8">
        <f>IFERROR(T204/T327, "NA")</f>
        <v>0</v>
      </c>
      <c r="V204" s="9"/>
      <c r="W204" s="7">
        <v>0</v>
      </c>
      <c r="X204" s="8">
        <f>IFERROR(W204/W327, "NA")</f>
        <v>0</v>
      </c>
    </row>
    <row r="205" spans="1:24" ht="16.5" customHeight="1" x14ac:dyDescent="0.25">
      <c r="A205" s="6" t="s">
        <v>211</v>
      </c>
      <c r="B205" s="7">
        <v>0</v>
      </c>
      <c r="C205" s="8">
        <f>IFERROR(B205/B327, "NA")</f>
        <v>0</v>
      </c>
      <c r="D205" s="9"/>
      <c r="E205" s="7">
        <v>0</v>
      </c>
      <c r="F205" s="8">
        <f>IFERROR(E205/E327, "NA")</f>
        <v>0</v>
      </c>
      <c r="G205" s="9"/>
      <c r="H205" s="7">
        <v>0</v>
      </c>
      <c r="I205" s="8">
        <f>IFERROR(H205/H327, "NA")</f>
        <v>0</v>
      </c>
      <c r="J205" s="9"/>
      <c r="K205" s="7">
        <v>0</v>
      </c>
      <c r="L205" s="8">
        <f>IFERROR(K205/K327, "NA")</f>
        <v>0</v>
      </c>
      <c r="M205" s="9"/>
      <c r="N205" s="7">
        <v>0</v>
      </c>
      <c r="O205" s="8">
        <f>IFERROR(N205/N327, "NA")</f>
        <v>0</v>
      </c>
      <c r="P205" s="9"/>
      <c r="Q205" s="7">
        <v>0</v>
      </c>
      <c r="R205" s="8">
        <f>IFERROR(Q205/Q327, "NA")</f>
        <v>0</v>
      </c>
      <c r="S205" s="9"/>
      <c r="T205" s="7">
        <v>0</v>
      </c>
      <c r="U205" s="8">
        <f>IFERROR(T205/T327, "NA")</f>
        <v>0</v>
      </c>
      <c r="V205" s="9"/>
      <c r="W205" s="7">
        <v>0</v>
      </c>
      <c r="X205" s="8">
        <f>IFERROR(W205/W327, "NA")</f>
        <v>0</v>
      </c>
    </row>
    <row r="206" spans="1:24" ht="16.5" customHeight="1" x14ac:dyDescent="0.25">
      <c r="A206" s="6" t="s">
        <v>212</v>
      </c>
      <c r="B206" s="7">
        <v>0</v>
      </c>
      <c r="C206" s="8">
        <f>IFERROR(B206/B327, "NA")</f>
        <v>0</v>
      </c>
      <c r="D206" s="9"/>
      <c r="E206" s="7">
        <v>0</v>
      </c>
      <c r="F206" s="8">
        <f>IFERROR(E206/E327, "NA")</f>
        <v>0</v>
      </c>
      <c r="G206" s="9"/>
      <c r="H206" s="7">
        <v>0</v>
      </c>
      <c r="I206" s="8">
        <f>IFERROR(H206/H327, "NA")</f>
        <v>0</v>
      </c>
      <c r="J206" s="9"/>
      <c r="K206" s="7">
        <v>0</v>
      </c>
      <c r="L206" s="8">
        <f>IFERROR(K206/K327, "NA")</f>
        <v>0</v>
      </c>
      <c r="M206" s="9"/>
      <c r="N206" s="7">
        <v>0</v>
      </c>
      <c r="O206" s="8">
        <f>IFERROR(N206/N327, "NA")</f>
        <v>0</v>
      </c>
      <c r="P206" s="9"/>
      <c r="Q206" s="7">
        <v>0</v>
      </c>
      <c r="R206" s="8">
        <f>IFERROR(Q206/Q327, "NA")</f>
        <v>0</v>
      </c>
      <c r="S206" s="9"/>
      <c r="T206" s="7">
        <v>0</v>
      </c>
      <c r="U206" s="8">
        <f>IFERROR(T206/T327, "NA")</f>
        <v>0</v>
      </c>
      <c r="V206" s="9"/>
      <c r="W206" s="7">
        <v>0</v>
      </c>
      <c r="X206" s="8">
        <f>IFERROR(W206/W327, "NA")</f>
        <v>0</v>
      </c>
    </row>
    <row r="207" spans="1:24" ht="16.5" customHeight="1" x14ac:dyDescent="0.25">
      <c r="A207" s="6" t="s">
        <v>213</v>
      </c>
      <c r="B207" s="7">
        <v>0</v>
      </c>
      <c r="C207" s="8">
        <f>IFERROR(B207/B327, "NA")</f>
        <v>0</v>
      </c>
      <c r="D207" s="9"/>
      <c r="E207" s="7">
        <v>0</v>
      </c>
      <c r="F207" s="8">
        <f>IFERROR(E207/E327, "NA")</f>
        <v>0</v>
      </c>
      <c r="G207" s="9"/>
      <c r="H207" s="7">
        <v>0</v>
      </c>
      <c r="I207" s="8">
        <f>IFERROR(H207/H327, "NA")</f>
        <v>0</v>
      </c>
      <c r="J207" s="9"/>
      <c r="K207" s="7">
        <v>0</v>
      </c>
      <c r="L207" s="8">
        <f>IFERROR(K207/K327, "NA")</f>
        <v>0</v>
      </c>
      <c r="M207" s="9"/>
      <c r="N207" s="7">
        <v>0</v>
      </c>
      <c r="O207" s="8">
        <f>IFERROR(N207/N327, "NA")</f>
        <v>0</v>
      </c>
      <c r="P207" s="9"/>
      <c r="Q207" s="7">
        <v>0</v>
      </c>
      <c r="R207" s="8">
        <f>IFERROR(Q207/Q327, "NA")</f>
        <v>0</v>
      </c>
      <c r="S207" s="9"/>
      <c r="T207" s="7">
        <v>0</v>
      </c>
      <c r="U207" s="8">
        <f>IFERROR(T207/T327, "NA")</f>
        <v>0</v>
      </c>
      <c r="V207" s="9"/>
      <c r="W207" s="7">
        <v>0</v>
      </c>
      <c r="X207" s="8">
        <f>IFERROR(W207/W327, "NA")</f>
        <v>0</v>
      </c>
    </row>
    <row r="208" spans="1:24" ht="16.5" customHeight="1" x14ac:dyDescent="0.25">
      <c r="A208" s="6" t="s">
        <v>214</v>
      </c>
      <c r="B208" s="7">
        <v>0</v>
      </c>
      <c r="C208" s="8">
        <f>IFERROR(B208/B327, "NA")</f>
        <v>0</v>
      </c>
      <c r="D208" s="9"/>
      <c r="E208" s="7">
        <v>0</v>
      </c>
      <c r="F208" s="8">
        <f>IFERROR(E208/E327, "NA")</f>
        <v>0</v>
      </c>
      <c r="G208" s="9"/>
      <c r="H208" s="7">
        <v>0</v>
      </c>
      <c r="I208" s="8">
        <f>IFERROR(H208/H327, "NA")</f>
        <v>0</v>
      </c>
      <c r="J208" s="9"/>
      <c r="K208" s="7">
        <v>0</v>
      </c>
      <c r="L208" s="8">
        <f>IFERROR(K208/K327, "NA")</f>
        <v>0</v>
      </c>
      <c r="M208" s="9"/>
      <c r="N208" s="7">
        <v>0</v>
      </c>
      <c r="O208" s="8">
        <f>IFERROR(N208/N327, "NA")</f>
        <v>0</v>
      </c>
      <c r="P208" s="9"/>
      <c r="Q208" s="7">
        <v>0</v>
      </c>
      <c r="R208" s="8">
        <f>IFERROR(Q208/Q327, "NA")</f>
        <v>0</v>
      </c>
      <c r="S208" s="9"/>
      <c r="T208" s="7">
        <v>0</v>
      </c>
      <c r="U208" s="8">
        <f>IFERROR(T208/T327, "NA")</f>
        <v>0</v>
      </c>
      <c r="V208" s="9"/>
      <c r="W208" s="7">
        <v>0</v>
      </c>
      <c r="X208" s="8">
        <f>IFERROR(W208/W327, "NA")</f>
        <v>0</v>
      </c>
    </row>
    <row r="209" spans="1:24" ht="16.5" customHeight="1" x14ac:dyDescent="0.25">
      <c r="A209" s="10" t="s">
        <v>215</v>
      </c>
      <c r="B209" s="11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  <v>63271.78</v>
      </c>
      <c r="C209" s="12">
        <f>IFERROR(B209/B327, "NA")</f>
        <v>0.17930182846730211</v>
      </c>
      <c r="D209" s="2"/>
      <c r="E209" s="11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  <v>27295.56</v>
      </c>
      <c r="F209" s="12">
        <f>IFERROR(E209/E327, "NA")</f>
        <v>0.18167545595310869</v>
      </c>
      <c r="G209" s="2"/>
      <c r="H209" s="11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  <v>28454.440000000002</v>
      </c>
      <c r="I209" s="12">
        <f>IFERROR(H209/H327, "NA")</f>
        <v>0.11255511670084987</v>
      </c>
      <c r="J209" s="2"/>
      <c r="K209" s="11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71471.75</v>
      </c>
      <c r="L209" s="12">
        <f>IFERROR(K209/K327, "NA")</f>
        <v>0.54664607915519825</v>
      </c>
      <c r="M209" s="2"/>
      <c r="N209" s="11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45551.969999999994</v>
      </c>
      <c r="O209" s="12">
        <f>IFERROR(N209/N327, "NA")</f>
        <v>0.36294342916750189</v>
      </c>
      <c r="P209" s="2"/>
      <c r="Q209" s="11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18655.13</v>
      </c>
      <c r="R209" s="12">
        <f>IFERROR(Q209/Q327, "NA")</f>
        <v>0.23406687578419072</v>
      </c>
      <c r="S209" s="2"/>
      <c r="T209" s="11">
        <f>IFERROR(T160+T161+T162+T163+T164+T165+T166+T167+T168+T169+T170+T171+T172+T173+T174+T175+T176+T177+T178+T179+T180+T181+T182+T183+T184+T185+T186+T187+T188+T189+T190+T191+T192+T193+T194+T195+T196+T197+T198+T199+T200+T201+T202+T203+T204+T205+T206+T207+T208, "NA")</f>
        <v>8651.64</v>
      </c>
      <c r="U209" s="12">
        <f>IFERROR(T209/T327, "NA")</f>
        <v>9.8163165042837536E-2</v>
      </c>
      <c r="V209" s="2"/>
      <c r="W209" s="11">
        <f>IFERROR(W160+W161+W162+W163+W164+W165+W166+W167+W168+W169+W170+W171+W172+W173+W174+W175+W176+W177+W178+W179+W180+W181+W182+W183+W184+W185+W186+W187+W188+W189+W190+W191+W192+W193+W194+W195+W196+W197+W198+W199+W200+W201+W202+W203+W204+W205+W206+W207+W208, "NA")</f>
        <v>7200</v>
      </c>
      <c r="X209" s="12">
        <f>IFERROR(W209/W327, "NA")</f>
        <v>4.9001449149801042E-2</v>
      </c>
    </row>
    <row r="210" spans="1:24" ht="16.5" customHeight="1" x14ac:dyDescent="0.25">
      <c r="A210" s="13" t="s">
        <v>216</v>
      </c>
      <c r="B210" s="7">
        <v>0</v>
      </c>
      <c r="C210" s="8">
        <f>IFERROR(B210/B327, "NA")</f>
        <v>0</v>
      </c>
      <c r="D210" s="9"/>
      <c r="E210" s="7">
        <v>0</v>
      </c>
      <c r="F210" s="8">
        <f>IFERROR(E210/E327, "NA")</f>
        <v>0</v>
      </c>
      <c r="G210" s="9"/>
      <c r="H210" s="7">
        <v>0</v>
      </c>
      <c r="I210" s="8">
        <f>IFERROR(H210/H327, "NA")</f>
        <v>0</v>
      </c>
      <c r="J210" s="9"/>
      <c r="K210" s="7">
        <v>0</v>
      </c>
      <c r="L210" s="8">
        <f>IFERROR(K210/K327, "NA")</f>
        <v>0</v>
      </c>
      <c r="M210" s="9"/>
      <c r="N210" s="7">
        <v>0</v>
      </c>
      <c r="O210" s="8">
        <f>IFERROR(N210/N327, "NA")</f>
        <v>0</v>
      </c>
      <c r="P210" s="9"/>
      <c r="Q210" s="7">
        <v>0</v>
      </c>
      <c r="R210" s="8">
        <f>IFERROR(Q210/Q327, "NA")</f>
        <v>0</v>
      </c>
      <c r="S210" s="9"/>
      <c r="T210" s="7">
        <v>0</v>
      </c>
      <c r="U210" s="8">
        <f>IFERROR(T210/T327, "NA")</f>
        <v>0</v>
      </c>
      <c r="V210" s="9"/>
      <c r="W210" s="7">
        <v>0</v>
      </c>
      <c r="X210" s="8">
        <f>IFERROR(W210/W327, "NA")</f>
        <v>0</v>
      </c>
    </row>
    <row r="211" spans="1:24" ht="16.5" customHeight="1" x14ac:dyDescent="0.25">
      <c r="A211" s="14" t="s">
        <v>217</v>
      </c>
      <c r="B211" s="11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  <v>63271.78</v>
      </c>
      <c r="C211" s="12">
        <f>IFERROR(B211/B327, "NA")</f>
        <v>0.17930182846730211</v>
      </c>
      <c r="D211" s="2"/>
      <c r="E211" s="11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  <v>27295.56</v>
      </c>
      <c r="F211" s="12">
        <f>IFERROR(E211/E327, "NA")</f>
        <v>0.18167545595310869</v>
      </c>
      <c r="G211" s="2"/>
      <c r="H211" s="11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  <v>28454.440000000002</v>
      </c>
      <c r="I211" s="12">
        <f>IFERROR(H211/H327, "NA")</f>
        <v>0.11255511670084987</v>
      </c>
      <c r="J211" s="2"/>
      <c r="K211" s="11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71471.75</v>
      </c>
      <c r="L211" s="12">
        <f>IFERROR(K211/K327, "NA")</f>
        <v>0.54664607915519825</v>
      </c>
      <c r="M211" s="2"/>
      <c r="N211" s="11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45551.969999999994</v>
      </c>
      <c r="O211" s="12">
        <f>IFERROR(N211/N327, "NA")</f>
        <v>0.36294342916750189</v>
      </c>
      <c r="P211" s="2"/>
      <c r="Q211" s="11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18655.13</v>
      </c>
      <c r="R211" s="12">
        <f>IFERROR(Q211/Q327, "NA")</f>
        <v>0.23406687578419072</v>
      </c>
      <c r="S211" s="2"/>
      <c r="T211" s="11">
        <f>IFERROR(T160+T161+T162+T163+T164+T165+T166+T167+T168+T169+T170+T171+T172+T173+T174+T175+T176+T177+T178+T179+T180+T181+T182+T183+T184+T185+T186+T187+T188+T189+T190+T191+T192+T193+T194+T195+T196+T197+T198+T199+T200+T201+T202+T203+T204+T205+T206+T207+T208+T210, "NA")</f>
        <v>8651.64</v>
      </c>
      <c r="U211" s="12">
        <f>IFERROR(T211/T327, "NA")</f>
        <v>9.8163165042837536E-2</v>
      </c>
      <c r="V211" s="2"/>
      <c r="W211" s="11">
        <f>IFERROR(W160+W161+W162+W163+W164+W165+W166+W167+W168+W169+W170+W171+W172+W173+W174+W175+W176+W177+W178+W179+W180+W181+W182+W183+W184+W185+W186+W187+W188+W189+W190+W191+W192+W193+W194+W195+W196+W197+W198+W199+W200+W201+W202+W203+W204+W205+W206+W207+W208+W210, "NA")</f>
        <v>7200</v>
      </c>
      <c r="X211" s="12">
        <f>IFERROR(W211/W327, "NA")</f>
        <v>4.9001449149801042E-2</v>
      </c>
    </row>
    <row r="212" spans="1:24" ht="16.5" customHeight="1" x14ac:dyDescent="0.25">
      <c r="A212" s="1" t="s">
        <v>218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</row>
    <row r="213" spans="1:24" ht="16.5" customHeight="1" x14ac:dyDescent="0.25">
      <c r="A213" s="5" t="s">
        <v>219</v>
      </c>
      <c r="B213" s="2"/>
      <c r="C213" s="3"/>
      <c r="D213" s="4"/>
      <c r="E213" s="2"/>
      <c r="F213" s="3"/>
      <c r="G213" s="4"/>
      <c r="H213" s="2"/>
      <c r="I213" s="3"/>
      <c r="J213" s="4"/>
      <c r="K213" s="2"/>
      <c r="L213" s="3"/>
      <c r="M213" s="4"/>
      <c r="N213" s="2"/>
      <c r="O213" s="3"/>
      <c r="P213" s="4"/>
      <c r="Q213" s="2"/>
      <c r="R213" s="3"/>
      <c r="S213" s="4"/>
      <c r="T213" s="2"/>
      <c r="U213" s="3"/>
      <c r="V213" s="4"/>
      <c r="W213" s="2"/>
      <c r="X213" s="3"/>
    </row>
    <row r="214" spans="1:24" ht="16.5" customHeight="1" x14ac:dyDescent="0.25">
      <c r="A214" s="6" t="s">
        <v>220</v>
      </c>
      <c r="B214" s="7">
        <v>0</v>
      </c>
      <c r="C214" s="8">
        <f>IFERROR(B214/B327, "NA")</f>
        <v>0</v>
      </c>
      <c r="D214" s="9"/>
      <c r="E214" s="7">
        <v>0</v>
      </c>
      <c r="F214" s="8">
        <f>IFERROR(E214/E327, "NA")</f>
        <v>0</v>
      </c>
      <c r="G214" s="9"/>
      <c r="H214" s="7">
        <v>0</v>
      </c>
      <c r="I214" s="8">
        <f>IFERROR(H214/H327, "NA")</f>
        <v>0</v>
      </c>
      <c r="J214" s="9"/>
      <c r="K214" s="7">
        <v>0</v>
      </c>
      <c r="L214" s="8">
        <f>IFERROR(K214/K327, "NA")</f>
        <v>0</v>
      </c>
      <c r="M214" s="9"/>
      <c r="N214" s="7">
        <v>0</v>
      </c>
      <c r="O214" s="8">
        <f>IFERROR(N214/N327, "NA")</f>
        <v>0</v>
      </c>
      <c r="P214" s="9"/>
      <c r="Q214" s="7">
        <v>0</v>
      </c>
      <c r="R214" s="8">
        <f>IFERROR(Q214/Q327, "NA")</f>
        <v>0</v>
      </c>
      <c r="S214" s="9"/>
      <c r="T214" s="7">
        <v>0</v>
      </c>
      <c r="U214" s="8">
        <f>IFERROR(T214/T327, "NA")</f>
        <v>0</v>
      </c>
      <c r="V214" s="9"/>
      <c r="W214" s="7">
        <v>0</v>
      </c>
      <c r="X214" s="8">
        <f>IFERROR(W214/W327, "NA")</f>
        <v>0</v>
      </c>
    </row>
    <row r="215" spans="1:24" ht="16.5" customHeight="1" x14ac:dyDescent="0.25">
      <c r="A215" s="6" t="s">
        <v>221</v>
      </c>
      <c r="B215" s="7">
        <v>8852.24</v>
      </c>
      <c r="C215" s="8">
        <f>IFERROR(B215/B327, "NA")</f>
        <v>2.5085793667119695E-2</v>
      </c>
      <c r="D215" s="9"/>
      <c r="E215" s="7">
        <v>5938.45</v>
      </c>
      <c r="F215" s="8">
        <f>IFERROR(E215/E327, "NA")</f>
        <v>3.9525498337632137E-2</v>
      </c>
      <c r="G215" s="9"/>
      <c r="H215" s="7">
        <v>3903.71</v>
      </c>
      <c r="I215" s="8">
        <f>IFERROR(H215/H327, "NA")</f>
        <v>1.5441615952247686E-2</v>
      </c>
      <c r="J215" s="9"/>
      <c r="K215" s="7">
        <v>6513.1</v>
      </c>
      <c r="L215" s="8">
        <f>IFERROR(K215/K327, "NA")</f>
        <v>4.9814934965853243E-2</v>
      </c>
      <c r="M215" s="9"/>
      <c r="N215" s="7">
        <v>3918.47</v>
      </c>
      <c r="O215" s="8">
        <f>IFERROR(N215/N327, "NA")</f>
        <v>3.1221107207657129E-2</v>
      </c>
      <c r="P215" s="9"/>
      <c r="Q215" s="7">
        <v>1988.19</v>
      </c>
      <c r="R215" s="8">
        <f>IFERROR(Q215/Q327, "NA")</f>
        <v>2.4945922208281054E-2</v>
      </c>
      <c r="S215" s="9"/>
      <c r="T215" s="7">
        <v>3383.54</v>
      </c>
      <c r="U215" s="8">
        <f>IFERROR(T215/T327, "NA")</f>
        <v>3.8390293106167449E-2</v>
      </c>
      <c r="V215" s="9"/>
      <c r="W215" s="7">
        <v>2812.72</v>
      </c>
      <c r="X215" s="8">
        <f>IFERROR(W215/W327, "NA")</f>
        <v>1.9142688340642828E-2</v>
      </c>
    </row>
    <row r="216" spans="1:24" ht="16.5" customHeight="1" x14ac:dyDescent="0.25">
      <c r="A216" s="6" t="s">
        <v>222</v>
      </c>
      <c r="B216" s="7">
        <v>0</v>
      </c>
      <c r="C216" s="8">
        <f>IFERROR(B216/B327, "NA")</f>
        <v>0</v>
      </c>
      <c r="D216" s="9"/>
      <c r="E216" s="7">
        <v>0</v>
      </c>
      <c r="F216" s="8">
        <f>IFERROR(E216/E327, "NA")</f>
        <v>0</v>
      </c>
      <c r="G216" s="9"/>
      <c r="H216" s="7">
        <v>0</v>
      </c>
      <c r="I216" s="8">
        <f>IFERROR(H216/H327, "NA")</f>
        <v>0</v>
      </c>
      <c r="J216" s="9"/>
      <c r="K216" s="7">
        <v>32.299999999999997</v>
      </c>
      <c r="L216" s="8">
        <f>IFERROR(K216/K327, "NA")</f>
        <v>2.4704401888456489E-4</v>
      </c>
      <c r="M216" s="9"/>
      <c r="N216" s="7">
        <v>0</v>
      </c>
      <c r="O216" s="8">
        <f>IFERROR(N216/N327, "NA")</f>
        <v>0</v>
      </c>
      <c r="P216" s="9"/>
      <c r="Q216" s="7">
        <v>0</v>
      </c>
      <c r="R216" s="8">
        <f>IFERROR(Q216/Q327, "NA")</f>
        <v>0</v>
      </c>
      <c r="S216" s="9"/>
      <c r="T216" s="7">
        <v>16.850000000000001</v>
      </c>
      <c r="U216" s="8">
        <f>IFERROR(T216/T327, "NA")</f>
        <v>1.9118332835991935E-4</v>
      </c>
      <c r="V216" s="9"/>
      <c r="W216" s="7">
        <v>45</v>
      </c>
      <c r="X216" s="8">
        <f>IFERROR(W216/W327, "NA")</f>
        <v>3.0625905718625651E-4</v>
      </c>
    </row>
    <row r="217" spans="1:24" ht="16.5" customHeight="1" x14ac:dyDescent="0.25">
      <c r="A217" s="6" t="s">
        <v>223</v>
      </c>
      <c r="B217" s="7">
        <v>1023.81</v>
      </c>
      <c r="C217" s="8">
        <f>IFERROR(B217/B327, "NA")</f>
        <v>2.901309319938661E-3</v>
      </c>
      <c r="D217" s="9"/>
      <c r="E217" s="7">
        <v>8325.35</v>
      </c>
      <c r="F217" s="8">
        <f>IFERROR(E217/E327, "NA")</f>
        <v>5.5412373192534364E-2</v>
      </c>
      <c r="G217" s="9"/>
      <c r="H217" s="7">
        <v>1651.29</v>
      </c>
      <c r="I217" s="8">
        <f>IFERROR(H217/H327, "NA")</f>
        <v>6.5318853105858481E-3</v>
      </c>
      <c r="J217" s="9"/>
      <c r="K217" s="7">
        <v>2292.7600000000002</v>
      </c>
      <c r="L217" s="8">
        <f>IFERROR(K217/K327, "NA")</f>
        <v>1.7535995193119974E-2</v>
      </c>
      <c r="M217" s="9"/>
      <c r="N217" s="7">
        <v>1336.24</v>
      </c>
      <c r="O217" s="8">
        <f>IFERROR(N217/N327, "NA")</f>
        <v>1.0646730049013968E-2</v>
      </c>
      <c r="P217" s="9"/>
      <c r="Q217" s="7">
        <v>903.34</v>
      </c>
      <c r="R217" s="8">
        <f>IFERROR(Q217/Q327, "NA")</f>
        <v>1.1334253450439147E-2</v>
      </c>
      <c r="S217" s="9"/>
      <c r="T217" s="7">
        <v>696.63</v>
      </c>
      <c r="U217" s="8">
        <f>IFERROR(T217/T327, "NA")</f>
        <v>7.9040974501703633E-3</v>
      </c>
      <c r="V217" s="9"/>
      <c r="W217" s="7">
        <v>1310</v>
      </c>
      <c r="X217" s="8">
        <f>IFERROR(W217/W327, "NA")</f>
        <v>8.9155414425332452E-3</v>
      </c>
    </row>
    <row r="218" spans="1:24" ht="16.5" customHeight="1" x14ac:dyDescent="0.25">
      <c r="A218" s="6" t="s">
        <v>224</v>
      </c>
      <c r="B218" s="7">
        <v>0</v>
      </c>
      <c r="C218" s="8">
        <f>IFERROR(B218/B327, "NA")</f>
        <v>0</v>
      </c>
      <c r="D218" s="9"/>
      <c r="E218" s="7">
        <v>416</v>
      </c>
      <c r="F218" s="8">
        <f>IFERROR(E218/E327, "NA")</f>
        <v>2.7688382167829935E-3</v>
      </c>
      <c r="G218" s="9"/>
      <c r="H218" s="7">
        <v>0</v>
      </c>
      <c r="I218" s="8">
        <f>IFERROR(H218/H327, "NA")</f>
        <v>0</v>
      </c>
      <c r="J218" s="9"/>
      <c r="K218" s="7">
        <v>151</v>
      </c>
      <c r="L218" s="8">
        <f>IFERROR(K218/K327, "NA")</f>
        <v>1.1549116672312477E-3</v>
      </c>
      <c r="M218" s="9"/>
      <c r="N218" s="7">
        <v>0</v>
      </c>
      <c r="O218" s="8">
        <f>IFERROR(N218/N327, "NA")</f>
        <v>0</v>
      </c>
      <c r="P218" s="9"/>
      <c r="Q218" s="7">
        <v>154</v>
      </c>
      <c r="R218" s="8">
        <f>IFERROR(Q218/Q327, "NA")</f>
        <v>1.9322459222082811E-3</v>
      </c>
      <c r="S218" s="9"/>
      <c r="T218" s="7">
        <v>0</v>
      </c>
      <c r="U218" s="8">
        <f>IFERROR(T218/T327, "NA")</f>
        <v>0</v>
      </c>
      <c r="V218" s="9"/>
      <c r="W218" s="7">
        <v>0</v>
      </c>
      <c r="X218" s="8">
        <f>IFERROR(W218/W327, "NA")</f>
        <v>0</v>
      </c>
    </row>
    <row r="219" spans="1:24" ht="16.5" customHeight="1" x14ac:dyDescent="0.25">
      <c r="A219" s="6" t="s">
        <v>225</v>
      </c>
      <c r="B219" s="7">
        <v>11097.06</v>
      </c>
      <c r="C219" s="8">
        <f>IFERROR(B219/B327, "NA")</f>
        <v>3.1447244705481013E-2</v>
      </c>
      <c r="D219" s="9"/>
      <c r="E219" s="7">
        <v>0</v>
      </c>
      <c r="F219" s="8">
        <f>IFERROR(E219/E327, "NA")</f>
        <v>0</v>
      </c>
      <c r="G219" s="9"/>
      <c r="H219" s="7">
        <v>0</v>
      </c>
      <c r="I219" s="8">
        <f>IFERROR(H219/H327, "NA")</f>
        <v>0</v>
      </c>
      <c r="J219" s="9"/>
      <c r="K219" s="7">
        <v>0</v>
      </c>
      <c r="L219" s="8">
        <f>IFERROR(K219/K327, "NA")</f>
        <v>0</v>
      </c>
      <c r="M219" s="9"/>
      <c r="N219" s="7">
        <v>6658.64</v>
      </c>
      <c r="O219" s="8">
        <f>IFERROR(N219/N327, "NA")</f>
        <v>5.3053899429418648E-2</v>
      </c>
      <c r="P219" s="9"/>
      <c r="Q219" s="7">
        <v>0</v>
      </c>
      <c r="R219" s="8">
        <f>IFERROR(Q219/Q327, "NA")</f>
        <v>0</v>
      </c>
      <c r="S219" s="9"/>
      <c r="T219" s="7">
        <v>0</v>
      </c>
      <c r="U219" s="8">
        <f>IFERROR(T219/T327, "NA")</f>
        <v>0</v>
      </c>
      <c r="V219" s="9"/>
      <c r="W219" s="7">
        <v>0</v>
      </c>
      <c r="X219" s="8">
        <f>IFERROR(W219/W327, "NA")</f>
        <v>0</v>
      </c>
    </row>
    <row r="220" spans="1:24" ht="16.5" customHeight="1" x14ac:dyDescent="0.25">
      <c r="A220" s="6" t="s">
        <v>226</v>
      </c>
      <c r="B220" s="7">
        <v>267.58</v>
      </c>
      <c r="C220" s="8">
        <f>IFERROR(B220/B327, "NA")</f>
        <v>7.582777544946688E-4</v>
      </c>
      <c r="D220" s="9"/>
      <c r="E220" s="7">
        <v>377.42</v>
      </c>
      <c r="F220" s="8">
        <f>IFERROR(E220/E327, "NA")</f>
        <v>2.5120550956207631E-3</v>
      </c>
      <c r="G220" s="9"/>
      <c r="H220" s="7">
        <v>135.38999999999999</v>
      </c>
      <c r="I220" s="8">
        <f>IFERROR(H220/H327, "NA")</f>
        <v>5.3555217569307501E-4</v>
      </c>
      <c r="J220" s="9"/>
      <c r="K220" s="7">
        <v>204.49</v>
      </c>
      <c r="L220" s="8">
        <f>IFERROR(K220/K327, "NA")</f>
        <v>1.5640257406100519E-3</v>
      </c>
      <c r="M220" s="9"/>
      <c r="N220" s="7">
        <v>149.94</v>
      </c>
      <c r="O220" s="8">
        <f>IFERROR(N220/N327, "NA")</f>
        <v>1.1946736391285654E-3</v>
      </c>
      <c r="P220" s="9"/>
      <c r="Q220" s="7">
        <v>28.48</v>
      </c>
      <c r="R220" s="8">
        <f>IFERROR(Q220/Q327, "NA")</f>
        <v>3.5734002509410289E-4</v>
      </c>
      <c r="S220" s="9"/>
      <c r="T220" s="7">
        <v>160.37</v>
      </c>
      <c r="U220" s="8">
        <f>IFERROR(T220/T327, "NA")</f>
        <v>1.8195887459394816E-3</v>
      </c>
      <c r="V220" s="9"/>
      <c r="W220" s="7">
        <v>0</v>
      </c>
      <c r="X220" s="8">
        <f>IFERROR(W220/W327, "NA")</f>
        <v>0</v>
      </c>
    </row>
    <row r="221" spans="1:24" ht="16.5" customHeight="1" x14ac:dyDescent="0.25">
      <c r="A221" s="6" t="s">
        <v>227</v>
      </c>
      <c r="B221" s="7">
        <v>3455.02</v>
      </c>
      <c r="C221" s="8">
        <f>IFERROR(B221/B327, "NA")</f>
        <v>9.7909589929522801E-3</v>
      </c>
      <c r="D221" s="9"/>
      <c r="E221" s="7">
        <v>0</v>
      </c>
      <c r="F221" s="8">
        <f>IFERROR(E221/E327, "NA")</f>
        <v>0</v>
      </c>
      <c r="G221" s="9"/>
      <c r="H221" s="7">
        <v>0</v>
      </c>
      <c r="I221" s="8">
        <f>IFERROR(H221/H327, "NA")</f>
        <v>0</v>
      </c>
      <c r="J221" s="9"/>
      <c r="K221" s="7">
        <v>0</v>
      </c>
      <c r="L221" s="8">
        <f>IFERROR(K221/K327, "NA")</f>
        <v>0</v>
      </c>
      <c r="M221" s="9"/>
      <c r="N221" s="7">
        <v>1598.84</v>
      </c>
      <c r="O221" s="8">
        <f>IFERROR(N221/N327, "NA")</f>
        <v>1.2739042291478694E-2</v>
      </c>
      <c r="P221" s="9"/>
      <c r="Q221" s="7">
        <v>0</v>
      </c>
      <c r="R221" s="8">
        <f>IFERROR(Q221/Q327, "NA")</f>
        <v>0</v>
      </c>
      <c r="S221" s="9"/>
      <c r="T221" s="7">
        <v>0</v>
      </c>
      <c r="U221" s="8">
        <f>IFERROR(T221/T327, "NA")</f>
        <v>0</v>
      </c>
      <c r="V221" s="9"/>
      <c r="W221" s="7">
        <v>0</v>
      </c>
      <c r="X221" s="8">
        <f>IFERROR(W221/W327, "NA")</f>
        <v>0</v>
      </c>
    </row>
    <row r="222" spans="1:24" ht="16.5" customHeight="1" x14ac:dyDescent="0.25">
      <c r="A222" s="6" t="s">
        <v>228</v>
      </c>
      <c r="B222" s="7">
        <v>0</v>
      </c>
      <c r="C222" s="8">
        <f>IFERROR(B222/B327, "NA")</f>
        <v>0</v>
      </c>
      <c r="D222" s="9"/>
      <c r="E222" s="7">
        <v>0</v>
      </c>
      <c r="F222" s="8">
        <f>IFERROR(E222/E327, "NA")</f>
        <v>0</v>
      </c>
      <c r="G222" s="9"/>
      <c r="H222" s="7">
        <v>0</v>
      </c>
      <c r="I222" s="8">
        <f>IFERROR(H222/H327, "NA")</f>
        <v>0</v>
      </c>
      <c r="J222" s="9"/>
      <c r="K222" s="7">
        <v>39.96</v>
      </c>
      <c r="L222" s="8">
        <f>IFERROR(K222/K327, "NA")</f>
        <v>3.0563092862622956E-4</v>
      </c>
      <c r="M222" s="9"/>
      <c r="N222" s="7">
        <v>20.56</v>
      </c>
      <c r="O222" s="8">
        <f>IFERROR(N222/N327, "NA")</f>
        <v>1.6381545965375019E-4</v>
      </c>
      <c r="P222" s="9"/>
      <c r="Q222" s="7">
        <v>0</v>
      </c>
      <c r="R222" s="8">
        <f>IFERROR(Q222/Q327, "NA")</f>
        <v>0</v>
      </c>
      <c r="S222" s="9"/>
      <c r="T222" s="7">
        <v>0</v>
      </c>
      <c r="U222" s="8">
        <f>IFERROR(T222/T327, "NA")</f>
        <v>0</v>
      </c>
      <c r="V222" s="9"/>
      <c r="W222" s="7">
        <v>0</v>
      </c>
      <c r="X222" s="8">
        <f>IFERROR(W222/W327, "NA")</f>
        <v>0</v>
      </c>
    </row>
    <row r="223" spans="1:24" ht="16.5" customHeight="1" x14ac:dyDescent="0.25">
      <c r="A223" s="6" t="s">
        <v>229</v>
      </c>
      <c r="B223" s="7">
        <v>0</v>
      </c>
      <c r="C223" s="8">
        <f>IFERROR(B223/B327, "NA")</f>
        <v>0</v>
      </c>
      <c r="D223" s="9"/>
      <c r="E223" s="7">
        <v>0</v>
      </c>
      <c r="F223" s="8">
        <f>IFERROR(E223/E327, "NA")</f>
        <v>0</v>
      </c>
      <c r="G223" s="9"/>
      <c r="H223" s="7">
        <v>0</v>
      </c>
      <c r="I223" s="8">
        <f>IFERROR(H223/H327, "NA")</f>
        <v>0</v>
      </c>
      <c r="J223" s="9"/>
      <c r="K223" s="7">
        <v>0</v>
      </c>
      <c r="L223" s="8">
        <f>IFERROR(K223/K327, "NA")</f>
        <v>0</v>
      </c>
      <c r="M223" s="9"/>
      <c r="N223" s="7">
        <v>0</v>
      </c>
      <c r="O223" s="8">
        <f>IFERROR(N223/N327, "NA")</f>
        <v>0</v>
      </c>
      <c r="P223" s="9"/>
      <c r="Q223" s="7">
        <v>307.70999999999998</v>
      </c>
      <c r="R223" s="8">
        <f>IFERROR(Q223/Q327, "NA")</f>
        <v>3.8608531994981177E-3</v>
      </c>
      <c r="S223" s="9"/>
      <c r="T223" s="7">
        <v>0</v>
      </c>
      <c r="U223" s="8">
        <f>IFERROR(T223/T327, "NA")</f>
        <v>0</v>
      </c>
      <c r="V223" s="9"/>
      <c r="W223" s="7">
        <v>0</v>
      </c>
      <c r="X223" s="8">
        <f>IFERROR(W223/W327, "NA")</f>
        <v>0</v>
      </c>
    </row>
    <row r="224" spans="1:24" ht="16.5" customHeight="1" x14ac:dyDescent="0.25">
      <c r="A224" s="6" t="s">
        <v>230</v>
      </c>
      <c r="B224" s="7">
        <v>0</v>
      </c>
      <c r="C224" s="8">
        <f>IFERROR(B224/B327, "NA")</f>
        <v>0</v>
      </c>
      <c r="D224" s="9"/>
      <c r="E224" s="7">
        <v>0</v>
      </c>
      <c r="F224" s="8">
        <f>IFERROR(E224/E327, "NA")</f>
        <v>0</v>
      </c>
      <c r="G224" s="9"/>
      <c r="H224" s="7">
        <v>0</v>
      </c>
      <c r="I224" s="8">
        <f>IFERROR(H224/H327, "NA")</f>
        <v>0</v>
      </c>
      <c r="J224" s="9"/>
      <c r="K224" s="7">
        <v>0</v>
      </c>
      <c r="L224" s="8">
        <f>IFERROR(K224/K327, "NA")</f>
        <v>0</v>
      </c>
      <c r="M224" s="9"/>
      <c r="N224" s="7">
        <v>0</v>
      </c>
      <c r="O224" s="8">
        <f>IFERROR(N224/N327, "NA")</f>
        <v>0</v>
      </c>
      <c r="P224" s="9"/>
      <c r="Q224" s="7">
        <v>0</v>
      </c>
      <c r="R224" s="8">
        <f>IFERROR(Q224/Q327, "NA")</f>
        <v>0</v>
      </c>
      <c r="S224" s="9"/>
      <c r="T224" s="7">
        <v>0</v>
      </c>
      <c r="U224" s="8">
        <f>IFERROR(T224/T327, "NA")</f>
        <v>0</v>
      </c>
      <c r="V224" s="9"/>
      <c r="W224" s="7">
        <v>0</v>
      </c>
      <c r="X224" s="8">
        <f>IFERROR(W224/W327, "NA")</f>
        <v>0</v>
      </c>
    </row>
    <row r="225" spans="1:24" ht="16.5" customHeight="1" x14ac:dyDescent="0.25">
      <c r="A225" s="6" t="s">
        <v>231</v>
      </c>
      <c r="B225" s="7">
        <v>649.97</v>
      </c>
      <c r="C225" s="8">
        <f>IFERROR(B225/B327, "NA")</f>
        <v>1.8419081848004334E-3</v>
      </c>
      <c r="D225" s="9"/>
      <c r="E225" s="7">
        <v>0</v>
      </c>
      <c r="F225" s="8">
        <f>IFERROR(E225/E327, "NA")</f>
        <v>0</v>
      </c>
      <c r="G225" s="9"/>
      <c r="H225" s="7">
        <v>0</v>
      </c>
      <c r="I225" s="8">
        <f>IFERROR(H225/H327, "NA")</f>
        <v>0</v>
      </c>
      <c r="J225" s="9"/>
      <c r="K225" s="7">
        <v>0</v>
      </c>
      <c r="L225" s="8">
        <f>IFERROR(K225/K327, "NA")</f>
        <v>0</v>
      </c>
      <c r="M225" s="9"/>
      <c r="N225" s="7">
        <v>496.1</v>
      </c>
      <c r="O225" s="8">
        <f>IFERROR(N225/N327, "NA")</f>
        <v>3.9527650551666087E-3</v>
      </c>
      <c r="P225" s="9"/>
      <c r="Q225" s="7">
        <v>0</v>
      </c>
      <c r="R225" s="8">
        <f>IFERROR(Q225/Q327, "NA")</f>
        <v>0</v>
      </c>
      <c r="S225" s="9"/>
      <c r="T225" s="7">
        <v>0</v>
      </c>
      <c r="U225" s="8">
        <f>IFERROR(T225/T327, "NA")</f>
        <v>0</v>
      </c>
      <c r="V225" s="9"/>
      <c r="W225" s="7">
        <v>0</v>
      </c>
      <c r="X225" s="8">
        <f>IFERROR(W225/W327, "NA")</f>
        <v>0</v>
      </c>
    </row>
    <row r="226" spans="1:24" ht="16.5" customHeight="1" x14ac:dyDescent="0.25">
      <c r="A226" s="6" t="s">
        <v>232</v>
      </c>
      <c r="B226" s="7">
        <v>-233.62</v>
      </c>
      <c r="C226" s="8">
        <f>IFERROR(B226/B327, "NA")</f>
        <v>-6.6204069439062911E-4</v>
      </c>
      <c r="D226" s="9"/>
      <c r="E226" s="7">
        <v>2532.87</v>
      </c>
      <c r="F226" s="8">
        <f>IFERROR(E226/E327, "NA")</f>
        <v>1.6858430899382548E-2</v>
      </c>
      <c r="G226" s="9"/>
      <c r="H226" s="7">
        <v>-2907.43</v>
      </c>
      <c r="I226" s="8">
        <f>IFERROR(H226/H327, "NA")</f>
        <v>-1.1500705090297048E-2</v>
      </c>
      <c r="J226" s="9"/>
      <c r="K226" s="7">
        <v>-21.16</v>
      </c>
      <c r="L226" s="8">
        <f>IFERROR(K226/K327, "NA")</f>
        <v>-1.6184060184512054E-4</v>
      </c>
      <c r="M226" s="9"/>
      <c r="N226" s="7">
        <v>21.37</v>
      </c>
      <c r="O226" s="8">
        <f>IFERROR(N226/N327, "NA")</f>
        <v>1.7026927883271605E-4</v>
      </c>
      <c r="P226" s="9"/>
      <c r="Q226" s="7">
        <v>-2.27</v>
      </c>
      <c r="R226" s="8">
        <f>IFERROR(Q226/Q327, "NA")</f>
        <v>-2.8481806775407779E-5</v>
      </c>
      <c r="S226" s="9"/>
      <c r="T226" s="7">
        <v>-109.45</v>
      </c>
      <c r="U226" s="8">
        <f>IFERROR(T226/T327, "NA")</f>
        <v>-1.2418406699699213E-3</v>
      </c>
      <c r="V226" s="9"/>
      <c r="W226" s="7">
        <v>127.42</v>
      </c>
      <c r="X226" s="8">
        <f>IFERROR(W226/W327, "NA")</f>
        <v>8.671895348149512E-4</v>
      </c>
    </row>
    <row r="227" spans="1:24" ht="16.5" customHeight="1" x14ac:dyDescent="0.25">
      <c r="A227" s="6" t="s">
        <v>233</v>
      </c>
      <c r="B227" s="7">
        <v>0</v>
      </c>
      <c r="C227" s="8">
        <f>IFERROR(B227/B327, "NA")</f>
        <v>0</v>
      </c>
      <c r="D227" s="9"/>
      <c r="E227" s="7">
        <v>1414.96</v>
      </c>
      <c r="F227" s="8">
        <f>IFERROR(E227/E327, "NA")</f>
        <v>9.4177772192770778E-3</v>
      </c>
      <c r="G227" s="9"/>
      <c r="H227" s="7">
        <v>0</v>
      </c>
      <c r="I227" s="8">
        <f>IFERROR(H227/H327, "NA")</f>
        <v>0</v>
      </c>
      <c r="J227" s="9"/>
      <c r="K227" s="7">
        <v>304.2</v>
      </c>
      <c r="L227" s="8">
        <f>IFERROR(K227/K327, "NA")</f>
        <v>2.3266498620645401E-3</v>
      </c>
      <c r="M227" s="9"/>
      <c r="N227" s="7">
        <v>0</v>
      </c>
      <c r="O227" s="8">
        <f>IFERROR(N227/N327, "NA")</f>
        <v>0</v>
      </c>
      <c r="P227" s="9"/>
      <c r="Q227" s="7">
        <v>709.32</v>
      </c>
      <c r="R227" s="8">
        <f>IFERROR(Q227/Q327, "NA")</f>
        <v>8.899874529485572E-3</v>
      </c>
      <c r="S227" s="9"/>
      <c r="T227" s="7">
        <v>0</v>
      </c>
      <c r="U227" s="8">
        <f>IFERROR(T227/T327, "NA")</f>
        <v>0</v>
      </c>
      <c r="V227" s="9"/>
      <c r="W227" s="7">
        <v>0</v>
      </c>
      <c r="X227" s="8">
        <f>IFERROR(W227/W327, "NA")</f>
        <v>0</v>
      </c>
    </row>
    <row r="228" spans="1:24" ht="16.5" customHeight="1" x14ac:dyDescent="0.25">
      <c r="A228" s="6" t="s">
        <v>234</v>
      </c>
      <c r="B228" s="7">
        <v>94.61</v>
      </c>
      <c r="C228" s="8">
        <f>IFERROR(B228/B327, "NA")</f>
        <v>2.6810919483048295E-4</v>
      </c>
      <c r="D228" s="9"/>
      <c r="E228" s="7">
        <v>0</v>
      </c>
      <c r="F228" s="8">
        <f>IFERROR(E228/E327, "NA")</f>
        <v>0</v>
      </c>
      <c r="G228" s="9"/>
      <c r="H228" s="7">
        <v>0</v>
      </c>
      <c r="I228" s="8">
        <f>IFERROR(H228/H327, "NA")</f>
        <v>0</v>
      </c>
      <c r="J228" s="9"/>
      <c r="K228" s="7">
        <v>0</v>
      </c>
      <c r="L228" s="8">
        <f>IFERROR(K228/K327, "NA")</f>
        <v>0</v>
      </c>
      <c r="M228" s="9"/>
      <c r="N228" s="7">
        <v>1374.76</v>
      </c>
      <c r="O228" s="8">
        <f>IFERROR(N228/N327, "NA")</f>
        <v>1.0953645005524787E-2</v>
      </c>
      <c r="P228" s="9"/>
      <c r="Q228" s="7">
        <v>0</v>
      </c>
      <c r="R228" s="8">
        <f>IFERROR(Q228/Q327, "NA")</f>
        <v>0</v>
      </c>
      <c r="S228" s="9"/>
      <c r="T228" s="7">
        <v>0</v>
      </c>
      <c r="U228" s="8">
        <f>IFERROR(T228/T327, "NA")</f>
        <v>0</v>
      </c>
      <c r="V228" s="9"/>
      <c r="W228" s="7">
        <v>0</v>
      </c>
      <c r="X228" s="8">
        <f>IFERROR(W228/W327, "NA")</f>
        <v>0</v>
      </c>
    </row>
    <row r="229" spans="1:24" ht="16.5" customHeight="1" x14ac:dyDescent="0.25">
      <c r="A229" s="6" t="s">
        <v>235</v>
      </c>
      <c r="B229" s="7">
        <v>0</v>
      </c>
      <c r="C229" s="8">
        <f>IFERROR(B229/B327, "NA")</f>
        <v>0</v>
      </c>
      <c r="D229" s="9"/>
      <c r="E229" s="7">
        <v>0</v>
      </c>
      <c r="F229" s="8">
        <f>IFERROR(E229/E327, "NA")</f>
        <v>0</v>
      </c>
      <c r="G229" s="9"/>
      <c r="H229" s="7">
        <v>0</v>
      </c>
      <c r="I229" s="8">
        <f>IFERROR(H229/H327, "NA")</f>
        <v>0</v>
      </c>
      <c r="J229" s="9"/>
      <c r="K229" s="7">
        <v>0</v>
      </c>
      <c r="L229" s="8">
        <f>IFERROR(K229/K327, "NA")</f>
        <v>0</v>
      </c>
      <c r="M229" s="9"/>
      <c r="N229" s="7">
        <v>0</v>
      </c>
      <c r="O229" s="8">
        <f>IFERROR(N229/N327, "NA")</f>
        <v>0</v>
      </c>
      <c r="P229" s="9"/>
      <c r="Q229" s="7">
        <v>0</v>
      </c>
      <c r="R229" s="8">
        <f>IFERROR(Q229/Q327, "NA")</f>
        <v>0</v>
      </c>
      <c r="S229" s="9"/>
      <c r="T229" s="7">
        <v>0</v>
      </c>
      <c r="U229" s="8">
        <f>IFERROR(T229/T327, "NA")</f>
        <v>0</v>
      </c>
      <c r="V229" s="9"/>
      <c r="W229" s="7">
        <v>0</v>
      </c>
      <c r="X229" s="8">
        <f>IFERROR(W229/W327, "NA")</f>
        <v>0</v>
      </c>
    </row>
    <row r="230" spans="1:24" ht="16.5" customHeight="1" x14ac:dyDescent="0.25">
      <c r="A230" s="6" t="s">
        <v>236</v>
      </c>
      <c r="B230" s="7">
        <v>0</v>
      </c>
      <c r="C230" s="8">
        <f>IFERROR(B230/B327, "NA")</f>
        <v>0</v>
      </c>
      <c r="D230" s="9"/>
      <c r="E230" s="7">
        <v>800</v>
      </c>
      <c r="F230" s="8">
        <f>IFERROR(E230/E327, "NA")</f>
        <v>5.3246888784288342E-3</v>
      </c>
      <c r="G230" s="9"/>
      <c r="H230" s="7">
        <v>0</v>
      </c>
      <c r="I230" s="8">
        <f>IFERROR(H230/H327, "NA")</f>
        <v>0</v>
      </c>
      <c r="J230" s="9"/>
      <c r="K230" s="7">
        <v>0</v>
      </c>
      <c r="L230" s="8">
        <f>IFERROR(K230/K327, "NA")</f>
        <v>0</v>
      </c>
      <c r="M230" s="9"/>
      <c r="N230" s="7">
        <v>714.29</v>
      </c>
      <c r="O230" s="8">
        <f>IFERROR(N230/N327, "NA")</f>
        <v>5.6912327177080363E-3</v>
      </c>
      <c r="P230" s="9"/>
      <c r="Q230" s="7">
        <v>800</v>
      </c>
      <c r="R230" s="8">
        <f>IFERROR(Q230/Q327, "NA")</f>
        <v>1.0037641154328732E-2</v>
      </c>
      <c r="S230" s="9"/>
      <c r="T230" s="7">
        <v>0</v>
      </c>
      <c r="U230" s="8">
        <f>IFERROR(T230/T327, "NA")</f>
        <v>0</v>
      </c>
      <c r="V230" s="9"/>
      <c r="W230" s="7">
        <v>0</v>
      </c>
      <c r="X230" s="8">
        <f>IFERROR(W230/W327, "NA")</f>
        <v>0</v>
      </c>
    </row>
    <row r="231" spans="1:24" ht="16.5" customHeight="1" x14ac:dyDescent="0.25">
      <c r="A231" s="6" t="s">
        <v>237</v>
      </c>
      <c r="B231" s="7">
        <v>0</v>
      </c>
      <c r="C231" s="8">
        <f>IFERROR(B231/B327, "NA")</f>
        <v>0</v>
      </c>
      <c r="D231" s="9"/>
      <c r="E231" s="7">
        <v>0</v>
      </c>
      <c r="F231" s="8">
        <f>IFERROR(E231/E327, "NA")</f>
        <v>0</v>
      </c>
      <c r="G231" s="9"/>
      <c r="H231" s="7">
        <v>0</v>
      </c>
      <c r="I231" s="8">
        <f>IFERROR(H231/H327, "NA")</f>
        <v>0</v>
      </c>
      <c r="J231" s="9"/>
      <c r="K231" s="7">
        <v>0</v>
      </c>
      <c r="L231" s="8">
        <f>IFERROR(K231/K327, "NA")</f>
        <v>0</v>
      </c>
      <c r="M231" s="9"/>
      <c r="N231" s="7">
        <v>0</v>
      </c>
      <c r="O231" s="8">
        <f>IFERROR(N231/N327, "NA")</f>
        <v>0</v>
      </c>
      <c r="P231" s="9"/>
      <c r="Q231" s="7">
        <v>0</v>
      </c>
      <c r="R231" s="8">
        <f>IFERROR(Q231/Q327, "NA")</f>
        <v>0</v>
      </c>
      <c r="S231" s="9"/>
      <c r="T231" s="7">
        <v>0</v>
      </c>
      <c r="U231" s="8">
        <f>IFERROR(T231/T327, "NA")</f>
        <v>0</v>
      </c>
      <c r="V231" s="9"/>
      <c r="W231" s="7">
        <v>0</v>
      </c>
      <c r="X231" s="8">
        <f>IFERROR(W231/W327, "NA")</f>
        <v>0</v>
      </c>
    </row>
    <row r="232" spans="1:24" ht="16.5" customHeight="1" x14ac:dyDescent="0.25">
      <c r="A232" s="6" t="s">
        <v>238</v>
      </c>
      <c r="B232" s="7">
        <v>0</v>
      </c>
      <c r="C232" s="8">
        <f>IFERROR(B232/B327, "NA")</f>
        <v>0</v>
      </c>
      <c r="D232" s="9"/>
      <c r="E232" s="7">
        <v>0</v>
      </c>
      <c r="F232" s="8">
        <f>IFERROR(E232/E327, "NA")</f>
        <v>0</v>
      </c>
      <c r="G232" s="9"/>
      <c r="H232" s="7">
        <v>0</v>
      </c>
      <c r="I232" s="8">
        <f>IFERROR(H232/H327, "NA")</f>
        <v>0</v>
      </c>
      <c r="J232" s="9"/>
      <c r="K232" s="7">
        <v>0</v>
      </c>
      <c r="L232" s="8">
        <f>IFERROR(K232/K327, "NA")</f>
        <v>0</v>
      </c>
      <c r="M232" s="9"/>
      <c r="N232" s="7">
        <v>0</v>
      </c>
      <c r="O232" s="8">
        <f>IFERROR(N232/N327, "NA")</f>
        <v>0</v>
      </c>
      <c r="P232" s="9"/>
      <c r="Q232" s="7">
        <v>0</v>
      </c>
      <c r="R232" s="8">
        <f>IFERROR(Q232/Q327, "NA")</f>
        <v>0</v>
      </c>
      <c r="S232" s="9"/>
      <c r="T232" s="7">
        <v>0</v>
      </c>
      <c r="U232" s="8">
        <f>IFERROR(T232/T327, "NA")</f>
        <v>0</v>
      </c>
      <c r="V232" s="9"/>
      <c r="W232" s="7">
        <v>0</v>
      </c>
      <c r="X232" s="8">
        <f>IFERROR(W232/W327, "NA")</f>
        <v>0</v>
      </c>
    </row>
    <row r="233" spans="1:24" ht="16.5" customHeight="1" x14ac:dyDescent="0.25">
      <c r="A233" s="6" t="s">
        <v>239</v>
      </c>
      <c r="B233" s="7">
        <v>91.43</v>
      </c>
      <c r="C233" s="8">
        <f>IFERROR(B233/B327, "NA")</f>
        <v>2.5909759732957465E-4</v>
      </c>
      <c r="D233" s="9"/>
      <c r="E233" s="7">
        <v>0</v>
      </c>
      <c r="F233" s="8">
        <f>IFERROR(E233/E327, "NA")</f>
        <v>0</v>
      </c>
      <c r="G233" s="9"/>
      <c r="H233" s="7">
        <v>0</v>
      </c>
      <c r="I233" s="8">
        <f>IFERROR(H233/H327, "NA")</f>
        <v>0</v>
      </c>
      <c r="J233" s="9"/>
      <c r="K233" s="7">
        <v>0</v>
      </c>
      <c r="L233" s="8">
        <f>IFERROR(K233/K327, "NA")</f>
        <v>0</v>
      </c>
      <c r="M233" s="9"/>
      <c r="N233" s="7">
        <v>0</v>
      </c>
      <c r="O233" s="8">
        <f>IFERROR(N233/N327, "NA")</f>
        <v>0</v>
      </c>
      <c r="P233" s="9"/>
      <c r="Q233" s="7">
        <v>0</v>
      </c>
      <c r="R233" s="8">
        <f>IFERROR(Q233/Q327, "NA")</f>
        <v>0</v>
      </c>
      <c r="S233" s="9"/>
      <c r="T233" s="7">
        <v>0</v>
      </c>
      <c r="U233" s="8">
        <f>IFERROR(T233/T327, "NA")</f>
        <v>0</v>
      </c>
      <c r="V233" s="9"/>
      <c r="W233" s="7">
        <v>0</v>
      </c>
      <c r="X233" s="8">
        <f>IFERROR(W233/W327, "NA")</f>
        <v>0</v>
      </c>
    </row>
    <row r="234" spans="1:24" ht="16.5" customHeight="1" x14ac:dyDescent="0.25">
      <c r="A234" s="6" t="s">
        <v>240</v>
      </c>
      <c r="B234" s="7">
        <v>0</v>
      </c>
      <c r="C234" s="8">
        <f>IFERROR(B234/B327, "NA")</f>
        <v>0</v>
      </c>
      <c r="D234" s="9"/>
      <c r="E234" s="7">
        <v>0</v>
      </c>
      <c r="F234" s="8">
        <f>IFERROR(E234/E327, "NA")</f>
        <v>0</v>
      </c>
      <c r="G234" s="9"/>
      <c r="H234" s="7">
        <v>0</v>
      </c>
      <c r="I234" s="8">
        <f>IFERROR(H234/H327, "NA")</f>
        <v>0</v>
      </c>
      <c r="J234" s="9"/>
      <c r="K234" s="7">
        <v>0</v>
      </c>
      <c r="L234" s="8">
        <f>IFERROR(K234/K327, "NA")</f>
        <v>0</v>
      </c>
      <c r="M234" s="9"/>
      <c r="N234" s="7">
        <v>0</v>
      </c>
      <c r="O234" s="8">
        <f>IFERROR(N234/N327, "NA")</f>
        <v>0</v>
      </c>
      <c r="P234" s="9"/>
      <c r="Q234" s="7">
        <v>0</v>
      </c>
      <c r="R234" s="8">
        <f>IFERROR(Q234/Q327, "NA")</f>
        <v>0</v>
      </c>
      <c r="S234" s="9"/>
      <c r="T234" s="7">
        <v>0</v>
      </c>
      <c r="U234" s="8">
        <f>IFERROR(T234/T327, "NA")</f>
        <v>0</v>
      </c>
      <c r="V234" s="9"/>
      <c r="W234" s="7">
        <v>0</v>
      </c>
      <c r="X234" s="8">
        <f>IFERROR(W234/W327, "NA")</f>
        <v>0</v>
      </c>
    </row>
    <row r="235" spans="1:24" ht="16.5" customHeight="1" x14ac:dyDescent="0.25">
      <c r="A235" s="6" t="s">
        <v>241</v>
      </c>
      <c r="B235" s="7">
        <v>0</v>
      </c>
      <c r="C235" s="8">
        <f>IFERROR(B235/B327, "NA")</f>
        <v>0</v>
      </c>
      <c r="D235" s="9"/>
      <c r="E235" s="7">
        <v>0</v>
      </c>
      <c r="F235" s="8">
        <f>IFERROR(E235/E327, "NA")</f>
        <v>0</v>
      </c>
      <c r="G235" s="9"/>
      <c r="H235" s="7">
        <v>0</v>
      </c>
      <c r="I235" s="8">
        <f>IFERROR(H235/H327, "NA")</f>
        <v>0</v>
      </c>
      <c r="J235" s="9"/>
      <c r="K235" s="7">
        <v>0</v>
      </c>
      <c r="L235" s="8">
        <f>IFERROR(K235/K327, "NA")</f>
        <v>0</v>
      </c>
      <c r="M235" s="9"/>
      <c r="N235" s="7">
        <v>0</v>
      </c>
      <c r="O235" s="8">
        <f>IFERROR(N235/N327, "NA")</f>
        <v>0</v>
      </c>
      <c r="P235" s="9"/>
      <c r="Q235" s="7">
        <v>0</v>
      </c>
      <c r="R235" s="8">
        <f>IFERROR(Q235/Q327, "NA")</f>
        <v>0</v>
      </c>
      <c r="S235" s="9"/>
      <c r="T235" s="7">
        <v>0</v>
      </c>
      <c r="U235" s="8">
        <f>IFERROR(T235/T327, "NA")</f>
        <v>0</v>
      </c>
      <c r="V235" s="9"/>
      <c r="W235" s="7">
        <v>125.72</v>
      </c>
      <c r="X235" s="8">
        <f>IFERROR(W235/W327, "NA")</f>
        <v>8.5561974821013703E-4</v>
      </c>
    </row>
    <row r="236" spans="1:24" ht="16.5" customHeight="1" x14ac:dyDescent="0.25">
      <c r="A236" s="6" t="s">
        <v>242</v>
      </c>
      <c r="B236" s="7">
        <v>37322.81</v>
      </c>
      <c r="C236" s="8">
        <f>IFERROR(B236/B327, "NA")</f>
        <v>0.1057667111078226</v>
      </c>
      <c r="D236" s="9"/>
      <c r="E236" s="7">
        <v>0</v>
      </c>
      <c r="F236" s="8">
        <f>IFERROR(E236/E327, "NA")</f>
        <v>0</v>
      </c>
      <c r="G236" s="9"/>
      <c r="H236" s="7">
        <v>0</v>
      </c>
      <c r="I236" s="8">
        <f>IFERROR(H236/H327, "NA")</f>
        <v>0</v>
      </c>
      <c r="J236" s="9"/>
      <c r="K236" s="7">
        <v>0</v>
      </c>
      <c r="L236" s="8">
        <f>IFERROR(K236/K327, "NA")</f>
        <v>0</v>
      </c>
      <c r="M236" s="9"/>
      <c r="N236" s="7">
        <v>0</v>
      </c>
      <c r="O236" s="8">
        <f>IFERROR(N236/N327, "NA")</f>
        <v>0</v>
      </c>
      <c r="P236" s="9"/>
      <c r="Q236" s="7">
        <v>0</v>
      </c>
      <c r="R236" s="8">
        <f>IFERROR(Q236/Q327, "NA")</f>
        <v>0</v>
      </c>
      <c r="S236" s="9"/>
      <c r="T236" s="7">
        <v>0</v>
      </c>
      <c r="U236" s="8">
        <f>IFERROR(T236/T327, "NA")</f>
        <v>0</v>
      </c>
      <c r="V236" s="9"/>
      <c r="W236" s="7">
        <v>0</v>
      </c>
      <c r="X236" s="8">
        <f>IFERROR(W236/W327, "NA")</f>
        <v>0</v>
      </c>
    </row>
    <row r="237" spans="1:24" ht="16.5" customHeight="1" x14ac:dyDescent="0.25">
      <c r="A237" s="6" t="s">
        <v>243</v>
      </c>
      <c r="B237" s="7">
        <v>5045.37</v>
      </c>
      <c r="C237" s="8">
        <f>IFERROR(B237/B327, "NA")</f>
        <v>1.4297749585898675E-2</v>
      </c>
      <c r="D237" s="9"/>
      <c r="E237" s="7">
        <v>0</v>
      </c>
      <c r="F237" s="8">
        <f>IFERROR(E237/E327, "NA")</f>
        <v>0</v>
      </c>
      <c r="G237" s="9"/>
      <c r="H237" s="7">
        <v>0</v>
      </c>
      <c r="I237" s="8">
        <f>IFERROR(H237/H327, "NA")</f>
        <v>0</v>
      </c>
      <c r="J237" s="9"/>
      <c r="K237" s="7">
        <v>0</v>
      </c>
      <c r="L237" s="8">
        <f>IFERROR(K237/K327, "NA")</f>
        <v>0</v>
      </c>
      <c r="M237" s="9"/>
      <c r="N237" s="7">
        <v>3295.99</v>
      </c>
      <c r="O237" s="8">
        <f>IFERROR(N237/N327, "NA")</f>
        <v>2.6261387007011874E-2</v>
      </c>
      <c r="P237" s="9"/>
      <c r="Q237" s="7">
        <v>0</v>
      </c>
      <c r="R237" s="8">
        <f>IFERROR(Q237/Q327, "NA")</f>
        <v>0</v>
      </c>
      <c r="S237" s="9"/>
      <c r="T237" s="7">
        <v>0</v>
      </c>
      <c r="U237" s="8">
        <f>IFERROR(T237/T327, "NA")</f>
        <v>0</v>
      </c>
      <c r="V237" s="9"/>
      <c r="W237" s="7">
        <v>0</v>
      </c>
      <c r="X237" s="8">
        <f>IFERROR(W237/W327, "NA")</f>
        <v>0</v>
      </c>
    </row>
    <row r="238" spans="1:24" ht="16.5" customHeight="1" x14ac:dyDescent="0.25">
      <c r="A238" s="6" t="s">
        <v>244</v>
      </c>
      <c r="B238" s="7">
        <v>0</v>
      </c>
      <c r="C238" s="8">
        <f>IFERROR(B238/B327, "NA")</f>
        <v>0</v>
      </c>
      <c r="D238" s="9"/>
      <c r="E238" s="7">
        <v>32</v>
      </c>
      <c r="F238" s="8">
        <f>IFERROR(E238/E327, "NA")</f>
        <v>2.1298755513715335E-4</v>
      </c>
      <c r="G238" s="9"/>
      <c r="H238" s="7">
        <v>0</v>
      </c>
      <c r="I238" s="8">
        <f>IFERROR(H238/H327, "NA")</f>
        <v>0</v>
      </c>
      <c r="J238" s="9"/>
      <c r="K238" s="7">
        <v>0</v>
      </c>
      <c r="L238" s="8">
        <f>IFERROR(K238/K327, "NA")</f>
        <v>0</v>
      </c>
      <c r="M238" s="9"/>
      <c r="N238" s="7">
        <v>0</v>
      </c>
      <c r="O238" s="8">
        <f>IFERROR(N238/N327, "NA")</f>
        <v>0</v>
      </c>
      <c r="P238" s="9"/>
      <c r="Q238" s="7">
        <v>0</v>
      </c>
      <c r="R238" s="8">
        <f>IFERROR(Q238/Q327, "NA")</f>
        <v>0</v>
      </c>
      <c r="S238" s="9"/>
      <c r="T238" s="7">
        <v>0</v>
      </c>
      <c r="U238" s="8">
        <f>IFERROR(T238/T327, "NA")</f>
        <v>0</v>
      </c>
      <c r="V238" s="9"/>
      <c r="W238" s="7">
        <v>0</v>
      </c>
      <c r="X238" s="8">
        <f>IFERROR(W238/W327, "NA")</f>
        <v>0</v>
      </c>
    </row>
    <row r="239" spans="1:24" ht="16.5" customHeight="1" x14ac:dyDescent="0.25">
      <c r="A239" s="6" t="s">
        <v>245</v>
      </c>
      <c r="B239" s="7">
        <v>690</v>
      </c>
      <c r="C239" s="8">
        <f>IFERROR(B239/B327, "NA")</f>
        <v>1.955346627555578E-3</v>
      </c>
      <c r="D239" s="9"/>
      <c r="E239" s="7">
        <v>0</v>
      </c>
      <c r="F239" s="8">
        <f>IFERROR(E239/E327, "NA")</f>
        <v>0</v>
      </c>
      <c r="G239" s="9"/>
      <c r="H239" s="7">
        <v>0</v>
      </c>
      <c r="I239" s="8">
        <f>IFERROR(H239/H327, "NA")</f>
        <v>0</v>
      </c>
      <c r="J239" s="9"/>
      <c r="K239" s="7">
        <v>0</v>
      </c>
      <c r="L239" s="8">
        <f>IFERROR(K239/K327, "NA")</f>
        <v>0</v>
      </c>
      <c r="M239" s="9"/>
      <c r="N239" s="7">
        <v>660</v>
      </c>
      <c r="O239" s="8">
        <f>IFERROR(N239/N327, "NA")</f>
        <v>5.2586674791573508E-3</v>
      </c>
      <c r="P239" s="9"/>
      <c r="Q239" s="7">
        <v>0</v>
      </c>
      <c r="R239" s="8">
        <f>IFERROR(Q239/Q327, "NA")</f>
        <v>0</v>
      </c>
      <c r="S239" s="9"/>
      <c r="T239" s="7">
        <v>0</v>
      </c>
      <c r="U239" s="8">
        <f>IFERROR(T239/T327, "NA")</f>
        <v>0</v>
      </c>
      <c r="V239" s="9"/>
      <c r="W239" s="7">
        <v>0</v>
      </c>
      <c r="X239" s="8">
        <f>IFERROR(W239/W327, "NA")</f>
        <v>0</v>
      </c>
    </row>
    <row r="240" spans="1:24" ht="16.5" customHeight="1" x14ac:dyDescent="0.25">
      <c r="A240" s="6" t="s">
        <v>246</v>
      </c>
      <c r="B240" s="7">
        <v>0</v>
      </c>
      <c r="C240" s="8">
        <f>IFERROR(B240/B327, "NA")</f>
        <v>0</v>
      </c>
      <c r="D240" s="9"/>
      <c r="E240" s="7">
        <v>0</v>
      </c>
      <c r="F240" s="8">
        <f>IFERROR(E240/E327, "NA")</f>
        <v>0</v>
      </c>
      <c r="G240" s="9"/>
      <c r="H240" s="7">
        <v>0</v>
      </c>
      <c r="I240" s="8">
        <f>IFERROR(H240/H327, "NA")</f>
        <v>0</v>
      </c>
      <c r="J240" s="9"/>
      <c r="K240" s="7">
        <v>0</v>
      </c>
      <c r="L240" s="8">
        <f>IFERROR(K240/K327, "NA")</f>
        <v>0</v>
      </c>
      <c r="M240" s="9"/>
      <c r="N240" s="7">
        <v>0</v>
      </c>
      <c r="O240" s="8">
        <f>IFERROR(N240/N327, "NA")</f>
        <v>0</v>
      </c>
      <c r="P240" s="9"/>
      <c r="Q240" s="7">
        <v>0</v>
      </c>
      <c r="R240" s="8">
        <f>IFERROR(Q240/Q327, "NA")</f>
        <v>0</v>
      </c>
      <c r="S240" s="9"/>
      <c r="T240" s="7">
        <v>0</v>
      </c>
      <c r="U240" s="8">
        <f>IFERROR(T240/T327, "NA")</f>
        <v>0</v>
      </c>
      <c r="V240" s="9"/>
      <c r="W240" s="7">
        <v>0</v>
      </c>
      <c r="X240" s="8">
        <f>IFERROR(W240/W327, "NA")</f>
        <v>0</v>
      </c>
    </row>
    <row r="241" spans="1:24" ht="16.5" customHeight="1" x14ac:dyDescent="0.25">
      <c r="A241" s="10" t="s">
        <v>247</v>
      </c>
      <c r="B241" s="11">
        <f>IFERROR(B214+B215+B216+B217+B218+B219+B220+B221+B222+B223+B224+B225+B226+B227+B228+B229+B230+B231+B232+B233+B234+B235+B236+B237+B238+B239+B240, "NA")</f>
        <v>68356.28</v>
      </c>
      <c r="C241" s="12">
        <f>IFERROR(B241/B327, "NA")</f>
        <v>0.19371046604383305</v>
      </c>
      <c r="D241" s="2"/>
      <c r="E241" s="11">
        <f>IFERROR(E214+E215+E216+E217+E218+E219+E220+E221+E222+E223+E224+E225+E226+E227+E228+E229+E230+E231+E232+E233+E234+E235+E236+E237+E238+E239+E240, "NA")</f>
        <v>19837.05</v>
      </c>
      <c r="F241" s="12">
        <f>IFERROR(E241/E327, "NA")</f>
        <v>0.13203264939479586</v>
      </c>
      <c r="G241" s="2"/>
      <c r="H241" s="11">
        <f>IFERROR(H214+H215+H216+H217+H218+H219+H220+H221+H222+H223+H224+H225+H226+H227+H228+H229+H230+H231+H232+H233+H234+H235+H236+H237+H238+H239+H240, "NA")</f>
        <v>2782.9600000000005</v>
      </c>
      <c r="I241" s="12">
        <f>IFERROR(H241/H327, "NA")</f>
        <v>1.1008348348229563E-2</v>
      </c>
      <c r="J241" s="2"/>
      <c r="K241" s="11">
        <f>IFERROR(K214+K215+K216+K217+K218+K219+K220+K221+K222+K223+K224+K225+K226+K227+K228+K229+K230+K231+K232+K233+K234+K235+K236+K237+K238+K239+K240, "NA")</f>
        <v>9516.65</v>
      </c>
      <c r="L241" s="12">
        <f>IFERROR(K241/K327, "NA")</f>
        <v>7.278735177454472E-2</v>
      </c>
      <c r="M241" s="2"/>
      <c r="N241" s="11">
        <f>IFERROR(N214+N215+N216+N217+N218+N219+N220+N221+N222+N223+N224+N225+N226+N227+N228+N229+N230+N231+N232+N233+N234+N235+N236+N237+N238+N239+N240, "NA")</f>
        <v>20245.200000000004</v>
      </c>
      <c r="O241" s="12">
        <f>IFERROR(N241/N327, "NA")</f>
        <v>0.16130723461975216</v>
      </c>
      <c r="P241" s="2"/>
      <c r="Q241" s="11">
        <f>IFERROR(Q214+Q215+Q216+Q217+Q218+Q219+Q220+Q221+Q222+Q223+Q224+Q225+Q226+Q227+Q228+Q229+Q230+Q231+Q232+Q233+Q234+Q235+Q236+Q237+Q238+Q239+Q240, "NA")</f>
        <v>4888.7700000000004</v>
      </c>
      <c r="R241" s="12">
        <f>IFERROR(Q241/Q327, "NA")</f>
        <v>6.1339648682559603E-2</v>
      </c>
      <c r="S241" s="2"/>
      <c r="T241" s="11">
        <f>IFERROR(T214+T215+T216+T217+T218+T219+T220+T221+T222+T223+T224+T225+T226+T227+T228+T229+T230+T231+T232+T233+T234+T235+T236+T237+T238+T239+T240, "NA")</f>
        <v>4147.9399999999996</v>
      </c>
      <c r="U241" s="12">
        <f>IFERROR(T241/T327, "NA")</f>
        <v>4.7063321960667287E-2</v>
      </c>
      <c r="V241" s="2"/>
      <c r="W241" s="11">
        <f>IFERROR(W214+W215+W216+W217+W218+W219+W220+W221+W222+W223+W224+W225+W226+W227+W228+W229+W230+W231+W232+W233+W234+W235+W236+W237+W238+W239+W240, "NA")</f>
        <v>4420.8599999999997</v>
      </c>
      <c r="X241" s="12">
        <f>IFERROR(W241/W327, "NA")</f>
        <v>3.0087298123387417E-2</v>
      </c>
    </row>
    <row r="242" spans="1:24" ht="16.5" customHeight="1" x14ac:dyDescent="0.25">
      <c r="A242" s="5" t="s">
        <v>248</v>
      </c>
      <c r="B242" s="2"/>
      <c r="C242" s="3"/>
      <c r="D242" s="4"/>
      <c r="E242" s="2"/>
      <c r="F242" s="3"/>
      <c r="G242" s="4"/>
      <c r="H242" s="2"/>
      <c r="I242" s="3"/>
      <c r="J242" s="4"/>
      <c r="K242" s="2"/>
      <c r="L242" s="3"/>
      <c r="M242" s="4"/>
      <c r="N242" s="2"/>
      <c r="O242" s="3"/>
      <c r="P242" s="4"/>
      <c r="Q242" s="2"/>
      <c r="R242" s="3"/>
      <c r="S242" s="4"/>
      <c r="T242" s="2"/>
      <c r="U242" s="3"/>
      <c r="V242" s="4"/>
      <c r="W242" s="2"/>
      <c r="X242" s="3"/>
    </row>
    <row r="243" spans="1:24" ht="16.5" customHeight="1" x14ac:dyDescent="0.25">
      <c r="A243" s="6" t="s">
        <v>249</v>
      </c>
      <c r="B243" s="7">
        <v>0</v>
      </c>
      <c r="C243" s="8">
        <f>IFERROR(B243/B327, "NA")</f>
        <v>0</v>
      </c>
      <c r="D243" s="9"/>
      <c r="E243" s="7">
        <v>0</v>
      </c>
      <c r="F243" s="8">
        <f>IFERROR(E243/E327, "NA")</f>
        <v>0</v>
      </c>
      <c r="G243" s="9"/>
      <c r="H243" s="7">
        <v>0</v>
      </c>
      <c r="I243" s="8">
        <f>IFERROR(H243/H327, "NA")</f>
        <v>0</v>
      </c>
      <c r="J243" s="9"/>
      <c r="K243" s="7">
        <v>0</v>
      </c>
      <c r="L243" s="8">
        <f>IFERROR(K243/K327, "NA")</f>
        <v>0</v>
      </c>
      <c r="M243" s="9"/>
      <c r="N243" s="7">
        <v>0</v>
      </c>
      <c r="O243" s="8">
        <f>IFERROR(N243/N327, "NA")</f>
        <v>0</v>
      </c>
      <c r="P243" s="9"/>
      <c r="Q243" s="7">
        <v>0</v>
      </c>
      <c r="R243" s="8">
        <f>IFERROR(Q243/Q327, "NA")</f>
        <v>0</v>
      </c>
      <c r="S243" s="9"/>
      <c r="T243" s="7">
        <v>0</v>
      </c>
      <c r="U243" s="8">
        <f>IFERROR(T243/T327, "NA")</f>
        <v>0</v>
      </c>
      <c r="V243" s="9"/>
      <c r="W243" s="7">
        <v>0</v>
      </c>
      <c r="X243" s="8">
        <f>IFERROR(W243/W327, "NA")</f>
        <v>0</v>
      </c>
    </row>
    <row r="244" spans="1:24" ht="16.5" customHeight="1" x14ac:dyDescent="0.25">
      <c r="A244" s="6" t="s">
        <v>250</v>
      </c>
      <c r="B244" s="7">
        <v>256.62</v>
      </c>
      <c r="C244" s="8">
        <f>IFERROR(B244/B327, "NA")</f>
        <v>7.2721891530914842E-4</v>
      </c>
      <c r="D244" s="9"/>
      <c r="E244" s="7">
        <v>0</v>
      </c>
      <c r="F244" s="8">
        <f>IFERROR(E244/E327, "NA")</f>
        <v>0</v>
      </c>
      <c r="G244" s="9"/>
      <c r="H244" s="7">
        <v>105.5</v>
      </c>
      <c r="I244" s="8">
        <f>IFERROR(H244/H327, "NA")</f>
        <v>4.1731852083329215E-4</v>
      </c>
      <c r="J244" s="9"/>
      <c r="K244" s="7">
        <v>290.5</v>
      </c>
      <c r="L244" s="8">
        <f>IFERROR(K244/K327, "NA")</f>
        <v>2.2218664856336256E-3</v>
      </c>
      <c r="M244" s="9"/>
      <c r="N244" s="7">
        <v>344.59</v>
      </c>
      <c r="O244" s="8">
        <f>IFERROR(N244/N327, "NA")</f>
        <v>2.7455821615800478E-3</v>
      </c>
      <c r="P244" s="9"/>
      <c r="Q244" s="7">
        <v>0</v>
      </c>
      <c r="R244" s="8">
        <f>IFERROR(Q244/Q327, "NA")</f>
        <v>0</v>
      </c>
      <c r="S244" s="9"/>
      <c r="T244" s="7">
        <v>0</v>
      </c>
      <c r="U244" s="8">
        <f>IFERROR(T244/T327, "NA")</f>
        <v>0</v>
      </c>
      <c r="V244" s="9"/>
      <c r="W244" s="7">
        <v>0</v>
      </c>
      <c r="X244" s="8">
        <f>IFERROR(W244/W327, "NA")</f>
        <v>0</v>
      </c>
    </row>
    <row r="245" spans="1:24" ht="16.5" customHeight="1" x14ac:dyDescent="0.25">
      <c r="A245" s="6" t="s">
        <v>251</v>
      </c>
      <c r="B245" s="7">
        <v>751.21</v>
      </c>
      <c r="C245" s="8">
        <f>IFERROR(B245/B327, "NA")</f>
        <v>2.1288057102696024E-3</v>
      </c>
      <c r="D245" s="9"/>
      <c r="E245" s="7">
        <v>0</v>
      </c>
      <c r="F245" s="8">
        <f>IFERROR(E245/E327, "NA")</f>
        <v>0</v>
      </c>
      <c r="G245" s="9"/>
      <c r="H245" s="7">
        <v>0</v>
      </c>
      <c r="I245" s="8">
        <f>IFERROR(H245/H327, "NA")</f>
        <v>0</v>
      </c>
      <c r="J245" s="9"/>
      <c r="K245" s="7">
        <v>0</v>
      </c>
      <c r="L245" s="8">
        <f>IFERROR(K245/K327, "NA")</f>
        <v>0</v>
      </c>
      <c r="M245" s="9"/>
      <c r="N245" s="7">
        <v>661.77</v>
      </c>
      <c r="O245" s="8">
        <f>IFERROR(N245/N327, "NA")</f>
        <v>5.2727702692150907E-3</v>
      </c>
      <c r="P245" s="9"/>
      <c r="Q245" s="7">
        <v>0</v>
      </c>
      <c r="R245" s="8">
        <f>IFERROR(Q245/Q327, "NA")</f>
        <v>0</v>
      </c>
      <c r="S245" s="9"/>
      <c r="T245" s="7">
        <v>0</v>
      </c>
      <c r="U245" s="8">
        <f>IFERROR(T245/T327, "NA")</f>
        <v>0</v>
      </c>
      <c r="V245" s="9"/>
      <c r="W245" s="7">
        <v>0</v>
      </c>
      <c r="X245" s="8">
        <f>IFERROR(W245/W327, "NA")</f>
        <v>0</v>
      </c>
    </row>
    <row r="246" spans="1:24" ht="16.5" customHeight="1" x14ac:dyDescent="0.25">
      <c r="A246" s="6" t="s">
        <v>252</v>
      </c>
      <c r="B246" s="7">
        <v>0</v>
      </c>
      <c r="C246" s="8">
        <f>IFERROR(B246/B327, "NA")</f>
        <v>0</v>
      </c>
      <c r="D246" s="9"/>
      <c r="E246" s="7">
        <v>0</v>
      </c>
      <c r="F246" s="8">
        <f>IFERROR(E246/E327, "NA")</f>
        <v>0</v>
      </c>
      <c r="G246" s="9"/>
      <c r="H246" s="7">
        <v>0</v>
      </c>
      <c r="I246" s="8">
        <f>IFERROR(H246/H327, "NA")</f>
        <v>0</v>
      </c>
      <c r="J246" s="9"/>
      <c r="K246" s="7">
        <v>0</v>
      </c>
      <c r="L246" s="8">
        <f>IFERROR(K246/K327, "NA")</f>
        <v>0</v>
      </c>
      <c r="M246" s="9"/>
      <c r="N246" s="7">
        <v>0</v>
      </c>
      <c r="O246" s="8">
        <f>IFERROR(N246/N327, "NA")</f>
        <v>0</v>
      </c>
      <c r="P246" s="9"/>
      <c r="Q246" s="7">
        <v>0</v>
      </c>
      <c r="R246" s="8">
        <f>IFERROR(Q246/Q327, "NA")</f>
        <v>0</v>
      </c>
      <c r="S246" s="9"/>
      <c r="T246" s="7">
        <v>0</v>
      </c>
      <c r="U246" s="8">
        <f>IFERROR(T246/T327, "NA")</f>
        <v>0</v>
      </c>
      <c r="V246" s="9"/>
      <c r="W246" s="7">
        <v>0</v>
      </c>
      <c r="X246" s="8">
        <f>IFERROR(W246/W327, "NA")</f>
        <v>0</v>
      </c>
    </row>
    <row r="247" spans="1:24" ht="16.5" customHeight="1" x14ac:dyDescent="0.25">
      <c r="A247" s="6" t="s">
        <v>253</v>
      </c>
      <c r="B247" s="7">
        <v>4750.3100000000004</v>
      </c>
      <c r="C247" s="8">
        <f>IFERROR(B247/B327, "NA")</f>
        <v>1.3461598026584838E-2</v>
      </c>
      <c r="D247" s="9"/>
      <c r="E247" s="7">
        <v>0</v>
      </c>
      <c r="F247" s="8">
        <f>IFERROR(E247/E327, "NA")</f>
        <v>0</v>
      </c>
      <c r="G247" s="9"/>
      <c r="H247" s="7">
        <v>0</v>
      </c>
      <c r="I247" s="8">
        <f>IFERROR(H247/H327, "NA")</f>
        <v>0</v>
      </c>
      <c r="J247" s="9"/>
      <c r="K247" s="7">
        <v>0</v>
      </c>
      <c r="L247" s="8">
        <f>IFERROR(K247/K327, "NA")</f>
        <v>0</v>
      </c>
      <c r="M247" s="9"/>
      <c r="N247" s="7">
        <v>4636.79</v>
      </c>
      <c r="O247" s="8">
        <f>IFERROR(N247/N327, "NA")</f>
        <v>3.6944449667700018E-2</v>
      </c>
      <c r="P247" s="9"/>
      <c r="Q247" s="7">
        <v>8042.31</v>
      </c>
      <c r="R247" s="8">
        <f>IFERROR(Q247/Q327, "NA")</f>
        <v>0.10090727728983689</v>
      </c>
      <c r="S247" s="9"/>
      <c r="T247" s="7">
        <v>0</v>
      </c>
      <c r="U247" s="8">
        <f>IFERROR(T247/T327, "NA")</f>
        <v>0</v>
      </c>
      <c r="V247" s="9"/>
      <c r="W247" s="7">
        <v>0</v>
      </c>
      <c r="X247" s="8">
        <f>IFERROR(W247/W327, "NA")</f>
        <v>0</v>
      </c>
    </row>
    <row r="248" spans="1:24" ht="16.5" customHeight="1" x14ac:dyDescent="0.25">
      <c r="A248" s="6" t="s">
        <v>254</v>
      </c>
      <c r="B248" s="7">
        <v>0</v>
      </c>
      <c r="C248" s="8">
        <f>IFERROR(B248/B327, "NA")</f>
        <v>0</v>
      </c>
      <c r="D248" s="9"/>
      <c r="E248" s="7">
        <v>0</v>
      </c>
      <c r="F248" s="8">
        <f>IFERROR(E248/E327, "NA")</f>
        <v>0</v>
      </c>
      <c r="G248" s="9"/>
      <c r="H248" s="7">
        <v>0</v>
      </c>
      <c r="I248" s="8">
        <f>IFERROR(H248/H327, "NA")</f>
        <v>0</v>
      </c>
      <c r="J248" s="9"/>
      <c r="K248" s="7">
        <v>0</v>
      </c>
      <c r="L248" s="8">
        <f>IFERROR(K248/K327, "NA")</f>
        <v>0</v>
      </c>
      <c r="M248" s="9"/>
      <c r="N248" s="7">
        <v>0</v>
      </c>
      <c r="O248" s="8">
        <f>IFERROR(N248/N327, "NA")</f>
        <v>0</v>
      </c>
      <c r="P248" s="9"/>
      <c r="Q248" s="7">
        <v>562.9</v>
      </c>
      <c r="R248" s="8">
        <f>IFERROR(Q248/Q327, "NA")</f>
        <v>7.062735257214554E-3</v>
      </c>
      <c r="S248" s="9"/>
      <c r="T248" s="7">
        <v>0</v>
      </c>
      <c r="U248" s="8">
        <f>IFERROR(T248/T327, "NA")</f>
        <v>0</v>
      </c>
      <c r="V248" s="9"/>
      <c r="W248" s="7">
        <v>0</v>
      </c>
      <c r="X248" s="8">
        <f>IFERROR(W248/W327, "NA")</f>
        <v>0</v>
      </c>
    </row>
    <row r="249" spans="1:24" ht="16.5" customHeight="1" x14ac:dyDescent="0.25">
      <c r="A249" s="6" t="s">
        <v>255</v>
      </c>
      <c r="B249" s="7">
        <v>1972.66</v>
      </c>
      <c r="C249" s="8">
        <f>IFERROR(B249/B327, "NA")</f>
        <v>5.5901943163967922E-3</v>
      </c>
      <c r="D249" s="9"/>
      <c r="E249" s="7">
        <v>0</v>
      </c>
      <c r="F249" s="8">
        <f>IFERROR(E249/E327, "NA")</f>
        <v>0</v>
      </c>
      <c r="G249" s="9"/>
      <c r="H249" s="7">
        <v>0</v>
      </c>
      <c r="I249" s="8">
        <f>IFERROR(H249/H327, "NA")</f>
        <v>0</v>
      </c>
      <c r="J249" s="9"/>
      <c r="K249" s="7">
        <v>0</v>
      </c>
      <c r="L249" s="8">
        <f>IFERROR(K249/K327, "NA")</f>
        <v>0</v>
      </c>
      <c r="M249" s="9"/>
      <c r="N249" s="7">
        <v>1886.89</v>
      </c>
      <c r="O249" s="8">
        <f>IFERROR(N249/N327, "NA")</f>
        <v>1.5034131939010931E-2</v>
      </c>
      <c r="P249" s="9"/>
      <c r="Q249" s="7">
        <v>3173.41</v>
      </c>
      <c r="R249" s="8">
        <f>IFERROR(Q249/Q327, "NA")</f>
        <v>3.9816938519447925E-2</v>
      </c>
      <c r="S249" s="9"/>
      <c r="T249" s="7">
        <v>0</v>
      </c>
      <c r="U249" s="8">
        <f>IFERROR(T249/T327, "NA")</f>
        <v>0</v>
      </c>
      <c r="V249" s="9"/>
      <c r="W249" s="7">
        <v>0</v>
      </c>
      <c r="X249" s="8">
        <f>IFERROR(W249/W327, "NA")</f>
        <v>0</v>
      </c>
    </row>
    <row r="250" spans="1:24" ht="16.5" customHeight="1" x14ac:dyDescent="0.25">
      <c r="A250" s="6" t="s">
        <v>256</v>
      </c>
      <c r="B250" s="7">
        <v>0</v>
      </c>
      <c r="C250" s="8">
        <f>IFERROR(B250/B327, "NA")</f>
        <v>0</v>
      </c>
      <c r="D250" s="9"/>
      <c r="E250" s="7">
        <v>0</v>
      </c>
      <c r="F250" s="8">
        <f>IFERROR(E250/E327, "NA")</f>
        <v>0</v>
      </c>
      <c r="G250" s="9"/>
      <c r="H250" s="7">
        <v>0</v>
      </c>
      <c r="I250" s="8">
        <f>IFERROR(H250/H327, "NA")</f>
        <v>0</v>
      </c>
      <c r="J250" s="9"/>
      <c r="K250" s="7">
        <v>0</v>
      </c>
      <c r="L250" s="8">
        <f>IFERROR(K250/K327, "NA")</f>
        <v>0</v>
      </c>
      <c r="M250" s="9"/>
      <c r="N250" s="7">
        <v>0</v>
      </c>
      <c r="O250" s="8">
        <f>IFERROR(N250/N327, "NA")</f>
        <v>0</v>
      </c>
      <c r="P250" s="9"/>
      <c r="Q250" s="7">
        <v>0</v>
      </c>
      <c r="R250" s="8">
        <f>IFERROR(Q250/Q327, "NA")</f>
        <v>0</v>
      </c>
      <c r="S250" s="9"/>
      <c r="T250" s="7">
        <v>0</v>
      </c>
      <c r="U250" s="8">
        <f>IFERROR(T250/T327, "NA")</f>
        <v>0</v>
      </c>
      <c r="V250" s="9"/>
      <c r="W250" s="7">
        <v>0</v>
      </c>
      <c r="X250" s="8">
        <f>IFERROR(W250/W327, "NA")</f>
        <v>0</v>
      </c>
    </row>
    <row r="251" spans="1:24" ht="16.5" customHeight="1" x14ac:dyDescent="0.25">
      <c r="A251" s="6" t="s">
        <v>257</v>
      </c>
      <c r="B251" s="7">
        <v>0</v>
      </c>
      <c r="C251" s="8">
        <f>IFERROR(B251/B327, "NA")</f>
        <v>0</v>
      </c>
      <c r="D251" s="9"/>
      <c r="E251" s="7">
        <v>0</v>
      </c>
      <c r="F251" s="8">
        <f>IFERROR(E251/E327, "NA")</f>
        <v>0</v>
      </c>
      <c r="G251" s="9"/>
      <c r="H251" s="7">
        <v>0</v>
      </c>
      <c r="I251" s="8">
        <f>IFERROR(H251/H327, "NA")</f>
        <v>0</v>
      </c>
      <c r="J251" s="9"/>
      <c r="K251" s="7">
        <v>0</v>
      </c>
      <c r="L251" s="8">
        <f>IFERROR(K251/K327, "NA")</f>
        <v>0</v>
      </c>
      <c r="M251" s="9"/>
      <c r="N251" s="7">
        <v>0</v>
      </c>
      <c r="O251" s="8">
        <f>IFERROR(N251/N327, "NA")</f>
        <v>0</v>
      </c>
      <c r="P251" s="9"/>
      <c r="Q251" s="7">
        <v>0</v>
      </c>
      <c r="R251" s="8">
        <f>IFERROR(Q251/Q327, "NA")</f>
        <v>0</v>
      </c>
      <c r="S251" s="9"/>
      <c r="T251" s="7">
        <v>0</v>
      </c>
      <c r="U251" s="8">
        <f>IFERROR(T251/T327, "NA")</f>
        <v>0</v>
      </c>
      <c r="V251" s="9"/>
      <c r="W251" s="7">
        <v>0</v>
      </c>
      <c r="X251" s="8">
        <f>IFERROR(W251/W327, "NA")</f>
        <v>0</v>
      </c>
    </row>
    <row r="252" spans="1:24" ht="16.5" customHeight="1" x14ac:dyDescent="0.25">
      <c r="A252" s="10" t="s">
        <v>258</v>
      </c>
      <c r="B252" s="11">
        <f>IFERROR(B243+B244+B245+B246+B247+B248+B249+B250+B251, "NA")</f>
        <v>7730.8</v>
      </c>
      <c r="C252" s="12">
        <f>IFERROR(B252/B327, "NA")</f>
        <v>2.1907816968560381E-2</v>
      </c>
      <c r="D252" s="2"/>
      <c r="E252" s="11">
        <f>IFERROR(E243+E244+E245+E246+E247+E248+E249+E250+E251, "NA")</f>
        <v>0</v>
      </c>
      <c r="F252" s="12">
        <f>IFERROR(E252/E327, "NA")</f>
        <v>0</v>
      </c>
      <c r="G252" s="2"/>
      <c r="H252" s="11">
        <f>IFERROR(H243+H244+H245+H246+H247+H248+H249+H250+H251, "NA")</f>
        <v>105.5</v>
      </c>
      <c r="I252" s="12">
        <f>IFERROR(H252/H327, "NA")</f>
        <v>4.1731852083329215E-4</v>
      </c>
      <c r="J252" s="2"/>
      <c r="K252" s="11">
        <f>IFERROR(K243+K244+K245+K246+K247+K248+K249+K250+K251, "NA")</f>
        <v>290.5</v>
      </c>
      <c r="L252" s="12">
        <f>IFERROR(K252/K327, "NA")</f>
        <v>2.2218664856336256E-3</v>
      </c>
      <c r="M252" s="2"/>
      <c r="N252" s="11">
        <f>IFERROR(N243+N244+N245+N246+N247+N248+N249+N250+N251, "NA")</f>
        <v>7530.04</v>
      </c>
      <c r="O252" s="12">
        <f>IFERROR(N252/N327, "NA")</f>
        <v>5.999693403750609E-2</v>
      </c>
      <c r="P252" s="2"/>
      <c r="Q252" s="11">
        <f>IFERROR(Q243+Q244+Q245+Q246+Q247+Q248+Q249+Q250+Q251, "NA")</f>
        <v>11778.62</v>
      </c>
      <c r="R252" s="12">
        <f>IFERROR(Q252/Q327, "NA")</f>
        <v>0.14778695106649939</v>
      </c>
      <c r="S252" s="2"/>
      <c r="T252" s="11">
        <f>IFERROR(T243+T244+T245+T246+T247+T248+T249+T250+T251, "NA")</f>
        <v>0</v>
      </c>
      <c r="U252" s="12">
        <f>IFERROR(T252/T327, "NA")</f>
        <v>0</v>
      </c>
      <c r="V252" s="2"/>
      <c r="W252" s="11">
        <f>IFERROR(W243+W244+W245+W246+W247+W248+W249+W250+W251, "NA")</f>
        <v>0</v>
      </c>
      <c r="X252" s="12">
        <f>IFERROR(W252/W327, "NA")</f>
        <v>0</v>
      </c>
    </row>
    <row r="253" spans="1:24" ht="16.5" customHeight="1" x14ac:dyDescent="0.25">
      <c r="A253" s="5" t="s">
        <v>259</v>
      </c>
      <c r="B253" s="2"/>
      <c r="C253" s="3"/>
      <c r="D253" s="4"/>
      <c r="E253" s="2"/>
      <c r="F253" s="3"/>
      <c r="G253" s="4"/>
      <c r="H253" s="2"/>
      <c r="I253" s="3"/>
      <c r="J253" s="4"/>
      <c r="K253" s="2"/>
      <c r="L253" s="3"/>
      <c r="M253" s="4"/>
      <c r="N253" s="2"/>
      <c r="O253" s="3"/>
      <c r="P253" s="4"/>
      <c r="Q253" s="2"/>
      <c r="R253" s="3"/>
      <c r="S253" s="4"/>
      <c r="T253" s="2"/>
      <c r="U253" s="3"/>
      <c r="V253" s="4"/>
      <c r="W253" s="2"/>
      <c r="X253" s="3"/>
    </row>
    <row r="254" spans="1:24" ht="16.5" customHeight="1" x14ac:dyDescent="0.25">
      <c r="A254" s="6" t="s">
        <v>260</v>
      </c>
      <c r="B254" s="7">
        <v>0</v>
      </c>
      <c r="C254" s="8">
        <f>IFERROR(B254/B327, "NA")</f>
        <v>0</v>
      </c>
      <c r="D254" s="9"/>
      <c r="E254" s="7">
        <v>0</v>
      </c>
      <c r="F254" s="8">
        <f>IFERROR(E254/E327, "NA")</f>
        <v>0</v>
      </c>
      <c r="G254" s="9"/>
      <c r="H254" s="7">
        <v>0</v>
      </c>
      <c r="I254" s="8">
        <f>IFERROR(H254/H327, "NA")</f>
        <v>0</v>
      </c>
      <c r="J254" s="9"/>
      <c r="K254" s="7">
        <v>0</v>
      </c>
      <c r="L254" s="8">
        <f>IFERROR(K254/K327, "NA")</f>
        <v>0</v>
      </c>
      <c r="M254" s="9"/>
      <c r="N254" s="7">
        <v>0</v>
      </c>
      <c r="O254" s="8">
        <f>IFERROR(N254/N327, "NA")</f>
        <v>0</v>
      </c>
      <c r="P254" s="9"/>
      <c r="Q254" s="7">
        <v>0</v>
      </c>
      <c r="R254" s="8">
        <f>IFERROR(Q254/Q327, "NA")</f>
        <v>0</v>
      </c>
      <c r="S254" s="9"/>
      <c r="T254" s="7">
        <v>0</v>
      </c>
      <c r="U254" s="8">
        <f>IFERROR(T254/T327, "NA")</f>
        <v>0</v>
      </c>
      <c r="V254" s="9"/>
      <c r="W254" s="7">
        <v>0</v>
      </c>
      <c r="X254" s="8">
        <f>IFERROR(W254/W327, "NA")</f>
        <v>0</v>
      </c>
    </row>
    <row r="255" spans="1:24" ht="16.5" customHeight="1" x14ac:dyDescent="0.25">
      <c r="A255" s="6" t="s">
        <v>261</v>
      </c>
      <c r="B255" s="7">
        <v>0</v>
      </c>
      <c r="C255" s="8">
        <f>IFERROR(B255/B327, "NA")</f>
        <v>0</v>
      </c>
      <c r="D255" s="9"/>
      <c r="E255" s="7">
        <v>0</v>
      </c>
      <c r="F255" s="8">
        <f>IFERROR(E255/E327, "NA")</f>
        <v>0</v>
      </c>
      <c r="G255" s="9"/>
      <c r="H255" s="7">
        <v>0</v>
      </c>
      <c r="I255" s="8">
        <f>IFERROR(H255/H327, "NA")</f>
        <v>0</v>
      </c>
      <c r="J255" s="9"/>
      <c r="K255" s="7">
        <v>0</v>
      </c>
      <c r="L255" s="8">
        <f>IFERROR(K255/K327, "NA")</f>
        <v>0</v>
      </c>
      <c r="M255" s="9"/>
      <c r="N255" s="7">
        <v>0</v>
      </c>
      <c r="O255" s="8">
        <f>IFERROR(N255/N327, "NA")</f>
        <v>0</v>
      </c>
      <c r="P255" s="9"/>
      <c r="Q255" s="7">
        <v>0</v>
      </c>
      <c r="R255" s="8">
        <f>IFERROR(Q255/Q327, "NA")</f>
        <v>0</v>
      </c>
      <c r="S255" s="9"/>
      <c r="T255" s="7">
        <v>0</v>
      </c>
      <c r="U255" s="8">
        <f>IFERROR(T255/T327, "NA")</f>
        <v>0</v>
      </c>
      <c r="V255" s="9"/>
      <c r="W255" s="7">
        <v>0</v>
      </c>
      <c r="X255" s="8">
        <f>IFERROR(W255/W327, "NA")</f>
        <v>0</v>
      </c>
    </row>
    <row r="256" spans="1:24" ht="16.5" customHeight="1" x14ac:dyDescent="0.25">
      <c r="A256" s="6" t="s">
        <v>262</v>
      </c>
      <c r="B256" s="7">
        <v>0</v>
      </c>
      <c r="C256" s="8">
        <f>IFERROR(B256/B327, "NA")</f>
        <v>0</v>
      </c>
      <c r="D256" s="9"/>
      <c r="E256" s="7">
        <v>0</v>
      </c>
      <c r="F256" s="8">
        <f>IFERROR(E256/E327, "NA")</f>
        <v>0</v>
      </c>
      <c r="G256" s="9"/>
      <c r="H256" s="7">
        <v>0</v>
      </c>
      <c r="I256" s="8">
        <f>IFERROR(H256/H327, "NA")</f>
        <v>0</v>
      </c>
      <c r="J256" s="9"/>
      <c r="K256" s="7">
        <v>0</v>
      </c>
      <c r="L256" s="8">
        <f>IFERROR(K256/K327, "NA")</f>
        <v>0</v>
      </c>
      <c r="M256" s="9"/>
      <c r="N256" s="7">
        <v>0</v>
      </c>
      <c r="O256" s="8">
        <f>IFERROR(N256/N327, "NA")</f>
        <v>0</v>
      </c>
      <c r="P256" s="9"/>
      <c r="Q256" s="7">
        <v>0</v>
      </c>
      <c r="R256" s="8">
        <f>IFERROR(Q256/Q327, "NA")</f>
        <v>0</v>
      </c>
      <c r="S256" s="9"/>
      <c r="T256" s="7">
        <v>0</v>
      </c>
      <c r="U256" s="8">
        <f>IFERROR(T256/T327, "NA")</f>
        <v>0</v>
      </c>
      <c r="V256" s="9"/>
      <c r="W256" s="7">
        <v>0</v>
      </c>
      <c r="X256" s="8">
        <f>IFERROR(W256/W327, "NA")</f>
        <v>0</v>
      </c>
    </row>
    <row r="257" spans="1:24" ht="16.5" customHeight="1" x14ac:dyDescent="0.25">
      <c r="A257" s="6" t="s">
        <v>263</v>
      </c>
      <c r="B257" s="7">
        <v>0</v>
      </c>
      <c r="C257" s="8">
        <f>IFERROR(B257/B327, "NA")</f>
        <v>0</v>
      </c>
      <c r="D257" s="9"/>
      <c r="E257" s="7">
        <v>0</v>
      </c>
      <c r="F257" s="8">
        <f>IFERROR(E257/E327, "NA")</f>
        <v>0</v>
      </c>
      <c r="G257" s="9"/>
      <c r="H257" s="7">
        <v>0</v>
      </c>
      <c r="I257" s="8">
        <f>IFERROR(H257/H327, "NA")</f>
        <v>0</v>
      </c>
      <c r="J257" s="9"/>
      <c r="K257" s="7">
        <v>0</v>
      </c>
      <c r="L257" s="8">
        <f>IFERROR(K257/K327, "NA")</f>
        <v>0</v>
      </c>
      <c r="M257" s="9"/>
      <c r="N257" s="7">
        <v>0</v>
      </c>
      <c r="O257" s="8">
        <f>IFERROR(N257/N327, "NA")</f>
        <v>0</v>
      </c>
      <c r="P257" s="9"/>
      <c r="Q257" s="7">
        <v>0</v>
      </c>
      <c r="R257" s="8">
        <f>IFERROR(Q257/Q327, "NA")</f>
        <v>0</v>
      </c>
      <c r="S257" s="9"/>
      <c r="T257" s="7">
        <v>0</v>
      </c>
      <c r="U257" s="8">
        <f>IFERROR(T257/T327, "NA")</f>
        <v>0</v>
      </c>
      <c r="V257" s="9"/>
      <c r="W257" s="7">
        <v>0</v>
      </c>
      <c r="X257" s="8">
        <f>IFERROR(W257/W327, "NA")</f>
        <v>0</v>
      </c>
    </row>
    <row r="258" spans="1:24" ht="16.5" customHeight="1" x14ac:dyDescent="0.25">
      <c r="A258" s="6" t="s">
        <v>264</v>
      </c>
      <c r="B258" s="7">
        <v>0</v>
      </c>
      <c r="C258" s="8">
        <f>IFERROR(B258/B327, "NA")</f>
        <v>0</v>
      </c>
      <c r="D258" s="9"/>
      <c r="E258" s="7">
        <v>0</v>
      </c>
      <c r="F258" s="8">
        <f>IFERROR(E258/E327, "NA")</f>
        <v>0</v>
      </c>
      <c r="G258" s="9"/>
      <c r="H258" s="7">
        <v>0</v>
      </c>
      <c r="I258" s="8">
        <f>IFERROR(H258/H327, "NA")</f>
        <v>0</v>
      </c>
      <c r="J258" s="9"/>
      <c r="K258" s="7">
        <v>0</v>
      </c>
      <c r="L258" s="8">
        <f>IFERROR(K258/K327, "NA")</f>
        <v>0</v>
      </c>
      <c r="M258" s="9"/>
      <c r="N258" s="7">
        <v>0</v>
      </c>
      <c r="O258" s="8">
        <f>IFERROR(N258/N327, "NA")</f>
        <v>0</v>
      </c>
      <c r="P258" s="9"/>
      <c r="Q258" s="7">
        <v>0</v>
      </c>
      <c r="R258" s="8">
        <f>IFERROR(Q258/Q327, "NA")</f>
        <v>0</v>
      </c>
      <c r="S258" s="9"/>
      <c r="T258" s="7">
        <v>0</v>
      </c>
      <c r="U258" s="8">
        <f>IFERROR(T258/T327, "NA")</f>
        <v>0</v>
      </c>
      <c r="V258" s="9"/>
      <c r="W258" s="7">
        <v>0</v>
      </c>
      <c r="X258" s="8">
        <f>IFERROR(W258/W327, "NA")</f>
        <v>0</v>
      </c>
    </row>
    <row r="259" spans="1:24" ht="16.5" customHeight="1" x14ac:dyDescent="0.25">
      <c r="A259" s="6" t="s">
        <v>265</v>
      </c>
      <c r="B259" s="7">
        <v>0</v>
      </c>
      <c r="C259" s="8">
        <f>IFERROR(B259/B327, "NA")</f>
        <v>0</v>
      </c>
      <c r="D259" s="9"/>
      <c r="E259" s="7">
        <v>0</v>
      </c>
      <c r="F259" s="8">
        <f>IFERROR(E259/E327, "NA")</f>
        <v>0</v>
      </c>
      <c r="G259" s="9"/>
      <c r="H259" s="7">
        <v>0</v>
      </c>
      <c r="I259" s="8">
        <f>IFERROR(H259/H327, "NA")</f>
        <v>0</v>
      </c>
      <c r="J259" s="9"/>
      <c r="K259" s="7">
        <v>0</v>
      </c>
      <c r="L259" s="8">
        <f>IFERROR(K259/K327, "NA")</f>
        <v>0</v>
      </c>
      <c r="M259" s="9"/>
      <c r="N259" s="7">
        <v>0</v>
      </c>
      <c r="O259" s="8">
        <f>IFERROR(N259/N327, "NA")</f>
        <v>0</v>
      </c>
      <c r="P259" s="9"/>
      <c r="Q259" s="7">
        <v>0</v>
      </c>
      <c r="R259" s="8">
        <f>IFERROR(Q259/Q327, "NA")</f>
        <v>0</v>
      </c>
      <c r="S259" s="9"/>
      <c r="T259" s="7">
        <v>0</v>
      </c>
      <c r="U259" s="8">
        <f>IFERROR(T259/T327, "NA")</f>
        <v>0</v>
      </c>
      <c r="V259" s="9"/>
      <c r="W259" s="7">
        <v>0</v>
      </c>
      <c r="X259" s="8">
        <f>IFERROR(W259/W327, "NA")</f>
        <v>0</v>
      </c>
    </row>
    <row r="260" spans="1:24" ht="16.5" customHeight="1" x14ac:dyDescent="0.25">
      <c r="A260" s="6" t="s">
        <v>266</v>
      </c>
      <c r="B260" s="7">
        <v>0</v>
      </c>
      <c r="C260" s="8">
        <f>IFERROR(B260/B327, "NA")</f>
        <v>0</v>
      </c>
      <c r="D260" s="9"/>
      <c r="E260" s="7">
        <v>0</v>
      </c>
      <c r="F260" s="8">
        <f>IFERROR(E260/E327, "NA")</f>
        <v>0</v>
      </c>
      <c r="G260" s="9"/>
      <c r="H260" s="7">
        <v>0</v>
      </c>
      <c r="I260" s="8">
        <f>IFERROR(H260/H327, "NA")</f>
        <v>0</v>
      </c>
      <c r="J260" s="9"/>
      <c r="K260" s="7">
        <v>0</v>
      </c>
      <c r="L260" s="8">
        <f>IFERROR(K260/K327, "NA")</f>
        <v>0</v>
      </c>
      <c r="M260" s="9"/>
      <c r="N260" s="7">
        <v>0</v>
      </c>
      <c r="O260" s="8">
        <f>IFERROR(N260/N327, "NA")</f>
        <v>0</v>
      </c>
      <c r="P260" s="9"/>
      <c r="Q260" s="7">
        <v>0</v>
      </c>
      <c r="R260" s="8">
        <f>IFERROR(Q260/Q327, "NA")</f>
        <v>0</v>
      </c>
      <c r="S260" s="9"/>
      <c r="T260" s="7">
        <v>0</v>
      </c>
      <c r="U260" s="8">
        <f>IFERROR(T260/T327, "NA")</f>
        <v>0</v>
      </c>
      <c r="V260" s="9"/>
      <c r="W260" s="7">
        <v>0</v>
      </c>
      <c r="X260" s="8">
        <f>IFERROR(W260/W327, "NA")</f>
        <v>0</v>
      </c>
    </row>
    <row r="261" spans="1:24" ht="16.5" customHeight="1" x14ac:dyDescent="0.25">
      <c r="A261" s="6" t="s">
        <v>267</v>
      </c>
      <c r="B261" s="7">
        <v>34758.910000000003</v>
      </c>
      <c r="C261" s="8">
        <f>IFERROR(B261/B327, "NA")</f>
        <v>9.850103977682298E-2</v>
      </c>
      <c r="D261" s="9"/>
      <c r="E261" s="7">
        <v>0</v>
      </c>
      <c r="F261" s="8">
        <f>IFERROR(E261/E327, "NA")</f>
        <v>0</v>
      </c>
      <c r="G261" s="9"/>
      <c r="H261" s="7">
        <v>0</v>
      </c>
      <c r="I261" s="8">
        <f>IFERROR(H261/H327, "NA")</f>
        <v>0</v>
      </c>
      <c r="J261" s="9"/>
      <c r="K261" s="7">
        <v>0</v>
      </c>
      <c r="L261" s="8">
        <f>IFERROR(K261/K327, "NA")</f>
        <v>0</v>
      </c>
      <c r="M261" s="9"/>
      <c r="N261" s="7">
        <v>34838.36</v>
      </c>
      <c r="O261" s="8">
        <f>IFERROR(N261/N327, "NA")</f>
        <v>0.27758083448360044</v>
      </c>
      <c r="P261" s="9"/>
      <c r="Q261" s="7">
        <v>0</v>
      </c>
      <c r="R261" s="8">
        <f>IFERROR(Q261/Q327, "NA")</f>
        <v>0</v>
      </c>
      <c r="S261" s="9"/>
      <c r="T261" s="7">
        <v>0</v>
      </c>
      <c r="U261" s="8">
        <f>IFERROR(T261/T327, "NA")</f>
        <v>0</v>
      </c>
      <c r="V261" s="9"/>
      <c r="W261" s="7">
        <v>0</v>
      </c>
      <c r="X261" s="8">
        <f>IFERROR(W261/W327, "NA")</f>
        <v>0</v>
      </c>
    </row>
    <row r="262" spans="1:24" ht="16.5" customHeight="1" x14ac:dyDescent="0.25">
      <c r="A262" s="6" t="s">
        <v>268</v>
      </c>
      <c r="B262" s="7">
        <v>2728.08</v>
      </c>
      <c r="C262" s="8">
        <f>IFERROR(B262/B327, "NA")</f>
        <v>7.7309304749301755E-3</v>
      </c>
      <c r="D262" s="9"/>
      <c r="E262" s="7">
        <v>0</v>
      </c>
      <c r="F262" s="8">
        <f>IFERROR(E262/E327, "NA")</f>
        <v>0</v>
      </c>
      <c r="G262" s="9"/>
      <c r="H262" s="7">
        <v>0</v>
      </c>
      <c r="I262" s="8">
        <f>IFERROR(H262/H327, "NA")</f>
        <v>0</v>
      </c>
      <c r="J262" s="9"/>
      <c r="K262" s="7">
        <v>0</v>
      </c>
      <c r="L262" s="8">
        <f>IFERROR(K262/K327, "NA")</f>
        <v>0</v>
      </c>
      <c r="M262" s="9"/>
      <c r="N262" s="7">
        <v>2648.64</v>
      </c>
      <c r="O262" s="8">
        <f>IFERROR(N262/N327, "NA")</f>
        <v>2.1103510654538374E-2</v>
      </c>
      <c r="P262" s="9"/>
      <c r="Q262" s="7">
        <v>0</v>
      </c>
      <c r="R262" s="8">
        <f>IFERROR(Q262/Q327, "NA")</f>
        <v>0</v>
      </c>
      <c r="S262" s="9"/>
      <c r="T262" s="7">
        <v>0</v>
      </c>
      <c r="U262" s="8">
        <f>IFERROR(T262/T327, "NA")</f>
        <v>0</v>
      </c>
      <c r="V262" s="9"/>
      <c r="W262" s="7">
        <v>0</v>
      </c>
      <c r="X262" s="8">
        <f>IFERROR(W262/W327, "NA")</f>
        <v>0</v>
      </c>
    </row>
    <row r="263" spans="1:24" ht="16.5" customHeight="1" x14ac:dyDescent="0.25">
      <c r="A263" s="10" t="s">
        <v>269</v>
      </c>
      <c r="B263" s="11">
        <f>IFERROR(B254+B255+B256+B257+B258+B259+B260+B261+B262, "NA")</f>
        <v>37486.990000000005</v>
      </c>
      <c r="C263" s="12">
        <f>IFERROR(B263/B327, "NA")</f>
        <v>0.10623197025175317</v>
      </c>
      <c r="D263" s="2"/>
      <c r="E263" s="11">
        <f>IFERROR(E254+E255+E256+E257+E258+E259+E260+E261+E262, "NA")</f>
        <v>0</v>
      </c>
      <c r="F263" s="12">
        <f>IFERROR(E263/E327, "NA")</f>
        <v>0</v>
      </c>
      <c r="G263" s="2"/>
      <c r="H263" s="11">
        <f>IFERROR(H254+H255+H256+H257+H258+H259+H260+H261+H262, "NA")</f>
        <v>0</v>
      </c>
      <c r="I263" s="12">
        <f>IFERROR(H263/H327, "NA")</f>
        <v>0</v>
      </c>
      <c r="J263" s="2"/>
      <c r="K263" s="11">
        <f>IFERROR(K254+K255+K256+K257+K258+K259+K260+K261+K262, "NA")</f>
        <v>0</v>
      </c>
      <c r="L263" s="12">
        <f>IFERROR(K263/K327, "NA")</f>
        <v>0</v>
      </c>
      <c r="M263" s="2"/>
      <c r="N263" s="11">
        <f>IFERROR(N254+N255+N256+N257+N258+N259+N260+N261+N262, "NA")</f>
        <v>37487</v>
      </c>
      <c r="O263" s="12">
        <f>IFERROR(N263/N327, "NA")</f>
        <v>0.2986843451381388</v>
      </c>
      <c r="P263" s="2"/>
      <c r="Q263" s="11">
        <f>IFERROR(Q254+Q255+Q256+Q257+Q258+Q259+Q260+Q261+Q262, "NA")</f>
        <v>0</v>
      </c>
      <c r="R263" s="12">
        <f>IFERROR(Q263/Q327, "NA")</f>
        <v>0</v>
      </c>
      <c r="S263" s="2"/>
      <c r="T263" s="11">
        <f>IFERROR(T254+T255+T256+T257+T258+T259+T260+T261+T262, "NA")</f>
        <v>0</v>
      </c>
      <c r="U263" s="12">
        <f>IFERROR(T263/T327, "NA")</f>
        <v>0</v>
      </c>
      <c r="V263" s="2"/>
      <c r="W263" s="11">
        <f>IFERROR(W254+W255+W256+W257+W258+W259+W260+W261+W262, "NA")</f>
        <v>0</v>
      </c>
      <c r="X263" s="12">
        <f>IFERROR(W263/W327, "NA")</f>
        <v>0</v>
      </c>
    </row>
    <row r="264" spans="1:24" ht="16.5" customHeight="1" x14ac:dyDescent="0.25">
      <c r="A264" s="5" t="s">
        <v>270</v>
      </c>
      <c r="B264" s="2"/>
      <c r="C264" s="3"/>
      <c r="D264" s="4"/>
      <c r="E264" s="2"/>
      <c r="F264" s="3"/>
      <c r="G264" s="4"/>
      <c r="H264" s="2"/>
      <c r="I264" s="3"/>
      <c r="J264" s="4"/>
      <c r="K264" s="2"/>
      <c r="L264" s="3"/>
      <c r="M264" s="4"/>
      <c r="N264" s="2"/>
      <c r="O264" s="3"/>
      <c r="P264" s="4"/>
      <c r="Q264" s="2"/>
      <c r="R264" s="3"/>
      <c r="S264" s="4"/>
      <c r="T264" s="2"/>
      <c r="U264" s="3"/>
      <c r="V264" s="4"/>
      <c r="W264" s="2"/>
      <c r="X264" s="3"/>
    </row>
    <row r="265" spans="1:24" ht="16.5" customHeight="1" x14ac:dyDescent="0.25">
      <c r="A265" s="6" t="s">
        <v>271</v>
      </c>
      <c r="B265" s="7">
        <v>0</v>
      </c>
      <c r="C265" s="8">
        <f>IFERROR(B265/B327, "NA")</f>
        <v>0</v>
      </c>
      <c r="D265" s="9"/>
      <c r="E265" s="7">
        <v>0</v>
      </c>
      <c r="F265" s="8">
        <f>IFERROR(E265/E327, "NA")</f>
        <v>0</v>
      </c>
      <c r="G265" s="9"/>
      <c r="H265" s="7">
        <v>0</v>
      </c>
      <c r="I265" s="8">
        <f>IFERROR(H265/H327, "NA")</f>
        <v>0</v>
      </c>
      <c r="J265" s="9"/>
      <c r="K265" s="7">
        <v>0</v>
      </c>
      <c r="L265" s="8">
        <f>IFERROR(K265/K327, "NA")</f>
        <v>0</v>
      </c>
      <c r="M265" s="9"/>
      <c r="N265" s="7">
        <v>0</v>
      </c>
      <c r="O265" s="8">
        <f>IFERROR(N265/N327, "NA")</f>
        <v>0</v>
      </c>
      <c r="P265" s="9"/>
      <c r="Q265" s="7">
        <v>0</v>
      </c>
      <c r="R265" s="8">
        <f>IFERROR(Q265/Q327, "NA")</f>
        <v>0</v>
      </c>
      <c r="S265" s="9"/>
      <c r="T265" s="7">
        <v>0</v>
      </c>
      <c r="U265" s="8">
        <f>IFERROR(T265/T327, "NA")</f>
        <v>0</v>
      </c>
      <c r="V265" s="9"/>
      <c r="W265" s="7">
        <v>0</v>
      </c>
      <c r="X265" s="8">
        <f>IFERROR(W265/W327, "NA")</f>
        <v>0</v>
      </c>
    </row>
    <row r="266" spans="1:24" ht="16.5" customHeight="1" x14ac:dyDescent="0.25">
      <c r="A266" s="6" t="s">
        <v>272</v>
      </c>
      <c r="B266" s="7">
        <v>0</v>
      </c>
      <c r="C266" s="8">
        <f>IFERROR(B266/B327, "NA")</f>
        <v>0</v>
      </c>
      <c r="D266" s="9"/>
      <c r="E266" s="7">
        <v>0</v>
      </c>
      <c r="F266" s="8">
        <f>IFERROR(E266/E327, "NA")</f>
        <v>0</v>
      </c>
      <c r="G266" s="9"/>
      <c r="H266" s="7">
        <v>0</v>
      </c>
      <c r="I266" s="8">
        <f>IFERROR(H266/H327, "NA")</f>
        <v>0</v>
      </c>
      <c r="J266" s="9"/>
      <c r="K266" s="7">
        <v>0</v>
      </c>
      <c r="L266" s="8">
        <f>IFERROR(K266/K327, "NA")</f>
        <v>0</v>
      </c>
      <c r="M266" s="9"/>
      <c r="N266" s="7">
        <v>0</v>
      </c>
      <c r="O266" s="8">
        <f>IFERROR(N266/N327, "NA")</f>
        <v>0</v>
      </c>
      <c r="P266" s="9"/>
      <c r="Q266" s="7">
        <v>0</v>
      </c>
      <c r="R266" s="8">
        <f>IFERROR(Q266/Q327, "NA")</f>
        <v>0</v>
      </c>
      <c r="S266" s="9"/>
      <c r="T266" s="7">
        <v>0</v>
      </c>
      <c r="U266" s="8">
        <f>IFERROR(T266/T327, "NA")</f>
        <v>0</v>
      </c>
      <c r="V266" s="9"/>
      <c r="W266" s="7">
        <v>0</v>
      </c>
      <c r="X266" s="8">
        <f>IFERROR(W266/W327, "NA")</f>
        <v>0</v>
      </c>
    </row>
    <row r="267" spans="1:24" ht="16.5" customHeight="1" x14ac:dyDescent="0.25">
      <c r="A267" s="6" t="s">
        <v>273</v>
      </c>
      <c r="B267" s="7">
        <v>0</v>
      </c>
      <c r="C267" s="8">
        <f>IFERROR(B267/B327, "NA")</f>
        <v>0</v>
      </c>
      <c r="D267" s="9"/>
      <c r="E267" s="7">
        <v>0</v>
      </c>
      <c r="F267" s="8">
        <f>IFERROR(E267/E327, "NA")</f>
        <v>0</v>
      </c>
      <c r="G267" s="9"/>
      <c r="H267" s="7">
        <v>0</v>
      </c>
      <c r="I267" s="8">
        <f>IFERROR(H267/H327, "NA")</f>
        <v>0</v>
      </c>
      <c r="J267" s="9"/>
      <c r="K267" s="7">
        <v>0</v>
      </c>
      <c r="L267" s="8">
        <f>IFERROR(K267/K327, "NA")</f>
        <v>0</v>
      </c>
      <c r="M267" s="9"/>
      <c r="N267" s="7">
        <v>0</v>
      </c>
      <c r="O267" s="8">
        <f>IFERROR(N267/N327, "NA")</f>
        <v>0</v>
      </c>
      <c r="P267" s="9"/>
      <c r="Q267" s="7">
        <v>0</v>
      </c>
      <c r="R267" s="8">
        <f>IFERROR(Q267/Q327, "NA")</f>
        <v>0</v>
      </c>
      <c r="S267" s="9"/>
      <c r="T267" s="7">
        <v>0</v>
      </c>
      <c r="U267" s="8">
        <f>IFERROR(T267/T327, "NA")</f>
        <v>0</v>
      </c>
      <c r="V267" s="9"/>
      <c r="W267" s="7">
        <v>0</v>
      </c>
      <c r="X267" s="8">
        <f>IFERROR(W267/W327, "NA")</f>
        <v>0</v>
      </c>
    </row>
    <row r="268" spans="1:24" ht="16.5" customHeight="1" x14ac:dyDescent="0.25">
      <c r="A268" s="6" t="s">
        <v>274</v>
      </c>
      <c r="B268" s="7">
        <v>-16.010000000000002</v>
      </c>
      <c r="C268" s="8">
        <f>IFERROR(B268/B327, "NA")</f>
        <v>-4.5369709430673629E-5</v>
      </c>
      <c r="D268" s="9"/>
      <c r="E268" s="7">
        <v>-59.99</v>
      </c>
      <c r="F268" s="8">
        <f>IFERROR(E268/E327, "NA")</f>
        <v>-3.9928510727118221E-4</v>
      </c>
      <c r="G268" s="9"/>
      <c r="H268" s="7">
        <v>0</v>
      </c>
      <c r="I268" s="8">
        <f>IFERROR(H268/H327, "NA")</f>
        <v>0</v>
      </c>
      <c r="J268" s="9"/>
      <c r="K268" s="7">
        <v>0</v>
      </c>
      <c r="L268" s="8">
        <f>IFERROR(K268/K327, "NA")</f>
        <v>0</v>
      </c>
      <c r="M268" s="9"/>
      <c r="N268" s="7">
        <v>0</v>
      </c>
      <c r="O268" s="8">
        <f>IFERROR(N268/N327, "NA")</f>
        <v>0</v>
      </c>
      <c r="P268" s="9"/>
      <c r="Q268" s="7">
        <v>-60</v>
      </c>
      <c r="R268" s="8">
        <f>IFERROR(Q268/Q327, "NA")</f>
        <v>-7.5282308657465501E-4</v>
      </c>
      <c r="S268" s="9"/>
      <c r="T268" s="7">
        <v>0</v>
      </c>
      <c r="U268" s="8">
        <f>IFERROR(T268/T327, "NA")</f>
        <v>0</v>
      </c>
      <c r="V268" s="9"/>
      <c r="W268" s="7">
        <v>0</v>
      </c>
      <c r="X268" s="8">
        <f>IFERROR(W268/W327, "NA")</f>
        <v>0</v>
      </c>
    </row>
    <row r="269" spans="1:24" ht="16.5" customHeight="1" x14ac:dyDescent="0.25">
      <c r="A269" s="6" t="s">
        <v>275</v>
      </c>
      <c r="B269" s="7">
        <v>0</v>
      </c>
      <c r="C269" s="8">
        <f>IFERROR(B269/B327, "NA")</f>
        <v>0</v>
      </c>
      <c r="D269" s="9"/>
      <c r="E269" s="7">
        <v>0</v>
      </c>
      <c r="F269" s="8">
        <f>IFERROR(E269/E327, "NA")</f>
        <v>0</v>
      </c>
      <c r="G269" s="9"/>
      <c r="H269" s="7">
        <v>0</v>
      </c>
      <c r="I269" s="8">
        <f>IFERROR(H269/H327, "NA")</f>
        <v>0</v>
      </c>
      <c r="J269" s="9"/>
      <c r="K269" s="7">
        <v>0</v>
      </c>
      <c r="L269" s="8">
        <f>IFERROR(K269/K327, "NA")</f>
        <v>0</v>
      </c>
      <c r="M269" s="9"/>
      <c r="N269" s="7">
        <v>0</v>
      </c>
      <c r="O269" s="8">
        <f>IFERROR(N269/N327, "NA")</f>
        <v>0</v>
      </c>
      <c r="P269" s="9"/>
      <c r="Q269" s="7">
        <v>0</v>
      </c>
      <c r="R269" s="8">
        <f>IFERROR(Q269/Q327, "NA")</f>
        <v>0</v>
      </c>
      <c r="S269" s="9"/>
      <c r="T269" s="7">
        <v>0</v>
      </c>
      <c r="U269" s="8">
        <f>IFERROR(T269/T327, "NA")</f>
        <v>0</v>
      </c>
      <c r="V269" s="9"/>
      <c r="W269" s="7">
        <v>0</v>
      </c>
      <c r="X269" s="8">
        <f>IFERROR(W269/W327, "NA")</f>
        <v>0</v>
      </c>
    </row>
    <row r="270" spans="1:24" ht="16.5" customHeight="1" x14ac:dyDescent="0.25">
      <c r="A270" s="6" t="s">
        <v>276</v>
      </c>
      <c r="B270" s="7">
        <v>0</v>
      </c>
      <c r="C270" s="8">
        <f>IFERROR(B270/B327, "NA")</f>
        <v>0</v>
      </c>
      <c r="D270" s="9"/>
      <c r="E270" s="7">
        <v>0</v>
      </c>
      <c r="F270" s="8">
        <f>IFERROR(E270/E327, "NA")</f>
        <v>0</v>
      </c>
      <c r="G270" s="9"/>
      <c r="H270" s="7">
        <v>0</v>
      </c>
      <c r="I270" s="8">
        <f>IFERROR(H270/H327, "NA")</f>
        <v>0</v>
      </c>
      <c r="J270" s="9"/>
      <c r="K270" s="7">
        <v>0</v>
      </c>
      <c r="L270" s="8">
        <f>IFERROR(K270/K327, "NA")</f>
        <v>0</v>
      </c>
      <c r="M270" s="9"/>
      <c r="N270" s="7">
        <v>0</v>
      </c>
      <c r="O270" s="8">
        <f>IFERROR(N270/N327, "NA")</f>
        <v>0</v>
      </c>
      <c r="P270" s="9"/>
      <c r="Q270" s="7">
        <v>0</v>
      </c>
      <c r="R270" s="8">
        <f>IFERROR(Q270/Q327, "NA")</f>
        <v>0</v>
      </c>
      <c r="S270" s="9"/>
      <c r="T270" s="7">
        <v>0</v>
      </c>
      <c r="U270" s="8">
        <f>IFERROR(T270/T327, "NA")</f>
        <v>0</v>
      </c>
      <c r="V270" s="9"/>
      <c r="W270" s="7">
        <v>0</v>
      </c>
      <c r="X270" s="8">
        <f>IFERROR(W270/W327, "NA")</f>
        <v>0</v>
      </c>
    </row>
    <row r="271" spans="1:24" ht="16.5" customHeight="1" x14ac:dyDescent="0.25">
      <c r="A271" s="6" t="s">
        <v>277</v>
      </c>
      <c r="B271" s="7">
        <v>0</v>
      </c>
      <c r="C271" s="8">
        <f>IFERROR(B271/B327, "NA")</f>
        <v>0</v>
      </c>
      <c r="D271" s="9"/>
      <c r="E271" s="7">
        <v>0</v>
      </c>
      <c r="F271" s="8">
        <f>IFERROR(E271/E327, "NA")</f>
        <v>0</v>
      </c>
      <c r="G271" s="9"/>
      <c r="H271" s="7">
        <v>0</v>
      </c>
      <c r="I271" s="8">
        <f>IFERROR(H271/H327, "NA")</f>
        <v>0</v>
      </c>
      <c r="J271" s="9"/>
      <c r="K271" s="7">
        <v>0</v>
      </c>
      <c r="L271" s="8">
        <f>IFERROR(K271/K327, "NA")</f>
        <v>0</v>
      </c>
      <c r="M271" s="9"/>
      <c r="N271" s="7">
        <v>0</v>
      </c>
      <c r="O271" s="8">
        <f>IFERROR(N271/N327, "NA")</f>
        <v>0</v>
      </c>
      <c r="P271" s="9"/>
      <c r="Q271" s="7">
        <v>0</v>
      </c>
      <c r="R271" s="8">
        <f>IFERROR(Q271/Q327, "NA")</f>
        <v>0</v>
      </c>
      <c r="S271" s="9"/>
      <c r="T271" s="7">
        <v>0</v>
      </c>
      <c r="U271" s="8">
        <f>IFERROR(T271/T327, "NA")</f>
        <v>0</v>
      </c>
      <c r="V271" s="9"/>
      <c r="W271" s="7">
        <v>0</v>
      </c>
      <c r="X271" s="8">
        <f>IFERROR(W271/W327, "NA")</f>
        <v>0</v>
      </c>
    </row>
    <row r="272" spans="1:24" ht="16.5" customHeight="1" x14ac:dyDescent="0.25">
      <c r="A272" s="6" t="s">
        <v>278</v>
      </c>
      <c r="B272" s="7">
        <v>0</v>
      </c>
      <c r="C272" s="8">
        <f>IFERROR(B272/B327, "NA")</f>
        <v>0</v>
      </c>
      <c r="D272" s="9"/>
      <c r="E272" s="7">
        <v>0</v>
      </c>
      <c r="F272" s="8">
        <f>IFERROR(E272/E327, "NA")</f>
        <v>0</v>
      </c>
      <c r="G272" s="9"/>
      <c r="H272" s="7">
        <v>0</v>
      </c>
      <c r="I272" s="8">
        <f>IFERROR(H272/H327, "NA")</f>
        <v>0</v>
      </c>
      <c r="J272" s="9"/>
      <c r="K272" s="7">
        <v>0</v>
      </c>
      <c r="L272" s="8">
        <f>IFERROR(K272/K327, "NA")</f>
        <v>0</v>
      </c>
      <c r="M272" s="9"/>
      <c r="N272" s="7">
        <v>0</v>
      </c>
      <c r="O272" s="8">
        <f>IFERROR(N272/N327, "NA")</f>
        <v>0</v>
      </c>
      <c r="P272" s="9"/>
      <c r="Q272" s="7">
        <v>0</v>
      </c>
      <c r="R272" s="8">
        <f>IFERROR(Q272/Q327, "NA")</f>
        <v>0</v>
      </c>
      <c r="S272" s="9"/>
      <c r="T272" s="7">
        <v>0</v>
      </c>
      <c r="U272" s="8">
        <f>IFERROR(T272/T327, "NA")</f>
        <v>0</v>
      </c>
      <c r="V272" s="9"/>
      <c r="W272" s="7">
        <v>0</v>
      </c>
      <c r="X272" s="8">
        <f>IFERROR(W272/W327, "NA")</f>
        <v>0</v>
      </c>
    </row>
    <row r="273" spans="1:24" ht="16.5" customHeight="1" x14ac:dyDescent="0.25">
      <c r="A273" s="6" t="s">
        <v>279</v>
      </c>
      <c r="B273" s="7">
        <v>0</v>
      </c>
      <c r="C273" s="8">
        <f>IFERROR(B273/B327, "NA")</f>
        <v>0</v>
      </c>
      <c r="D273" s="9"/>
      <c r="E273" s="7">
        <v>0</v>
      </c>
      <c r="F273" s="8">
        <f>IFERROR(E273/E327, "NA")</f>
        <v>0</v>
      </c>
      <c r="G273" s="9"/>
      <c r="H273" s="7">
        <v>0</v>
      </c>
      <c r="I273" s="8">
        <f>IFERROR(H273/H327, "NA")</f>
        <v>0</v>
      </c>
      <c r="J273" s="9"/>
      <c r="K273" s="7">
        <v>0</v>
      </c>
      <c r="L273" s="8">
        <f>IFERROR(K273/K327, "NA")</f>
        <v>0</v>
      </c>
      <c r="M273" s="9"/>
      <c r="N273" s="7">
        <v>0</v>
      </c>
      <c r="O273" s="8">
        <f>IFERROR(N273/N327, "NA")</f>
        <v>0</v>
      </c>
      <c r="P273" s="9"/>
      <c r="Q273" s="7">
        <v>0</v>
      </c>
      <c r="R273" s="8">
        <f>IFERROR(Q273/Q327, "NA")</f>
        <v>0</v>
      </c>
      <c r="S273" s="9"/>
      <c r="T273" s="7">
        <v>0</v>
      </c>
      <c r="U273" s="8">
        <f>IFERROR(T273/T327, "NA")</f>
        <v>0</v>
      </c>
      <c r="V273" s="9"/>
      <c r="W273" s="7">
        <v>0</v>
      </c>
      <c r="X273" s="8">
        <f>IFERROR(W273/W327, "NA")</f>
        <v>0</v>
      </c>
    </row>
    <row r="274" spans="1:24" ht="16.5" customHeight="1" x14ac:dyDescent="0.25">
      <c r="A274" s="6" t="s">
        <v>280</v>
      </c>
      <c r="B274" s="7">
        <v>0</v>
      </c>
      <c r="C274" s="8">
        <f>IFERROR(B274/B327, "NA")</f>
        <v>0</v>
      </c>
      <c r="D274" s="9"/>
      <c r="E274" s="7">
        <v>0</v>
      </c>
      <c r="F274" s="8">
        <f>IFERROR(E274/E327, "NA")</f>
        <v>0</v>
      </c>
      <c r="G274" s="9"/>
      <c r="H274" s="7">
        <v>0</v>
      </c>
      <c r="I274" s="8">
        <f>IFERROR(H274/H327, "NA")</f>
        <v>0</v>
      </c>
      <c r="J274" s="9"/>
      <c r="K274" s="7">
        <v>0</v>
      </c>
      <c r="L274" s="8">
        <f>IFERROR(K274/K327, "NA")</f>
        <v>0</v>
      </c>
      <c r="M274" s="9"/>
      <c r="N274" s="7">
        <v>0</v>
      </c>
      <c r="O274" s="8">
        <f>IFERROR(N274/N327, "NA")</f>
        <v>0</v>
      </c>
      <c r="P274" s="9"/>
      <c r="Q274" s="7">
        <v>0</v>
      </c>
      <c r="R274" s="8">
        <f>IFERROR(Q274/Q327, "NA")</f>
        <v>0</v>
      </c>
      <c r="S274" s="9"/>
      <c r="T274" s="7">
        <v>0</v>
      </c>
      <c r="U274" s="8">
        <f>IFERROR(T274/T327, "NA")</f>
        <v>0</v>
      </c>
      <c r="V274" s="9"/>
      <c r="W274" s="7">
        <v>0</v>
      </c>
      <c r="X274" s="8">
        <f>IFERROR(W274/W327, "NA")</f>
        <v>0</v>
      </c>
    </row>
    <row r="275" spans="1:24" ht="16.5" customHeight="1" x14ac:dyDescent="0.25">
      <c r="A275" s="6" t="s">
        <v>281</v>
      </c>
      <c r="B275" s="7">
        <v>0</v>
      </c>
      <c r="C275" s="8">
        <f>IFERROR(B275/B327, "NA")</f>
        <v>0</v>
      </c>
      <c r="D275" s="9"/>
      <c r="E275" s="7">
        <v>0</v>
      </c>
      <c r="F275" s="8">
        <f>IFERROR(E275/E327, "NA")</f>
        <v>0</v>
      </c>
      <c r="G275" s="9"/>
      <c r="H275" s="7">
        <v>0</v>
      </c>
      <c r="I275" s="8">
        <f>IFERROR(H275/H327, "NA")</f>
        <v>0</v>
      </c>
      <c r="J275" s="9"/>
      <c r="K275" s="7">
        <v>0</v>
      </c>
      <c r="L275" s="8">
        <f>IFERROR(K275/K327, "NA")</f>
        <v>0</v>
      </c>
      <c r="M275" s="9"/>
      <c r="N275" s="7">
        <v>0</v>
      </c>
      <c r="O275" s="8">
        <f>IFERROR(N275/N327, "NA")</f>
        <v>0</v>
      </c>
      <c r="P275" s="9"/>
      <c r="Q275" s="7">
        <v>0</v>
      </c>
      <c r="R275" s="8">
        <f>IFERROR(Q275/Q327, "NA")</f>
        <v>0</v>
      </c>
      <c r="S275" s="9"/>
      <c r="T275" s="7">
        <v>0</v>
      </c>
      <c r="U275" s="8">
        <f>IFERROR(T275/T327, "NA")</f>
        <v>0</v>
      </c>
      <c r="V275" s="9"/>
      <c r="W275" s="7">
        <v>0</v>
      </c>
      <c r="X275" s="8">
        <f>IFERROR(W275/W327, "NA")</f>
        <v>0</v>
      </c>
    </row>
    <row r="276" spans="1:24" ht="16.5" customHeight="1" x14ac:dyDescent="0.25">
      <c r="A276" s="6" t="s">
        <v>282</v>
      </c>
      <c r="B276" s="7">
        <v>0</v>
      </c>
      <c r="C276" s="8">
        <f>IFERROR(B276/B327, "NA")</f>
        <v>0</v>
      </c>
      <c r="D276" s="9"/>
      <c r="E276" s="7">
        <v>0</v>
      </c>
      <c r="F276" s="8">
        <f>IFERROR(E276/E327, "NA")</f>
        <v>0</v>
      </c>
      <c r="G276" s="9"/>
      <c r="H276" s="7">
        <v>0</v>
      </c>
      <c r="I276" s="8">
        <f>IFERROR(H276/H327, "NA")</f>
        <v>0</v>
      </c>
      <c r="J276" s="9"/>
      <c r="K276" s="7">
        <v>0</v>
      </c>
      <c r="L276" s="8">
        <f>IFERROR(K276/K327, "NA")</f>
        <v>0</v>
      </c>
      <c r="M276" s="9"/>
      <c r="N276" s="7">
        <v>0</v>
      </c>
      <c r="O276" s="8">
        <f>IFERROR(N276/N327, "NA")</f>
        <v>0</v>
      </c>
      <c r="P276" s="9"/>
      <c r="Q276" s="7">
        <v>0</v>
      </c>
      <c r="R276" s="8">
        <f>IFERROR(Q276/Q327, "NA")</f>
        <v>0</v>
      </c>
      <c r="S276" s="9"/>
      <c r="T276" s="7">
        <v>0</v>
      </c>
      <c r="U276" s="8">
        <f>IFERROR(T276/T327, "NA")</f>
        <v>0</v>
      </c>
      <c r="V276" s="9"/>
      <c r="W276" s="7">
        <v>0</v>
      </c>
      <c r="X276" s="8">
        <f>IFERROR(W276/W327, "NA")</f>
        <v>0</v>
      </c>
    </row>
    <row r="277" spans="1:24" ht="16.5" customHeight="1" x14ac:dyDescent="0.25">
      <c r="A277" s="6" t="s">
        <v>283</v>
      </c>
      <c r="B277" s="7">
        <v>0</v>
      </c>
      <c r="C277" s="8">
        <f>IFERROR(B277/B327, "NA")</f>
        <v>0</v>
      </c>
      <c r="D277" s="9"/>
      <c r="E277" s="7">
        <v>0</v>
      </c>
      <c r="F277" s="8">
        <f>IFERROR(E277/E327, "NA")</f>
        <v>0</v>
      </c>
      <c r="G277" s="9"/>
      <c r="H277" s="7">
        <v>0</v>
      </c>
      <c r="I277" s="8">
        <f>IFERROR(H277/H327, "NA")</f>
        <v>0</v>
      </c>
      <c r="J277" s="9"/>
      <c r="K277" s="7">
        <v>0</v>
      </c>
      <c r="L277" s="8">
        <f>IFERROR(K277/K327, "NA")</f>
        <v>0</v>
      </c>
      <c r="M277" s="9"/>
      <c r="N277" s="7">
        <v>0</v>
      </c>
      <c r="O277" s="8">
        <f>IFERROR(N277/N327, "NA")</f>
        <v>0</v>
      </c>
      <c r="P277" s="9"/>
      <c r="Q277" s="7">
        <v>0</v>
      </c>
      <c r="R277" s="8">
        <f>IFERROR(Q277/Q327, "NA")</f>
        <v>0</v>
      </c>
      <c r="S277" s="9"/>
      <c r="T277" s="7">
        <v>0</v>
      </c>
      <c r="U277" s="8">
        <f>IFERROR(T277/T327, "NA")</f>
        <v>0</v>
      </c>
      <c r="V277" s="9"/>
      <c r="W277" s="7">
        <v>0</v>
      </c>
      <c r="X277" s="8">
        <f>IFERROR(W277/W327, "NA")</f>
        <v>0</v>
      </c>
    </row>
    <row r="278" spans="1:24" ht="16.5" customHeight="1" x14ac:dyDescent="0.25">
      <c r="A278" s="6" t="s">
        <v>284</v>
      </c>
      <c r="B278" s="7">
        <v>-8859.2099999999991</v>
      </c>
      <c r="C278" s="8">
        <f>IFERROR(B278/B327, "NA")</f>
        <v>-2.5105545501893697E-2</v>
      </c>
      <c r="D278" s="9"/>
      <c r="E278" s="7">
        <v>-5039.51</v>
      </c>
      <c r="F278" s="8">
        <f>IFERROR(E278/E327, "NA")</f>
        <v>-3.3542278562163616E-2</v>
      </c>
      <c r="G278" s="9"/>
      <c r="H278" s="7">
        <v>-8335.76</v>
      </c>
      <c r="I278" s="8">
        <f>IFERROR(H278/H327, "NA")</f>
        <v>-3.2973147234325338E-2</v>
      </c>
      <c r="J278" s="9"/>
      <c r="K278" s="7">
        <v>-4459.8999999999996</v>
      </c>
      <c r="L278" s="8">
        <f>IFERROR(K278/K327, "NA")</f>
        <v>-3.4111195660163185E-2</v>
      </c>
      <c r="M278" s="9"/>
      <c r="N278" s="7">
        <v>-2649.07</v>
      </c>
      <c r="O278" s="8">
        <f>IFERROR(N278/N327, "NA")</f>
        <v>-2.1106936756077825E-2</v>
      </c>
      <c r="P278" s="9"/>
      <c r="Q278" s="7">
        <v>-2941.32</v>
      </c>
      <c r="R278" s="8">
        <f>IFERROR(Q278/Q327, "NA")</f>
        <v>-3.6904893350062737E-2</v>
      </c>
      <c r="S278" s="9"/>
      <c r="T278" s="7">
        <v>-3104.61</v>
      </c>
      <c r="U278" s="8">
        <f>IFERROR(T278/T327, "NA")</f>
        <v>-3.5225499884836156E-2</v>
      </c>
      <c r="V278" s="9"/>
      <c r="W278" s="7">
        <v>-4929.5600000000004</v>
      </c>
      <c r="X278" s="8">
        <f>IFERROR(W278/W327, "NA")</f>
        <v>-3.354938662095739E-2</v>
      </c>
    </row>
    <row r="279" spans="1:24" ht="16.5" customHeight="1" x14ac:dyDescent="0.25">
      <c r="A279" s="6" t="s">
        <v>285</v>
      </c>
      <c r="B279" s="7">
        <v>0</v>
      </c>
      <c r="C279" s="8">
        <f>IFERROR(B279/B327, "NA")</f>
        <v>0</v>
      </c>
      <c r="D279" s="9"/>
      <c r="E279" s="7">
        <v>0</v>
      </c>
      <c r="F279" s="8">
        <f>IFERROR(E279/E327, "NA")</f>
        <v>0</v>
      </c>
      <c r="G279" s="9"/>
      <c r="H279" s="7">
        <v>0</v>
      </c>
      <c r="I279" s="8">
        <f>IFERROR(H279/H327, "NA")</f>
        <v>0</v>
      </c>
      <c r="J279" s="9"/>
      <c r="K279" s="7">
        <v>0</v>
      </c>
      <c r="L279" s="8">
        <f>IFERROR(K279/K327, "NA")</f>
        <v>0</v>
      </c>
      <c r="M279" s="9"/>
      <c r="N279" s="7">
        <v>0</v>
      </c>
      <c r="O279" s="8">
        <f>IFERROR(N279/N327, "NA")</f>
        <v>0</v>
      </c>
      <c r="P279" s="9"/>
      <c r="Q279" s="7">
        <v>0</v>
      </c>
      <c r="R279" s="8">
        <f>IFERROR(Q279/Q327, "NA")</f>
        <v>0</v>
      </c>
      <c r="S279" s="9"/>
      <c r="T279" s="7">
        <v>0</v>
      </c>
      <c r="U279" s="8">
        <f>IFERROR(T279/T327, "NA")</f>
        <v>0</v>
      </c>
      <c r="V279" s="9"/>
      <c r="W279" s="7">
        <v>0</v>
      </c>
      <c r="X279" s="8">
        <f>IFERROR(W279/W327, "NA")</f>
        <v>0</v>
      </c>
    </row>
    <row r="280" spans="1:24" ht="16.5" customHeight="1" x14ac:dyDescent="0.25">
      <c r="A280" s="6" t="s">
        <v>286</v>
      </c>
      <c r="B280" s="7">
        <v>0</v>
      </c>
      <c r="C280" s="8">
        <f>IFERROR(B280/B327, "NA")</f>
        <v>0</v>
      </c>
      <c r="D280" s="9"/>
      <c r="E280" s="7">
        <v>0</v>
      </c>
      <c r="F280" s="8">
        <f>IFERROR(E280/E327, "NA")</f>
        <v>0</v>
      </c>
      <c r="G280" s="9"/>
      <c r="H280" s="7">
        <v>0</v>
      </c>
      <c r="I280" s="8">
        <f>IFERROR(H280/H327, "NA")</f>
        <v>0</v>
      </c>
      <c r="J280" s="9"/>
      <c r="K280" s="7">
        <v>0</v>
      </c>
      <c r="L280" s="8">
        <f>IFERROR(K280/K327, "NA")</f>
        <v>0</v>
      </c>
      <c r="M280" s="9"/>
      <c r="N280" s="7">
        <v>0</v>
      </c>
      <c r="O280" s="8">
        <f>IFERROR(N280/N327, "NA")</f>
        <v>0</v>
      </c>
      <c r="P280" s="9"/>
      <c r="Q280" s="7">
        <v>0</v>
      </c>
      <c r="R280" s="8">
        <f>IFERROR(Q280/Q327, "NA")</f>
        <v>0</v>
      </c>
      <c r="S280" s="9"/>
      <c r="T280" s="7">
        <v>0</v>
      </c>
      <c r="U280" s="8">
        <f>IFERROR(T280/T327, "NA")</f>
        <v>0</v>
      </c>
      <c r="V280" s="9"/>
      <c r="W280" s="7">
        <v>0</v>
      </c>
      <c r="X280" s="8">
        <f>IFERROR(W280/W327, "NA")</f>
        <v>0</v>
      </c>
    </row>
    <row r="281" spans="1:24" ht="16.5" customHeight="1" x14ac:dyDescent="0.25">
      <c r="A281" s="6" t="s">
        <v>287</v>
      </c>
      <c r="B281" s="7">
        <v>0</v>
      </c>
      <c r="C281" s="8">
        <f>IFERROR(B281/B327, "NA")</f>
        <v>0</v>
      </c>
      <c r="D281" s="9"/>
      <c r="E281" s="7">
        <v>0</v>
      </c>
      <c r="F281" s="8">
        <f>IFERROR(E281/E327, "NA")</f>
        <v>0</v>
      </c>
      <c r="G281" s="9"/>
      <c r="H281" s="7">
        <v>0</v>
      </c>
      <c r="I281" s="8">
        <f>IFERROR(H281/H327, "NA")</f>
        <v>0</v>
      </c>
      <c r="J281" s="9"/>
      <c r="K281" s="7">
        <v>0</v>
      </c>
      <c r="L281" s="8">
        <f>IFERROR(K281/K327, "NA")</f>
        <v>0</v>
      </c>
      <c r="M281" s="9"/>
      <c r="N281" s="7">
        <v>0</v>
      </c>
      <c r="O281" s="8">
        <f>IFERROR(N281/N327, "NA")</f>
        <v>0</v>
      </c>
      <c r="P281" s="9"/>
      <c r="Q281" s="7">
        <v>0</v>
      </c>
      <c r="R281" s="8">
        <f>IFERROR(Q281/Q327, "NA")</f>
        <v>0</v>
      </c>
      <c r="S281" s="9"/>
      <c r="T281" s="7">
        <v>0</v>
      </c>
      <c r="U281" s="8">
        <f>IFERROR(T281/T327, "NA")</f>
        <v>0</v>
      </c>
      <c r="V281" s="9"/>
      <c r="W281" s="7">
        <v>0</v>
      </c>
      <c r="X281" s="8">
        <f>IFERROR(W281/W327, "NA")</f>
        <v>0</v>
      </c>
    </row>
    <row r="282" spans="1:24" ht="16.5" customHeight="1" x14ac:dyDescent="0.25">
      <c r="A282" s="6" t="s">
        <v>288</v>
      </c>
      <c r="B282" s="7">
        <v>0</v>
      </c>
      <c r="C282" s="8">
        <f>IFERROR(B282/B327, "NA")</f>
        <v>0</v>
      </c>
      <c r="D282" s="9"/>
      <c r="E282" s="7">
        <v>0</v>
      </c>
      <c r="F282" s="8">
        <f>IFERROR(E282/E327, "NA")</f>
        <v>0</v>
      </c>
      <c r="G282" s="9"/>
      <c r="H282" s="7">
        <v>0</v>
      </c>
      <c r="I282" s="8">
        <f>IFERROR(H282/H327, "NA")</f>
        <v>0</v>
      </c>
      <c r="J282" s="9"/>
      <c r="K282" s="7">
        <v>0</v>
      </c>
      <c r="L282" s="8">
        <f>IFERROR(K282/K327, "NA")</f>
        <v>0</v>
      </c>
      <c r="M282" s="9"/>
      <c r="N282" s="7">
        <v>0</v>
      </c>
      <c r="O282" s="8">
        <f>IFERROR(N282/N327, "NA")</f>
        <v>0</v>
      </c>
      <c r="P282" s="9"/>
      <c r="Q282" s="7">
        <v>0</v>
      </c>
      <c r="R282" s="8">
        <f>IFERROR(Q282/Q327, "NA")</f>
        <v>0</v>
      </c>
      <c r="S282" s="9"/>
      <c r="T282" s="7">
        <v>0</v>
      </c>
      <c r="U282" s="8">
        <f>IFERROR(T282/T327, "NA")</f>
        <v>0</v>
      </c>
      <c r="V282" s="9"/>
      <c r="W282" s="7">
        <v>0</v>
      </c>
      <c r="X282" s="8">
        <f>IFERROR(W282/W327, "NA")</f>
        <v>0</v>
      </c>
    </row>
    <row r="283" spans="1:24" ht="16.5" customHeight="1" x14ac:dyDescent="0.25">
      <c r="A283" s="10" t="s">
        <v>289</v>
      </c>
      <c r="B283" s="11">
        <f>IFERROR(B265+B266+B267+B268+B269+B270+B271+B272+B273+B274+B275+B276+B277+B278+B279+B280+B281+B282, "NA")</f>
        <v>-8875.2199999999993</v>
      </c>
      <c r="C283" s="12">
        <f>IFERROR(B283/B327, "NA")</f>
        <v>-2.5150915211324371E-2</v>
      </c>
      <c r="D283" s="2"/>
      <c r="E283" s="11">
        <f>IFERROR(E265+E266+E267+E268+E269+E270+E271+E272+E273+E274+E275+E276+E277+E278+E279+E280+E281+E282, "NA")</f>
        <v>-5099.5</v>
      </c>
      <c r="F283" s="12">
        <f>IFERROR(E283/E327, "NA")</f>
        <v>-3.39415636694348E-2</v>
      </c>
      <c r="G283" s="2"/>
      <c r="H283" s="11">
        <f>IFERROR(H265+H266+H267+H268+H269+H270+H271+H272+H273+H274+H275+H276+H277+H278+H279+H280+H281+H282, "NA")</f>
        <v>-8335.76</v>
      </c>
      <c r="I283" s="12">
        <f>IFERROR(H283/H327, "NA")</f>
        <v>-3.2973147234325338E-2</v>
      </c>
      <c r="J283" s="2"/>
      <c r="K283" s="11">
        <f>IFERROR(K265+K266+K267+K268+K269+K270+K271+K272+K273+K274+K275+K276+K277+K278+K279+K280+K281+K282, "NA")</f>
        <v>-4459.8999999999996</v>
      </c>
      <c r="L283" s="12">
        <f>IFERROR(K283/K327, "NA")</f>
        <v>-3.4111195660163185E-2</v>
      </c>
      <c r="M283" s="2"/>
      <c r="N283" s="11">
        <f>IFERROR(N265+N266+N267+N268+N269+N270+N271+N272+N273+N274+N275+N276+N277+N278+N279+N280+N281+N282, "NA")</f>
        <v>-2649.07</v>
      </c>
      <c r="O283" s="12">
        <f>IFERROR(N283/N327, "NA")</f>
        <v>-2.1106936756077825E-2</v>
      </c>
      <c r="P283" s="2"/>
      <c r="Q283" s="11">
        <f>IFERROR(Q265+Q266+Q267+Q268+Q269+Q270+Q271+Q272+Q273+Q274+Q275+Q276+Q277+Q278+Q279+Q280+Q281+Q282, "NA")</f>
        <v>-3001.32</v>
      </c>
      <c r="R283" s="12">
        <f>IFERROR(Q283/Q327, "NA")</f>
        <v>-3.7657716436637394E-2</v>
      </c>
      <c r="S283" s="2"/>
      <c r="T283" s="11">
        <f>IFERROR(T265+T266+T267+T268+T269+T270+T271+T272+T273+T274+T275+T276+T277+T278+T279+T280+T281+T282, "NA")</f>
        <v>-3104.61</v>
      </c>
      <c r="U283" s="12">
        <f>IFERROR(T283/T327, "NA")</f>
        <v>-3.5225499884836156E-2</v>
      </c>
      <c r="V283" s="2"/>
      <c r="W283" s="11">
        <f>IFERROR(W265+W266+W267+W268+W269+W270+W271+W272+W273+W274+W275+W276+W277+W278+W279+W280+W281+W282, "NA")</f>
        <v>-4929.5600000000004</v>
      </c>
      <c r="X283" s="12">
        <f>IFERROR(W283/W327, "NA")</f>
        <v>-3.354938662095739E-2</v>
      </c>
    </row>
    <row r="284" spans="1:24" ht="16.5" customHeight="1" x14ac:dyDescent="0.25">
      <c r="A284" s="14" t="s">
        <v>290</v>
      </c>
      <c r="B284" s="11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  <v>104698.85</v>
      </c>
      <c r="C284" s="12">
        <f>IFERROR(B284/B327, "NA")</f>
        <v>0.29669933805282223</v>
      </c>
      <c r="D284" s="2"/>
      <c r="E284" s="11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  <v>14737.549999999997</v>
      </c>
      <c r="F284" s="12">
        <f>IFERROR(E284/E327, "NA")</f>
        <v>9.8091085725361057E-2</v>
      </c>
      <c r="G284" s="2"/>
      <c r="H284" s="11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  <v>-5447.2999999999993</v>
      </c>
      <c r="I284" s="12">
        <f>IFERROR(H284/H327, "NA")</f>
        <v>-2.1547480365262484E-2</v>
      </c>
      <c r="J284" s="2"/>
      <c r="K284" s="11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5347.25</v>
      </c>
      <c r="L284" s="12">
        <f>IFERROR(K284/K327, "NA")</f>
        <v>4.0898022600015162E-2</v>
      </c>
      <c r="M284" s="2"/>
      <c r="N284" s="11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62613.170000000006</v>
      </c>
      <c r="O284" s="12">
        <f>IFERROR(N284/N327, "NA")</f>
        <v>0.49888157703931924</v>
      </c>
      <c r="P284" s="2"/>
      <c r="Q284" s="11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13666.07</v>
      </c>
      <c r="R284" s="12">
        <f>IFERROR(Q284/Q327, "NA")</f>
        <v>0.17146888331242158</v>
      </c>
      <c r="S284" s="2"/>
      <c r="T284" s="11">
        <f>IFERROR(T214+T215+T216+T217+T218+T219+T220+T221+T222+T223+T224+T225+T226+T227+T228+T229+T230+T231+T232+T233+T234+T235+T236+T237+T238+T239+T240+T243+T244+T245+T246+T247+T248+T249+T250+T251+T254+T255+T256+T257+T258+T259+T260+T261+T262+T265+T266+T267+T268+T269+T270+T271+T272+T273+T274+T275+T276+T277+T278+T279+T280+T281+T282, "NA")</f>
        <v>1043.3299999999995</v>
      </c>
      <c r="U284" s="12">
        <f>IFERROR(T284/T327, "NA")</f>
        <v>1.1837822075831131E-2</v>
      </c>
      <c r="V284" s="2"/>
      <c r="W284" s="11">
        <f>IFERROR(W214+W215+W216+W217+W218+W219+W220+W221+W222+W223+W224+W225+W226+W227+W228+W229+W230+W231+W232+W233+W234+W235+W236+W237+W238+W239+W240+W243+W244+W245+W246+W247+W248+W249+W250+W251+W254+W255+W256+W257+W258+W259+W260+W261+W262+W265+W266+W267+W268+W269+W270+W271+W272+W273+W274+W275+W276+W277+W278+W279+W280+W281+W282, "NA")</f>
        <v>-508.70000000000073</v>
      </c>
      <c r="X284" s="12">
        <f>IFERROR(W284/W327, "NA")</f>
        <v>-3.4620884975699756E-3</v>
      </c>
    </row>
    <row r="285" spans="1:24" ht="16.5" customHeight="1" x14ac:dyDescent="0.25">
      <c r="A285" s="1" t="s">
        <v>291</v>
      </c>
      <c r="B285" s="2"/>
      <c r="C285" s="3"/>
      <c r="D285" s="4"/>
      <c r="E285" s="2"/>
      <c r="F285" s="3"/>
      <c r="G285" s="4"/>
      <c r="H285" s="2"/>
      <c r="I285" s="3"/>
      <c r="J285" s="4"/>
      <c r="K285" s="2"/>
      <c r="L285" s="3"/>
      <c r="M285" s="4"/>
      <c r="N285" s="2"/>
      <c r="O285" s="3"/>
      <c r="P285" s="4"/>
      <c r="Q285" s="2"/>
      <c r="R285" s="3"/>
      <c r="S285" s="4"/>
      <c r="T285" s="2"/>
      <c r="U285" s="3"/>
      <c r="V285" s="4"/>
      <c r="W285" s="2"/>
      <c r="X285" s="3"/>
    </row>
    <row r="286" spans="1:24" ht="16.5" customHeight="1" x14ac:dyDescent="0.25">
      <c r="A286" s="5" t="s">
        <v>292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</row>
    <row r="287" spans="1:24" ht="16.5" customHeight="1" x14ac:dyDescent="0.25">
      <c r="A287" s="6" t="s">
        <v>293</v>
      </c>
      <c r="B287" s="7">
        <v>0</v>
      </c>
      <c r="C287" s="8">
        <f>IFERROR(B287/B327, "NA")</f>
        <v>0</v>
      </c>
      <c r="D287" s="9"/>
      <c r="E287" s="7">
        <v>0</v>
      </c>
      <c r="F287" s="8">
        <f>IFERROR(E287/E327, "NA")</f>
        <v>0</v>
      </c>
      <c r="G287" s="9"/>
      <c r="H287" s="7">
        <v>0</v>
      </c>
      <c r="I287" s="8">
        <f>IFERROR(H287/H327, "NA")</f>
        <v>0</v>
      </c>
      <c r="J287" s="9"/>
      <c r="K287" s="7">
        <v>0</v>
      </c>
      <c r="L287" s="8">
        <f>IFERROR(K287/K327, "NA")</f>
        <v>0</v>
      </c>
      <c r="M287" s="9"/>
      <c r="N287" s="7">
        <v>0</v>
      </c>
      <c r="O287" s="8">
        <f>IFERROR(N287/N327, "NA")</f>
        <v>0</v>
      </c>
      <c r="P287" s="9"/>
      <c r="Q287" s="7">
        <v>0</v>
      </c>
      <c r="R287" s="8">
        <f>IFERROR(Q287/Q327, "NA")</f>
        <v>0</v>
      </c>
      <c r="S287" s="9"/>
      <c r="T287" s="7">
        <v>0</v>
      </c>
      <c r="U287" s="8">
        <f>IFERROR(T287/T327, "NA")</f>
        <v>0</v>
      </c>
      <c r="V287" s="9"/>
      <c r="W287" s="7">
        <v>0</v>
      </c>
      <c r="X287" s="8">
        <f>IFERROR(W287/W327, "NA")</f>
        <v>0</v>
      </c>
    </row>
    <row r="288" spans="1:24" ht="16.5" customHeight="1" x14ac:dyDescent="0.25">
      <c r="A288" s="6" t="s">
        <v>294</v>
      </c>
      <c r="B288" s="7">
        <v>0</v>
      </c>
      <c r="C288" s="8">
        <f>IFERROR(B288/B327, "NA")</f>
        <v>0</v>
      </c>
      <c r="D288" s="9"/>
      <c r="E288" s="7">
        <v>0</v>
      </c>
      <c r="F288" s="8">
        <f>IFERROR(E288/E327, "NA")</f>
        <v>0</v>
      </c>
      <c r="G288" s="9"/>
      <c r="H288" s="7">
        <v>0</v>
      </c>
      <c r="I288" s="8">
        <f>IFERROR(H288/H327, "NA")</f>
        <v>0</v>
      </c>
      <c r="J288" s="9"/>
      <c r="K288" s="7">
        <v>0</v>
      </c>
      <c r="L288" s="8">
        <f>IFERROR(K288/K327, "NA")</f>
        <v>0</v>
      </c>
      <c r="M288" s="9"/>
      <c r="N288" s="7">
        <v>0</v>
      </c>
      <c r="O288" s="8">
        <f>IFERROR(N288/N327, "NA")</f>
        <v>0</v>
      </c>
      <c r="P288" s="9"/>
      <c r="Q288" s="7">
        <v>0</v>
      </c>
      <c r="R288" s="8">
        <f>IFERROR(Q288/Q327, "NA")</f>
        <v>0</v>
      </c>
      <c r="S288" s="9"/>
      <c r="T288" s="7">
        <v>0</v>
      </c>
      <c r="U288" s="8">
        <f>IFERROR(T288/T327, "NA")</f>
        <v>0</v>
      </c>
      <c r="V288" s="9"/>
      <c r="W288" s="7">
        <v>0</v>
      </c>
      <c r="X288" s="8">
        <f>IFERROR(W288/W327, "NA")</f>
        <v>0</v>
      </c>
    </row>
    <row r="289" spans="1:24" ht="16.5" customHeight="1" x14ac:dyDescent="0.25">
      <c r="A289" s="6" t="s">
        <v>295</v>
      </c>
      <c r="B289" s="7">
        <v>0</v>
      </c>
      <c r="C289" s="8">
        <f>IFERROR(B289/B327, "NA")</f>
        <v>0</v>
      </c>
      <c r="D289" s="9"/>
      <c r="E289" s="7">
        <v>1528.81</v>
      </c>
      <c r="F289" s="8">
        <f>IFERROR(E289/E327, "NA")</f>
        <v>1.0175547005288482E-2</v>
      </c>
      <c r="G289" s="9"/>
      <c r="H289" s="7">
        <v>0</v>
      </c>
      <c r="I289" s="8">
        <f>IFERROR(H289/H327, "NA")</f>
        <v>0</v>
      </c>
      <c r="J289" s="9"/>
      <c r="K289" s="7">
        <v>455.88</v>
      </c>
      <c r="L289" s="8">
        <f>IFERROR(K289/K327, "NA")</f>
        <v>3.4867624560091471E-3</v>
      </c>
      <c r="M289" s="9"/>
      <c r="N289" s="7">
        <v>0</v>
      </c>
      <c r="O289" s="8">
        <f>IFERROR(N289/N327, "NA")</f>
        <v>0</v>
      </c>
      <c r="P289" s="9"/>
      <c r="Q289" s="7">
        <v>0</v>
      </c>
      <c r="R289" s="8">
        <f>IFERROR(Q289/Q327, "NA")</f>
        <v>0</v>
      </c>
      <c r="S289" s="9"/>
      <c r="T289" s="7">
        <v>0</v>
      </c>
      <c r="U289" s="8">
        <f>IFERROR(T289/T327, "NA")</f>
        <v>0</v>
      </c>
      <c r="V289" s="9"/>
      <c r="W289" s="7">
        <v>0</v>
      </c>
      <c r="X289" s="8">
        <f>IFERROR(W289/W327, "NA")</f>
        <v>0</v>
      </c>
    </row>
    <row r="290" spans="1:24" ht="16.5" customHeight="1" x14ac:dyDescent="0.25">
      <c r="A290" s="6" t="s">
        <v>296</v>
      </c>
      <c r="B290" s="7">
        <v>18150.78</v>
      </c>
      <c r="C290" s="8">
        <f>IFERROR(B290/B327, "NA")</f>
        <v>5.1436328203627868E-2</v>
      </c>
      <c r="D290" s="9"/>
      <c r="E290" s="7">
        <v>8057.8</v>
      </c>
      <c r="F290" s="8">
        <f>IFERROR(E290/E327, "NA")</f>
        <v>5.363159755575482E-2</v>
      </c>
      <c r="G290" s="9"/>
      <c r="H290" s="7">
        <v>13225.2</v>
      </c>
      <c r="I290" s="8">
        <f>IFERROR(H290/H327, "NA")</f>
        <v>5.2313942196440338E-2</v>
      </c>
      <c r="J290" s="9"/>
      <c r="K290" s="7">
        <v>7349.18</v>
      </c>
      <c r="L290" s="8">
        <f>IFERROR(K290/K327, "NA")</f>
        <v>5.6209627328361204E-2</v>
      </c>
      <c r="M290" s="9"/>
      <c r="N290" s="7">
        <v>6712.29</v>
      </c>
      <c r="O290" s="8">
        <f>IFERROR(N290/N327, "NA")</f>
        <v>5.3481365354050146E-2</v>
      </c>
      <c r="P290" s="9"/>
      <c r="Q290" s="7">
        <v>4594</v>
      </c>
      <c r="R290" s="8">
        <f>IFERROR(Q290/Q327, "NA")</f>
        <v>5.7641154328732749E-2</v>
      </c>
      <c r="S290" s="9"/>
      <c r="T290" s="7">
        <v>4972.97</v>
      </c>
      <c r="U290" s="8">
        <f>IFERROR(T290/T327, "NA")</f>
        <v>5.6424270411515022E-2</v>
      </c>
      <c r="V290" s="9"/>
      <c r="W290" s="7">
        <v>8050.12</v>
      </c>
      <c r="X290" s="8">
        <f>IFERROR(W290/W327, "NA")</f>
        <v>5.4787159143027273E-2</v>
      </c>
    </row>
    <row r="291" spans="1:24" ht="16.5" customHeight="1" x14ac:dyDescent="0.25">
      <c r="A291" s="6" t="s">
        <v>297</v>
      </c>
      <c r="B291" s="7">
        <v>0</v>
      </c>
      <c r="C291" s="8">
        <f>IFERROR(B291/B327, "NA")</f>
        <v>0</v>
      </c>
      <c r="D291" s="9"/>
      <c r="E291" s="7">
        <v>0</v>
      </c>
      <c r="F291" s="8">
        <f>IFERROR(E291/E327, "NA")</f>
        <v>0</v>
      </c>
      <c r="G291" s="9"/>
      <c r="H291" s="7">
        <v>0</v>
      </c>
      <c r="I291" s="8">
        <f>IFERROR(H291/H327, "NA")</f>
        <v>0</v>
      </c>
      <c r="J291" s="9"/>
      <c r="K291" s="7">
        <v>0</v>
      </c>
      <c r="L291" s="8">
        <f>IFERROR(K291/K327, "NA")</f>
        <v>0</v>
      </c>
      <c r="M291" s="9"/>
      <c r="N291" s="7">
        <v>0</v>
      </c>
      <c r="O291" s="8">
        <f>IFERROR(N291/N327, "NA")</f>
        <v>0</v>
      </c>
      <c r="P291" s="9"/>
      <c r="Q291" s="7">
        <v>0</v>
      </c>
      <c r="R291" s="8">
        <f>IFERROR(Q291/Q327, "NA")</f>
        <v>0</v>
      </c>
      <c r="S291" s="9"/>
      <c r="T291" s="7">
        <v>0</v>
      </c>
      <c r="U291" s="8">
        <f>IFERROR(T291/T327, "NA")</f>
        <v>0</v>
      </c>
      <c r="V291" s="9"/>
      <c r="W291" s="7">
        <v>0</v>
      </c>
      <c r="X291" s="8">
        <f>IFERROR(W291/W327, "NA")</f>
        <v>0</v>
      </c>
    </row>
    <row r="292" spans="1:24" ht="16.5" customHeight="1" x14ac:dyDescent="0.25">
      <c r="A292" s="6" t="s">
        <v>298</v>
      </c>
      <c r="B292" s="7">
        <v>2000</v>
      </c>
      <c r="C292" s="8">
        <f>IFERROR(B292/B327, "NA")</f>
        <v>5.6676713842190663E-3</v>
      </c>
      <c r="D292" s="9"/>
      <c r="E292" s="7">
        <v>-2000</v>
      </c>
      <c r="F292" s="8">
        <f>IFERROR(E292/E327, "NA")</f>
        <v>-1.3311722196072084E-2</v>
      </c>
      <c r="G292" s="9"/>
      <c r="H292" s="7">
        <v>0</v>
      </c>
      <c r="I292" s="8">
        <f>IFERROR(H292/H327, "NA")</f>
        <v>0</v>
      </c>
      <c r="J292" s="9"/>
      <c r="K292" s="7">
        <v>0</v>
      </c>
      <c r="L292" s="8">
        <f>IFERROR(K292/K327, "NA")</f>
        <v>0</v>
      </c>
      <c r="M292" s="9"/>
      <c r="N292" s="7">
        <v>0</v>
      </c>
      <c r="O292" s="8">
        <f>IFERROR(N292/N327, "NA")</f>
        <v>0</v>
      </c>
      <c r="P292" s="9"/>
      <c r="Q292" s="7">
        <v>0</v>
      </c>
      <c r="R292" s="8">
        <f>IFERROR(Q292/Q327, "NA")</f>
        <v>0</v>
      </c>
      <c r="S292" s="9"/>
      <c r="T292" s="7">
        <v>0</v>
      </c>
      <c r="U292" s="8">
        <f>IFERROR(T292/T327, "NA")</f>
        <v>0</v>
      </c>
      <c r="V292" s="9"/>
      <c r="W292" s="7">
        <v>0</v>
      </c>
      <c r="X292" s="8">
        <f>IFERROR(W292/W327, "NA")</f>
        <v>0</v>
      </c>
    </row>
    <row r="293" spans="1:24" ht="16.5" customHeight="1" x14ac:dyDescent="0.25">
      <c r="A293" s="6" t="s">
        <v>299</v>
      </c>
      <c r="B293" s="7">
        <v>0</v>
      </c>
      <c r="C293" s="8">
        <f>IFERROR(B293/B327, "NA")</f>
        <v>0</v>
      </c>
      <c r="D293" s="9"/>
      <c r="E293" s="7">
        <v>0</v>
      </c>
      <c r="F293" s="8">
        <f>IFERROR(E293/E327, "NA")</f>
        <v>0</v>
      </c>
      <c r="G293" s="9"/>
      <c r="H293" s="7">
        <v>0</v>
      </c>
      <c r="I293" s="8">
        <f>IFERROR(H293/H327, "NA")</f>
        <v>0</v>
      </c>
      <c r="J293" s="9"/>
      <c r="K293" s="7">
        <v>0</v>
      </c>
      <c r="L293" s="8">
        <f>IFERROR(K293/K327, "NA")</f>
        <v>0</v>
      </c>
      <c r="M293" s="9"/>
      <c r="N293" s="7">
        <v>18.09</v>
      </c>
      <c r="O293" s="8">
        <f>IFERROR(N293/N327, "NA")</f>
        <v>1.4413529499690376E-4</v>
      </c>
      <c r="P293" s="9"/>
      <c r="Q293" s="7">
        <v>0</v>
      </c>
      <c r="R293" s="8">
        <f>IFERROR(Q293/Q327, "NA")</f>
        <v>0</v>
      </c>
      <c r="S293" s="9"/>
      <c r="T293" s="7">
        <v>0</v>
      </c>
      <c r="U293" s="8">
        <f>IFERROR(T293/T327, "NA")</f>
        <v>0</v>
      </c>
      <c r="V293" s="9"/>
      <c r="W293" s="7">
        <v>0</v>
      </c>
      <c r="X293" s="8">
        <f>IFERROR(W293/W327, "NA")</f>
        <v>0</v>
      </c>
    </row>
    <row r="294" spans="1:24" ht="16.5" customHeight="1" x14ac:dyDescent="0.25">
      <c r="A294" s="6" t="s">
        <v>300</v>
      </c>
      <c r="B294" s="7">
        <v>-1875.58</v>
      </c>
      <c r="C294" s="8">
        <f>IFERROR(B294/B327, "NA")</f>
        <v>-5.3150855474067985E-3</v>
      </c>
      <c r="D294" s="9"/>
      <c r="E294" s="7">
        <v>1350.43</v>
      </c>
      <c r="F294" s="8">
        <f>IFERROR(E294/E327, "NA")</f>
        <v>8.9882745026208122E-3</v>
      </c>
      <c r="G294" s="9"/>
      <c r="H294" s="7">
        <v>162</v>
      </c>
      <c r="I294" s="8">
        <f>IFERROR(H294/H327, "NA")</f>
        <v>6.4081137796202206E-4</v>
      </c>
      <c r="J294" s="9"/>
      <c r="K294" s="7">
        <v>162</v>
      </c>
      <c r="L294" s="8">
        <f>IFERROR(K294/K327, "NA")</f>
        <v>1.2390443052414711E-3</v>
      </c>
      <c r="M294" s="9"/>
      <c r="N294" s="7">
        <v>0</v>
      </c>
      <c r="O294" s="8">
        <f>IFERROR(N294/N327, "NA")</f>
        <v>0</v>
      </c>
      <c r="P294" s="9"/>
      <c r="Q294" s="7">
        <v>162</v>
      </c>
      <c r="R294" s="8">
        <f>IFERROR(Q294/Q327, "NA")</f>
        <v>2.0326223337515685E-3</v>
      </c>
      <c r="S294" s="9"/>
      <c r="T294" s="7">
        <v>1515.23</v>
      </c>
      <c r="U294" s="8">
        <f>IFERROR(T294/T327, "NA")</f>
        <v>1.7192089889068285E-2</v>
      </c>
      <c r="V294" s="9"/>
      <c r="W294" s="7">
        <v>162</v>
      </c>
      <c r="X294" s="8">
        <f>IFERROR(W294/W327, "NA")</f>
        <v>1.1025326058705235E-3</v>
      </c>
    </row>
    <row r="295" spans="1:24" ht="16.5" customHeight="1" x14ac:dyDescent="0.25">
      <c r="A295" s="6" t="s">
        <v>301</v>
      </c>
      <c r="B295" s="7">
        <v>0</v>
      </c>
      <c r="C295" s="8">
        <f>IFERROR(B295/B327, "NA")</f>
        <v>0</v>
      </c>
      <c r="D295" s="9"/>
      <c r="E295" s="7">
        <v>0</v>
      </c>
      <c r="F295" s="8">
        <f>IFERROR(E295/E327, "NA")</f>
        <v>0</v>
      </c>
      <c r="G295" s="9"/>
      <c r="H295" s="7">
        <v>0</v>
      </c>
      <c r="I295" s="8">
        <f>IFERROR(H295/H327, "NA")</f>
        <v>0</v>
      </c>
      <c r="J295" s="9"/>
      <c r="K295" s="7">
        <v>0</v>
      </c>
      <c r="L295" s="8">
        <f>IFERROR(K295/K327, "NA")</f>
        <v>0</v>
      </c>
      <c r="M295" s="9"/>
      <c r="N295" s="7">
        <v>0</v>
      </c>
      <c r="O295" s="8">
        <f>IFERROR(N295/N327, "NA")</f>
        <v>0</v>
      </c>
      <c r="P295" s="9"/>
      <c r="Q295" s="7">
        <v>0</v>
      </c>
      <c r="R295" s="8">
        <f>IFERROR(Q295/Q327, "NA")</f>
        <v>0</v>
      </c>
      <c r="S295" s="9"/>
      <c r="T295" s="7">
        <v>0</v>
      </c>
      <c r="U295" s="8">
        <f>IFERROR(T295/T327, "NA")</f>
        <v>0</v>
      </c>
      <c r="V295" s="9"/>
      <c r="W295" s="7">
        <v>0</v>
      </c>
      <c r="X295" s="8">
        <f>IFERROR(W295/W327, "NA")</f>
        <v>0</v>
      </c>
    </row>
    <row r="296" spans="1:24" ht="16.5" customHeight="1" x14ac:dyDescent="0.25">
      <c r="A296" s="6" t="s">
        <v>302</v>
      </c>
      <c r="B296" s="7">
        <v>0</v>
      </c>
      <c r="C296" s="8">
        <f>IFERROR(B296/B327, "NA")</f>
        <v>0</v>
      </c>
      <c r="D296" s="9"/>
      <c r="E296" s="7">
        <v>0</v>
      </c>
      <c r="F296" s="8">
        <f>IFERROR(E296/E327, "NA")</f>
        <v>0</v>
      </c>
      <c r="G296" s="9"/>
      <c r="H296" s="7">
        <v>0</v>
      </c>
      <c r="I296" s="8">
        <f>IFERROR(H296/H327, "NA")</f>
        <v>0</v>
      </c>
      <c r="J296" s="9"/>
      <c r="K296" s="7">
        <v>0</v>
      </c>
      <c r="L296" s="8">
        <f>IFERROR(K296/K327, "NA")</f>
        <v>0</v>
      </c>
      <c r="M296" s="9"/>
      <c r="N296" s="7">
        <v>0</v>
      </c>
      <c r="O296" s="8">
        <f>IFERROR(N296/N327, "NA")</f>
        <v>0</v>
      </c>
      <c r="P296" s="9"/>
      <c r="Q296" s="7">
        <v>0</v>
      </c>
      <c r="R296" s="8">
        <f>IFERROR(Q296/Q327, "NA")</f>
        <v>0</v>
      </c>
      <c r="S296" s="9"/>
      <c r="T296" s="7">
        <v>0</v>
      </c>
      <c r="U296" s="8">
        <f>IFERROR(T296/T327, "NA")</f>
        <v>0</v>
      </c>
      <c r="V296" s="9"/>
      <c r="W296" s="7">
        <v>0</v>
      </c>
      <c r="X296" s="8">
        <f>IFERROR(W296/W327, "NA")</f>
        <v>0</v>
      </c>
    </row>
    <row r="297" spans="1:24" ht="16.5" customHeight="1" x14ac:dyDescent="0.25">
      <c r="A297" s="6" t="s">
        <v>303</v>
      </c>
      <c r="B297" s="7">
        <v>0</v>
      </c>
      <c r="C297" s="8">
        <f>IFERROR(B297/B327, "NA")</f>
        <v>0</v>
      </c>
      <c r="D297" s="9"/>
      <c r="E297" s="7">
        <v>0</v>
      </c>
      <c r="F297" s="8">
        <f>IFERROR(E297/E327, "NA")</f>
        <v>0</v>
      </c>
      <c r="G297" s="9"/>
      <c r="H297" s="7">
        <v>0</v>
      </c>
      <c r="I297" s="8">
        <f>IFERROR(H297/H327, "NA")</f>
        <v>0</v>
      </c>
      <c r="J297" s="9"/>
      <c r="K297" s="7">
        <v>0</v>
      </c>
      <c r="L297" s="8">
        <f>IFERROR(K297/K327, "NA")</f>
        <v>0</v>
      </c>
      <c r="M297" s="9"/>
      <c r="N297" s="7">
        <v>0</v>
      </c>
      <c r="O297" s="8">
        <f>IFERROR(N297/N327, "NA")</f>
        <v>0</v>
      </c>
      <c r="P297" s="9"/>
      <c r="Q297" s="7">
        <v>0</v>
      </c>
      <c r="R297" s="8">
        <f>IFERROR(Q297/Q327, "NA")</f>
        <v>0</v>
      </c>
      <c r="S297" s="9"/>
      <c r="T297" s="7">
        <v>0</v>
      </c>
      <c r="U297" s="8">
        <f>IFERROR(T297/T327, "NA")</f>
        <v>0</v>
      </c>
      <c r="V297" s="9"/>
      <c r="W297" s="7">
        <v>0</v>
      </c>
      <c r="X297" s="8">
        <f>IFERROR(W297/W327, "NA")</f>
        <v>0</v>
      </c>
    </row>
    <row r="298" spans="1:24" ht="16.5" customHeight="1" x14ac:dyDescent="0.25">
      <c r="A298" s="6" t="s">
        <v>304</v>
      </c>
      <c r="B298" s="7">
        <v>0</v>
      </c>
      <c r="C298" s="8">
        <f>IFERROR(B298/B327, "NA")</f>
        <v>0</v>
      </c>
      <c r="D298" s="9"/>
      <c r="E298" s="7">
        <v>0</v>
      </c>
      <c r="F298" s="8">
        <f>IFERROR(E298/E327, "NA")</f>
        <v>0</v>
      </c>
      <c r="G298" s="9"/>
      <c r="H298" s="7">
        <v>0</v>
      </c>
      <c r="I298" s="8">
        <f>IFERROR(H298/H327, "NA")</f>
        <v>0</v>
      </c>
      <c r="J298" s="9"/>
      <c r="K298" s="7">
        <v>0</v>
      </c>
      <c r="L298" s="8">
        <f>IFERROR(K298/K327, "NA")</f>
        <v>0</v>
      </c>
      <c r="M298" s="9"/>
      <c r="N298" s="7">
        <v>0</v>
      </c>
      <c r="O298" s="8">
        <f>IFERROR(N298/N327, "NA")</f>
        <v>0</v>
      </c>
      <c r="P298" s="9"/>
      <c r="Q298" s="7">
        <v>0</v>
      </c>
      <c r="R298" s="8">
        <f>IFERROR(Q298/Q327, "NA")</f>
        <v>0</v>
      </c>
      <c r="S298" s="9"/>
      <c r="T298" s="7">
        <v>0</v>
      </c>
      <c r="U298" s="8">
        <f>IFERROR(T298/T327, "NA")</f>
        <v>0</v>
      </c>
      <c r="V298" s="9"/>
      <c r="W298" s="7">
        <v>0</v>
      </c>
      <c r="X298" s="8">
        <f>IFERROR(W298/W327, "NA")</f>
        <v>0</v>
      </c>
    </row>
    <row r="299" spans="1:24" ht="16.5" customHeight="1" x14ac:dyDescent="0.25">
      <c r="A299" s="6" t="s">
        <v>305</v>
      </c>
      <c r="B299" s="7">
        <v>0</v>
      </c>
      <c r="C299" s="8">
        <f>IFERROR(B299/B327, "NA")</f>
        <v>0</v>
      </c>
      <c r="D299" s="9"/>
      <c r="E299" s="7">
        <v>0</v>
      </c>
      <c r="F299" s="8">
        <f>IFERROR(E299/E327, "NA")</f>
        <v>0</v>
      </c>
      <c r="G299" s="9"/>
      <c r="H299" s="7">
        <v>0</v>
      </c>
      <c r="I299" s="8">
        <f>IFERROR(H299/H327, "NA")</f>
        <v>0</v>
      </c>
      <c r="J299" s="9"/>
      <c r="K299" s="7">
        <v>0</v>
      </c>
      <c r="L299" s="8">
        <f>IFERROR(K299/K327, "NA")</f>
        <v>0</v>
      </c>
      <c r="M299" s="9"/>
      <c r="N299" s="7">
        <v>0</v>
      </c>
      <c r="O299" s="8">
        <f>IFERROR(N299/N327, "NA")</f>
        <v>0</v>
      </c>
      <c r="P299" s="9"/>
      <c r="Q299" s="7">
        <v>0</v>
      </c>
      <c r="R299" s="8">
        <f>IFERROR(Q299/Q327, "NA")</f>
        <v>0</v>
      </c>
      <c r="S299" s="9"/>
      <c r="T299" s="7">
        <v>0</v>
      </c>
      <c r="U299" s="8">
        <f>IFERROR(T299/T327, "NA")</f>
        <v>0</v>
      </c>
      <c r="V299" s="9"/>
      <c r="W299" s="7">
        <v>0</v>
      </c>
      <c r="X299" s="8">
        <f>IFERROR(W299/W327, "NA")</f>
        <v>0</v>
      </c>
    </row>
    <row r="300" spans="1:24" ht="16.5" customHeight="1" x14ac:dyDescent="0.25">
      <c r="A300" s="6" t="s">
        <v>306</v>
      </c>
      <c r="B300" s="7">
        <v>0</v>
      </c>
      <c r="C300" s="8">
        <f>IFERROR(B300/B327, "NA")</f>
        <v>0</v>
      </c>
      <c r="D300" s="9"/>
      <c r="E300" s="7">
        <v>0</v>
      </c>
      <c r="F300" s="8">
        <f>IFERROR(E300/E327, "NA")</f>
        <v>0</v>
      </c>
      <c r="G300" s="9"/>
      <c r="H300" s="7">
        <v>0</v>
      </c>
      <c r="I300" s="8">
        <f>IFERROR(H300/H327, "NA")</f>
        <v>0</v>
      </c>
      <c r="J300" s="9"/>
      <c r="K300" s="7">
        <v>0</v>
      </c>
      <c r="L300" s="8">
        <f>IFERROR(K300/K327, "NA")</f>
        <v>0</v>
      </c>
      <c r="M300" s="9"/>
      <c r="N300" s="7">
        <v>0</v>
      </c>
      <c r="O300" s="8">
        <f>IFERROR(N300/N327, "NA")</f>
        <v>0</v>
      </c>
      <c r="P300" s="9"/>
      <c r="Q300" s="7">
        <v>0</v>
      </c>
      <c r="R300" s="8">
        <f>IFERROR(Q300/Q327, "NA")</f>
        <v>0</v>
      </c>
      <c r="S300" s="9"/>
      <c r="T300" s="7">
        <v>0</v>
      </c>
      <c r="U300" s="8">
        <f>IFERROR(T300/T327, "NA")</f>
        <v>0</v>
      </c>
      <c r="V300" s="9"/>
      <c r="W300" s="7">
        <v>0</v>
      </c>
      <c r="X300" s="8">
        <f>IFERROR(W300/W327, "NA")</f>
        <v>0</v>
      </c>
    </row>
    <row r="301" spans="1:24" ht="16.5" customHeight="1" x14ac:dyDescent="0.25">
      <c r="A301" s="6" t="s">
        <v>307</v>
      </c>
      <c r="B301" s="7">
        <v>0</v>
      </c>
      <c r="C301" s="8">
        <f>IFERROR(B301/B327, "NA")</f>
        <v>0</v>
      </c>
      <c r="D301" s="9"/>
      <c r="E301" s="7">
        <v>0</v>
      </c>
      <c r="F301" s="8">
        <f>IFERROR(E301/E327, "NA")</f>
        <v>0</v>
      </c>
      <c r="G301" s="9"/>
      <c r="H301" s="7">
        <v>0</v>
      </c>
      <c r="I301" s="8">
        <f>IFERROR(H301/H327, "NA")</f>
        <v>0</v>
      </c>
      <c r="J301" s="9"/>
      <c r="K301" s="7">
        <v>0</v>
      </c>
      <c r="L301" s="8">
        <f>IFERROR(K301/K327, "NA")</f>
        <v>0</v>
      </c>
      <c r="M301" s="9"/>
      <c r="N301" s="7">
        <v>0</v>
      </c>
      <c r="O301" s="8">
        <f>IFERROR(N301/N327, "NA")</f>
        <v>0</v>
      </c>
      <c r="P301" s="9"/>
      <c r="Q301" s="7">
        <v>0</v>
      </c>
      <c r="R301" s="8">
        <f>IFERROR(Q301/Q327, "NA")</f>
        <v>0</v>
      </c>
      <c r="S301" s="9"/>
      <c r="T301" s="7">
        <v>0</v>
      </c>
      <c r="U301" s="8">
        <f>IFERROR(T301/T327, "NA")</f>
        <v>0</v>
      </c>
      <c r="V301" s="9"/>
      <c r="W301" s="7">
        <v>0</v>
      </c>
      <c r="X301" s="8">
        <f>IFERROR(W301/W327, "NA")</f>
        <v>0</v>
      </c>
    </row>
    <row r="302" spans="1:24" ht="16.5" customHeight="1" x14ac:dyDescent="0.25">
      <c r="A302" s="6" t="s">
        <v>308</v>
      </c>
      <c r="B302" s="7">
        <v>0</v>
      </c>
      <c r="C302" s="8">
        <f>IFERROR(B302/B327, "NA")</f>
        <v>0</v>
      </c>
      <c r="D302" s="9"/>
      <c r="E302" s="7">
        <v>0</v>
      </c>
      <c r="F302" s="8">
        <f>IFERROR(E302/E327, "NA")</f>
        <v>0</v>
      </c>
      <c r="G302" s="9"/>
      <c r="H302" s="7">
        <v>0</v>
      </c>
      <c r="I302" s="8">
        <f>IFERROR(H302/H327, "NA")</f>
        <v>0</v>
      </c>
      <c r="J302" s="9"/>
      <c r="K302" s="7">
        <v>0</v>
      </c>
      <c r="L302" s="8">
        <f>IFERROR(K302/K327, "NA")</f>
        <v>0</v>
      </c>
      <c r="M302" s="9"/>
      <c r="N302" s="7">
        <v>0</v>
      </c>
      <c r="O302" s="8">
        <f>IFERROR(N302/N327, "NA")</f>
        <v>0</v>
      </c>
      <c r="P302" s="9"/>
      <c r="Q302" s="7">
        <v>0</v>
      </c>
      <c r="R302" s="8">
        <f>IFERROR(Q302/Q327, "NA")</f>
        <v>0</v>
      </c>
      <c r="S302" s="9"/>
      <c r="T302" s="7">
        <v>0</v>
      </c>
      <c r="U302" s="8">
        <f>IFERROR(T302/T327, "NA")</f>
        <v>0</v>
      </c>
      <c r="V302" s="9"/>
      <c r="W302" s="7">
        <v>0</v>
      </c>
      <c r="X302" s="8">
        <f>IFERROR(W302/W327, "NA")</f>
        <v>0</v>
      </c>
    </row>
    <row r="303" spans="1:24" ht="16.5" customHeight="1" x14ac:dyDescent="0.25">
      <c r="A303" s="6" t="s">
        <v>309</v>
      </c>
      <c r="B303" s="7">
        <v>0</v>
      </c>
      <c r="C303" s="8">
        <f>IFERROR(B303/B327, "NA")</f>
        <v>0</v>
      </c>
      <c r="D303" s="9"/>
      <c r="E303" s="7">
        <v>0</v>
      </c>
      <c r="F303" s="8">
        <f>IFERROR(E303/E327, "NA")</f>
        <v>0</v>
      </c>
      <c r="G303" s="9"/>
      <c r="H303" s="7">
        <v>0</v>
      </c>
      <c r="I303" s="8">
        <f>IFERROR(H303/H327, "NA")</f>
        <v>0</v>
      </c>
      <c r="J303" s="9"/>
      <c r="K303" s="7">
        <v>0</v>
      </c>
      <c r="L303" s="8">
        <f>IFERROR(K303/K327, "NA")</f>
        <v>0</v>
      </c>
      <c r="M303" s="9"/>
      <c r="N303" s="7">
        <v>0</v>
      </c>
      <c r="O303" s="8">
        <f>IFERROR(N303/N327, "NA")</f>
        <v>0</v>
      </c>
      <c r="P303" s="9"/>
      <c r="Q303" s="7">
        <v>0</v>
      </c>
      <c r="R303" s="8">
        <f>IFERROR(Q303/Q327, "NA")</f>
        <v>0</v>
      </c>
      <c r="S303" s="9"/>
      <c r="T303" s="7">
        <v>0</v>
      </c>
      <c r="U303" s="8">
        <f>IFERROR(T303/T327, "NA")</f>
        <v>0</v>
      </c>
      <c r="V303" s="9"/>
      <c r="W303" s="7">
        <v>0</v>
      </c>
      <c r="X303" s="8">
        <f>IFERROR(W303/W327, "NA")</f>
        <v>0</v>
      </c>
    </row>
    <row r="304" spans="1:24" ht="16.5" customHeight="1" x14ac:dyDescent="0.25">
      <c r="A304" s="6" t="s">
        <v>310</v>
      </c>
      <c r="B304" s="7">
        <v>0</v>
      </c>
      <c r="C304" s="8">
        <f>IFERROR(B304/B327, "NA")</f>
        <v>0</v>
      </c>
      <c r="D304" s="9"/>
      <c r="E304" s="7">
        <v>0</v>
      </c>
      <c r="F304" s="8">
        <f>IFERROR(E304/E327, "NA")</f>
        <v>0</v>
      </c>
      <c r="G304" s="9"/>
      <c r="H304" s="7">
        <v>0</v>
      </c>
      <c r="I304" s="8">
        <f>IFERROR(H304/H327, "NA")</f>
        <v>0</v>
      </c>
      <c r="J304" s="9"/>
      <c r="K304" s="7">
        <v>0</v>
      </c>
      <c r="L304" s="8">
        <f>IFERROR(K304/K327, "NA")</f>
        <v>0</v>
      </c>
      <c r="M304" s="9"/>
      <c r="N304" s="7">
        <v>0</v>
      </c>
      <c r="O304" s="8">
        <f>IFERROR(N304/N327, "NA")</f>
        <v>0</v>
      </c>
      <c r="P304" s="9"/>
      <c r="Q304" s="7">
        <v>0</v>
      </c>
      <c r="R304" s="8">
        <f>IFERROR(Q304/Q327, "NA")</f>
        <v>0</v>
      </c>
      <c r="S304" s="9"/>
      <c r="T304" s="7">
        <v>0</v>
      </c>
      <c r="U304" s="8">
        <f>IFERROR(T304/T327, "NA")</f>
        <v>0</v>
      </c>
      <c r="V304" s="9"/>
      <c r="W304" s="7">
        <v>0</v>
      </c>
      <c r="X304" s="8">
        <f>IFERROR(W304/W327, "NA")</f>
        <v>0</v>
      </c>
    </row>
    <row r="305" spans="1:24" ht="16.5" customHeight="1" x14ac:dyDescent="0.25">
      <c r="A305" s="6" t="s">
        <v>311</v>
      </c>
      <c r="B305" s="7">
        <v>0</v>
      </c>
      <c r="C305" s="8">
        <f>IFERROR(B305/B327, "NA")</f>
        <v>0</v>
      </c>
      <c r="D305" s="9"/>
      <c r="E305" s="7">
        <v>0</v>
      </c>
      <c r="F305" s="8">
        <f>IFERROR(E305/E327, "NA")</f>
        <v>0</v>
      </c>
      <c r="G305" s="9"/>
      <c r="H305" s="7">
        <v>0</v>
      </c>
      <c r="I305" s="8">
        <f>IFERROR(H305/H327, "NA")</f>
        <v>0</v>
      </c>
      <c r="J305" s="9"/>
      <c r="K305" s="7">
        <v>0</v>
      </c>
      <c r="L305" s="8">
        <f>IFERROR(K305/K327, "NA")</f>
        <v>0</v>
      </c>
      <c r="M305" s="9"/>
      <c r="N305" s="7">
        <v>0</v>
      </c>
      <c r="O305" s="8">
        <f>IFERROR(N305/N327, "NA")</f>
        <v>0</v>
      </c>
      <c r="P305" s="9"/>
      <c r="Q305" s="7">
        <v>0</v>
      </c>
      <c r="R305" s="8">
        <f>IFERROR(Q305/Q327, "NA")</f>
        <v>0</v>
      </c>
      <c r="S305" s="9"/>
      <c r="T305" s="7">
        <v>0</v>
      </c>
      <c r="U305" s="8">
        <f>IFERROR(T305/T327, "NA")</f>
        <v>0</v>
      </c>
      <c r="V305" s="9"/>
      <c r="W305" s="7">
        <v>0</v>
      </c>
      <c r="X305" s="8">
        <f>IFERROR(W305/W327, "NA")</f>
        <v>0</v>
      </c>
    </row>
    <row r="306" spans="1:24" ht="16.5" customHeight="1" x14ac:dyDescent="0.25">
      <c r="A306" s="6" t="s">
        <v>312</v>
      </c>
      <c r="B306" s="7">
        <v>0</v>
      </c>
      <c r="C306" s="8">
        <f>IFERROR(B306/B327, "NA")</f>
        <v>0</v>
      </c>
      <c r="D306" s="9"/>
      <c r="E306" s="7">
        <v>0</v>
      </c>
      <c r="F306" s="8">
        <f>IFERROR(E306/E327, "NA")</f>
        <v>0</v>
      </c>
      <c r="G306" s="9"/>
      <c r="H306" s="7">
        <v>0</v>
      </c>
      <c r="I306" s="8">
        <f>IFERROR(H306/H327, "NA")</f>
        <v>0</v>
      </c>
      <c r="J306" s="9"/>
      <c r="K306" s="7">
        <v>0</v>
      </c>
      <c r="L306" s="8">
        <f>IFERROR(K306/K327, "NA")</f>
        <v>0</v>
      </c>
      <c r="M306" s="9"/>
      <c r="N306" s="7">
        <v>0</v>
      </c>
      <c r="O306" s="8">
        <f>IFERROR(N306/N327, "NA")</f>
        <v>0</v>
      </c>
      <c r="P306" s="9"/>
      <c r="Q306" s="7">
        <v>0</v>
      </c>
      <c r="R306" s="8">
        <f>IFERROR(Q306/Q327, "NA")</f>
        <v>0</v>
      </c>
      <c r="S306" s="9"/>
      <c r="T306" s="7">
        <v>0</v>
      </c>
      <c r="U306" s="8">
        <f>IFERROR(T306/T327, "NA")</f>
        <v>0</v>
      </c>
      <c r="V306" s="9"/>
      <c r="W306" s="7">
        <v>0</v>
      </c>
      <c r="X306" s="8">
        <f>IFERROR(W306/W327, "NA")</f>
        <v>0</v>
      </c>
    </row>
    <row r="307" spans="1:24" ht="16.5" customHeight="1" x14ac:dyDescent="0.25">
      <c r="A307" s="6" t="s">
        <v>313</v>
      </c>
      <c r="B307" s="7">
        <v>0</v>
      </c>
      <c r="C307" s="8">
        <f>IFERROR(B307/B327, "NA")</f>
        <v>0</v>
      </c>
      <c r="D307" s="9"/>
      <c r="E307" s="7">
        <v>0</v>
      </c>
      <c r="F307" s="8">
        <f>IFERROR(E307/E327, "NA")</f>
        <v>0</v>
      </c>
      <c r="G307" s="9"/>
      <c r="H307" s="7">
        <v>0</v>
      </c>
      <c r="I307" s="8">
        <f>IFERROR(H307/H327, "NA")</f>
        <v>0</v>
      </c>
      <c r="J307" s="9"/>
      <c r="K307" s="7">
        <v>0</v>
      </c>
      <c r="L307" s="8">
        <f>IFERROR(K307/K327, "NA")</f>
        <v>0</v>
      </c>
      <c r="M307" s="9"/>
      <c r="N307" s="7">
        <v>0</v>
      </c>
      <c r="O307" s="8">
        <f>IFERROR(N307/N327, "NA")</f>
        <v>0</v>
      </c>
      <c r="P307" s="9"/>
      <c r="Q307" s="7">
        <v>0</v>
      </c>
      <c r="R307" s="8">
        <f>IFERROR(Q307/Q327, "NA")</f>
        <v>0</v>
      </c>
      <c r="S307" s="9"/>
      <c r="T307" s="7">
        <v>0</v>
      </c>
      <c r="U307" s="8">
        <f>IFERROR(T307/T327, "NA")</f>
        <v>0</v>
      </c>
      <c r="V307" s="9"/>
      <c r="W307" s="7">
        <v>0</v>
      </c>
      <c r="X307" s="8">
        <f>IFERROR(W307/W327, "NA")</f>
        <v>0</v>
      </c>
    </row>
    <row r="308" spans="1:24" ht="16.5" customHeight="1" x14ac:dyDescent="0.25">
      <c r="A308" s="6" t="s">
        <v>314</v>
      </c>
      <c r="B308" s="7">
        <v>0</v>
      </c>
      <c r="C308" s="8">
        <f>IFERROR(B308/B327, "NA")</f>
        <v>0</v>
      </c>
      <c r="D308" s="9"/>
      <c r="E308" s="7">
        <v>0</v>
      </c>
      <c r="F308" s="8">
        <f>IFERROR(E308/E327, "NA")</f>
        <v>0</v>
      </c>
      <c r="G308" s="9"/>
      <c r="H308" s="7">
        <v>0</v>
      </c>
      <c r="I308" s="8">
        <f>IFERROR(H308/H327, "NA")</f>
        <v>0</v>
      </c>
      <c r="J308" s="9"/>
      <c r="K308" s="7">
        <v>0</v>
      </c>
      <c r="L308" s="8">
        <f>IFERROR(K308/K327, "NA")</f>
        <v>0</v>
      </c>
      <c r="M308" s="9"/>
      <c r="N308" s="7">
        <v>0</v>
      </c>
      <c r="O308" s="8">
        <f>IFERROR(N308/N327, "NA")</f>
        <v>0</v>
      </c>
      <c r="P308" s="9"/>
      <c r="Q308" s="7">
        <v>0</v>
      </c>
      <c r="R308" s="8">
        <f>IFERROR(Q308/Q327, "NA")</f>
        <v>0</v>
      </c>
      <c r="S308" s="9"/>
      <c r="T308" s="7">
        <v>0</v>
      </c>
      <c r="U308" s="8">
        <f>IFERROR(T308/T327, "NA")</f>
        <v>0</v>
      </c>
      <c r="V308" s="9"/>
      <c r="W308" s="7">
        <v>0</v>
      </c>
      <c r="X308" s="8">
        <f>IFERROR(W308/W327, "NA")</f>
        <v>0</v>
      </c>
    </row>
    <row r="309" spans="1:24" ht="16.5" customHeight="1" x14ac:dyDescent="0.25">
      <c r="A309" s="6" t="s">
        <v>315</v>
      </c>
      <c r="B309" s="7">
        <v>0</v>
      </c>
      <c r="C309" s="8">
        <f>IFERROR(B309/B327, "NA")</f>
        <v>0</v>
      </c>
      <c r="D309" s="9"/>
      <c r="E309" s="7">
        <v>0</v>
      </c>
      <c r="F309" s="8">
        <f>IFERROR(E309/E327, "NA")</f>
        <v>0</v>
      </c>
      <c r="G309" s="9"/>
      <c r="H309" s="7">
        <v>0</v>
      </c>
      <c r="I309" s="8">
        <f>IFERROR(H309/H327, "NA")</f>
        <v>0</v>
      </c>
      <c r="J309" s="9"/>
      <c r="K309" s="7">
        <v>0</v>
      </c>
      <c r="L309" s="8">
        <f>IFERROR(K309/K327, "NA")</f>
        <v>0</v>
      </c>
      <c r="M309" s="9"/>
      <c r="N309" s="7">
        <v>0</v>
      </c>
      <c r="O309" s="8">
        <f>IFERROR(N309/N327, "NA")</f>
        <v>0</v>
      </c>
      <c r="P309" s="9"/>
      <c r="Q309" s="7">
        <v>0</v>
      </c>
      <c r="R309" s="8">
        <f>IFERROR(Q309/Q327, "NA")</f>
        <v>0</v>
      </c>
      <c r="S309" s="9"/>
      <c r="T309" s="7">
        <v>0</v>
      </c>
      <c r="U309" s="8">
        <f>IFERROR(T309/T327, "NA")</f>
        <v>0</v>
      </c>
      <c r="V309" s="9"/>
      <c r="W309" s="7">
        <v>0</v>
      </c>
      <c r="X309" s="8">
        <f>IFERROR(W309/W327, "NA")</f>
        <v>0</v>
      </c>
    </row>
    <row r="310" spans="1:24" ht="16.5" customHeight="1" x14ac:dyDescent="0.25">
      <c r="A310" s="6" t="s">
        <v>316</v>
      </c>
      <c r="B310" s="7">
        <v>0</v>
      </c>
      <c r="C310" s="8">
        <f>IFERROR(B310/B327, "NA")</f>
        <v>0</v>
      </c>
      <c r="D310" s="9"/>
      <c r="E310" s="7">
        <v>0</v>
      </c>
      <c r="F310" s="8">
        <f>IFERROR(E310/E327, "NA")</f>
        <v>0</v>
      </c>
      <c r="G310" s="9"/>
      <c r="H310" s="7">
        <v>0</v>
      </c>
      <c r="I310" s="8">
        <f>IFERROR(H310/H327, "NA")</f>
        <v>0</v>
      </c>
      <c r="J310" s="9"/>
      <c r="K310" s="7">
        <v>0</v>
      </c>
      <c r="L310" s="8">
        <f>IFERROR(K310/K327, "NA")</f>
        <v>0</v>
      </c>
      <c r="M310" s="9"/>
      <c r="N310" s="7">
        <v>0</v>
      </c>
      <c r="O310" s="8">
        <f>IFERROR(N310/N327, "NA")</f>
        <v>0</v>
      </c>
      <c r="P310" s="9"/>
      <c r="Q310" s="7">
        <v>0</v>
      </c>
      <c r="R310" s="8">
        <f>IFERROR(Q310/Q327, "NA")</f>
        <v>0</v>
      </c>
      <c r="S310" s="9"/>
      <c r="T310" s="7">
        <v>0</v>
      </c>
      <c r="U310" s="8">
        <f>IFERROR(T310/T327, "NA")</f>
        <v>0</v>
      </c>
      <c r="V310" s="9"/>
      <c r="W310" s="7">
        <v>0</v>
      </c>
      <c r="X310" s="8">
        <f>IFERROR(W310/W327, "NA")</f>
        <v>0</v>
      </c>
    </row>
    <row r="311" spans="1:24" ht="16.5" customHeight="1" x14ac:dyDescent="0.25">
      <c r="A311" s="6" t="s">
        <v>317</v>
      </c>
      <c r="B311" s="7">
        <v>0</v>
      </c>
      <c r="C311" s="8">
        <f>IFERROR(B311/B327, "NA")</f>
        <v>0</v>
      </c>
      <c r="D311" s="9"/>
      <c r="E311" s="7">
        <v>0</v>
      </c>
      <c r="F311" s="8">
        <f>IFERROR(E311/E327, "NA")</f>
        <v>0</v>
      </c>
      <c r="G311" s="9"/>
      <c r="H311" s="7">
        <v>0</v>
      </c>
      <c r="I311" s="8">
        <f>IFERROR(H311/H327, "NA")</f>
        <v>0</v>
      </c>
      <c r="J311" s="9"/>
      <c r="K311" s="7">
        <v>0</v>
      </c>
      <c r="L311" s="8">
        <f>IFERROR(K311/K327, "NA")</f>
        <v>0</v>
      </c>
      <c r="M311" s="9"/>
      <c r="N311" s="7">
        <v>0</v>
      </c>
      <c r="O311" s="8">
        <f>IFERROR(N311/N327, "NA")</f>
        <v>0</v>
      </c>
      <c r="P311" s="9"/>
      <c r="Q311" s="7">
        <v>0</v>
      </c>
      <c r="R311" s="8">
        <f>IFERROR(Q311/Q327, "NA")</f>
        <v>0</v>
      </c>
      <c r="S311" s="9"/>
      <c r="T311" s="7">
        <v>0</v>
      </c>
      <c r="U311" s="8">
        <f>IFERROR(T311/T327, "NA")</f>
        <v>0</v>
      </c>
      <c r="V311" s="9"/>
      <c r="W311" s="7">
        <v>0</v>
      </c>
      <c r="X311" s="8">
        <f>IFERROR(W311/W327, "NA")</f>
        <v>0</v>
      </c>
    </row>
    <row r="312" spans="1:24" ht="16.5" customHeight="1" x14ac:dyDescent="0.25">
      <c r="A312" s="6" t="s">
        <v>318</v>
      </c>
      <c r="B312" s="7">
        <v>0</v>
      </c>
      <c r="C312" s="8">
        <f>IFERROR(B312/B327, "NA")</f>
        <v>0</v>
      </c>
      <c r="D312" s="9"/>
      <c r="E312" s="7">
        <v>0</v>
      </c>
      <c r="F312" s="8">
        <f>IFERROR(E312/E327, "NA")</f>
        <v>0</v>
      </c>
      <c r="G312" s="9"/>
      <c r="H312" s="7">
        <v>0</v>
      </c>
      <c r="I312" s="8">
        <f>IFERROR(H312/H327, "NA")</f>
        <v>0</v>
      </c>
      <c r="J312" s="9"/>
      <c r="K312" s="7">
        <v>0</v>
      </c>
      <c r="L312" s="8">
        <f>IFERROR(K312/K327, "NA")</f>
        <v>0</v>
      </c>
      <c r="M312" s="9"/>
      <c r="N312" s="7">
        <v>0</v>
      </c>
      <c r="O312" s="8">
        <f>IFERROR(N312/N327, "NA")</f>
        <v>0</v>
      </c>
      <c r="P312" s="9"/>
      <c r="Q312" s="7">
        <v>0</v>
      </c>
      <c r="R312" s="8">
        <f>IFERROR(Q312/Q327, "NA")</f>
        <v>0</v>
      </c>
      <c r="S312" s="9"/>
      <c r="T312" s="7">
        <v>0</v>
      </c>
      <c r="U312" s="8">
        <f>IFERROR(T312/T327, "NA")</f>
        <v>0</v>
      </c>
      <c r="V312" s="9"/>
      <c r="W312" s="7">
        <v>0</v>
      </c>
      <c r="X312" s="8">
        <f>IFERROR(W312/W327, "NA")</f>
        <v>0</v>
      </c>
    </row>
    <row r="313" spans="1:24" ht="16.5" customHeight="1" x14ac:dyDescent="0.25">
      <c r="A313" s="6" t="s">
        <v>319</v>
      </c>
      <c r="B313" s="7">
        <v>0</v>
      </c>
      <c r="C313" s="8">
        <f>IFERROR(B313/B327, "NA")</f>
        <v>0</v>
      </c>
      <c r="D313" s="9"/>
      <c r="E313" s="7">
        <v>0</v>
      </c>
      <c r="F313" s="8">
        <f>IFERROR(E313/E327, "NA")</f>
        <v>0</v>
      </c>
      <c r="G313" s="9"/>
      <c r="H313" s="7">
        <v>0</v>
      </c>
      <c r="I313" s="8">
        <f>IFERROR(H313/H327, "NA")</f>
        <v>0</v>
      </c>
      <c r="J313" s="9"/>
      <c r="K313" s="7">
        <v>0</v>
      </c>
      <c r="L313" s="8">
        <f>IFERROR(K313/K327, "NA")</f>
        <v>0</v>
      </c>
      <c r="M313" s="9"/>
      <c r="N313" s="7">
        <v>0</v>
      </c>
      <c r="O313" s="8">
        <f>IFERROR(N313/N327, "NA")</f>
        <v>0</v>
      </c>
      <c r="P313" s="9"/>
      <c r="Q313" s="7">
        <v>0</v>
      </c>
      <c r="R313" s="8">
        <f>IFERROR(Q313/Q327, "NA")</f>
        <v>0</v>
      </c>
      <c r="S313" s="9"/>
      <c r="T313" s="7">
        <v>0</v>
      </c>
      <c r="U313" s="8">
        <f>IFERROR(T313/T327, "NA")</f>
        <v>0</v>
      </c>
      <c r="V313" s="9"/>
      <c r="W313" s="7">
        <v>0</v>
      </c>
      <c r="X313" s="8">
        <f>IFERROR(W313/W327, "NA")</f>
        <v>0</v>
      </c>
    </row>
    <row r="314" spans="1:24" ht="16.5" customHeight="1" x14ac:dyDescent="0.25">
      <c r="A314" s="10" t="s">
        <v>320</v>
      </c>
      <c r="B314" s="11">
        <f>IFERROR(B287+B288+B289+B290+B291+B292+B293+B294+B295+B296+B297+B298+B299+B300+B301+B302+B303+B304+B305+B306+B307+B308+B309+B310+B311+B312+B313, "NA")</f>
        <v>18275.199999999997</v>
      </c>
      <c r="C314" s="12">
        <f>IFERROR(B314/B327, "NA")</f>
        <v>5.1788914040440136E-2</v>
      </c>
      <c r="D314" s="2"/>
      <c r="E314" s="11">
        <f>IFERROR(E287+E288+E289+E290+E291+E292+E293+E294+E295+E296+E297+E298+E299+E300+E301+E302+E303+E304+E305+E306+E307+E308+E309+E310+E311+E312+E313, "NA")</f>
        <v>8937.0400000000009</v>
      </c>
      <c r="F314" s="12">
        <f>IFERROR(E314/E327, "NA")</f>
        <v>5.9483696867592036E-2</v>
      </c>
      <c r="G314" s="2"/>
      <c r="H314" s="11">
        <f>IFERROR(H287+H288+H289+H290+H291+H292+H293+H294+H295+H296+H297+H298+H299+H300+H301+H302+H303+H304+H305+H306+H307+H308+H309+H310+H311+H312+H313, "NA")</f>
        <v>13387.2</v>
      </c>
      <c r="I314" s="12">
        <f>IFERROR(H314/H327, "NA")</f>
        <v>5.2954753574402359E-2</v>
      </c>
      <c r="J314" s="2"/>
      <c r="K314" s="11">
        <f>IFERROR(K287+K288+K289+K290+K291+K292+K293+K294+K295+K296+K297+K298+K299+K300+K301+K302+K303+K304+K305+K306+K307+K308+K309+K310+K311+K312+K313, "NA")</f>
        <v>7967.06</v>
      </c>
      <c r="L314" s="12">
        <f>IFERROR(K314/K327, "NA")</f>
        <v>6.0935434089611822E-2</v>
      </c>
      <c r="M314" s="2"/>
      <c r="N314" s="11">
        <f>IFERROR(N287+N288+N289+N290+N291+N292+N293+N294+N295+N296+N297+N298+N299+N300+N301+N302+N303+N304+N305+N306+N307+N308+N309+N310+N311+N312+N313, "NA")</f>
        <v>6730.38</v>
      </c>
      <c r="O314" s="12">
        <f>IFERROR(N314/N327, "NA")</f>
        <v>5.3625500649047052E-2</v>
      </c>
      <c r="P314" s="2"/>
      <c r="Q314" s="11">
        <f>IFERROR(Q287+Q288+Q289+Q290+Q291+Q292+Q293+Q294+Q295+Q296+Q297+Q298+Q299+Q300+Q301+Q302+Q303+Q304+Q305+Q306+Q307+Q308+Q309+Q310+Q311+Q312+Q313, "NA")</f>
        <v>4756</v>
      </c>
      <c r="R314" s="12">
        <f>IFERROR(Q314/Q327, "NA")</f>
        <v>5.9673776662484315E-2</v>
      </c>
      <c r="S314" s="2"/>
      <c r="T314" s="11">
        <f>IFERROR(T287+T288+T289+T290+T291+T292+T293+T294+T295+T296+T297+T298+T299+T300+T301+T302+T303+T304+T305+T306+T307+T308+T309+T310+T311+T312+T313, "NA")</f>
        <v>6488.2000000000007</v>
      </c>
      <c r="U314" s="12">
        <f>IFERROR(T314/T327, "NA")</f>
        <v>7.3616360300583314E-2</v>
      </c>
      <c r="V314" s="2"/>
      <c r="W314" s="11">
        <f>IFERROR(W287+W288+W289+W290+W291+W292+W293+W294+W295+W296+W297+W298+W299+W300+W301+W302+W303+W304+W305+W306+W307+W308+W309+W310+W311+W312+W313, "NA")</f>
        <v>8212.119999999999</v>
      </c>
      <c r="X314" s="12">
        <f>IFERROR(W314/W327, "NA")</f>
        <v>5.5889691748897789E-2</v>
      </c>
    </row>
    <row r="315" spans="1:24" ht="16.5" customHeight="1" x14ac:dyDescent="0.25">
      <c r="A315" s="5" t="s">
        <v>321</v>
      </c>
      <c r="B315" s="2"/>
      <c r="C315" s="3"/>
      <c r="D315" s="4"/>
      <c r="E315" s="2"/>
      <c r="F315" s="3"/>
      <c r="G315" s="4"/>
      <c r="H315" s="2"/>
      <c r="I315" s="3"/>
      <c r="J315" s="4"/>
      <c r="K315" s="2"/>
      <c r="L315" s="3"/>
      <c r="M315" s="4"/>
      <c r="N315" s="2"/>
      <c r="O315" s="3"/>
      <c r="P315" s="4"/>
      <c r="Q315" s="2"/>
      <c r="R315" s="3"/>
      <c r="S315" s="4"/>
      <c r="T315" s="2"/>
      <c r="U315" s="3"/>
      <c r="V315" s="4"/>
      <c r="W315" s="2"/>
      <c r="X315" s="3"/>
    </row>
    <row r="316" spans="1:24" ht="16.5" customHeight="1" x14ac:dyDescent="0.25">
      <c r="A316" s="6" t="s">
        <v>322</v>
      </c>
      <c r="B316" s="7">
        <v>0</v>
      </c>
      <c r="C316" s="8">
        <f>IFERROR(B316/B327, "NA")</f>
        <v>0</v>
      </c>
      <c r="D316" s="9"/>
      <c r="E316" s="7">
        <v>0</v>
      </c>
      <c r="F316" s="8">
        <f>IFERROR(E316/E327, "NA")</f>
        <v>0</v>
      </c>
      <c r="G316" s="9"/>
      <c r="H316" s="7">
        <v>0</v>
      </c>
      <c r="I316" s="8">
        <f>IFERROR(H316/H327, "NA")</f>
        <v>0</v>
      </c>
      <c r="J316" s="9"/>
      <c r="K316" s="7">
        <v>0</v>
      </c>
      <c r="L316" s="8">
        <f>IFERROR(K316/K327, "NA")</f>
        <v>0</v>
      </c>
      <c r="M316" s="9"/>
      <c r="N316" s="7">
        <v>0</v>
      </c>
      <c r="O316" s="8">
        <f>IFERROR(N316/N327, "NA")</f>
        <v>0</v>
      </c>
      <c r="P316" s="9"/>
      <c r="Q316" s="7">
        <v>0</v>
      </c>
      <c r="R316" s="8">
        <f>IFERROR(Q316/Q327, "NA")</f>
        <v>0</v>
      </c>
      <c r="S316" s="9"/>
      <c r="T316" s="7">
        <v>0</v>
      </c>
      <c r="U316" s="8">
        <f>IFERROR(T316/T327, "NA")</f>
        <v>0</v>
      </c>
      <c r="V316" s="9"/>
      <c r="W316" s="7">
        <v>0</v>
      </c>
      <c r="X316" s="8">
        <f>IFERROR(W316/W327, "NA")</f>
        <v>0</v>
      </c>
    </row>
    <row r="317" spans="1:24" ht="16.5" customHeight="1" x14ac:dyDescent="0.25">
      <c r="A317" s="6" t="s">
        <v>323</v>
      </c>
      <c r="B317" s="7">
        <v>0</v>
      </c>
      <c r="C317" s="8">
        <f>IFERROR(B317/B327, "NA")</f>
        <v>0</v>
      </c>
      <c r="D317" s="9"/>
      <c r="E317" s="7">
        <v>0</v>
      </c>
      <c r="F317" s="8">
        <f>IFERROR(E317/E327, "NA")</f>
        <v>0</v>
      </c>
      <c r="G317" s="9"/>
      <c r="H317" s="7">
        <v>0</v>
      </c>
      <c r="I317" s="8">
        <f>IFERROR(H317/H327, "NA")</f>
        <v>0</v>
      </c>
      <c r="J317" s="9"/>
      <c r="K317" s="7">
        <v>0</v>
      </c>
      <c r="L317" s="8">
        <f>IFERROR(K317/K327, "NA")</f>
        <v>0</v>
      </c>
      <c r="M317" s="9"/>
      <c r="N317" s="7">
        <v>0</v>
      </c>
      <c r="O317" s="8">
        <f>IFERROR(N317/N327, "NA")</f>
        <v>0</v>
      </c>
      <c r="P317" s="9"/>
      <c r="Q317" s="7">
        <v>0</v>
      </c>
      <c r="R317" s="8">
        <f>IFERROR(Q317/Q327, "NA")</f>
        <v>0</v>
      </c>
      <c r="S317" s="9"/>
      <c r="T317" s="7">
        <v>0</v>
      </c>
      <c r="U317" s="8">
        <f>IFERROR(T317/T327, "NA")</f>
        <v>0</v>
      </c>
      <c r="V317" s="9"/>
      <c r="W317" s="7">
        <v>0</v>
      </c>
      <c r="X317" s="8">
        <f>IFERROR(W317/W327, "NA")</f>
        <v>0</v>
      </c>
    </row>
    <row r="318" spans="1:24" ht="16.5" customHeight="1" x14ac:dyDescent="0.25">
      <c r="A318" s="6" t="s">
        <v>324</v>
      </c>
      <c r="B318" s="7">
        <v>0</v>
      </c>
      <c r="C318" s="8">
        <f>IFERROR(B318/B327, "NA")</f>
        <v>0</v>
      </c>
      <c r="D318" s="9"/>
      <c r="E318" s="7">
        <v>0</v>
      </c>
      <c r="F318" s="8">
        <f>IFERROR(E318/E327, "NA")</f>
        <v>0</v>
      </c>
      <c r="G318" s="9"/>
      <c r="H318" s="7">
        <v>0</v>
      </c>
      <c r="I318" s="8">
        <f>IFERROR(H318/H327, "NA")</f>
        <v>0</v>
      </c>
      <c r="J318" s="9"/>
      <c r="K318" s="7">
        <v>0</v>
      </c>
      <c r="L318" s="8">
        <f>IFERROR(K318/K327, "NA")</f>
        <v>0</v>
      </c>
      <c r="M318" s="9"/>
      <c r="N318" s="7">
        <v>0</v>
      </c>
      <c r="O318" s="8">
        <f>IFERROR(N318/N327, "NA")</f>
        <v>0</v>
      </c>
      <c r="P318" s="9"/>
      <c r="Q318" s="7">
        <v>0</v>
      </c>
      <c r="R318" s="8">
        <f>IFERROR(Q318/Q327, "NA")</f>
        <v>0</v>
      </c>
      <c r="S318" s="9"/>
      <c r="T318" s="7">
        <v>0</v>
      </c>
      <c r="U318" s="8">
        <f>IFERROR(T318/T327, "NA")</f>
        <v>0</v>
      </c>
      <c r="V318" s="9"/>
      <c r="W318" s="7">
        <v>0</v>
      </c>
      <c r="X318" s="8">
        <f>IFERROR(W318/W327, "NA")</f>
        <v>0</v>
      </c>
    </row>
    <row r="319" spans="1:24" ht="16.5" customHeight="1" x14ac:dyDescent="0.25">
      <c r="A319" s="6" t="s">
        <v>325</v>
      </c>
      <c r="B319" s="7">
        <v>0</v>
      </c>
      <c r="C319" s="8">
        <f>IFERROR(B319/B327, "NA")</f>
        <v>0</v>
      </c>
      <c r="D319" s="9"/>
      <c r="E319" s="7">
        <v>0</v>
      </c>
      <c r="F319" s="8">
        <f>IFERROR(E319/E327, "NA")</f>
        <v>0</v>
      </c>
      <c r="G319" s="9"/>
      <c r="H319" s="7">
        <v>0</v>
      </c>
      <c r="I319" s="8">
        <f>IFERROR(H319/H327, "NA")</f>
        <v>0</v>
      </c>
      <c r="J319" s="9"/>
      <c r="K319" s="7">
        <v>0</v>
      </c>
      <c r="L319" s="8">
        <f>IFERROR(K319/K327, "NA")</f>
        <v>0</v>
      </c>
      <c r="M319" s="9"/>
      <c r="N319" s="7">
        <v>0</v>
      </c>
      <c r="O319" s="8">
        <f>IFERROR(N319/N327, "NA")</f>
        <v>0</v>
      </c>
      <c r="P319" s="9"/>
      <c r="Q319" s="7">
        <v>0</v>
      </c>
      <c r="R319" s="8">
        <f>IFERROR(Q319/Q327, "NA")</f>
        <v>0</v>
      </c>
      <c r="S319" s="9"/>
      <c r="T319" s="7">
        <v>0</v>
      </c>
      <c r="U319" s="8">
        <f>IFERROR(T319/T327, "NA")</f>
        <v>0</v>
      </c>
      <c r="V319" s="9"/>
      <c r="W319" s="7">
        <v>0</v>
      </c>
      <c r="X319" s="8">
        <f>IFERROR(W319/W327, "NA")</f>
        <v>0</v>
      </c>
    </row>
    <row r="320" spans="1:24" ht="16.5" customHeight="1" x14ac:dyDescent="0.25">
      <c r="A320" s="6" t="s">
        <v>326</v>
      </c>
      <c r="B320" s="7">
        <v>0</v>
      </c>
      <c r="C320" s="8">
        <f>IFERROR(B320/B327, "NA")</f>
        <v>0</v>
      </c>
      <c r="D320" s="9"/>
      <c r="E320" s="7">
        <v>0</v>
      </c>
      <c r="F320" s="8">
        <f>IFERROR(E320/E327, "NA")</f>
        <v>0</v>
      </c>
      <c r="G320" s="9"/>
      <c r="H320" s="7">
        <v>0</v>
      </c>
      <c r="I320" s="8">
        <f>IFERROR(H320/H327, "NA")</f>
        <v>0</v>
      </c>
      <c r="J320" s="9"/>
      <c r="K320" s="7">
        <v>0</v>
      </c>
      <c r="L320" s="8">
        <f>IFERROR(K320/K327, "NA")</f>
        <v>0</v>
      </c>
      <c r="M320" s="9"/>
      <c r="N320" s="7">
        <v>0</v>
      </c>
      <c r="O320" s="8">
        <f>IFERROR(N320/N327, "NA")</f>
        <v>0</v>
      </c>
      <c r="P320" s="9"/>
      <c r="Q320" s="7">
        <v>0</v>
      </c>
      <c r="R320" s="8">
        <f>IFERROR(Q320/Q327, "NA")</f>
        <v>0</v>
      </c>
      <c r="S320" s="9"/>
      <c r="T320" s="7">
        <v>0</v>
      </c>
      <c r="U320" s="8">
        <f>IFERROR(T320/T327, "NA")</f>
        <v>0</v>
      </c>
      <c r="V320" s="9"/>
      <c r="W320" s="7">
        <v>0</v>
      </c>
      <c r="X320" s="8">
        <f>IFERROR(W320/W327, "NA")</f>
        <v>0</v>
      </c>
    </row>
    <row r="321" spans="1:24" ht="16.5" customHeight="1" x14ac:dyDescent="0.25">
      <c r="A321" s="6" t="s">
        <v>327</v>
      </c>
      <c r="B321" s="7">
        <v>0</v>
      </c>
      <c r="C321" s="8">
        <f>IFERROR(B321/B327, "NA")</f>
        <v>0</v>
      </c>
      <c r="D321" s="9"/>
      <c r="E321" s="7">
        <v>0</v>
      </c>
      <c r="F321" s="8">
        <f>IFERROR(E321/E327, "NA")</f>
        <v>0</v>
      </c>
      <c r="G321" s="9"/>
      <c r="H321" s="7">
        <v>0</v>
      </c>
      <c r="I321" s="8">
        <f>IFERROR(H321/H327, "NA")</f>
        <v>0</v>
      </c>
      <c r="J321" s="9"/>
      <c r="K321" s="7">
        <v>0</v>
      </c>
      <c r="L321" s="8">
        <f>IFERROR(K321/K327, "NA")</f>
        <v>0</v>
      </c>
      <c r="M321" s="9"/>
      <c r="N321" s="7">
        <v>0</v>
      </c>
      <c r="O321" s="8">
        <f>IFERROR(N321/N327, "NA")</f>
        <v>0</v>
      </c>
      <c r="P321" s="9"/>
      <c r="Q321" s="7">
        <v>0</v>
      </c>
      <c r="R321" s="8">
        <f>IFERROR(Q321/Q327, "NA")</f>
        <v>0</v>
      </c>
      <c r="S321" s="9"/>
      <c r="T321" s="7">
        <v>0</v>
      </c>
      <c r="U321" s="8">
        <f>IFERROR(T321/T327, "NA")</f>
        <v>0</v>
      </c>
      <c r="V321" s="9"/>
      <c r="W321" s="7">
        <v>0</v>
      </c>
      <c r="X321" s="8">
        <f>IFERROR(W321/W327, "NA")</f>
        <v>0</v>
      </c>
    </row>
    <row r="322" spans="1:24" ht="16.5" customHeight="1" x14ac:dyDescent="0.25">
      <c r="A322" s="6" t="s">
        <v>328</v>
      </c>
      <c r="B322" s="7">
        <v>0</v>
      </c>
      <c r="C322" s="8">
        <f>IFERROR(B322/B327, "NA")</f>
        <v>0</v>
      </c>
      <c r="D322" s="9"/>
      <c r="E322" s="7">
        <v>0</v>
      </c>
      <c r="F322" s="8">
        <f>IFERROR(E322/E327, "NA")</f>
        <v>0</v>
      </c>
      <c r="G322" s="9"/>
      <c r="H322" s="7">
        <v>0</v>
      </c>
      <c r="I322" s="8">
        <f>IFERROR(H322/H327, "NA")</f>
        <v>0</v>
      </c>
      <c r="J322" s="9"/>
      <c r="K322" s="7">
        <v>0</v>
      </c>
      <c r="L322" s="8">
        <f>IFERROR(K322/K327, "NA")</f>
        <v>0</v>
      </c>
      <c r="M322" s="9"/>
      <c r="N322" s="7">
        <v>2756</v>
      </c>
      <c r="O322" s="8">
        <f>IFERROR(N322/N327, "NA")</f>
        <v>2.1958920564481302E-2</v>
      </c>
      <c r="P322" s="9"/>
      <c r="Q322" s="7">
        <v>0</v>
      </c>
      <c r="R322" s="8">
        <f>IFERROR(Q322/Q327, "NA")</f>
        <v>0</v>
      </c>
      <c r="S322" s="9"/>
      <c r="T322" s="7">
        <v>0</v>
      </c>
      <c r="U322" s="8">
        <f>IFERROR(T322/T327, "NA")</f>
        <v>0</v>
      </c>
      <c r="V322" s="9"/>
      <c r="W322" s="7">
        <v>0</v>
      </c>
      <c r="X322" s="8">
        <f>IFERROR(W322/W327, "NA")</f>
        <v>0</v>
      </c>
    </row>
    <row r="323" spans="1:24" ht="16.5" customHeight="1" x14ac:dyDescent="0.25">
      <c r="A323" s="6" t="s">
        <v>329</v>
      </c>
      <c r="B323" s="7">
        <v>0</v>
      </c>
      <c r="C323" s="8">
        <f>IFERROR(B323/B327, "NA")</f>
        <v>0</v>
      </c>
      <c r="D323" s="9"/>
      <c r="E323" s="7">
        <v>0</v>
      </c>
      <c r="F323" s="8">
        <f>IFERROR(E323/E327, "NA")</f>
        <v>0</v>
      </c>
      <c r="G323" s="9"/>
      <c r="H323" s="7">
        <v>0</v>
      </c>
      <c r="I323" s="8">
        <f>IFERROR(H323/H327, "NA")</f>
        <v>0</v>
      </c>
      <c r="J323" s="9"/>
      <c r="K323" s="7">
        <v>0</v>
      </c>
      <c r="L323" s="8">
        <f>IFERROR(K323/K327, "NA")</f>
        <v>0</v>
      </c>
      <c r="M323" s="9"/>
      <c r="N323" s="7">
        <v>0</v>
      </c>
      <c r="O323" s="8">
        <f>IFERROR(N323/N327, "NA")</f>
        <v>0</v>
      </c>
      <c r="P323" s="9"/>
      <c r="Q323" s="7">
        <v>0</v>
      </c>
      <c r="R323" s="8">
        <f>IFERROR(Q323/Q327, "NA")</f>
        <v>0</v>
      </c>
      <c r="S323" s="9"/>
      <c r="T323" s="7">
        <v>0</v>
      </c>
      <c r="U323" s="8">
        <f>IFERROR(T323/T327, "NA")</f>
        <v>0</v>
      </c>
      <c r="V323" s="9"/>
      <c r="W323" s="7">
        <v>0</v>
      </c>
      <c r="X323" s="8">
        <f>IFERROR(W323/W327, "NA")</f>
        <v>0</v>
      </c>
    </row>
    <row r="324" spans="1:24" ht="16.5" customHeight="1" x14ac:dyDescent="0.25">
      <c r="A324" s="10" t="s">
        <v>330</v>
      </c>
      <c r="B324" s="11">
        <f>IFERROR(B316+B317+B318+B319+B320+B321+B322+B323, "NA")</f>
        <v>0</v>
      </c>
      <c r="C324" s="12">
        <f>IFERROR(B324/B327, "NA")</f>
        <v>0</v>
      </c>
      <c r="D324" s="2"/>
      <c r="E324" s="11">
        <f>IFERROR(E316+E317+E318+E319+E320+E321+E322+E323, "NA")</f>
        <v>0</v>
      </c>
      <c r="F324" s="12">
        <f>IFERROR(E324/E327, "NA")</f>
        <v>0</v>
      </c>
      <c r="G324" s="2"/>
      <c r="H324" s="11">
        <f>IFERROR(H316+H317+H318+H319+H320+H321+H322+H323, "NA")</f>
        <v>0</v>
      </c>
      <c r="I324" s="12">
        <f>IFERROR(H324/H327, "NA")</f>
        <v>0</v>
      </c>
      <c r="J324" s="2"/>
      <c r="K324" s="11">
        <f>IFERROR(K316+K317+K318+K319+K320+K321+K322+K323, "NA")</f>
        <v>0</v>
      </c>
      <c r="L324" s="12">
        <f>IFERROR(K324/K327, "NA")</f>
        <v>0</v>
      </c>
      <c r="M324" s="2"/>
      <c r="N324" s="11">
        <f>IFERROR(N316+N317+N318+N319+N320+N321+N322+N323, "NA")</f>
        <v>2756</v>
      </c>
      <c r="O324" s="12">
        <f>IFERROR(N324/N327, "NA")</f>
        <v>2.1958920564481302E-2</v>
      </c>
      <c r="P324" s="2"/>
      <c r="Q324" s="11">
        <f>IFERROR(Q316+Q317+Q318+Q319+Q320+Q321+Q322+Q323, "NA")</f>
        <v>0</v>
      </c>
      <c r="R324" s="12">
        <f>IFERROR(Q324/Q327, "NA")</f>
        <v>0</v>
      </c>
      <c r="S324" s="2"/>
      <c r="T324" s="11">
        <f>IFERROR(T316+T317+T318+T319+T320+T321+T322+T323, "NA")</f>
        <v>0</v>
      </c>
      <c r="U324" s="12">
        <f>IFERROR(T324/T327, "NA")</f>
        <v>0</v>
      </c>
      <c r="V324" s="2"/>
      <c r="W324" s="11">
        <f>IFERROR(W316+W317+W318+W319+W320+W321+W322+W323, "NA")</f>
        <v>0</v>
      </c>
      <c r="X324" s="12">
        <f>IFERROR(W324/W327, "NA")</f>
        <v>0</v>
      </c>
    </row>
    <row r="325" spans="1:24" ht="16.5" customHeight="1" x14ac:dyDescent="0.25">
      <c r="A325" s="14" t="s">
        <v>331</v>
      </c>
      <c r="B325" s="11">
        <f>IFERROR(B287+B288+B289+B290+B291+B292+B293+B294+B295+B296+B297+B298+B299+B300+B301+B302+B303+B304+B305+B306+B307+B308+B309+B310+B311+B312+B313+B316+B317+B318+B319+B320+B321+B322+B323, "NA")</f>
        <v>18275.199999999997</v>
      </c>
      <c r="C325" s="12">
        <f>IFERROR(B325/B327, "NA")</f>
        <v>5.1788914040440136E-2</v>
      </c>
      <c r="D325" s="2"/>
      <c r="E325" s="11">
        <f>IFERROR(E287+E288+E289+E290+E291+E292+E293+E294+E295+E296+E297+E298+E299+E300+E301+E302+E303+E304+E305+E306+E307+E308+E309+E310+E311+E312+E313+E316+E317+E318+E319+E320+E321+E322+E323, "NA")</f>
        <v>8937.0400000000009</v>
      </c>
      <c r="F325" s="12">
        <f>IFERROR(E325/E327, "NA")</f>
        <v>5.9483696867592036E-2</v>
      </c>
      <c r="G325" s="2"/>
      <c r="H325" s="11">
        <f>IFERROR(H287+H288+H289+H290+H291+H292+H293+H294+H295+H296+H297+H298+H299+H300+H301+H302+H303+H304+H305+H306+H307+H308+H309+H310+H311+H312+H313+H316+H317+H318+H319+H320+H321+H322+H323, "NA")</f>
        <v>13387.2</v>
      </c>
      <c r="I325" s="12">
        <f>IFERROR(H325/H327, "NA")</f>
        <v>5.2954753574402359E-2</v>
      </c>
      <c r="J325" s="2"/>
      <c r="K325" s="11">
        <f>IFERROR(K287+K288+K289+K290+K291+K292+K293+K294+K295+K296+K297+K298+K299+K300+K301+K302+K303+K304+K305+K306+K307+K308+K309+K310+K311+K312+K313+K316+K317+K318+K319+K320+K321+K322+K323, "NA")</f>
        <v>7967.06</v>
      </c>
      <c r="L325" s="12">
        <f>IFERROR(K325/K327, "NA")</f>
        <v>6.0935434089611822E-2</v>
      </c>
      <c r="M325" s="2"/>
      <c r="N325" s="11">
        <f>IFERROR(N287+N288+N289+N290+N291+N292+N293+N294+N295+N296+N297+N298+N299+N300+N301+N302+N303+N304+N305+N306+N307+N308+N309+N310+N311+N312+N313+N316+N317+N318+N319+N320+N321+N322+N323, "NA")</f>
        <v>9486.380000000001</v>
      </c>
      <c r="O325" s="12">
        <f>IFERROR(N325/N327, "NA")</f>
        <v>7.5584421213528361E-2</v>
      </c>
      <c r="P325" s="2"/>
      <c r="Q325" s="11">
        <f>IFERROR(Q287+Q288+Q289+Q290+Q291+Q292+Q293+Q294+Q295+Q296+Q297+Q298+Q299+Q300+Q301+Q302+Q303+Q304+Q305+Q306+Q307+Q308+Q309+Q310+Q311+Q312+Q313+Q316+Q317+Q318+Q319+Q320+Q321+Q322+Q323, "NA")</f>
        <v>4756</v>
      </c>
      <c r="R325" s="12">
        <f>IFERROR(Q325/Q327, "NA")</f>
        <v>5.9673776662484315E-2</v>
      </c>
      <c r="S325" s="2"/>
      <c r="T325" s="11">
        <f>IFERROR(T287+T288+T289+T290+T291+T292+T293+T294+T295+T296+T297+T298+T299+T300+T301+T302+T303+T304+T305+T306+T307+T308+T309+T310+T311+T312+T313+T316+T317+T318+T319+T320+T321+T322+T323, "NA")</f>
        <v>6488.2000000000007</v>
      </c>
      <c r="U325" s="12">
        <f>IFERROR(T325/T327, "NA")</f>
        <v>7.3616360300583314E-2</v>
      </c>
      <c r="V325" s="2"/>
      <c r="W325" s="11">
        <f>IFERROR(W287+W288+W289+W290+W291+W292+W293+W294+W295+W296+W297+W298+W299+W300+W301+W302+W303+W304+W305+W306+W307+W308+W309+W310+W311+W312+W313+W316+W317+W318+W319+W320+W321+W322+W323, "NA")</f>
        <v>8212.119999999999</v>
      </c>
      <c r="X325" s="12">
        <f>IFERROR(W325/W327, "NA")</f>
        <v>5.5889691748897789E-2</v>
      </c>
    </row>
    <row r="326" spans="1:24" ht="16.5" customHeight="1" x14ac:dyDescent="0.25">
      <c r="A326" s="14" t="s">
        <v>332</v>
      </c>
      <c r="B326" s="11">
        <f>IFERROR(+B52-B157-B211-B284-B325, "NA")</f>
        <v>65347.199999999997</v>
      </c>
      <c r="C326" s="12">
        <f>IFERROR(B326/B327, "NA")</f>
        <v>0.18518322773942009</v>
      </c>
      <c r="D326" s="2"/>
      <c r="E326" s="11">
        <f>IFERROR(+E52-E157-E211-E284-E325, "NA")</f>
        <v>48866.660000000018</v>
      </c>
      <c r="F326" s="12">
        <f>IFERROR(E326/E327, "NA")</f>
        <v>0.32524970128495406</v>
      </c>
      <c r="G326" s="2"/>
      <c r="H326" s="11">
        <f>IFERROR(+H52-H157-H211-H284-H325, "NA")</f>
        <v>155159.20999999996</v>
      </c>
      <c r="I326" s="12">
        <f>IFERROR(H326/H327, "NA")</f>
        <v>0.61375177261480696</v>
      </c>
      <c r="J326" s="2"/>
      <c r="K326" s="11">
        <f>IFERROR(+K52-K157-K211-K284-K325, "NA")</f>
        <v>-837.98000000001321</v>
      </c>
      <c r="L326" s="12">
        <f>IFERROR(K326/K327, "NA")</f>
        <v>-6.4092243636189152E-3</v>
      </c>
      <c r="M326" s="2"/>
      <c r="N326" s="11">
        <f>IFERROR(+N52-N157-N211-N284-N325, "NA")</f>
        <v>-53081.679999999993</v>
      </c>
      <c r="O326" s="12">
        <f>IFERROR(N326/N327, "NA")</f>
        <v>-0.42293773387126837</v>
      </c>
      <c r="P326" s="2"/>
      <c r="Q326" s="11">
        <f>IFERROR(+Q52-Q157-Q211-Q284-Q325, "NA")</f>
        <v>1158.9999999999964</v>
      </c>
      <c r="R326" s="12">
        <f>IFERROR(Q326/Q327, "NA")</f>
        <v>1.4542032622333705E-2</v>
      </c>
      <c r="S326" s="2"/>
      <c r="T326" s="11">
        <f>IFERROR(+T52-T157-T211-T284-T325, "NA")</f>
        <v>29588.719999999998</v>
      </c>
      <c r="U326" s="12">
        <f>IFERROR(T326/T327, "NA")</f>
        <v>0.33571928614300961</v>
      </c>
      <c r="V326" s="2"/>
      <c r="W326" s="11">
        <f>IFERROR(+W52-W157-W211-W284-W325, "NA")</f>
        <v>124201.85</v>
      </c>
      <c r="X326" s="12">
        <f>IFERROR(W326/W327, "NA")</f>
        <v>0.84528758848419672</v>
      </c>
    </row>
    <row r="327" spans="1:24" ht="15.75" hidden="1" x14ac:dyDescent="0.25">
      <c r="A327" s="18" t="s">
        <v>58</v>
      </c>
      <c r="B327" s="7">
        <v>352878.61</v>
      </c>
      <c r="C327" s="19"/>
      <c r="D327" s="9"/>
      <c r="E327" s="7">
        <v>150243.51999999999</v>
      </c>
      <c r="F327" s="19"/>
      <c r="G327" s="9"/>
      <c r="H327" s="7">
        <v>252804.5</v>
      </c>
      <c r="I327" s="19"/>
      <c r="J327" s="9"/>
      <c r="K327" s="7">
        <v>130745.93</v>
      </c>
      <c r="L327" s="19"/>
      <c r="M327" s="9"/>
      <c r="N327" s="7">
        <v>125507.08</v>
      </c>
      <c r="O327" s="19"/>
      <c r="P327" s="9"/>
      <c r="Q327" s="7">
        <v>79700</v>
      </c>
      <c r="R327" s="19"/>
      <c r="S327" s="9"/>
      <c r="T327" s="7">
        <v>88135.3</v>
      </c>
      <c r="U327" s="19"/>
      <c r="V327" s="9"/>
      <c r="W327" s="7">
        <v>146934.43</v>
      </c>
      <c r="X327" s="19"/>
    </row>
    <row r="330" spans="1:24" ht="15.75" x14ac:dyDescent="0.25">
      <c r="A330" s="20" t="s">
        <v>333</v>
      </c>
    </row>
    <row r="331" spans="1:24" ht="15.75" x14ac:dyDescent="0.25">
      <c r="A331" s="20" t="s">
        <v>334</v>
      </c>
    </row>
    <row r="332" spans="1:24" ht="15.75" x14ac:dyDescent="0.25">
      <c r="A332" s="20" t="s">
        <v>335</v>
      </c>
    </row>
  </sheetData>
  <mergeCells count="19">
    <mergeCell ref="T5:U5"/>
    <mergeCell ref="V5"/>
    <mergeCell ref="W5:X5"/>
    <mergeCell ref="A1:X1"/>
    <mergeCell ref="A2:X2"/>
    <mergeCell ref="A3:X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X33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X332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 x14ac:dyDescent="0.25"/>
  <cols>
    <col min="1" max="1" width="42.85546875" customWidth="1"/>
    <col min="2" max="2" width="17.140625" customWidth="1"/>
    <col min="3" max="3" width="9.42578125" customWidth="1"/>
    <col min="4" max="4" width="1.42578125" customWidth="1"/>
    <col min="5" max="5" width="17.140625" customWidth="1"/>
    <col min="6" max="6" width="9.42578125" customWidth="1"/>
    <col min="7" max="7" width="1.42578125" customWidth="1"/>
    <col min="8" max="8" width="17.140625" customWidth="1"/>
    <col min="9" max="9" width="9.42578125" customWidth="1"/>
    <col min="10" max="10" width="1.42578125" customWidth="1"/>
    <col min="11" max="11" width="17.140625" customWidth="1"/>
    <col min="12" max="12" width="9.42578125" customWidth="1"/>
    <col min="13" max="13" width="1.42578125" customWidth="1"/>
    <col min="14" max="14" width="17.140625" customWidth="1"/>
    <col min="15" max="15" width="9.42578125" customWidth="1"/>
    <col min="16" max="16" width="1.42578125" customWidth="1"/>
    <col min="17" max="17" width="17.140625" customWidth="1"/>
    <col min="18" max="18" width="9.42578125" customWidth="1"/>
    <col min="19" max="19" width="1.42578125" customWidth="1"/>
    <col min="20" max="20" width="17.140625" customWidth="1"/>
    <col min="21" max="21" width="9.42578125" customWidth="1"/>
    <col min="22" max="22" width="1.42578125" customWidth="1"/>
    <col min="23" max="23" width="17.140625" customWidth="1"/>
    <col min="24" max="24" width="9.42578125" customWidth="1"/>
  </cols>
  <sheetData>
    <row r="1" spans="1:24" ht="33.75" x14ac:dyDescent="0.25">
      <c r="A1" s="21" t="s">
        <v>0</v>
      </c>
      <c r="B1" s="21" t="s">
        <v>0</v>
      </c>
      <c r="C1" s="21" t="s">
        <v>0</v>
      </c>
      <c r="D1" s="21" t="s">
        <v>0</v>
      </c>
      <c r="E1" s="21" t="s">
        <v>0</v>
      </c>
      <c r="F1" s="21" t="s">
        <v>0</v>
      </c>
      <c r="G1" s="21" t="s">
        <v>0</v>
      </c>
      <c r="H1" s="21" t="s">
        <v>0</v>
      </c>
      <c r="I1" s="21" t="s">
        <v>0</v>
      </c>
      <c r="J1" s="21" t="s">
        <v>0</v>
      </c>
      <c r="K1" s="21" t="s">
        <v>0</v>
      </c>
      <c r="L1" s="21" t="s">
        <v>0</v>
      </c>
      <c r="M1" s="21" t="s">
        <v>0</v>
      </c>
      <c r="N1" s="21" t="s">
        <v>0</v>
      </c>
      <c r="O1" s="21" t="s">
        <v>0</v>
      </c>
      <c r="P1" s="21" t="s">
        <v>0</v>
      </c>
      <c r="Q1" s="21" t="s">
        <v>0</v>
      </c>
      <c r="R1" s="21" t="s">
        <v>0</v>
      </c>
      <c r="S1" s="21" t="s">
        <v>0</v>
      </c>
      <c r="T1" s="21" t="s">
        <v>0</v>
      </c>
      <c r="U1" s="21" t="s">
        <v>0</v>
      </c>
      <c r="V1" s="21" t="s">
        <v>0</v>
      </c>
      <c r="W1" s="21" t="s">
        <v>0</v>
      </c>
      <c r="X1" s="21" t="s">
        <v>0</v>
      </c>
    </row>
    <row r="2" spans="1:24" ht="23.25" x14ac:dyDescent="0.25">
      <c r="A2" s="22" t="s">
        <v>1</v>
      </c>
      <c r="B2" s="22" t="s">
        <v>1</v>
      </c>
      <c r="C2" s="22" t="s">
        <v>1</v>
      </c>
      <c r="D2" s="22" t="s">
        <v>1</v>
      </c>
      <c r="E2" s="22" t="s">
        <v>1</v>
      </c>
      <c r="F2" s="22" t="s">
        <v>1</v>
      </c>
      <c r="G2" s="22" t="s">
        <v>1</v>
      </c>
      <c r="H2" s="22" t="s">
        <v>1</v>
      </c>
      <c r="I2" s="22" t="s">
        <v>1</v>
      </c>
      <c r="J2" s="22" t="s">
        <v>1</v>
      </c>
      <c r="K2" s="22" t="s">
        <v>1</v>
      </c>
      <c r="L2" s="22" t="s">
        <v>1</v>
      </c>
      <c r="M2" s="22" t="s">
        <v>1</v>
      </c>
      <c r="N2" s="22" t="s">
        <v>1</v>
      </c>
      <c r="O2" s="22" t="s">
        <v>1</v>
      </c>
      <c r="P2" s="22" t="s">
        <v>1</v>
      </c>
      <c r="Q2" s="22" t="s">
        <v>1</v>
      </c>
      <c r="R2" s="22" t="s">
        <v>1</v>
      </c>
      <c r="S2" s="22" t="s">
        <v>1</v>
      </c>
      <c r="T2" s="22" t="s">
        <v>1</v>
      </c>
      <c r="U2" s="22" t="s">
        <v>1</v>
      </c>
      <c r="V2" s="22" t="s">
        <v>1</v>
      </c>
      <c r="W2" s="22" t="s">
        <v>1</v>
      </c>
      <c r="X2" s="22" t="s">
        <v>1</v>
      </c>
    </row>
    <row r="3" spans="1:24" ht="15.75" x14ac:dyDescent="0.25">
      <c r="A3" s="23" t="s">
        <v>337</v>
      </c>
      <c r="B3" s="23" t="s">
        <v>337</v>
      </c>
      <c r="C3" s="23" t="s">
        <v>337</v>
      </c>
      <c r="D3" s="23" t="s">
        <v>337</v>
      </c>
      <c r="E3" s="23" t="s">
        <v>337</v>
      </c>
      <c r="F3" s="23" t="s">
        <v>337</v>
      </c>
      <c r="G3" s="23" t="s">
        <v>337</v>
      </c>
      <c r="H3" s="23" t="s">
        <v>337</v>
      </c>
      <c r="I3" s="23" t="s">
        <v>337</v>
      </c>
      <c r="J3" s="23" t="s">
        <v>337</v>
      </c>
      <c r="K3" s="23" t="s">
        <v>337</v>
      </c>
      <c r="L3" s="23" t="s">
        <v>337</v>
      </c>
      <c r="M3" s="23" t="s">
        <v>337</v>
      </c>
      <c r="N3" s="23" t="s">
        <v>337</v>
      </c>
      <c r="O3" s="23" t="s">
        <v>337</v>
      </c>
      <c r="P3" s="23" t="s">
        <v>337</v>
      </c>
      <c r="Q3" s="23" t="s">
        <v>337</v>
      </c>
      <c r="R3" s="23" t="s">
        <v>337</v>
      </c>
      <c r="S3" s="23" t="s">
        <v>337</v>
      </c>
      <c r="T3" s="23" t="s">
        <v>337</v>
      </c>
      <c r="U3" s="23" t="s">
        <v>337</v>
      </c>
      <c r="V3" s="23" t="s">
        <v>337</v>
      </c>
      <c r="W3" s="23" t="s">
        <v>337</v>
      </c>
      <c r="X3" s="23" t="s">
        <v>337</v>
      </c>
    </row>
    <row r="5" spans="1:24" ht="16.5" customHeight="1" x14ac:dyDescent="0.25">
      <c r="A5" s="24" t="s">
        <v>3</v>
      </c>
      <c r="B5" s="25" t="s">
        <v>4</v>
      </c>
      <c r="C5" s="26" t="s">
        <v>3</v>
      </c>
      <c r="D5" s="24" t="s">
        <v>3</v>
      </c>
      <c r="E5" s="25" t="s">
        <v>5</v>
      </c>
      <c r="F5" s="26" t="s">
        <v>3</v>
      </c>
      <c r="G5" s="24" t="s">
        <v>3</v>
      </c>
      <c r="H5" s="25" t="s">
        <v>6</v>
      </c>
      <c r="I5" s="26" t="s">
        <v>3</v>
      </c>
      <c r="J5" s="24" t="s">
        <v>3</v>
      </c>
      <c r="K5" s="25" t="s">
        <v>7</v>
      </c>
      <c r="L5" s="26" t="s">
        <v>3</v>
      </c>
      <c r="M5" s="24" t="s">
        <v>3</v>
      </c>
      <c r="N5" s="25" t="s">
        <v>8</v>
      </c>
      <c r="O5" s="26" t="s">
        <v>3</v>
      </c>
      <c r="P5" s="24" t="s">
        <v>3</v>
      </c>
      <c r="Q5" s="25" t="s">
        <v>9</v>
      </c>
      <c r="R5" s="26" t="s">
        <v>3</v>
      </c>
      <c r="S5" s="24" t="s">
        <v>3</v>
      </c>
      <c r="T5" s="25" t="s">
        <v>10</v>
      </c>
      <c r="U5" s="26" t="s">
        <v>3</v>
      </c>
      <c r="V5" s="24" t="s">
        <v>3</v>
      </c>
      <c r="W5" s="25" t="s">
        <v>11</v>
      </c>
      <c r="X5" s="26" t="s">
        <v>3</v>
      </c>
    </row>
    <row r="6" spans="1:24" ht="16.5" customHeight="1" x14ac:dyDescent="0.25">
      <c r="A6" s="1" t="s">
        <v>12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</row>
    <row r="7" spans="1:24" ht="16.5" customHeight="1" x14ac:dyDescent="0.25">
      <c r="A7" s="5" t="s">
        <v>13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</row>
    <row r="8" spans="1:24" ht="16.5" customHeight="1" x14ac:dyDescent="0.25">
      <c r="A8" s="6" t="s">
        <v>14</v>
      </c>
      <c r="B8" s="7">
        <v>75678</v>
      </c>
      <c r="C8" s="8">
        <f>IFERROR(B8/B327, "NA")</f>
        <v>0.18986290447192394</v>
      </c>
      <c r="D8" s="9"/>
      <c r="E8" s="7">
        <v>54754</v>
      </c>
      <c r="F8" s="8">
        <f>IFERROR(E8/E327, "NA")</f>
        <v>0.26580509710425165</v>
      </c>
      <c r="G8" s="9"/>
      <c r="H8" s="7">
        <v>64853</v>
      </c>
      <c r="I8" s="8">
        <f>IFERROR(H8/H327, "NA")</f>
        <v>0.19171325635103925</v>
      </c>
      <c r="J8" s="9"/>
      <c r="K8" s="7">
        <v>85939</v>
      </c>
      <c r="L8" s="8">
        <f>IFERROR(K8/K327, "NA")</f>
        <v>0.36874826785200687</v>
      </c>
      <c r="M8" s="9"/>
      <c r="N8" s="7">
        <v>75381</v>
      </c>
      <c r="O8" s="8">
        <f>IFERROR(N8/N327, "NA")</f>
        <v>0.20312157449089863</v>
      </c>
      <c r="P8" s="9"/>
      <c r="Q8" s="7">
        <v>52632</v>
      </c>
      <c r="R8" s="8">
        <f>IFERROR(Q8/Q327, "NA")</f>
        <v>0.30226387788153408</v>
      </c>
      <c r="S8" s="9"/>
      <c r="T8" s="7">
        <v>63114.5</v>
      </c>
      <c r="U8" s="8">
        <f>IFERROR(T8/T327, "NA")</f>
        <v>0.35694713475758905</v>
      </c>
      <c r="V8" s="9"/>
      <c r="W8" s="7">
        <v>58497</v>
      </c>
      <c r="X8" s="8">
        <f>IFERROR(W8/W327, "NA")</f>
        <v>0.34631642512077293</v>
      </c>
    </row>
    <row r="9" spans="1:24" ht="16.5" customHeight="1" x14ac:dyDescent="0.25">
      <c r="A9" s="6" t="s">
        <v>15</v>
      </c>
      <c r="B9" s="7">
        <v>0</v>
      </c>
      <c r="C9" s="8">
        <f>IFERROR(B9/B327, "NA")</f>
        <v>0</v>
      </c>
      <c r="D9" s="9"/>
      <c r="E9" s="7">
        <v>0</v>
      </c>
      <c r="F9" s="8">
        <f>IFERROR(E9/E327, "NA")</f>
        <v>0</v>
      </c>
      <c r="G9" s="9"/>
      <c r="H9" s="7">
        <v>0</v>
      </c>
      <c r="I9" s="8">
        <f>IFERROR(H9/H327, "NA")</f>
        <v>0</v>
      </c>
      <c r="J9" s="9"/>
      <c r="K9" s="7">
        <v>0</v>
      </c>
      <c r="L9" s="8">
        <f>IFERROR(K9/K327, "NA")</f>
        <v>0</v>
      </c>
      <c r="M9" s="9"/>
      <c r="N9" s="7">
        <v>0</v>
      </c>
      <c r="O9" s="8">
        <f>IFERROR(N9/N327, "NA")</f>
        <v>0</v>
      </c>
      <c r="P9" s="9"/>
      <c r="Q9" s="7">
        <v>0</v>
      </c>
      <c r="R9" s="8">
        <f>IFERROR(Q9/Q327, "NA")</f>
        <v>0</v>
      </c>
      <c r="S9" s="9"/>
      <c r="T9" s="7">
        <v>0</v>
      </c>
      <c r="U9" s="8">
        <f>IFERROR(T9/T327, "NA")</f>
        <v>0</v>
      </c>
      <c r="V9" s="9"/>
      <c r="W9" s="7">
        <v>0</v>
      </c>
      <c r="X9" s="8">
        <f>IFERROR(W9/W327, "NA")</f>
        <v>0</v>
      </c>
    </row>
    <row r="10" spans="1:24" ht="16.5" customHeight="1" x14ac:dyDescent="0.25">
      <c r="A10" s="10" t="s">
        <v>16</v>
      </c>
      <c r="B10" s="11">
        <f>IFERROR(B8+B9, "NA")</f>
        <v>75678</v>
      </c>
      <c r="C10" s="12">
        <f>IFERROR(B10/B327, "NA")</f>
        <v>0.18986290447192394</v>
      </c>
      <c r="D10" s="2"/>
      <c r="E10" s="11">
        <f>IFERROR(E8+E9, "NA")</f>
        <v>54754</v>
      </c>
      <c r="F10" s="12">
        <f>IFERROR(E10/E327, "NA")</f>
        <v>0.26580509710425165</v>
      </c>
      <c r="G10" s="2"/>
      <c r="H10" s="11">
        <f>IFERROR(H8+H9, "NA")</f>
        <v>64853</v>
      </c>
      <c r="I10" s="12">
        <f>IFERROR(H10/H327, "NA")</f>
        <v>0.19171325635103925</v>
      </c>
      <c r="J10" s="2"/>
      <c r="K10" s="11">
        <f>IFERROR(K8+K9, "NA")</f>
        <v>85939</v>
      </c>
      <c r="L10" s="12">
        <f>IFERROR(K10/K327, "NA")</f>
        <v>0.36874826785200687</v>
      </c>
      <c r="M10" s="2"/>
      <c r="N10" s="11">
        <f>IFERROR(N8+N9, "NA")</f>
        <v>75381</v>
      </c>
      <c r="O10" s="12">
        <f>IFERROR(N10/N327, "NA")</f>
        <v>0.20312157449089863</v>
      </c>
      <c r="P10" s="2"/>
      <c r="Q10" s="11">
        <f>IFERROR(Q8+Q9, "NA")</f>
        <v>52632</v>
      </c>
      <c r="R10" s="12">
        <f>IFERROR(Q10/Q327, "NA")</f>
        <v>0.30226387788153408</v>
      </c>
      <c r="S10" s="2"/>
      <c r="T10" s="11">
        <f>IFERROR(T8+T9, "NA")</f>
        <v>63114.5</v>
      </c>
      <c r="U10" s="12">
        <f>IFERROR(T10/T327, "NA")</f>
        <v>0.35694713475758905</v>
      </c>
      <c r="V10" s="2"/>
      <c r="W10" s="11">
        <f>IFERROR(W8+W9, "NA")</f>
        <v>58497</v>
      </c>
      <c r="X10" s="12">
        <f>IFERROR(W10/W327, "NA")</f>
        <v>0.34631642512077293</v>
      </c>
    </row>
    <row r="11" spans="1:24" ht="16.5" customHeight="1" x14ac:dyDescent="0.25">
      <c r="A11" s="13" t="s">
        <v>17</v>
      </c>
      <c r="B11" s="7">
        <v>12680</v>
      </c>
      <c r="C11" s="8">
        <f>IFERROR(B11/B327, "NA")</f>
        <v>3.1811908727820443E-2</v>
      </c>
      <c r="D11" s="9"/>
      <c r="E11" s="7">
        <v>8666</v>
      </c>
      <c r="F11" s="8">
        <f>IFERROR(E11/E327, "NA")</f>
        <v>4.206938253836149E-2</v>
      </c>
      <c r="G11" s="9"/>
      <c r="H11" s="7">
        <v>11371.5</v>
      </c>
      <c r="I11" s="8">
        <f>IFERROR(H11/H327, "NA")</f>
        <v>3.3615519630484987E-2</v>
      </c>
      <c r="J11" s="9"/>
      <c r="K11" s="7">
        <v>8597</v>
      </c>
      <c r="L11" s="8">
        <f>IFERROR(K11/K327, "NA")</f>
        <v>3.6888128308727161E-2</v>
      </c>
      <c r="M11" s="9"/>
      <c r="N11" s="7">
        <v>10794</v>
      </c>
      <c r="O11" s="8">
        <f>IFERROR(N11/N327, "NA")</f>
        <v>2.9085502647281939E-2</v>
      </c>
      <c r="P11" s="9"/>
      <c r="Q11" s="7">
        <v>8361</v>
      </c>
      <c r="R11" s="8">
        <f>IFERROR(Q11/Q327, "NA")</f>
        <v>4.8016953240756693E-2</v>
      </c>
      <c r="S11" s="9"/>
      <c r="T11" s="7">
        <v>7344</v>
      </c>
      <c r="U11" s="8">
        <f>IFERROR(T11/T327, "NA")</f>
        <v>4.1534350389525923E-2</v>
      </c>
      <c r="V11" s="9"/>
      <c r="W11" s="7">
        <v>8496</v>
      </c>
      <c r="X11" s="8">
        <f>IFERROR(W11/W327, "NA")</f>
        <v>5.0298380221653879E-2</v>
      </c>
    </row>
    <row r="12" spans="1:24" ht="16.5" customHeight="1" x14ac:dyDescent="0.25">
      <c r="A12" s="5" t="s">
        <v>18</v>
      </c>
      <c r="B12" s="2"/>
      <c r="C12" s="3"/>
      <c r="D12" s="4"/>
      <c r="E12" s="2"/>
      <c r="F12" s="3"/>
      <c r="G12" s="4"/>
      <c r="H12" s="2"/>
      <c r="I12" s="3"/>
      <c r="J12" s="4"/>
      <c r="K12" s="2"/>
      <c r="L12" s="3"/>
      <c r="M12" s="4"/>
      <c r="N12" s="2"/>
      <c r="O12" s="3"/>
      <c r="P12" s="4"/>
      <c r="Q12" s="2"/>
      <c r="R12" s="3"/>
      <c r="S12" s="4"/>
      <c r="T12" s="2"/>
      <c r="U12" s="3"/>
      <c r="V12" s="4"/>
      <c r="W12" s="2"/>
      <c r="X12" s="3"/>
    </row>
    <row r="13" spans="1:24" ht="16.5" customHeight="1" x14ac:dyDescent="0.25">
      <c r="A13" s="6" t="s">
        <v>19</v>
      </c>
      <c r="B13" s="7">
        <v>0</v>
      </c>
      <c r="C13" s="8">
        <f>IFERROR(B13/B327, "NA")</f>
        <v>0</v>
      </c>
      <c r="D13" s="9"/>
      <c r="E13" s="7">
        <v>0</v>
      </c>
      <c r="F13" s="8">
        <f>IFERROR(E13/E327, "NA")</f>
        <v>0</v>
      </c>
      <c r="G13" s="9"/>
      <c r="H13" s="7">
        <v>0</v>
      </c>
      <c r="I13" s="8">
        <f>IFERROR(H13/H327, "NA")</f>
        <v>0</v>
      </c>
      <c r="J13" s="9"/>
      <c r="K13" s="7">
        <v>0</v>
      </c>
      <c r="L13" s="8">
        <f>IFERROR(K13/K327, "NA")</f>
        <v>0</v>
      </c>
      <c r="M13" s="9"/>
      <c r="N13" s="7">
        <v>0</v>
      </c>
      <c r="O13" s="8">
        <f>IFERROR(N13/N327, "NA")</f>
        <v>0</v>
      </c>
      <c r="P13" s="9"/>
      <c r="Q13" s="7">
        <v>0</v>
      </c>
      <c r="R13" s="8">
        <f>IFERROR(Q13/Q327, "NA")</f>
        <v>0</v>
      </c>
      <c r="S13" s="9"/>
      <c r="T13" s="7">
        <v>0</v>
      </c>
      <c r="U13" s="8">
        <f>IFERROR(T13/T327, "NA")</f>
        <v>0</v>
      </c>
      <c r="V13" s="9"/>
      <c r="W13" s="7">
        <v>0</v>
      </c>
      <c r="X13" s="8">
        <f>IFERROR(W13/W327, "NA")</f>
        <v>0</v>
      </c>
    </row>
    <row r="14" spans="1:24" ht="16.5" customHeight="1" x14ac:dyDescent="0.25">
      <c r="A14" s="6" t="s">
        <v>20</v>
      </c>
      <c r="B14" s="7">
        <v>176391</v>
      </c>
      <c r="C14" s="8">
        <f>IFERROR(B14/B327, "NA")</f>
        <v>0.44253425807641766</v>
      </c>
      <c r="D14" s="9"/>
      <c r="E14" s="7">
        <v>97401</v>
      </c>
      <c r="F14" s="8">
        <f>IFERROR(E14/E327, "NA")</f>
        <v>0.47283636379170868</v>
      </c>
      <c r="G14" s="9"/>
      <c r="H14" s="7">
        <v>194753.25</v>
      </c>
      <c r="I14" s="8">
        <f>IFERROR(H14/H327, "NA")</f>
        <v>0.57571399538106238</v>
      </c>
      <c r="J14" s="9"/>
      <c r="K14" s="7">
        <v>108253</v>
      </c>
      <c r="L14" s="8">
        <f>IFERROR(K14/K327, "NA")</f>
        <v>0.46449349235833909</v>
      </c>
      <c r="M14" s="9"/>
      <c r="N14" s="7">
        <v>127567</v>
      </c>
      <c r="O14" s="8">
        <f>IFERROR(N14/N327, "NA")</f>
        <v>0.34374192293920836</v>
      </c>
      <c r="P14" s="9"/>
      <c r="Q14" s="7">
        <v>100966</v>
      </c>
      <c r="R14" s="8">
        <f>IFERROR(Q14/Q327, "NA")</f>
        <v>0.57984448043370895</v>
      </c>
      <c r="S14" s="9"/>
      <c r="T14" s="7">
        <v>88909</v>
      </c>
      <c r="U14" s="8">
        <f>IFERROR(T14/T327, "NA")</f>
        <v>0.50282918828735845</v>
      </c>
      <c r="V14" s="9"/>
      <c r="W14" s="7">
        <v>82154</v>
      </c>
      <c r="X14" s="8">
        <f>IFERROR(W14/W327, "NA")</f>
        <v>0.48637160178080896</v>
      </c>
    </row>
    <row r="15" spans="1:24" ht="16.5" customHeight="1" x14ac:dyDescent="0.25">
      <c r="A15" s="6" t="s">
        <v>21</v>
      </c>
      <c r="B15" s="7">
        <v>1224</v>
      </c>
      <c r="C15" s="8">
        <f>IFERROR(B15/B327, "NA")</f>
        <v>3.0708025459662636E-3</v>
      </c>
      <c r="D15" s="9"/>
      <c r="E15" s="7">
        <v>1410</v>
      </c>
      <c r="F15" s="8">
        <f>IFERROR(E15/E327, "NA")</f>
        <v>6.8448914584686932E-3</v>
      </c>
      <c r="G15" s="9"/>
      <c r="H15" s="7">
        <v>1405</v>
      </c>
      <c r="I15" s="8">
        <f>IFERROR(H15/H327, "NA")</f>
        <v>4.153348729792148E-3</v>
      </c>
      <c r="J15" s="9"/>
      <c r="K15" s="7">
        <v>1082</v>
      </c>
      <c r="L15" s="8">
        <f>IFERROR(K15/K327, "NA")</f>
        <v>4.6426607921417687E-3</v>
      </c>
      <c r="M15" s="9"/>
      <c r="N15" s="7">
        <v>1219</v>
      </c>
      <c r="O15" s="8">
        <f>IFERROR(N15/N327, "NA")</f>
        <v>3.2847162985952089E-3</v>
      </c>
      <c r="P15" s="9"/>
      <c r="Q15" s="7">
        <v>888</v>
      </c>
      <c r="R15" s="8">
        <f>IFERROR(Q15/Q327, "NA")</f>
        <v>5.0997553495744459E-3</v>
      </c>
      <c r="S15" s="9"/>
      <c r="T15" s="7">
        <v>1194</v>
      </c>
      <c r="U15" s="8">
        <f>IFERROR(T15/T327, "NA")</f>
        <v>6.7527252675781526E-3</v>
      </c>
      <c r="V15" s="9"/>
      <c r="W15" s="7">
        <v>1001</v>
      </c>
      <c r="X15" s="8">
        <f>IFERROR(W15/W327, "NA")</f>
        <v>5.9261627356256511E-3</v>
      </c>
    </row>
    <row r="16" spans="1:24" ht="16.5" customHeight="1" x14ac:dyDescent="0.25">
      <c r="A16" s="6" t="s">
        <v>22</v>
      </c>
      <c r="B16" s="7">
        <v>36186</v>
      </c>
      <c r="C16" s="8">
        <f>IFERROR(B16/B327, "NA")</f>
        <v>9.0784363503541854E-2</v>
      </c>
      <c r="D16" s="9"/>
      <c r="E16" s="7">
        <v>24851</v>
      </c>
      <c r="F16" s="8">
        <f>IFERROR(E16/E327, "NA")</f>
        <v>0.12063999832227341</v>
      </c>
      <c r="G16" s="9"/>
      <c r="H16" s="7">
        <v>39035</v>
      </c>
      <c r="I16" s="8">
        <f>IFERROR(H16/H327, "NA")</f>
        <v>0.11539214780600462</v>
      </c>
      <c r="J16" s="9"/>
      <c r="K16" s="7">
        <v>27701</v>
      </c>
      <c r="L16" s="8">
        <f>IFERROR(K16/K327, "NA")</f>
        <v>0.1188598397441027</v>
      </c>
      <c r="M16" s="9"/>
      <c r="N16" s="7">
        <v>21583</v>
      </c>
      <c r="O16" s="8">
        <f>IFERROR(N16/N327, "NA")</f>
        <v>5.8157532299081535E-2</v>
      </c>
      <c r="P16" s="9"/>
      <c r="Q16" s="7">
        <v>11997</v>
      </c>
      <c r="R16" s="8">
        <f>IFERROR(Q16/Q327, "NA")</f>
        <v>6.8898383928879092E-2</v>
      </c>
      <c r="S16" s="9"/>
      <c r="T16" s="7">
        <v>13041</v>
      </c>
      <c r="U16" s="8">
        <f>IFERROR(T16/T327, "NA")</f>
        <v>7.3754011904930222E-2</v>
      </c>
      <c r="V16" s="9"/>
      <c r="W16" s="7">
        <v>11255</v>
      </c>
      <c r="X16" s="8">
        <f>IFERROR(W16/W327, "NA")</f>
        <v>6.6632329260206499E-2</v>
      </c>
    </row>
    <row r="17" spans="1:24" ht="16.5" customHeight="1" x14ac:dyDescent="0.25">
      <c r="A17" s="6" t="s">
        <v>23</v>
      </c>
      <c r="B17" s="7">
        <v>5744</v>
      </c>
      <c r="C17" s="8">
        <f>IFERROR(B17/B327, "NA")</f>
        <v>1.4410694300678284E-2</v>
      </c>
      <c r="D17" s="9"/>
      <c r="E17" s="7">
        <v>5403</v>
      </c>
      <c r="F17" s="8">
        <f>IFERROR(E17/E327, "NA")</f>
        <v>2.6229041524898123E-2</v>
      </c>
      <c r="G17" s="9"/>
      <c r="H17" s="7">
        <v>6099</v>
      </c>
      <c r="I17" s="8">
        <f>IFERROR(H17/H327, "NA")</f>
        <v>1.8029376443418014E-2</v>
      </c>
      <c r="J17" s="9"/>
      <c r="K17" s="7">
        <v>4728</v>
      </c>
      <c r="L17" s="8">
        <f>IFERROR(K17/K327, "NA")</f>
        <v>2.0286968784885659E-2</v>
      </c>
      <c r="M17" s="9"/>
      <c r="N17" s="7">
        <v>5721</v>
      </c>
      <c r="O17" s="8">
        <f>IFERROR(N17/N327, "NA")</f>
        <v>1.5415801430896792E-2</v>
      </c>
      <c r="P17" s="9"/>
      <c r="Q17" s="7">
        <v>5569</v>
      </c>
      <c r="R17" s="8">
        <f>IFERROR(Q17/Q327, "NA")</f>
        <v>3.1982587321824428E-2</v>
      </c>
      <c r="S17" s="9"/>
      <c r="T17" s="7">
        <v>6633</v>
      </c>
      <c r="U17" s="8">
        <f>IFERROR(T17/T327, "NA")</f>
        <v>3.751325519250074E-2</v>
      </c>
      <c r="V17" s="9"/>
      <c r="W17" s="7">
        <v>4816</v>
      </c>
      <c r="X17" s="8">
        <f>IFERROR(W17/W327, "NA")</f>
        <v>2.8511887846926209E-2</v>
      </c>
    </row>
    <row r="18" spans="1:24" ht="16.5" customHeight="1" x14ac:dyDescent="0.25">
      <c r="A18" s="6" t="s">
        <v>24</v>
      </c>
      <c r="B18" s="7">
        <v>22310</v>
      </c>
      <c r="C18" s="8">
        <f>IFERROR(B18/B327, "NA")</f>
        <v>5.5971899346819724E-2</v>
      </c>
      <c r="D18" s="9"/>
      <c r="E18" s="7">
        <v>26605</v>
      </c>
      <c r="F18" s="8">
        <f>IFERROR(E18/E327, "NA")</f>
        <v>0.12915484911529049</v>
      </c>
      <c r="G18" s="9"/>
      <c r="H18" s="7">
        <v>27000</v>
      </c>
      <c r="I18" s="8">
        <f>IFERROR(H18/H327, "NA")</f>
        <v>7.9815242494226321E-2</v>
      </c>
      <c r="J18" s="9"/>
      <c r="K18" s="7">
        <v>6855</v>
      </c>
      <c r="L18" s="8">
        <f>IFERROR(K18/K327, "NA")</f>
        <v>2.9413530249659727E-2</v>
      </c>
      <c r="M18" s="9"/>
      <c r="N18" s="7">
        <v>8785</v>
      </c>
      <c r="O18" s="8">
        <f>IFERROR(N18/N327, "NA")</f>
        <v>2.3672053062476547E-2</v>
      </c>
      <c r="P18" s="9"/>
      <c r="Q18" s="7">
        <v>5620</v>
      </c>
      <c r="R18" s="8">
        <f>IFERROR(Q18/Q327, "NA")</f>
        <v>3.2275478676360797E-2</v>
      </c>
      <c r="S18" s="9"/>
      <c r="T18" s="7">
        <v>5560</v>
      </c>
      <c r="U18" s="8">
        <f>IFERROR(T18/T327, "NA")</f>
        <v>3.1444851329760909E-2</v>
      </c>
      <c r="V18" s="9"/>
      <c r="W18" s="7">
        <v>11655</v>
      </c>
      <c r="X18" s="8">
        <f>IFERROR(W18/W327, "NA")</f>
        <v>6.9000426257459502E-2</v>
      </c>
    </row>
    <row r="19" spans="1:24" ht="16.5" customHeight="1" x14ac:dyDescent="0.25">
      <c r="A19" s="10" t="s">
        <v>25</v>
      </c>
      <c r="B19" s="11">
        <f>IFERROR(B13+B14+B15+B16+B17+B18, "NA")</f>
        <v>241855</v>
      </c>
      <c r="C19" s="12">
        <f>IFERROR(B19/B327, "NA")</f>
        <v>0.60677201777342382</v>
      </c>
      <c r="D19" s="2"/>
      <c r="E19" s="11">
        <f>IFERROR(E13+E14+E15+E16+E17+E18, "NA")</f>
        <v>155670</v>
      </c>
      <c r="F19" s="12">
        <f>IFERROR(E19/E327, "NA")</f>
        <v>0.75570514421263935</v>
      </c>
      <c r="G19" s="2"/>
      <c r="H19" s="11">
        <f>IFERROR(H13+H14+H15+H16+H17+H18, "NA")</f>
        <v>268292.25</v>
      </c>
      <c r="I19" s="12">
        <f>IFERROR(H19/H327, "NA")</f>
        <v>0.7931041108545035</v>
      </c>
      <c r="J19" s="2"/>
      <c r="K19" s="11">
        <f>IFERROR(K13+K14+K15+K16+K17+K18, "NA")</f>
        <v>148619</v>
      </c>
      <c r="L19" s="12">
        <f>IFERROR(K19/K327, "NA")</f>
        <v>0.63769649192912892</v>
      </c>
      <c r="M19" s="2"/>
      <c r="N19" s="11">
        <f>IFERROR(N13+N14+N15+N16+N17+N18, "NA")</f>
        <v>164875</v>
      </c>
      <c r="O19" s="12">
        <f>IFERROR(N19/N327, "NA")</f>
        <v>0.44427202603025845</v>
      </c>
      <c r="P19" s="2"/>
      <c r="Q19" s="11">
        <f>IFERROR(Q13+Q14+Q15+Q16+Q17+Q18, "NA")</f>
        <v>125040</v>
      </c>
      <c r="R19" s="12">
        <f>IFERROR(Q19/Q327, "NA")</f>
        <v>0.71810068571034769</v>
      </c>
      <c r="S19" s="2"/>
      <c r="T19" s="11">
        <f>IFERROR(T13+T14+T15+T16+T17+T18, "NA")</f>
        <v>115337</v>
      </c>
      <c r="U19" s="12">
        <f>IFERROR(T19/T327, "NA")</f>
        <v>0.65229403198212843</v>
      </c>
      <c r="V19" s="2"/>
      <c r="W19" s="11">
        <f>IFERROR(W13+W14+W15+W16+W17+W18, "NA")</f>
        <v>110881</v>
      </c>
      <c r="X19" s="12">
        <f>IFERROR(W19/W327, "NA")</f>
        <v>0.65644240788102681</v>
      </c>
    </row>
    <row r="20" spans="1:24" ht="16.5" customHeight="1" x14ac:dyDescent="0.25">
      <c r="A20" s="5" t="s">
        <v>26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</row>
    <row r="21" spans="1:24" ht="16.5" customHeight="1" x14ac:dyDescent="0.25">
      <c r="A21" s="6" t="s">
        <v>27</v>
      </c>
      <c r="B21" s="7">
        <v>0</v>
      </c>
      <c r="C21" s="8">
        <f>IFERROR(B21/B327, "NA")</f>
        <v>0</v>
      </c>
      <c r="D21" s="9"/>
      <c r="E21" s="7">
        <v>0</v>
      </c>
      <c r="F21" s="8">
        <f>IFERROR(E21/E327, "NA")</f>
        <v>0</v>
      </c>
      <c r="G21" s="9"/>
      <c r="H21" s="7">
        <v>0</v>
      </c>
      <c r="I21" s="8">
        <f>IFERROR(H21/H327, "NA")</f>
        <v>0</v>
      </c>
      <c r="J21" s="9"/>
      <c r="K21" s="7">
        <v>0</v>
      </c>
      <c r="L21" s="8">
        <f>IFERROR(K21/K327, "NA")</f>
        <v>0</v>
      </c>
      <c r="M21" s="9"/>
      <c r="N21" s="7">
        <v>0</v>
      </c>
      <c r="O21" s="8">
        <f>IFERROR(N21/N327, "NA")</f>
        <v>0</v>
      </c>
      <c r="P21" s="9"/>
      <c r="Q21" s="7">
        <v>0</v>
      </c>
      <c r="R21" s="8">
        <f>IFERROR(Q21/Q327, "NA")</f>
        <v>0</v>
      </c>
      <c r="S21" s="9"/>
      <c r="T21" s="7">
        <v>0</v>
      </c>
      <c r="U21" s="8">
        <f>IFERROR(T21/T327, "NA")</f>
        <v>0</v>
      </c>
      <c r="V21" s="9"/>
      <c r="W21" s="7">
        <v>0</v>
      </c>
      <c r="X21" s="8">
        <f>IFERROR(W21/W327, "NA")</f>
        <v>0</v>
      </c>
    </row>
    <row r="22" spans="1:24" ht="16.5" customHeight="1" x14ac:dyDescent="0.25">
      <c r="A22" s="6" t="s">
        <v>28</v>
      </c>
      <c r="B22" s="7">
        <v>4868.53</v>
      </c>
      <c r="C22" s="8">
        <f>IFERROR(B22/B327, "NA")</f>
        <v>1.2214292744373476E-2</v>
      </c>
      <c r="D22" s="9"/>
      <c r="E22" s="7">
        <v>3996.79</v>
      </c>
      <c r="F22" s="8">
        <f>IFERROR(E22/E327, "NA")</f>
        <v>1.9402548746307157E-2</v>
      </c>
      <c r="G22" s="9"/>
      <c r="H22" s="7">
        <v>3024</v>
      </c>
      <c r="I22" s="8">
        <f>IFERROR(H22/H327, "NA")</f>
        <v>8.9393071593533487E-3</v>
      </c>
      <c r="J22" s="9"/>
      <c r="K22" s="7">
        <v>2269.0100000000002</v>
      </c>
      <c r="L22" s="8">
        <f>IFERROR(K22/K327, "NA")</f>
        <v>9.7358999667075743E-3</v>
      </c>
      <c r="M22" s="9"/>
      <c r="N22" s="7">
        <v>5465.4</v>
      </c>
      <c r="O22" s="8">
        <f>IFERROR(N22/N327, "NA")</f>
        <v>1.472706190183942E-2</v>
      </c>
      <c r="P22" s="9"/>
      <c r="Q22" s="7">
        <v>367</v>
      </c>
      <c r="R22" s="8">
        <f>IFERROR(Q22/Q327, "NA")</f>
        <v>2.1076691591146641E-3</v>
      </c>
      <c r="S22" s="9"/>
      <c r="T22" s="7">
        <v>1750</v>
      </c>
      <c r="U22" s="8">
        <f>IFERROR(T22/T327, "NA")</f>
        <v>9.8972104005542443E-3</v>
      </c>
      <c r="V22" s="9"/>
      <c r="W22" s="7">
        <v>633</v>
      </c>
      <c r="X22" s="8">
        <f>IFERROR(W22/W327, "NA")</f>
        <v>3.7475134981528845E-3</v>
      </c>
    </row>
    <row r="23" spans="1:24" ht="16.5" customHeight="1" x14ac:dyDescent="0.25">
      <c r="A23" s="6" t="s">
        <v>29</v>
      </c>
      <c r="B23" s="7">
        <v>0</v>
      </c>
      <c r="C23" s="8">
        <f>IFERROR(B23/B327, "NA")</f>
        <v>0</v>
      </c>
      <c r="D23" s="9"/>
      <c r="E23" s="7">
        <v>0</v>
      </c>
      <c r="F23" s="8">
        <f>IFERROR(E23/E327, "NA")</f>
        <v>0</v>
      </c>
      <c r="G23" s="9"/>
      <c r="H23" s="7">
        <v>0</v>
      </c>
      <c r="I23" s="8">
        <f>IFERROR(H23/H327, "NA")</f>
        <v>0</v>
      </c>
      <c r="J23" s="9"/>
      <c r="K23" s="7">
        <v>0</v>
      </c>
      <c r="L23" s="8">
        <f>IFERROR(K23/K327, "NA")</f>
        <v>0</v>
      </c>
      <c r="M23" s="9"/>
      <c r="N23" s="7">
        <v>0</v>
      </c>
      <c r="O23" s="8">
        <f>IFERROR(N23/N327, "NA")</f>
        <v>0</v>
      </c>
      <c r="P23" s="9"/>
      <c r="Q23" s="7">
        <v>0</v>
      </c>
      <c r="R23" s="8">
        <f>IFERROR(Q23/Q327, "NA")</f>
        <v>0</v>
      </c>
      <c r="S23" s="9"/>
      <c r="T23" s="7">
        <v>0</v>
      </c>
      <c r="U23" s="8">
        <f>IFERROR(T23/T327, "NA")</f>
        <v>0</v>
      </c>
      <c r="V23" s="9"/>
      <c r="W23" s="7">
        <v>0</v>
      </c>
      <c r="X23" s="8">
        <f>IFERROR(W23/W327, "NA")</f>
        <v>0</v>
      </c>
    </row>
    <row r="24" spans="1:24" ht="16.5" customHeight="1" x14ac:dyDescent="0.25">
      <c r="A24" s="6" t="s">
        <v>30</v>
      </c>
      <c r="B24" s="7">
        <v>0</v>
      </c>
      <c r="C24" s="8">
        <f>IFERROR(B24/B327, "NA")</f>
        <v>0</v>
      </c>
      <c r="D24" s="9"/>
      <c r="E24" s="7">
        <v>0</v>
      </c>
      <c r="F24" s="8">
        <f>IFERROR(E24/E327, "NA")</f>
        <v>0</v>
      </c>
      <c r="G24" s="9"/>
      <c r="H24" s="7">
        <v>0</v>
      </c>
      <c r="I24" s="8">
        <f>IFERROR(H24/H327, "NA")</f>
        <v>0</v>
      </c>
      <c r="J24" s="9"/>
      <c r="K24" s="7">
        <v>0</v>
      </c>
      <c r="L24" s="8">
        <f>IFERROR(K24/K327, "NA")</f>
        <v>0</v>
      </c>
      <c r="M24" s="9"/>
      <c r="N24" s="7">
        <v>0</v>
      </c>
      <c r="O24" s="8">
        <f>IFERROR(N24/N327, "NA")</f>
        <v>0</v>
      </c>
      <c r="P24" s="9"/>
      <c r="Q24" s="7">
        <v>0</v>
      </c>
      <c r="R24" s="8">
        <f>IFERROR(Q24/Q327, "NA")</f>
        <v>0</v>
      </c>
      <c r="S24" s="9"/>
      <c r="T24" s="7">
        <v>0</v>
      </c>
      <c r="U24" s="8">
        <f>IFERROR(T24/T327, "NA")</f>
        <v>0</v>
      </c>
      <c r="V24" s="9"/>
      <c r="W24" s="7">
        <v>0</v>
      </c>
      <c r="X24" s="8">
        <f>IFERROR(W24/W327, "NA")</f>
        <v>0</v>
      </c>
    </row>
    <row r="25" spans="1:24" ht="16.5" customHeight="1" x14ac:dyDescent="0.25">
      <c r="A25" s="6" t="s">
        <v>31</v>
      </c>
      <c r="B25" s="7">
        <v>0</v>
      </c>
      <c r="C25" s="8">
        <f>IFERROR(B25/B327, "NA")</f>
        <v>0</v>
      </c>
      <c r="D25" s="9"/>
      <c r="E25" s="7">
        <v>0</v>
      </c>
      <c r="F25" s="8">
        <f>IFERROR(E25/E327, "NA")</f>
        <v>0</v>
      </c>
      <c r="G25" s="9"/>
      <c r="H25" s="7">
        <v>0</v>
      </c>
      <c r="I25" s="8">
        <f>IFERROR(H25/H327, "NA")</f>
        <v>0</v>
      </c>
      <c r="J25" s="9"/>
      <c r="K25" s="7">
        <v>0</v>
      </c>
      <c r="L25" s="8">
        <f>IFERROR(K25/K327, "NA")</f>
        <v>0</v>
      </c>
      <c r="M25" s="9"/>
      <c r="N25" s="7">
        <v>0</v>
      </c>
      <c r="O25" s="8">
        <f>IFERROR(N25/N327, "NA")</f>
        <v>0</v>
      </c>
      <c r="P25" s="9"/>
      <c r="Q25" s="7">
        <v>0</v>
      </c>
      <c r="R25" s="8">
        <f>IFERROR(Q25/Q327, "NA")</f>
        <v>0</v>
      </c>
      <c r="S25" s="9"/>
      <c r="T25" s="7">
        <v>0</v>
      </c>
      <c r="U25" s="8">
        <f>IFERROR(T25/T327, "NA")</f>
        <v>0</v>
      </c>
      <c r="V25" s="9"/>
      <c r="W25" s="7">
        <v>0</v>
      </c>
      <c r="X25" s="8">
        <f>IFERROR(W25/W327, "NA")</f>
        <v>0</v>
      </c>
    </row>
    <row r="26" spans="1:24" ht="16.5" customHeight="1" x14ac:dyDescent="0.25">
      <c r="A26" s="6" t="s">
        <v>32</v>
      </c>
      <c r="B26" s="7">
        <v>75533.59</v>
      </c>
      <c r="C26" s="8">
        <f>IFERROR(B26/B327, "NA")</f>
        <v>0.18950060496566332</v>
      </c>
      <c r="D26" s="9"/>
      <c r="E26" s="7">
        <v>0</v>
      </c>
      <c r="F26" s="8">
        <f>IFERROR(E26/E327, "NA")</f>
        <v>0</v>
      </c>
      <c r="G26" s="9"/>
      <c r="H26" s="7">
        <v>0</v>
      </c>
      <c r="I26" s="8">
        <f>IFERROR(H26/H327, "NA")</f>
        <v>0</v>
      </c>
      <c r="J26" s="9"/>
      <c r="K26" s="7">
        <v>0</v>
      </c>
      <c r="L26" s="8">
        <f>IFERROR(K26/K327, "NA")</f>
        <v>0</v>
      </c>
      <c r="M26" s="9"/>
      <c r="N26" s="7">
        <v>127849.32</v>
      </c>
      <c r="O26" s="8">
        <f>IFERROR(N26/N327, "NA")</f>
        <v>0.34450266215612341</v>
      </c>
      <c r="P26" s="9"/>
      <c r="Q26" s="7">
        <v>0</v>
      </c>
      <c r="R26" s="8">
        <f>IFERROR(Q26/Q327, "NA")</f>
        <v>0</v>
      </c>
      <c r="S26" s="9"/>
      <c r="T26" s="7">
        <v>0</v>
      </c>
      <c r="U26" s="8">
        <f>IFERROR(T26/T327, "NA")</f>
        <v>0</v>
      </c>
      <c r="V26" s="9"/>
      <c r="W26" s="7">
        <v>0</v>
      </c>
      <c r="X26" s="8">
        <f>IFERROR(W26/W327, "NA")</f>
        <v>0</v>
      </c>
    </row>
    <row r="27" spans="1:24" ht="16.5" customHeight="1" x14ac:dyDescent="0.25">
      <c r="A27" s="6" t="s">
        <v>33</v>
      </c>
      <c r="B27" s="7">
        <v>0</v>
      </c>
      <c r="C27" s="8">
        <f>IFERROR(B27/B327, "NA")</f>
        <v>0</v>
      </c>
      <c r="D27" s="9"/>
      <c r="E27" s="7">
        <v>0</v>
      </c>
      <c r="F27" s="8">
        <f>IFERROR(E27/E327, "NA")</f>
        <v>0</v>
      </c>
      <c r="G27" s="9"/>
      <c r="H27" s="7">
        <v>0</v>
      </c>
      <c r="I27" s="8">
        <f>IFERROR(H27/H327, "NA")</f>
        <v>0</v>
      </c>
      <c r="J27" s="9"/>
      <c r="K27" s="7">
        <v>0</v>
      </c>
      <c r="L27" s="8">
        <f>IFERROR(K27/K327, "NA")</f>
        <v>0</v>
      </c>
      <c r="M27" s="9"/>
      <c r="N27" s="7">
        <v>0</v>
      </c>
      <c r="O27" s="8">
        <f>IFERROR(N27/N327, "NA")</f>
        <v>0</v>
      </c>
      <c r="P27" s="9"/>
      <c r="Q27" s="7">
        <v>0</v>
      </c>
      <c r="R27" s="8">
        <f>IFERROR(Q27/Q327, "NA")</f>
        <v>0</v>
      </c>
      <c r="S27" s="9"/>
      <c r="T27" s="7">
        <v>0</v>
      </c>
      <c r="U27" s="8">
        <f>IFERROR(T27/T327, "NA")</f>
        <v>0</v>
      </c>
      <c r="V27" s="9"/>
      <c r="W27" s="7">
        <v>0</v>
      </c>
      <c r="X27" s="8">
        <f>IFERROR(W27/W327, "NA")</f>
        <v>0</v>
      </c>
    </row>
    <row r="28" spans="1:24" ht="16.5" customHeight="1" x14ac:dyDescent="0.25">
      <c r="A28" s="6" t="s">
        <v>34</v>
      </c>
      <c r="B28" s="7">
        <v>0</v>
      </c>
      <c r="C28" s="8">
        <f>IFERROR(B28/B327, "NA")</f>
        <v>0</v>
      </c>
      <c r="D28" s="9"/>
      <c r="E28" s="7">
        <v>0</v>
      </c>
      <c r="F28" s="8">
        <f>IFERROR(E28/E327, "NA")</f>
        <v>0</v>
      </c>
      <c r="G28" s="9"/>
      <c r="H28" s="7">
        <v>0</v>
      </c>
      <c r="I28" s="8">
        <f>IFERROR(H28/H327, "NA")</f>
        <v>0</v>
      </c>
      <c r="J28" s="9"/>
      <c r="K28" s="7">
        <v>0</v>
      </c>
      <c r="L28" s="8">
        <f>IFERROR(K28/K327, "NA")</f>
        <v>0</v>
      </c>
      <c r="M28" s="9"/>
      <c r="N28" s="7">
        <v>0</v>
      </c>
      <c r="O28" s="8">
        <f>IFERROR(N28/N327, "NA")</f>
        <v>0</v>
      </c>
      <c r="P28" s="9"/>
      <c r="Q28" s="7">
        <v>0</v>
      </c>
      <c r="R28" s="8">
        <f>IFERROR(Q28/Q327, "NA")</f>
        <v>0</v>
      </c>
      <c r="S28" s="9"/>
      <c r="T28" s="7">
        <v>0</v>
      </c>
      <c r="U28" s="8">
        <f>IFERROR(T28/T327, "NA")</f>
        <v>0</v>
      </c>
      <c r="V28" s="9"/>
      <c r="W28" s="7">
        <v>0</v>
      </c>
      <c r="X28" s="8">
        <f>IFERROR(W28/W327, "NA")</f>
        <v>0</v>
      </c>
    </row>
    <row r="29" spans="1:24" ht="16.5" customHeight="1" x14ac:dyDescent="0.25">
      <c r="A29" s="6" t="s">
        <v>35</v>
      </c>
      <c r="B29" s="7">
        <v>0</v>
      </c>
      <c r="C29" s="8">
        <f>IFERROR(B29/B327, "NA")</f>
        <v>0</v>
      </c>
      <c r="D29" s="9"/>
      <c r="E29" s="7">
        <v>0</v>
      </c>
      <c r="F29" s="8">
        <f>IFERROR(E29/E327, "NA")</f>
        <v>0</v>
      </c>
      <c r="G29" s="9"/>
      <c r="H29" s="7">
        <v>0</v>
      </c>
      <c r="I29" s="8">
        <f>IFERROR(H29/H327, "NA")</f>
        <v>0</v>
      </c>
      <c r="J29" s="9"/>
      <c r="K29" s="7">
        <v>0</v>
      </c>
      <c r="L29" s="8">
        <f>IFERROR(K29/K327, "NA")</f>
        <v>0</v>
      </c>
      <c r="M29" s="9"/>
      <c r="N29" s="7">
        <v>0</v>
      </c>
      <c r="O29" s="8">
        <f>IFERROR(N29/N327, "NA")</f>
        <v>0</v>
      </c>
      <c r="P29" s="9"/>
      <c r="Q29" s="7">
        <v>0</v>
      </c>
      <c r="R29" s="8">
        <f>IFERROR(Q29/Q327, "NA")</f>
        <v>0</v>
      </c>
      <c r="S29" s="9"/>
      <c r="T29" s="7">
        <v>0</v>
      </c>
      <c r="U29" s="8">
        <f>IFERROR(T29/T327, "NA")</f>
        <v>0</v>
      </c>
      <c r="V29" s="9"/>
      <c r="W29" s="7">
        <v>0</v>
      </c>
      <c r="X29" s="8">
        <f>IFERROR(W29/W327, "NA")</f>
        <v>0</v>
      </c>
    </row>
    <row r="30" spans="1:24" ht="16.5" customHeight="1" x14ac:dyDescent="0.25">
      <c r="A30" s="10" t="s">
        <v>36</v>
      </c>
      <c r="B30" s="11">
        <f>IFERROR(B21+B22+B23+B24+B25+B26+B27+B28+B29, "NA")</f>
        <v>80402.12</v>
      </c>
      <c r="C30" s="12">
        <f>IFERROR(B30/B327, "NA")</f>
        <v>0.20171489771003681</v>
      </c>
      <c r="D30" s="2"/>
      <c r="E30" s="11">
        <f>IFERROR(E21+E22+E23+E24+E25+E26+E27+E28+E29, "NA")</f>
        <v>3996.79</v>
      </c>
      <c r="F30" s="12">
        <f>IFERROR(E30/E327, "NA")</f>
        <v>1.9402548746307157E-2</v>
      </c>
      <c r="G30" s="2"/>
      <c r="H30" s="11">
        <f>IFERROR(H21+H22+H23+H24+H25+H26+H27+H28+H29, "NA")</f>
        <v>3024</v>
      </c>
      <c r="I30" s="12">
        <f>IFERROR(H30/H327, "NA")</f>
        <v>8.9393071593533487E-3</v>
      </c>
      <c r="J30" s="2"/>
      <c r="K30" s="11">
        <f>IFERROR(K21+K22+K23+K24+K25+K26+K27+K28+K29, "NA")</f>
        <v>2269.0100000000002</v>
      </c>
      <c r="L30" s="12">
        <f>IFERROR(K30/K327, "NA")</f>
        <v>9.7358999667075743E-3</v>
      </c>
      <c r="M30" s="2"/>
      <c r="N30" s="11">
        <f>IFERROR(N21+N22+N23+N24+N25+N26+N27+N28+N29, "NA")</f>
        <v>133314.72</v>
      </c>
      <c r="O30" s="12">
        <f>IFERROR(N30/N327, "NA")</f>
        <v>0.35922972405796277</v>
      </c>
      <c r="P30" s="2"/>
      <c r="Q30" s="11">
        <f>IFERROR(Q21+Q22+Q23+Q24+Q25+Q26+Q27+Q28+Q29, "NA")</f>
        <v>367</v>
      </c>
      <c r="R30" s="12">
        <f>IFERROR(Q30/Q327, "NA")</f>
        <v>2.1076691591146641E-3</v>
      </c>
      <c r="S30" s="2"/>
      <c r="T30" s="11">
        <f>IFERROR(T21+T22+T23+T24+T25+T26+T27+T28+T29, "NA")</f>
        <v>1750</v>
      </c>
      <c r="U30" s="12">
        <f>IFERROR(T30/T327, "NA")</f>
        <v>9.8972104005542443E-3</v>
      </c>
      <c r="V30" s="2"/>
      <c r="W30" s="11">
        <f>IFERROR(W21+W22+W23+W24+W25+W26+W27+W28+W29, "NA")</f>
        <v>633</v>
      </c>
      <c r="X30" s="12">
        <f>IFERROR(W30/W327, "NA")</f>
        <v>3.7475134981528845E-3</v>
      </c>
    </row>
    <row r="31" spans="1:24" ht="16.5" customHeight="1" x14ac:dyDescent="0.25">
      <c r="A31" s="5" t="s">
        <v>37</v>
      </c>
      <c r="B31" s="2"/>
      <c r="C31" s="3"/>
      <c r="D31" s="4"/>
      <c r="E31" s="2"/>
      <c r="F31" s="3"/>
      <c r="G31" s="4"/>
      <c r="H31" s="2"/>
      <c r="I31" s="3"/>
      <c r="J31" s="4"/>
      <c r="K31" s="2"/>
      <c r="L31" s="3"/>
      <c r="M31" s="4"/>
      <c r="N31" s="2"/>
      <c r="O31" s="3"/>
      <c r="P31" s="4"/>
      <c r="Q31" s="2"/>
      <c r="R31" s="3"/>
      <c r="S31" s="4"/>
      <c r="T31" s="2"/>
      <c r="U31" s="3"/>
      <c r="V31" s="4"/>
      <c r="W31" s="2"/>
      <c r="X31" s="3"/>
    </row>
    <row r="32" spans="1:24" ht="16.5" customHeight="1" x14ac:dyDescent="0.25">
      <c r="A32" s="6" t="s">
        <v>38</v>
      </c>
      <c r="B32" s="7">
        <v>0</v>
      </c>
      <c r="C32" s="8">
        <f>IFERROR(B32/B327, "NA")</f>
        <v>0</v>
      </c>
      <c r="D32" s="9"/>
      <c r="E32" s="7">
        <v>0</v>
      </c>
      <c r="F32" s="8">
        <f>IFERROR(E32/E327, "NA")</f>
        <v>0</v>
      </c>
      <c r="G32" s="9"/>
      <c r="H32" s="7">
        <v>0</v>
      </c>
      <c r="I32" s="8">
        <f>IFERROR(H32/H327, "NA")</f>
        <v>0</v>
      </c>
      <c r="J32" s="9"/>
      <c r="K32" s="7">
        <v>0</v>
      </c>
      <c r="L32" s="8">
        <f>IFERROR(K32/K327, "NA")</f>
        <v>0</v>
      </c>
      <c r="M32" s="9"/>
      <c r="N32" s="7">
        <v>0</v>
      </c>
      <c r="O32" s="8">
        <f>IFERROR(N32/N327, "NA")</f>
        <v>0</v>
      </c>
      <c r="P32" s="9"/>
      <c r="Q32" s="7">
        <v>0</v>
      </c>
      <c r="R32" s="8">
        <f>IFERROR(Q32/Q327, "NA")</f>
        <v>0</v>
      </c>
      <c r="S32" s="9"/>
      <c r="T32" s="7">
        <v>0</v>
      </c>
      <c r="U32" s="8">
        <f>IFERROR(T32/T327, "NA")</f>
        <v>0</v>
      </c>
      <c r="V32" s="9"/>
      <c r="W32" s="7">
        <v>0</v>
      </c>
      <c r="X32" s="8">
        <f>IFERROR(W32/W327, "NA")</f>
        <v>0</v>
      </c>
    </row>
    <row r="33" spans="1:24" ht="16.5" customHeight="1" x14ac:dyDescent="0.25">
      <c r="A33" s="6" t="s">
        <v>39</v>
      </c>
      <c r="B33" s="7">
        <v>0</v>
      </c>
      <c r="C33" s="8">
        <f>IFERROR(B33/B327, "NA")</f>
        <v>0</v>
      </c>
      <c r="D33" s="9"/>
      <c r="E33" s="7">
        <v>0</v>
      </c>
      <c r="F33" s="8">
        <f>IFERROR(E33/E327, "NA")</f>
        <v>0</v>
      </c>
      <c r="G33" s="9"/>
      <c r="H33" s="7">
        <v>0</v>
      </c>
      <c r="I33" s="8">
        <f>IFERROR(H33/H327, "NA")</f>
        <v>0</v>
      </c>
      <c r="J33" s="9"/>
      <c r="K33" s="7">
        <v>0</v>
      </c>
      <c r="L33" s="8">
        <f>IFERROR(K33/K327, "NA")</f>
        <v>0</v>
      </c>
      <c r="M33" s="9"/>
      <c r="N33" s="7">
        <v>0</v>
      </c>
      <c r="O33" s="8">
        <f>IFERROR(N33/N327, "NA")</f>
        <v>0</v>
      </c>
      <c r="P33" s="9"/>
      <c r="Q33" s="7">
        <v>0</v>
      </c>
      <c r="R33" s="8">
        <f>IFERROR(Q33/Q327, "NA")</f>
        <v>0</v>
      </c>
      <c r="S33" s="9"/>
      <c r="T33" s="7">
        <v>0</v>
      </c>
      <c r="U33" s="8">
        <f>IFERROR(T33/T327, "NA")</f>
        <v>0</v>
      </c>
      <c r="V33" s="9"/>
      <c r="W33" s="7">
        <v>0</v>
      </c>
      <c r="X33" s="8">
        <f>IFERROR(W33/W327, "NA")</f>
        <v>0</v>
      </c>
    </row>
    <row r="34" spans="1:24" ht="16.5" customHeight="1" x14ac:dyDescent="0.25">
      <c r="A34" s="6" t="s">
        <v>40</v>
      </c>
      <c r="B34" s="7">
        <v>0</v>
      </c>
      <c r="C34" s="8">
        <f>IFERROR(B34/B327, "NA")</f>
        <v>0</v>
      </c>
      <c r="D34" s="9"/>
      <c r="E34" s="7">
        <v>0</v>
      </c>
      <c r="F34" s="8">
        <f>IFERROR(E34/E327, "NA")</f>
        <v>0</v>
      </c>
      <c r="G34" s="9"/>
      <c r="H34" s="7">
        <v>0</v>
      </c>
      <c r="I34" s="8">
        <f>IFERROR(H34/H327, "NA")</f>
        <v>0</v>
      </c>
      <c r="J34" s="9"/>
      <c r="K34" s="7">
        <v>0</v>
      </c>
      <c r="L34" s="8">
        <f>IFERROR(K34/K327, "NA")</f>
        <v>0</v>
      </c>
      <c r="M34" s="9"/>
      <c r="N34" s="7">
        <v>0</v>
      </c>
      <c r="O34" s="8">
        <f>IFERROR(N34/N327, "NA")</f>
        <v>0</v>
      </c>
      <c r="P34" s="9"/>
      <c r="Q34" s="7">
        <v>0</v>
      </c>
      <c r="R34" s="8">
        <f>IFERROR(Q34/Q327, "NA")</f>
        <v>0</v>
      </c>
      <c r="S34" s="9"/>
      <c r="T34" s="7">
        <v>0</v>
      </c>
      <c r="U34" s="8">
        <f>IFERROR(T34/T327, "NA")</f>
        <v>0</v>
      </c>
      <c r="V34" s="9"/>
      <c r="W34" s="7">
        <v>0</v>
      </c>
      <c r="X34" s="8">
        <f>IFERROR(W34/W327, "NA")</f>
        <v>0</v>
      </c>
    </row>
    <row r="35" spans="1:24" ht="16.5" customHeight="1" x14ac:dyDescent="0.25">
      <c r="A35" s="6" t="s">
        <v>41</v>
      </c>
      <c r="B35" s="7">
        <v>0</v>
      </c>
      <c r="C35" s="8">
        <f>IFERROR(B35/B327, "NA")</f>
        <v>0</v>
      </c>
      <c r="D35" s="9"/>
      <c r="E35" s="7">
        <v>0</v>
      </c>
      <c r="F35" s="8">
        <f>IFERROR(E35/E327, "NA")</f>
        <v>0</v>
      </c>
      <c r="G35" s="9"/>
      <c r="H35" s="7">
        <v>0</v>
      </c>
      <c r="I35" s="8">
        <f>IFERROR(H35/H327, "NA")</f>
        <v>0</v>
      </c>
      <c r="J35" s="9"/>
      <c r="K35" s="7">
        <v>0</v>
      </c>
      <c r="L35" s="8">
        <f>IFERROR(K35/K327, "NA")</f>
        <v>0</v>
      </c>
      <c r="M35" s="9"/>
      <c r="N35" s="7">
        <v>0</v>
      </c>
      <c r="O35" s="8">
        <f>IFERROR(N35/N327, "NA")</f>
        <v>0</v>
      </c>
      <c r="P35" s="9"/>
      <c r="Q35" s="7">
        <v>0</v>
      </c>
      <c r="R35" s="8">
        <f>IFERROR(Q35/Q327, "NA")</f>
        <v>0</v>
      </c>
      <c r="S35" s="9"/>
      <c r="T35" s="7">
        <v>0</v>
      </c>
      <c r="U35" s="8">
        <f>IFERROR(T35/T327, "NA")</f>
        <v>0</v>
      </c>
      <c r="V35" s="9"/>
      <c r="W35" s="7">
        <v>0</v>
      </c>
      <c r="X35" s="8">
        <f>IFERROR(W35/W327, "NA")</f>
        <v>0</v>
      </c>
    </row>
    <row r="36" spans="1:24" ht="16.5" customHeight="1" x14ac:dyDescent="0.25">
      <c r="A36" s="6" t="s">
        <v>42</v>
      </c>
      <c r="B36" s="7">
        <v>0</v>
      </c>
      <c r="C36" s="8">
        <f>IFERROR(B36/B327, "NA")</f>
        <v>0</v>
      </c>
      <c r="D36" s="9"/>
      <c r="E36" s="7">
        <v>0</v>
      </c>
      <c r="F36" s="8">
        <f>IFERROR(E36/E327, "NA")</f>
        <v>0</v>
      </c>
      <c r="G36" s="9"/>
      <c r="H36" s="7">
        <v>0</v>
      </c>
      <c r="I36" s="8">
        <f>IFERROR(H36/H327, "NA")</f>
        <v>0</v>
      </c>
      <c r="J36" s="9"/>
      <c r="K36" s="7">
        <v>0</v>
      </c>
      <c r="L36" s="8">
        <f>IFERROR(K36/K327, "NA")</f>
        <v>0</v>
      </c>
      <c r="M36" s="9"/>
      <c r="N36" s="7">
        <v>0</v>
      </c>
      <c r="O36" s="8">
        <f>IFERROR(N36/N327, "NA")</f>
        <v>0</v>
      </c>
      <c r="P36" s="9"/>
      <c r="Q36" s="7">
        <v>0</v>
      </c>
      <c r="R36" s="8">
        <f>IFERROR(Q36/Q327, "NA")</f>
        <v>0</v>
      </c>
      <c r="S36" s="9"/>
      <c r="T36" s="7">
        <v>0</v>
      </c>
      <c r="U36" s="8">
        <f>IFERROR(T36/T327, "NA")</f>
        <v>0</v>
      </c>
      <c r="V36" s="9"/>
      <c r="W36" s="7">
        <v>0</v>
      </c>
      <c r="X36" s="8">
        <f>IFERROR(W36/W327, "NA")</f>
        <v>0</v>
      </c>
    </row>
    <row r="37" spans="1:24" ht="16.5" customHeight="1" x14ac:dyDescent="0.25">
      <c r="A37" s="10" t="s">
        <v>43</v>
      </c>
      <c r="B37" s="11">
        <f>IFERROR(B32+B33+B34+B35+B36, "NA")</f>
        <v>0</v>
      </c>
      <c r="C37" s="12">
        <f>IFERROR(B37/B327, "NA")</f>
        <v>0</v>
      </c>
      <c r="D37" s="2"/>
      <c r="E37" s="11">
        <f>IFERROR(E32+E33+E34+E35+E36, "NA")</f>
        <v>0</v>
      </c>
      <c r="F37" s="12">
        <f>IFERROR(E37/E327, "NA")</f>
        <v>0</v>
      </c>
      <c r="G37" s="2"/>
      <c r="H37" s="11">
        <f>IFERROR(H32+H33+H34+H35+H36, "NA")</f>
        <v>0</v>
      </c>
      <c r="I37" s="12">
        <f>IFERROR(H37/H327, "NA")</f>
        <v>0</v>
      </c>
      <c r="J37" s="2"/>
      <c r="K37" s="11">
        <f>IFERROR(K32+K33+K34+K35+K36, "NA")</f>
        <v>0</v>
      </c>
      <c r="L37" s="12">
        <f>IFERROR(K37/K327, "NA")</f>
        <v>0</v>
      </c>
      <c r="M37" s="2"/>
      <c r="N37" s="11">
        <f>IFERROR(N32+N33+N34+N35+N36, "NA")</f>
        <v>0</v>
      </c>
      <c r="O37" s="12">
        <f>IFERROR(N37/N327, "NA")</f>
        <v>0</v>
      </c>
      <c r="P37" s="2"/>
      <c r="Q37" s="11">
        <f>IFERROR(Q32+Q33+Q34+Q35+Q36, "NA")</f>
        <v>0</v>
      </c>
      <c r="R37" s="12">
        <f>IFERROR(Q37/Q327, "NA")</f>
        <v>0</v>
      </c>
      <c r="S37" s="2"/>
      <c r="T37" s="11">
        <f>IFERROR(T32+T33+T34+T35+T36, "NA")</f>
        <v>0</v>
      </c>
      <c r="U37" s="12">
        <f>IFERROR(T37/T327, "NA")</f>
        <v>0</v>
      </c>
      <c r="V37" s="2"/>
      <c r="W37" s="11">
        <f>IFERROR(W32+W33+W34+W35+W36, "NA")</f>
        <v>0</v>
      </c>
      <c r="X37" s="12">
        <f>IFERROR(W37/W327, "NA")</f>
        <v>0</v>
      </c>
    </row>
    <row r="38" spans="1:24" ht="16.5" customHeight="1" x14ac:dyDescent="0.25">
      <c r="A38" s="5" t="s">
        <v>44</v>
      </c>
      <c r="B38" s="2"/>
      <c r="C38" s="3"/>
      <c r="D38" s="4"/>
      <c r="E38" s="2"/>
      <c r="F38" s="3"/>
      <c r="G38" s="4"/>
      <c r="H38" s="2"/>
      <c r="I38" s="3"/>
      <c r="J38" s="4"/>
      <c r="K38" s="2"/>
      <c r="L38" s="3"/>
      <c r="M38" s="4"/>
      <c r="N38" s="2"/>
      <c r="O38" s="3"/>
      <c r="P38" s="4"/>
      <c r="Q38" s="2"/>
      <c r="R38" s="3"/>
      <c r="S38" s="4"/>
      <c r="T38" s="2"/>
      <c r="U38" s="3"/>
      <c r="V38" s="4"/>
      <c r="W38" s="2"/>
      <c r="X38" s="3"/>
    </row>
    <row r="39" spans="1:24" ht="16.5" customHeight="1" x14ac:dyDescent="0.25">
      <c r="A39" s="6" t="s">
        <v>45</v>
      </c>
      <c r="B39" s="7">
        <v>0</v>
      </c>
      <c r="C39" s="8">
        <f>IFERROR(B39/B327, "NA")</f>
        <v>0</v>
      </c>
      <c r="D39" s="9"/>
      <c r="E39" s="7">
        <v>0</v>
      </c>
      <c r="F39" s="8">
        <f>IFERROR(E39/E327, "NA")</f>
        <v>0</v>
      </c>
      <c r="G39" s="9"/>
      <c r="H39" s="7">
        <v>0</v>
      </c>
      <c r="I39" s="8">
        <f>IFERROR(H39/H327, "NA")</f>
        <v>0</v>
      </c>
      <c r="J39" s="9"/>
      <c r="K39" s="7">
        <v>0</v>
      </c>
      <c r="L39" s="8">
        <f>IFERROR(K39/K327, "NA")</f>
        <v>0</v>
      </c>
      <c r="M39" s="9"/>
      <c r="N39" s="7">
        <v>0</v>
      </c>
      <c r="O39" s="8">
        <f>IFERROR(N39/N327, "NA")</f>
        <v>0</v>
      </c>
      <c r="P39" s="9"/>
      <c r="Q39" s="7">
        <v>0</v>
      </c>
      <c r="R39" s="8">
        <f>IFERROR(Q39/Q327, "NA")</f>
        <v>0</v>
      </c>
      <c r="S39" s="9"/>
      <c r="T39" s="7">
        <v>0</v>
      </c>
      <c r="U39" s="8">
        <f>IFERROR(T39/T327, "NA")</f>
        <v>0</v>
      </c>
      <c r="V39" s="9"/>
      <c r="W39" s="7">
        <v>0</v>
      </c>
      <c r="X39" s="8">
        <f>IFERROR(W39/W327, "NA")</f>
        <v>0</v>
      </c>
    </row>
    <row r="40" spans="1:24" ht="16.5" customHeight="1" x14ac:dyDescent="0.25">
      <c r="A40" s="6" t="s">
        <v>46</v>
      </c>
      <c r="B40" s="7">
        <v>-221.25</v>
      </c>
      <c r="C40" s="8">
        <f>IFERROR(B40/B327, "NA")</f>
        <v>-5.5507766609071553E-4</v>
      </c>
      <c r="D40" s="9"/>
      <c r="E40" s="7">
        <v>-300.75</v>
      </c>
      <c r="F40" s="8">
        <f>IFERROR(E40/E327, "NA")</f>
        <v>-1.4600007844925245E-3</v>
      </c>
      <c r="G40" s="9"/>
      <c r="H40" s="7">
        <v>-249.5</v>
      </c>
      <c r="I40" s="8">
        <f>IFERROR(H40/H327, "NA")</f>
        <v>-7.3755196304849883E-4</v>
      </c>
      <c r="J40" s="9"/>
      <c r="K40" s="7">
        <v>0</v>
      </c>
      <c r="L40" s="8">
        <f>IFERROR(K40/K327, "NA")</f>
        <v>0</v>
      </c>
      <c r="M40" s="9"/>
      <c r="N40" s="7">
        <v>0</v>
      </c>
      <c r="O40" s="8">
        <f>IFERROR(N40/N327, "NA")</f>
        <v>0</v>
      </c>
      <c r="P40" s="9"/>
      <c r="Q40" s="7">
        <v>0</v>
      </c>
      <c r="R40" s="8">
        <f>IFERROR(Q40/Q327, "NA")</f>
        <v>0</v>
      </c>
      <c r="S40" s="9"/>
      <c r="T40" s="7">
        <v>0</v>
      </c>
      <c r="U40" s="8">
        <f>IFERROR(T40/T327, "NA")</f>
        <v>0</v>
      </c>
      <c r="V40" s="9"/>
      <c r="W40" s="7">
        <v>0</v>
      </c>
      <c r="X40" s="8">
        <f>IFERROR(W40/W327, "NA")</f>
        <v>0</v>
      </c>
    </row>
    <row r="41" spans="1:24" ht="16.5" customHeight="1" x14ac:dyDescent="0.25">
      <c r="A41" s="6" t="s">
        <v>47</v>
      </c>
      <c r="B41" s="7">
        <v>-448</v>
      </c>
      <c r="C41" s="8">
        <f>IFERROR(B41/B327, "NA")</f>
        <v>-1.1239538730334038E-3</v>
      </c>
      <c r="D41" s="9"/>
      <c r="E41" s="7">
        <v>-372</v>
      </c>
      <c r="F41" s="8">
        <f>IFERROR(E41/E327, "NA")</f>
        <v>-1.8058862571279106E-3</v>
      </c>
      <c r="G41" s="9"/>
      <c r="H41" s="7">
        <v>-396</v>
      </c>
      <c r="I41" s="8">
        <f>IFERROR(H41/H327, "NA")</f>
        <v>-1.1706235565819862E-3</v>
      </c>
      <c r="J41" s="9"/>
      <c r="K41" s="7">
        <v>-313</v>
      </c>
      <c r="L41" s="8">
        <f>IFERROR(K41/K327, "NA")</f>
        <v>-1.3430247947692916E-3</v>
      </c>
      <c r="M41" s="9"/>
      <c r="N41" s="7">
        <v>-383</v>
      </c>
      <c r="O41" s="8">
        <f>IFERROR(N41/N327, "NA")</f>
        <v>-1.0320314539474691E-3</v>
      </c>
      <c r="P41" s="9"/>
      <c r="Q41" s="7">
        <v>-451</v>
      </c>
      <c r="R41" s="8">
        <f>IFERROR(Q41/Q327, "NA")</f>
        <v>-2.5900784489392738E-3</v>
      </c>
      <c r="S41" s="9"/>
      <c r="T41" s="7">
        <v>-498</v>
      </c>
      <c r="U41" s="8">
        <f>IFERROR(T41/T327, "NA")</f>
        <v>-2.8164633025577219E-3</v>
      </c>
      <c r="V41" s="9"/>
      <c r="W41" s="7">
        <v>-538</v>
      </c>
      <c r="X41" s="8">
        <f>IFERROR(W41/W327, "NA")</f>
        <v>-3.185090461305295E-3</v>
      </c>
    </row>
    <row r="42" spans="1:24" ht="16.5" customHeight="1" x14ac:dyDescent="0.25">
      <c r="A42" s="6" t="s">
        <v>48</v>
      </c>
      <c r="B42" s="7">
        <v>-515</v>
      </c>
      <c r="C42" s="8">
        <f>IFERROR(B42/B327, "NA")</f>
        <v>-1.2920451888665243E-3</v>
      </c>
      <c r="D42" s="9"/>
      <c r="E42" s="7">
        <v>-358</v>
      </c>
      <c r="F42" s="8">
        <f>IFERROR(E42/E327, "NA")</f>
        <v>-1.7379227958381506E-3</v>
      </c>
      <c r="G42" s="9"/>
      <c r="H42" s="7">
        <v>-547</v>
      </c>
      <c r="I42" s="8">
        <f>IFERROR(H42/H327, "NA")</f>
        <v>-1.6169976905311778E-3</v>
      </c>
      <c r="J42" s="9"/>
      <c r="K42" s="7">
        <v>-1434</v>
      </c>
      <c r="L42" s="8">
        <f>IFERROR(K42/K327, "NA")</f>
        <v>-6.1530273345021223E-3</v>
      </c>
      <c r="M42" s="9"/>
      <c r="N42" s="7">
        <v>-100</v>
      </c>
      <c r="O42" s="8">
        <f>IFERROR(N42/N327, "NA")</f>
        <v>-2.6945990964685881E-4</v>
      </c>
      <c r="P42" s="9"/>
      <c r="Q42" s="7">
        <v>-390</v>
      </c>
      <c r="R42" s="8">
        <f>IFERROR(Q42/Q327, "NA")</f>
        <v>-2.239757417042831E-3</v>
      </c>
      <c r="S42" s="9"/>
      <c r="T42" s="7">
        <v>-743</v>
      </c>
      <c r="U42" s="8">
        <f>IFERROR(T42/T327, "NA")</f>
        <v>-4.2020727586353163E-3</v>
      </c>
      <c r="V42" s="9"/>
      <c r="W42" s="7">
        <v>-1450</v>
      </c>
      <c r="X42" s="8">
        <f>IFERROR(W42/W327, "NA")</f>
        <v>-8.5843516150421514E-3</v>
      </c>
    </row>
    <row r="43" spans="1:24" ht="16.5" customHeight="1" x14ac:dyDescent="0.25">
      <c r="A43" s="6" t="s">
        <v>49</v>
      </c>
      <c r="B43" s="7">
        <v>-3965</v>
      </c>
      <c r="C43" s="8">
        <f>IFERROR(B43/B327, "NA")</f>
        <v>-9.9474935414675131E-3</v>
      </c>
      <c r="D43" s="9"/>
      <c r="E43" s="7">
        <v>-7848</v>
      </c>
      <c r="F43" s="8">
        <f>IFERROR(E43/E327, "NA")</f>
        <v>-3.8098374585859796E-2</v>
      </c>
      <c r="G43" s="9"/>
      <c r="H43" s="7">
        <v>-3942</v>
      </c>
      <c r="I43" s="8">
        <f>IFERROR(H43/H327, "NA")</f>
        <v>-1.1653025404157044E-2</v>
      </c>
      <c r="J43" s="9"/>
      <c r="K43" s="7">
        <v>-5462</v>
      </c>
      <c r="L43" s="8">
        <f>IFERROR(K43/K327, "NA")</f>
        <v>-2.3436426290830259E-2</v>
      </c>
      <c r="M43" s="9"/>
      <c r="N43" s="7">
        <v>-7020</v>
      </c>
      <c r="O43" s="8">
        <f>IFERROR(N43/N327, "NA")</f>
        <v>-1.8916085657209487E-2</v>
      </c>
      <c r="P43" s="9"/>
      <c r="Q43" s="7">
        <v>-7421</v>
      </c>
      <c r="R43" s="8">
        <f>IFERROR(Q43/Q327, "NA")</f>
        <v>-4.2618563568909869E-2</v>
      </c>
      <c r="S43" s="9"/>
      <c r="T43" s="7">
        <v>-4865</v>
      </c>
      <c r="U43" s="8">
        <f>IFERROR(T43/T327, "NA")</f>
        <v>-2.7514244913540799E-2</v>
      </c>
      <c r="V43" s="9"/>
      <c r="W43" s="7">
        <v>-3884</v>
      </c>
      <c r="X43" s="8">
        <f>IFERROR(W43/W327, "NA")</f>
        <v>-2.2994221843326702E-2</v>
      </c>
    </row>
    <row r="44" spans="1:24" ht="16.5" customHeight="1" x14ac:dyDescent="0.25">
      <c r="A44" s="6" t="s">
        <v>50</v>
      </c>
      <c r="B44" s="7">
        <v>-22</v>
      </c>
      <c r="C44" s="8">
        <f>IFERROR(B44/B327, "NA")</f>
        <v>-5.5194163407890362E-5</v>
      </c>
      <c r="D44" s="9"/>
      <c r="E44" s="7">
        <v>-95</v>
      </c>
      <c r="F44" s="8">
        <f>IFERROR(E44/E327, "NA")</f>
        <v>-4.6118063018051481E-4</v>
      </c>
      <c r="G44" s="9"/>
      <c r="H44" s="7">
        <v>-103</v>
      </c>
      <c r="I44" s="8">
        <f>IFERROR(H44/H327, "NA")</f>
        <v>-3.0448036951501156E-4</v>
      </c>
      <c r="J44" s="9"/>
      <c r="K44" s="7">
        <v>-830</v>
      </c>
      <c r="L44" s="8">
        <f>IFERROR(K44/K327, "NA")</f>
        <v>-3.5613756538610611E-3</v>
      </c>
      <c r="M44" s="9"/>
      <c r="N44" s="7">
        <v>-53</v>
      </c>
      <c r="O44" s="8">
        <f>IFERROR(N44/N327, "NA")</f>
        <v>-1.4281375211283516E-4</v>
      </c>
      <c r="P44" s="9"/>
      <c r="Q44" s="7">
        <v>-124</v>
      </c>
      <c r="R44" s="8">
        <f>IFERROR(Q44/Q327, "NA")</f>
        <v>-7.1212799926490011E-4</v>
      </c>
      <c r="S44" s="9"/>
      <c r="T44" s="7">
        <v>-151</v>
      </c>
      <c r="U44" s="8">
        <f>IFERROR(T44/T327, "NA")</f>
        <v>-8.5398786884782329E-4</v>
      </c>
      <c r="V44" s="9"/>
      <c r="W44" s="7">
        <v>-56</v>
      </c>
      <c r="X44" s="8">
        <f>IFERROR(W44/W327, "NA")</f>
        <v>-3.3153357961542105E-4</v>
      </c>
    </row>
    <row r="45" spans="1:24" ht="16.5" customHeight="1" x14ac:dyDescent="0.25">
      <c r="A45" s="6" t="s">
        <v>51</v>
      </c>
      <c r="B45" s="7">
        <v>0</v>
      </c>
      <c r="C45" s="8">
        <f>IFERROR(B45/B327, "NA")</f>
        <v>0</v>
      </c>
      <c r="D45" s="9"/>
      <c r="E45" s="7">
        <v>0</v>
      </c>
      <c r="F45" s="8">
        <f>IFERROR(E45/E327, "NA")</f>
        <v>0</v>
      </c>
      <c r="G45" s="9"/>
      <c r="H45" s="7">
        <v>0</v>
      </c>
      <c r="I45" s="8">
        <f>IFERROR(H45/H327, "NA")</f>
        <v>0</v>
      </c>
      <c r="J45" s="9"/>
      <c r="K45" s="7">
        <v>0</v>
      </c>
      <c r="L45" s="8">
        <f>IFERROR(K45/K327, "NA")</f>
        <v>0</v>
      </c>
      <c r="M45" s="9"/>
      <c r="N45" s="7">
        <v>0</v>
      </c>
      <c r="O45" s="8">
        <f>IFERROR(N45/N327, "NA")</f>
        <v>0</v>
      </c>
      <c r="P45" s="9"/>
      <c r="Q45" s="7">
        <v>0</v>
      </c>
      <c r="R45" s="8">
        <f>IFERROR(Q45/Q327, "NA")</f>
        <v>0</v>
      </c>
      <c r="S45" s="9"/>
      <c r="T45" s="7">
        <v>0</v>
      </c>
      <c r="U45" s="8">
        <f>IFERROR(T45/T327, "NA")</f>
        <v>0</v>
      </c>
      <c r="V45" s="9"/>
      <c r="W45" s="7">
        <v>0</v>
      </c>
      <c r="X45" s="8">
        <f>IFERROR(W45/W327, "NA")</f>
        <v>0</v>
      </c>
    </row>
    <row r="46" spans="1:24" ht="16.5" customHeight="1" x14ac:dyDescent="0.25">
      <c r="A46" s="6" t="s">
        <v>52</v>
      </c>
      <c r="B46" s="7">
        <v>-4816</v>
      </c>
      <c r="C46" s="8">
        <f>IFERROR(B46/B327, "NA")</f>
        <v>-1.208250413510909E-2</v>
      </c>
      <c r="D46" s="9"/>
      <c r="E46" s="7">
        <v>-3309</v>
      </c>
      <c r="F46" s="8">
        <f>IFERROR(E46/E327, "NA")</f>
        <v>-1.6063649529129722E-2</v>
      </c>
      <c r="G46" s="9"/>
      <c r="H46" s="7">
        <v>-2151</v>
      </c>
      <c r="I46" s="8">
        <f>IFERROR(H46/H327, "NA")</f>
        <v>-6.3586143187066976E-3</v>
      </c>
      <c r="J46" s="9"/>
      <c r="K46" s="7">
        <v>-2457</v>
      </c>
      <c r="L46" s="8">
        <f>IFERROR(K46/K327, "NA")</f>
        <v>-1.0542530098236899E-2</v>
      </c>
      <c r="M46" s="9"/>
      <c r="N46" s="7">
        <v>-4069</v>
      </c>
      <c r="O46" s="8">
        <f>IFERROR(N46/N327, "NA")</f>
        <v>-1.0964323723530685E-2</v>
      </c>
      <c r="P46" s="9"/>
      <c r="Q46" s="7">
        <v>-3076</v>
      </c>
      <c r="R46" s="8">
        <f>IFERROR(Q46/Q327, "NA")</f>
        <v>-1.7665368755958328E-2</v>
      </c>
      <c r="S46" s="9"/>
      <c r="T46" s="7">
        <v>-2966</v>
      </c>
      <c r="U46" s="8">
        <f>IFERROR(T46/T327, "NA")</f>
        <v>-1.6774357741739365E-2</v>
      </c>
      <c r="V46" s="9"/>
      <c r="W46" s="7">
        <v>-2075</v>
      </c>
      <c r="X46" s="8">
        <f>IFERROR(W46/W327, "NA")</f>
        <v>-1.2284503173249976E-2</v>
      </c>
    </row>
    <row r="47" spans="1:24" ht="16.5" customHeight="1" x14ac:dyDescent="0.25">
      <c r="A47" s="6" t="s">
        <v>53</v>
      </c>
      <c r="B47" s="7">
        <v>-1090</v>
      </c>
      <c r="C47" s="8">
        <f>IFERROR(B47/B327, "NA")</f>
        <v>-2.7346199143000226E-3</v>
      </c>
      <c r="D47" s="9"/>
      <c r="E47" s="7">
        <v>-2470</v>
      </c>
      <c r="F47" s="8">
        <f>IFERROR(E47/E327, "NA")</f>
        <v>-1.1990696384693385E-2</v>
      </c>
      <c r="G47" s="9"/>
      <c r="H47" s="7">
        <v>-886</v>
      </c>
      <c r="I47" s="8">
        <f>IFERROR(H47/H327, "NA")</f>
        <v>-2.619122401847575E-3</v>
      </c>
      <c r="J47" s="9"/>
      <c r="K47" s="7">
        <v>-593</v>
      </c>
      <c r="L47" s="8">
        <f>IFERROR(K47/K327, "NA")</f>
        <v>-2.5444527261923003E-3</v>
      </c>
      <c r="M47" s="9"/>
      <c r="N47" s="7">
        <v>-519</v>
      </c>
      <c r="O47" s="8">
        <f>IFERROR(N47/N327, "NA")</f>
        <v>-1.3984969310671972E-3</v>
      </c>
      <c r="P47" s="9"/>
      <c r="Q47" s="7">
        <v>-363</v>
      </c>
      <c r="R47" s="8">
        <f>IFERROR(Q47/Q327, "NA")</f>
        <v>-2.0846972881706349E-3</v>
      </c>
      <c r="S47" s="9"/>
      <c r="T47" s="7">
        <v>-363</v>
      </c>
      <c r="U47" s="8">
        <f>IFERROR(T47/T327, "NA")</f>
        <v>-2.0529642145149661E-3</v>
      </c>
      <c r="V47" s="9"/>
      <c r="W47" s="7">
        <v>-436</v>
      </c>
      <c r="X47" s="8">
        <f>IFERROR(W47/W327, "NA")</f>
        <v>-2.581225727005778E-3</v>
      </c>
    </row>
    <row r="48" spans="1:24" ht="16.5" customHeight="1" x14ac:dyDescent="0.25">
      <c r="A48" s="6" t="s">
        <v>54</v>
      </c>
      <c r="B48" s="7">
        <v>-945</v>
      </c>
      <c r="C48" s="8">
        <f>IFERROR(B48/B327, "NA")</f>
        <v>-2.3708402009298361E-3</v>
      </c>
      <c r="D48" s="9"/>
      <c r="E48" s="7">
        <v>-2341</v>
      </c>
      <c r="F48" s="8">
        <f>IFERROR(E48/E327, "NA")</f>
        <v>-1.1364461634237738E-2</v>
      </c>
      <c r="G48" s="9"/>
      <c r="H48" s="7">
        <v>-985</v>
      </c>
      <c r="I48" s="8">
        <f>IFERROR(H48/H327, "NA")</f>
        <v>-2.9117782909930715E-3</v>
      </c>
      <c r="J48" s="9"/>
      <c r="K48" s="7">
        <v>-617</v>
      </c>
      <c r="L48" s="8">
        <f>IFERROR(K48/K327, "NA")</f>
        <v>-2.6474322631714151E-3</v>
      </c>
      <c r="M48" s="9"/>
      <c r="N48" s="7">
        <v>-1108</v>
      </c>
      <c r="O48" s="8">
        <f>IFERROR(N48/N327, "NA")</f>
        <v>-2.9856157988871956E-3</v>
      </c>
      <c r="P48" s="9"/>
      <c r="Q48" s="7">
        <v>-449</v>
      </c>
      <c r="R48" s="8">
        <f>IFERROR(Q48/Q327, "NA")</f>
        <v>-2.5785925134672594E-3</v>
      </c>
      <c r="S48" s="9"/>
      <c r="T48" s="7">
        <v>-1142</v>
      </c>
      <c r="U48" s="8">
        <f>IFERROR(T48/T327, "NA")</f>
        <v>-6.4586367299616834E-3</v>
      </c>
      <c r="V48" s="9"/>
      <c r="W48" s="7">
        <v>-1156</v>
      </c>
      <c r="X48" s="8">
        <f>IFERROR(W48/W327, "NA")</f>
        <v>-6.8438003220611917E-3</v>
      </c>
    </row>
    <row r="49" spans="1:24" ht="16.5" customHeight="1" x14ac:dyDescent="0.25">
      <c r="A49" s="6" t="s">
        <v>55</v>
      </c>
      <c r="B49" s="7">
        <v>0</v>
      </c>
      <c r="C49" s="8">
        <f>IFERROR(B49/B327, "NA")</f>
        <v>0</v>
      </c>
      <c r="D49" s="9"/>
      <c r="E49" s="7">
        <v>0</v>
      </c>
      <c r="F49" s="8">
        <f>IFERROR(E49/E327, "NA")</f>
        <v>0</v>
      </c>
      <c r="G49" s="9"/>
      <c r="H49" s="7">
        <v>0</v>
      </c>
      <c r="I49" s="8">
        <f>IFERROR(H49/H327, "NA")</f>
        <v>0</v>
      </c>
      <c r="J49" s="9"/>
      <c r="K49" s="7">
        <v>-662</v>
      </c>
      <c r="L49" s="8">
        <f>IFERROR(K49/K327, "NA")</f>
        <v>-2.840518895007256E-3</v>
      </c>
      <c r="M49" s="9"/>
      <c r="N49" s="7">
        <v>0</v>
      </c>
      <c r="O49" s="8">
        <f>IFERROR(N49/N327, "NA")</f>
        <v>0</v>
      </c>
      <c r="P49" s="9"/>
      <c r="Q49" s="7">
        <v>0</v>
      </c>
      <c r="R49" s="8">
        <f>IFERROR(Q49/Q327, "NA")</f>
        <v>0</v>
      </c>
      <c r="S49" s="9"/>
      <c r="T49" s="7">
        <v>0</v>
      </c>
      <c r="U49" s="8">
        <f>IFERROR(T49/T327, "NA")</f>
        <v>0</v>
      </c>
      <c r="V49" s="9"/>
      <c r="W49" s="7">
        <v>0</v>
      </c>
      <c r="X49" s="8">
        <f>IFERROR(W49/W327, "NA")</f>
        <v>0</v>
      </c>
    </row>
    <row r="50" spans="1:24" ht="16.5" customHeight="1" x14ac:dyDescent="0.25">
      <c r="A50" s="6" t="s">
        <v>56</v>
      </c>
      <c r="B50" s="7">
        <v>0</v>
      </c>
      <c r="C50" s="8">
        <f>IFERROR(B50/B327, "NA")</f>
        <v>0</v>
      </c>
      <c r="D50" s="9"/>
      <c r="E50" s="7">
        <v>0</v>
      </c>
      <c r="F50" s="8">
        <f>IFERROR(E50/E327, "NA")</f>
        <v>0</v>
      </c>
      <c r="G50" s="9"/>
      <c r="H50" s="7">
        <v>0</v>
      </c>
      <c r="I50" s="8">
        <f>IFERROR(H50/H327, "NA")</f>
        <v>0</v>
      </c>
      <c r="J50" s="9"/>
      <c r="K50" s="7">
        <v>0</v>
      </c>
      <c r="L50" s="8">
        <f>IFERROR(K50/K327, "NA")</f>
        <v>0</v>
      </c>
      <c r="M50" s="9"/>
      <c r="N50" s="7">
        <v>0</v>
      </c>
      <c r="O50" s="8">
        <f>IFERROR(N50/N327, "NA")</f>
        <v>0</v>
      </c>
      <c r="P50" s="9"/>
      <c r="Q50" s="7">
        <v>0</v>
      </c>
      <c r="R50" s="8">
        <f>IFERROR(Q50/Q327, "NA")</f>
        <v>0</v>
      </c>
      <c r="S50" s="9"/>
      <c r="T50" s="7">
        <v>0</v>
      </c>
      <c r="U50" s="8">
        <f>IFERROR(T50/T327, "NA")</f>
        <v>0</v>
      </c>
      <c r="V50" s="9"/>
      <c r="W50" s="7">
        <v>0</v>
      </c>
      <c r="X50" s="8">
        <f>IFERROR(W50/W327, "NA")</f>
        <v>0</v>
      </c>
    </row>
    <row r="51" spans="1:24" ht="16.5" customHeight="1" x14ac:dyDescent="0.25">
      <c r="A51" s="10" t="s">
        <v>57</v>
      </c>
      <c r="B51" s="11">
        <f>IFERROR(B39+B40+B41+B42+B43+B44+B45+B46+B47+B48+B49+B50, "NA")</f>
        <v>-12022.25</v>
      </c>
      <c r="C51" s="12">
        <f>IFERROR(B51/B327, "NA")</f>
        <v>-3.0161728683204995E-2</v>
      </c>
      <c r="D51" s="2"/>
      <c r="E51" s="11">
        <f>IFERROR(E39+E40+E41+E42+E43+E44+E45+E46+E47+E48+E49+E50, "NA")</f>
        <v>-17093.75</v>
      </c>
      <c r="F51" s="12">
        <f>IFERROR(E51/E327, "NA")</f>
        <v>-8.2982172601559739E-2</v>
      </c>
      <c r="G51" s="2"/>
      <c r="H51" s="11">
        <f>IFERROR(H39+H40+H41+H42+H43+H44+H45+H46+H47+H48+H49+H50, "NA")</f>
        <v>-9259.5</v>
      </c>
      <c r="I51" s="12">
        <f>IFERROR(H51/H327, "NA")</f>
        <v>-2.7372193995381062E-2</v>
      </c>
      <c r="J51" s="2"/>
      <c r="K51" s="11">
        <f>IFERROR(K39+K40+K41+K42+K43+K44+K45+K46+K47+K48+K49+K50, "NA")</f>
        <v>-12368</v>
      </c>
      <c r="L51" s="12">
        <f>IFERROR(K51/K327, "NA")</f>
        <v>-5.3068788056570608E-2</v>
      </c>
      <c r="M51" s="2"/>
      <c r="N51" s="11">
        <f>IFERROR(N39+N40+N41+N42+N43+N44+N45+N46+N47+N48+N49+N50, "NA")</f>
        <v>-13252</v>
      </c>
      <c r="O51" s="12">
        <f>IFERROR(N51/N327, "NA")</f>
        <v>-3.5708827226401729E-2</v>
      </c>
      <c r="P51" s="2"/>
      <c r="Q51" s="11">
        <f>IFERROR(Q39+Q40+Q41+Q42+Q43+Q44+Q45+Q46+Q47+Q48+Q49+Q50, "NA")</f>
        <v>-12274</v>
      </c>
      <c r="R51" s="12">
        <f>IFERROR(Q51/Q327, "NA")</f>
        <v>-7.0489185991753092E-2</v>
      </c>
      <c r="S51" s="2"/>
      <c r="T51" s="11">
        <f>IFERROR(T39+T40+T41+T42+T43+T44+T45+T46+T47+T48+T49+T50, "NA")</f>
        <v>-10728</v>
      </c>
      <c r="U51" s="12">
        <f>IFERROR(T51/T327, "NA")</f>
        <v>-6.0672727529797674E-2</v>
      </c>
      <c r="V51" s="2"/>
      <c r="W51" s="11">
        <f>IFERROR(W39+W40+W41+W42+W43+W44+W45+W46+W47+W48+W49+W50, "NA")</f>
        <v>-9595</v>
      </c>
      <c r="X51" s="12">
        <f>IFERROR(W51/W327, "NA")</f>
        <v>-5.6804726721606517E-2</v>
      </c>
    </row>
    <row r="52" spans="1:24" ht="16.5" customHeight="1" x14ac:dyDescent="0.25">
      <c r="A52" s="14" t="s">
        <v>58</v>
      </c>
      <c r="B52" s="11">
        <f>IFERROR(B8+B9+B11+B13+B14+B15+B16+B17+B18+B21+B22+B23+B24+B25+B26+B27+B28+B29+B32+B33+B34+B35+B36+B39+B40+B41+B42+B43+B44+B45+B46+B47+B48+B49+B50, "NA")</f>
        <v>398592.87</v>
      </c>
      <c r="C52" s="12">
        <f>IFERROR(B52/B327, "NA")</f>
        <v>1</v>
      </c>
      <c r="D52" s="2"/>
      <c r="E52" s="11">
        <f>IFERROR(E8+E9+E11+E13+E14+E15+E16+E17+E18+E21+E22+E23+E24+E25+E26+E27+E28+E29+E32+E33+E34+E35+E36+E39+E40+E41+E42+E43+E44+E45+E46+E47+E48+E49+E50, "NA")</f>
        <v>205993.04</v>
      </c>
      <c r="F52" s="12">
        <f>IFERROR(E52/E327, "NA")</f>
        <v>1</v>
      </c>
      <c r="G52" s="2"/>
      <c r="H52" s="11">
        <f>IFERROR(H8+H9+H11+H13+H14+H15+H16+H17+H18+H21+H22+H23+H24+H25+H26+H27+H28+H29+H32+H33+H34+H35+H36+H39+H40+H41+H42+H43+H44+H45+H46+H47+H48+H49+H50, "NA")</f>
        <v>338281.25</v>
      </c>
      <c r="I52" s="12">
        <f>IFERROR(H52/H327, "NA")</f>
        <v>1</v>
      </c>
      <c r="J52" s="2"/>
      <c r="K52" s="11">
        <f>IFERROR(K8+K9+K11+K13+K14+K15+K16+K17+K18+K21+K22+K23+K24+K25+K26+K27+K28+K29+K32+K33+K34+K35+K36+K39+K40+K41+K42+K43+K44+K45+K46+K47+K48+K49+K50, "NA")</f>
        <v>233056.01</v>
      </c>
      <c r="L52" s="12">
        <f>IFERROR(K52/K327, "NA")</f>
        <v>1</v>
      </c>
      <c r="M52" s="2"/>
      <c r="N52" s="11">
        <f>IFERROR(N8+N9+N11+N13+N14+N15+N16+N17+N18+N21+N22+N23+N24+N25+N26+N27+N28+N29+N32+N33+N34+N35+N36+N39+N40+N41+N42+N43+N44+N45+N46+N47+N48+N49+N50, "NA")</f>
        <v>371112.72</v>
      </c>
      <c r="O52" s="12">
        <f>IFERROR(N52/N327, "NA")</f>
        <v>1</v>
      </c>
      <c r="P52" s="2"/>
      <c r="Q52" s="11">
        <f>IFERROR(Q8+Q9+Q11+Q13+Q14+Q15+Q16+Q17+Q18+Q21+Q22+Q23+Q24+Q25+Q26+Q27+Q28+Q29+Q32+Q33+Q34+Q35+Q36+Q39+Q40+Q41+Q42+Q43+Q44+Q45+Q46+Q47+Q48+Q49+Q50, "NA")</f>
        <v>174126</v>
      </c>
      <c r="R52" s="12">
        <f>IFERROR(Q52/Q327, "NA")</f>
        <v>1</v>
      </c>
      <c r="S52" s="2"/>
      <c r="T52" s="11">
        <f>IFERROR(T8+T9+T11+T13+T14+T15+T16+T17+T18+T21+T22+T23+T24+T25+T26+T27+T28+T29+T32+T33+T34+T35+T36+T39+T40+T41+T42+T43+T44+T45+T46+T47+T48+T49+T50, "NA")</f>
        <v>176817.5</v>
      </c>
      <c r="U52" s="12">
        <f>IFERROR(T52/T327, "NA")</f>
        <v>1</v>
      </c>
      <c r="V52" s="2"/>
      <c r="W52" s="11">
        <f>IFERROR(W8+W9+W11+W13+W14+W15+W16+W17+W18+W21+W22+W23+W24+W25+W26+W27+W28+W29+W32+W33+W34+W35+W36+W39+W40+W41+W42+W43+W44+W45+W46+W47+W48+W49+W50, "NA")</f>
        <v>168912</v>
      </c>
      <c r="X52" s="12">
        <f>IFERROR(W52/W327, "NA")</f>
        <v>1</v>
      </c>
    </row>
    <row r="53" spans="1:24" ht="16.5" customHeight="1" x14ac:dyDescent="0.25">
      <c r="A53" s="1" t="s">
        <v>59</v>
      </c>
      <c r="B53" s="2"/>
      <c r="C53" s="3"/>
      <c r="D53" s="4"/>
      <c r="E53" s="2"/>
      <c r="F53" s="3"/>
      <c r="G53" s="4"/>
      <c r="H53" s="2"/>
      <c r="I53" s="3"/>
      <c r="J53" s="4"/>
      <c r="K53" s="2"/>
      <c r="L53" s="3"/>
      <c r="M53" s="4"/>
      <c r="N53" s="2"/>
      <c r="O53" s="3"/>
      <c r="P53" s="4"/>
      <c r="Q53" s="2"/>
      <c r="R53" s="3"/>
      <c r="S53" s="4"/>
      <c r="T53" s="2"/>
      <c r="U53" s="3"/>
      <c r="V53" s="4"/>
      <c r="W53" s="2"/>
      <c r="X53" s="3"/>
    </row>
    <row r="54" spans="1:24" ht="16.5" customHeight="1" x14ac:dyDescent="0.25">
      <c r="A54" s="5" t="s">
        <v>60</v>
      </c>
      <c r="B54" s="2"/>
      <c r="C54" s="3"/>
      <c r="D54" s="4"/>
      <c r="E54" s="2"/>
      <c r="F54" s="3"/>
      <c r="G54" s="4"/>
      <c r="H54" s="2"/>
      <c r="I54" s="3"/>
      <c r="J54" s="4"/>
      <c r="K54" s="2"/>
      <c r="L54" s="3"/>
      <c r="M54" s="4"/>
      <c r="N54" s="2"/>
      <c r="O54" s="3"/>
      <c r="P54" s="4"/>
      <c r="Q54" s="2"/>
      <c r="R54" s="3"/>
      <c r="S54" s="4"/>
      <c r="T54" s="2"/>
      <c r="U54" s="3"/>
      <c r="V54" s="4"/>
      <c r="W54" s="2"/>
      <c r="X54" s="3"/>
    </row>
    <row r="55" spans="1:24" ht="16.5" customHeight="1" x14ac:dyDescent="0.25">
      <c r="A55" s="6" t="s">
        <v>61</v>
      </c>
      <c r="B55" s="7">
        <v>0</v>
      </c>
      <c r="C55" s="8">
        <f>IFERROR(B55/B327, "NA")</f>
        <v>0</v>
      </c>
      <c r="D55" s="9"/>
      <c r="E55" s="7">
        <v>0</v>
      </c>
      <c r="F55" s="8">
        <f>IFERROR(E55/E327, "NA")</f>
        <v>0</v>
      </c>
      <c r="G55" s="9"/>
      <c r="H55" s="7">
        <v>0</v>
      </c>
      <c r="I55" s="8">
        <f>IFERROR(H55/H327, "NA")</f>
        <v>0</v>
      </c>
      <c r="J55" s="9"/>
      <c r="K55" s="7">
        <v>0</v>
      </c>
      <c r="L55" s="8">
        <f>IFERROR(K55/K327, "NA")</f>
        <v>0</v>
      </c>
      <c r="M55" s="9"/>
      <c r="N55" s="7">
        <v>0</v>
      </c>
      <c r="O55" s="8">
        <f>IFERROR(N55/N327, "NA")</f>
        <v>0</v>
      </c>
      <c r="P55" s="9"/>
      <c r="Q55" s="7">
        <v>0</v>
      </c>
      <c r="R55" s="8">
        <f>IFERROR(Q55/Q327, "NA")</f>
        <v>0</v>
      </c>
      <c r="S55" s="9"/>
      <c r="T55" s="7">
        <v>0</v>
      </c>
      <c r="U55" s="8">
        <f>IFERROR(T55/T327, "NA")</f>
        <v>0</v>
      </c>
      <c r="V55" s="9"/>
      <c r="W55" s="7">
        <v>0</v>
      </c>
      <c r="X55" s="8">
        <f>IFERROR(W55/W327, "NA")</f>
        <v>0</v>
      </c>
    </row>
    <row r="56" spans="1:24" ht="16.5" customHeight="1" x14ac:dyDescent="0.25">
      <c r="A56" s="6" t="s">
        <v>62</v>
      </c>
      <c r="B56" s="7">
        <v>2929</v>
      </c>
      <c r="C56" s="8">
        <f>IFERROR(B56/B327, "NA")</f>
        <v>7.3483502100777668E-3</v>
      </c>
      <c r="D56" s="9"/>
      <c r="E56" s="7">
        <v>2189.0500000000002</v>
      </c>
      <c r="F56" s="8">
        <f>IFERROR(E56/E327, "NA")</f>
        <v>1.0626815352596379E-2</v>
      </c>
      <c r="G56" s="9"/>
      <c r="H56" s="7">
        <v>2958.77</v>
      </c>
      <c r="I56" s="8">
        <f>IFERROR(H56/H327, "NA")</f>
        <v>8.7464794457274824E-3</v>
      </c>
      <c r="J56" s="9"/>
      <c r="K56" s="7">
        <v>3532.18</v>
      </c>
      <c r="L56" s="8">
        <f>IFERROR(K56/K327, "NA")</f>
        <v>1.5155927538620436E-2</v>
      </c>
      <c r="M56" s="9"/>
      <c r="N56" s="7">
        <v>3451.28</v>
      </c>
      <c r="O56" s="8">
        <f>IFERROR(N56/N327, "NA")</f>
        <v>9.2998159696601086E-3</v>
      </c>
      <c r="P56" s="9"/>
      <c r="Q56" s="7">
        <v>1757.87</v>
      </c>
      <c r="R56" s="8">
        <f>IFERROR(Q56/Q327, "NA")</f>
        <v>1.0095390694095079E-2</v>
      </c>
      <c r="S56" s="9"/>
      <c r="T56" s="7">
        <v>3300.81</v>
      </c>
      <c r="U56" s="8">
        <f>IFERROR(T56/T327, "NA")</f>
        <v>1.86678920355734E-2</v>
      </c>
      <c r="V56" s="9"/>
      <c r="W56" s="7">
        <v>0</v>
      </c>
      <c r="X56" s="8">
        <f>IFERROR(W56/W327, "NA")</f>
        <v>0</v>
      </c>
    </row>
    <row r="57" spans="1:24" ht="16.5" customHeight="1" x14ac:dyDescent="0.25">
      <c r="A57" s="6" t="s">
        <v>63</v>
      </c>
      <c r="B57" s="7">
        <v>118.47</v>
      </c>
      <c r="C57" s="8">
        <f>IFERROR(B57/B327, "NA")</f>
        <v>2.972205699514896E-4</v>
      </c>
      <c r="D57" s="9"/>
      <c r="E57" s="7">
        <v>83.31</v>
      </c>
      <c r="F57" s="8">
        <f>IFERROR(E57/E327, "NA")</f>
        <v>4.0443114000356518E-4</v>
      </c>
      <c r="G57" s="9"/>
      <c r="H57" s="7">
        <v>115.03</v>
      </c>
      <c r="I57" s="8">
        <f>IFERROR(H57/H327, "NA")</f>
        <v>3.4004249422632792E-4</v>
      </c>
      <c r="J57" s="9"/>
      <c r="K57" s="7">
        <v>175.75</v>
      </c>
      <c r="L57" s="8">
        <f>IFERROR(K57/K327, "NA")</f>
        <v>7.5411056766997765E-4</v>
      </c>
      <c r="M57" s="9"/>
      <c r="N57" s="7">
        <v>86.8</v>
      </c>
      <c r="O57" s="8">
        <f>IFERROR(N57/N327, "NA")</f>
        <v>2.3389120157347342E-4</v>
      </c>
      <c r="P57" s="9"/>
      <c r="Q57" s="7">
        <v>21.55</v>
      </c>
      <c r="R57" s="8">
        <f>IFERROR(Q57/Q327, "NA")</f>
        <v>1.2376095471095644E-4</v>
      </c>
      <c r="S57" s="9"/>
      <c r="T57" s="7">
        <v>340.24</v>
      </c>
      <c r="U57" s="8">
        <f>IFERROR(T57/T327, "NA")</f>
        <v>1.9242439238197576E-3</v>
      </c>
      <c r="V57" s="9"/>
      <c r="W57" s="7">
        <v>0</v>
      </c>
      <c r="X57" s="8">
        <f>IFERROR(W57/W327, "NA")</f>
        <v>0</v>
      </c>
    </row>
    <row r="58" spans="1:24" ht="16.5" customHeight="1" x14ac:dyDescent="0.25">
      <c r="A58" s="6" t="s">
        <v>64</v>
      </c>
      <c r="B58" s="7">
        <v>4898.16</v>
      </c>
      <c r="C58" s="8">
        <f>IFERROR(B58/B327, "NA")</f>
        <v>1.2288629247181465E-2</v>
      </c>
      <c r="D58" s="9"/>
      <c r="E58" s="7">
        <v>3655.04</v>
      </c>
      <c r="F58" s="8">
        <f>IFERROR(E58/E327, "NA")</f>
        <v>1.7743512110894619E-2</v>
      </c>
      <c r="G58" s="9"/>
      <c r="H58" s="7">
        <v>3726.19</v>
      </c>
      <c r="I58" s="8">
        <f>IFERROR(H58/H327, "NA")</f>
        <v>1.1015065127020785E-2</v>
      </c>
      <c r="J58" s="9"/>
      <c r="K58" s="7">
        <v>5693.47</v>
      </c>
      <c r="L58" s="8">
        <f>IFERROR(K58/K327, "NA")</f>
        <v>2.4429621016853417E-2</v>
      </c>
      <c r="M58" s="9"/>
      <c r="N58" s="7">
        <v>4406.21</v>
      </c>
      <c r="O58" s="8">
        <f>IFERROR(N58/N327, "NA")</f>
        <v>1.1872969484850856E-2</v>
      </c>
      <c r="P58" s="9"/>
      <c r="Q58" s="7">
        <v>3528.22</v>
      </c>
      <c r="R58" s="8">
        <f>IFERROR(Q58/Q327, "NA")</f>
        <v>2.0262453625535529E-2</v>
      </c>
      <c r="S58" s="9"/>
      <c r="T58" s="7">
        <v>3630.71</v>
      </c>
      <c r="U58" s="8">
        <f>IFERROR(T58/T327, "NA")</f>
        <v>2.0533657584797884E-2</v>
      </c>
      <c r="V58" s="9"/>
      <c r="W58" s="7">
        <v>0</v>
      </c>
      <c r="X58" s="8">
        <f>IFERROR(W58/W327, "NA")</f>
        <v>0</v>
      </c>
    </row>
    <row r="59" spans="1:24" ht="16.5" customHeight="1" x14ac:dyDescent="0.25">
      <c r="A59" s="6" t="s">
        <v>65</v>
      </c>
      <c r="B59" s="7">
        <v>191.6</v>
      </c>
      <c r="C59" s="8">
        <f>IFERROR(B59/B327, "NA")</f>
        <v>4.8069098677053603E-4</v>
      </c>
      <c r="D59" s="9"/>
      <c r="E59" s="7">
        <v>124.76</v>
      </c>
      <c r="F59" s="8">
        <f>IFERROR(E59/E327, "NA")</f>
        <v>6.0565153075074773E-4</v>
      </c>
      <c r="G59" s="9"/>
      <c r="H59" s="7">
        <v>196.24</v>
      </c>
      <c r="I59" s="8">
        <f>IFERROR(H59/H327, "NA")</f>
        <v>5.8010900692840651E-4</v>
      </c>
      <c r="J59" s="9"/>
      <c r="K59" s="7">
        <v>240.2</v>
      </c>
      <c r="L59" s="8">
        <f>IFERROR(K59/K327, "NA")</f>
        <v>1.0306535325993094E-3</v>
      </c>
      <c r="M59" s="9"/>
      <c r="N59" s="7">
        <v>260.06</v>
      </c>
      <c r="O59" s="8">
        <f>IFERROR(N59/N327, "NA")</f>
        <v>7.0075744102762098E-4</v>
      </c>
      <c r="P59" s="9"/>
      <c r="Q59" s="7">
        <v>198.5</v>
      </c>
      <c r="R59" s="8">
        <f>IFERROR(Q59/Q327, "NA")</f>
        <v>1.1399790955974409E-3</v>
      </c>
      <c r="S59" s="9"/>
      <c r="T59" s="7">
        <v>146.47</v>
      </c>
      <c r="U59" s="8">
        <f>IFERROR(T59/T327, "NA")</f>
        <v>8.2836823278238864E-4</v>
      </c>
      <c r="V59" s="9"/>
      <c r="W59" s="7">
        <v>0</v>
      </c>
      <c r="X59" s="8">
        <f>IFERROR(W59/W327, "NA")</f>
        <v>0</v>
      </c>
    </row>
    <row r="60" spans="1:24" ht="16.5" customHeight="1" x14ac:dyDescent="0.25">
      <c r="A60" s="6" t="s">
        <v>66</v>
      </c>
      <c r="B60" s="7">
        <v>6125.77</v>
      </c>
      <c r="C60" s="8">
        <f>IFERROR(B60/B327, "NA")</f>
        <v>1.5368488653597844E-2</v>
      </c>
      <c r="D60" s="9"/>
      <c r="E60" s="7">
        <v>3689.47</v>
      </c>
      <c r="F60" s="8">
        <f>IFERROR(E60/E327, "NA")</f>
        <v>1.7910653680337937E-2</v>
      </c>
      <c r="G60" s="9"/>
      <c r="H60" s="7">
        <v>5510.96</v>
      </c>
      <c r="I60" s="8">
        <f>IFERROR(H60/H327, "NA")</f>
        <v>1.6291059584295612E-2</v>
      </c>
      <c r="J60" s="9"/>
      <c r="K60" s="7">
        <v>8912.85</v>
      </c>
      <c r="L60" s="8">
        <f>IFERROR(K60/K327, "NA")</f>
        <v>3.8243381923512725E-2</v>
      </c>
      <c r="M60" s="9"/>
      <c r="N60" s="7">
        <v>6841.4</v>
      </c>
      <c r="O60" s="8">
        <f>IFERROR(N60/N327, "NA")</f>
        <v>1.8434830258580198E-2</v>
      </c>
      <c r="P60" s="9"/>
      <c r="Q60" s="7">
        <v>4482.8599999999997</v>
      </c>
      <c r="R60" s="8">
        <f>IFERROR(Q60/Q327, "NA")</f>
        <v>2.57449203450375E-2</v>
      </c>
      <c r="S60" s="9"/>
      <c r="T60" s="7">
        <v>5918.38</v>
      </c>
      <c r="U60" s="8">
        <f>IFERROR(T60/T327, "NA")</f>
        <v>3.3471686908818417E-2</v>
      </c>
      <c r="V60" s="9"/>
      <c r="W60" s="7">
        <v>0</v>
      </c>
      <c r="X60" s="8">
        <f>IFERROR(W60/W327, "NA")</f>
        <v>0</v>
      </c>
    </row>
    <row r="61" spans="1:24" ht="16.5" customHeight="1" x14ac:dyDescent="0.25">
      <c r="A61" s="6" t="s">
        <v>67</v>
      </c>
      <c r="B61" s="7">
        <v>2945.16</v>
      </c>
      <c r="C61" s="8">
        <f>IFERROR(B61/B327, "NA")</f>
        <v>7.3888928319264715E-3</v>
      </c>
      <c r="D61" s="9"/>
      <c r="E61" s="7">
        <v>2676.57</v>
      </c>
      <c r="F61" s="8">
        <f>IFERROR(E61/E327, "NA")</f>
        <v>1.2993497256023796E-2</v>
      </c>
      <c r="G61" s="9"/>
      <c r="H61" s="7">
        <v>2497.65</v>
      </c>
      <c r="I61" s="8">
        <f>IFERROR(H61/H327, "NA")</f>
        <v>7.3833533487297921E-3</v>
      </c>
      <c r="J61" s="9"/>
      <c r="K61" s="7">
        <v>2883.2</v>
      </c>
      <c r="L61" s="8">
        <f>IFERROR(K61/K327, "NA")</f>
        <v>1.237127504242435E-2</v>
      </c>
      <c r="M61" s="9"/>
      <c r="N61" s="7">
        <v>2913.19</v>
      </c>
      <c r="O61" s="8">
        <f>IFERROR(N61/N327, "NA")</f>
        <v>7.8498791418413257E-3</v>
      </c>
      <c r="P61" s="9"/>
      <c r="Q61" s="7">
        <v>2381.9699999999998</v>
      </c>
      <c r="R61" s="8">
        <f>IFERROR(Q61/Q327, "NA")</f>
        <v>1.3679576858137209E-2</v>
      </c>
      <c r="S61" s="9"/>
      <c r="T61" s="7">
        <v>2160.09</v>
      </c>
      <c r="U61" s="8">
        <f>IFERROR(T61/T327, "NA")</f>
        <v>1.2216494408076125E-2</v>
      </c>
      <c r="V61" s="9"/>
      <c r="W61" s="7">
        <v>0</v>
      </c>
      <c r="X61" s="8">
        <f>IFERROR(W61/W327, "NA")</f>
        <v>0</v>
      </c>
    </row>
    <row r="62" spans="1:24" ht="16.5" customHeight="1" x14ac:dyDescent="0.25">
      <c r="A62" s="6" t="s">
        <v>68</v>
      </c>
      <c r="B62" s="7">
        <v>17.21</v>
      </c>
      <c r="C62" s="8">
        <f>IFERROR(B62/B327, "NA")</f>
        <v>4.3176888738626964E-5</v>
      </c>
      <c r="D62" s="9"/>
      <c r="E62" s="7">
        <v>10.52</v>
      </c>
      <c r="F62" s="8">
        <f>IFERROR(E62/E327, "NA")</f>
        <v>5.1069686626305429E-5</v>
      </c>
      <c r="G62" s="9"/>
      <c r="H62" s="7">
        <v>31.68</v>
      </c>
      <c r="I62" s="8">
        <f>IFERROR(H62/H327, "NA")</f>
        <v>9.3649884526558888E-5</v>
      </c>
      <c r="J62" s="9"/>
      <c r="K62" s="7">
        <v>11.19</v>
      </c>
      <c r="L62" s="8">
        <f>IFERROR(K62/K327, "NA")</f>
        <v>4.8014209116512373E-5</v>
      </c>
      <c r="M62" s="9"/>
      <c r="N62" s="7">
        <v>46.84</v>
      </c>
      <c r="O62" s="8">
        <f>IFERROR(N62/N327, "NA")</f>
        <v>1.2621502167858866E-4</v>
      </c>
      <c r="P62" s="9"/>
      <c r="Q62" s="7">
        <v>70.680000000000007</v>
      </c>
      <c r="R62" s="8">
        <f>IFERROR(Q62/Q327, "NA")</f>
        <v>4.0591295958099309E-4</v>
      </c>
      <c r="S62" s="9"/>
      <c r="T62" s="7">
        <v>15.21</v>
      </c>
      <c r="U62" s="8">
        <f>IFERROR(T62/T327, "NA")</f>
        <v>8.6020897252817177E-5</v>
      </c>
      <c r="V62" s="9"/>
      <c r="W62" s="7">
        <v>0</v>
      </c>
      <c r="X62" s="8">
        <f>IFERROR(W62/W327, "NA")</f>
        <v>0</v>
      </c>
    </row>
    <row r="63" spans="1:24" ht="16.5" customHeight="1" x14ac:dyDescent="0.25">
      <c r="A63" s="6" t="s">
        <v>69</v>
      </c>
      <c r="B63" s="7">
        <v>881.84</v>
      </c>
      <c r="C63" s="8">
        <f>IFERROR(B63/B327, "NA")</f>
        <v>2.2123827754370017E-3</v>
      </c>
      <c r="D63" s="9"/>
      <c r="E63" s="7">
        <v>656.25</v>
      </c>
      <c r="F63" s="8">
        <f>IFERROR(E63/E327, "NA")</f>
        <v>3.1857872479575037E-3</v>
      </c>
      <c r="G63" s="9"/>
      <c r="H63" s="7">
        <v>536.98</v>
      </c>
      <c r="I63" s="8">
        <f>IFERROR(H63/H327, "NA")</f>
        <v>1.5873773672055427E-3</v>
      </c>
      <c r="J63" s="9"/>
      <c r="K63" s="7">
        <v>795.24</v>
      </c>
      <c r="L63" s="8">
        <f>IFERROR(K63/K327, "NA")</f>
        <v>3.4122269578029762E-3</v>
      </c>
      <c r="M63" s="9"/>
      <c r="N63" s="7">
        <v>567.97</v>
      </c>
      <c r="O63" s="8">
        <f>IFERROR(N63/N327, "NA")</f>
        <v>1.530451448821264E-3</v>
      </c>
      <c r="P63" s="9"/>
      <c r="Q63" s="7">
        <v>599.15</v>
      </c>
      <c r="R63" s="8">
        <f>IFERROR(Q63/Q327, "NA")</f>
        <v>3.440899119028749E-3</v>
      </c>
      <c r="S63" s="9"/>
      <c r="T63" s="7">
        <v>858.5</v>
      </c>
      <c r="U63" s="8">
        <f>IFERROR(T63/T327, "NA")</f>
        <v>4.8552886450718962E-3</v>
      </c>
      <c r="V63" s="9"/>
      <c r="W63" s="7">
        <v>0</v>
      </c>
      <c r="X63" s="8">
        <f>IFERROR(W63/W327, "NA")</f>
        <v>0</v>
      </c>
    </row>
    <row r="64" spans="1:24" ht="16.5" customHeight="1" x14ac:dyDescent="0.25">
      <c r="A64" s="6" t="s">
        <v>70</v>
      </c>
      <c r="B64" s="7">
        <v>0</v>
      </c>
      <c r="C64" s="8">
        <f>IFERROR(B64/B327, "NA")</f>
        <v>0</v>
      </c>
      <c r="D64" s="9"/>
      <c r="E64" s="7">
        <v>0</v>
      </c>
      <c r="F64" s="8">
        <f>IFERROR(E64/E327, "NA")</f>
        <v>0</v>
      </c>
      <c r="G64" s="9"/>
      <c r="H64" s="7">
        <v>0</v>
      </c>
      <c r="I64" s="8">
        <f>IFERROR(H64/H327, "NA")</f>
        <v>0</v>
      </c>
      <c r="J64" s="9"/>
      <c r="K64" s="7">
        <v>0</v>
      </c>
      <c r="L64" s="8">
        <f>IFERROR(K64/K327, "NA")</f>
        <v>0</v>
      </c>
      <c r="M64" s="9"/>
      <c r="N64" s="7">
        <v>0</v>
      </c>
      <c r="O64" s="8">
        <f>IFERROR(N64/N327, "NA")</f>
        <v>0</v>
      </c>
      <c r="P64" s="9"/>
      <c r="Q64" s="7">
        <v>0</v>
      </c>
      <c r="R64" s="8">
        <f>IFERROR(Q64/Q327, "NA")</f>
        <v>0</v>
      </c>
      <c r="S64" s="9"/>
      <c r="T64" s="7">
        <v>0</v>
      </c>
      <c r="U64" s="8">
        <f>IFERROR(T64/T327, "NA")</f>
        <v>0</v>
      </c>
      <c r="V64" s="9"/>
      <c r="W64" s="7">
        <v>0</v>
      </c>
      <c r="X64" s="8">
        <f>IFERROR(W64/W327, "NA")</f>
        <v>0</v>
      </c>
    </row>
    <row r="65" spans="1:24" ht="16.5" customHeight="1" x14ac:dyDescent="0.25">
      <c r="A65" s="10" t="s">
        <v>71</v>
      </c>
      <c r="B65" s="11">
        <f>IFERROR(B55+B56+B57+B58+B59+B60+B61+B62+B63+B64, "NA")</f>
        <v>18107.21</v>
      </c>
      <c r="C65" s="12">
        <f>IFERROR(B65/B327, "NA")</f>
        <v>4.5427832163681202E-2</v>
      </c>
      <c r="D65" s="2"/>
      <c r="E65" s="11">
        <f>IFERROR(E55+E56+E57+E58+E59+E60+E61+E62+E63+E64, "NA")</f>
        <v>13084.97</v>
      </c>
      <c r="F65" s="12">
        <f>IFERROR(E65/E327, "NA")</f>
        <v>6.3521418005190844E-2</v>
      </c>
      <c r="G65" s="2"/>
      <c r="H65" s="11">
        <f>IFERROR(H55+H56+H57+H58+H59+H60+H61+H62+H63+H64, "NA")</f>
        <v>15573.499999999998</v>
      </c>
      <c r="I65" s="12">
        <f>IFERROR(H65/H327, "NA")</f>
        <v>4.6037136258660502E-2</v>
      </c>
      <c r="J65" s="2"/>
      <c r="K65" s="11">
        <f>IFERROR(K55+K56+K57+K58+K59+K60+K61+K62+K63+K64, "NA")</f>
        <v>22244.080000000002</v>
      </c>
      <c r="L65" s="12">
        <f>IFERROR(K65/K327, "NA")</f>
        <v>9.5445210788599702E-2</v>
      </c>
      <c r="M65" s="2"/>
      <c r="N65" s="11">
        <f>IFERROR(N55+N56+N57+N58+N59+N60+N61+N62+N63+N64, "NA")</f>
        <v>18573.75</v>
      </c>
      <c r="O65" s="12">
        <f>IFERROR(N65/N327, "NA")</f>
        <v>5.0048809968033438E-2</v>
      </c>
      <c r="P65" s="2"/>
      <c r="Q65" s="11">
        <f>IFERROR(Q55+Q56+Q57+Q58+Q59+Q60+Q61+Q62+Q63+Q64, "NA")</f>
        <v>13040.8</v>
      </c>
      <c r="R65" s="12">
        <f>IFERROR(Q65/Q327, "NA")</f>
        <v>7.4892893651723455E-2</v>
      </c>
      <c r="S65" s="2"/>
      <c r="T65" s="11">
        <f>IFERROR(T55+T56+T57+T58+T59+T60+T61+T62+T63+T64, "NA")</f>
        <v>16370.41</v>
      </c>
      <c r="U65" s="12">
        <f>IFERROR(T65/T327, "NA")</f>
        <v>9.2583652636192684E-2</v>
      </c>
      <c r="V65" s="2"/>
      <c r="W65" s="11">
        <f>IFERROR(W55+W56+W57+W58+W59+W60+W61+W62+W63+W64, "NA")</f>
        <v>0</v>
      </c>
      <c r="X65" s="12">
        <f>IFERROR(W65/W327, "NA")</f>
        <v>0</v>
      </c>
    </row>
    <row r="66" spans="1:24" ht="16.5" customHeight="1" x14ac:dyDescent="0.25">
      <c r="A66" s="13" t="s">
        <v>72</v>
      </c>
      <c r="B66" s="7">
        <v>2741.38</v>
      </c>
      <c r="C66" s="8">
        <f>IFERROR(B66/B327, "NA")</f>
        <v>6.8776443492328402E-3</v>
      </c>
      <c r="D66" s="9"/>
      <c r="E66" s="7">
        <v>2176.4299999999998</v>
      </c>
      <c r="F66" s="8">
        <f>IFERROR(E66/E327, "NA")</f>
        <v>1.0565551146776608E-2</v>
      </c>
      <c r="G66" s="9"/>
      <c r="H66" s="7">
        <v>2450.38</v>
      </c>
      <c r="I66" s="8">
        <f>IFERROR(H66/H327, "NA")</f>
        <v>7.243617551963049E-3</v>
      </c>
      <c r="J66" s="9"/>
      <c r="K66" s="7">
        <v>2169.2600000000002</v>
      </c>
      <c r="L66" s="8">
        <f>IFERROR(K66/K327, "NA")</f>
        <v>9.3078912661381276E-3</v>
      </c>
      <c r="M66" s="9"/>
      <c r="N66" s="7">
        <v>2260.88</v>
      </c>
      <c r="O66" s="8">
        <f>IFERROR(N66/N327, "NA")</f>
        <v>6.0921652052239013E-3</v>
      </c>
      <c r="P66" s="9"/>
      <c r="Q66" s="7">
        <v>1703.84</v>
      </c>
      <c r="R66" s="8">
        <f>IFERROR(Q66/Q327, "NA")</f>
        <v>9.7850981473186077E-3</v>
      </c>
      <c r="S66" s="9"/>
      <c r="T66" s="7">
        <v>1579.06</v>
      </c>
      <c r="U66" s="8">
        <f>IFERROR(T66/T327, "NA")</f>
        <v>8.9304508886281046E-3</v>
      </c>
      <c r="V66" s="9"/>
      <c r="W66" s="7">
        <v>0</v>
      </c>
      <c r="X66" s="8">
        <f>IFERROR(W66/W327, "NA")</f>
        <v>0</v>
      </c>
    </row>
    <row r="67" spans="1:24" ht="16.5" customHeight="1" x14ac:dyDescent="0.25">
      <c r="A67" s="5" t="s">
        <v>73</v>
      </c>
      <c r="B67" s="2"/>
      <c r="C67" s="3"/>
      <c r="D67" s="4"/>
      <c r="E67" s="2"/>
      <c r="F67" s="3"/>
      <c r="G67" s="4"/>
      <c r="H67" s="2"/>
      <c r="I67" s="3"/>
      <c r="J67" s="4"/>
      <c r="K67" s="2"/>
      <c r="L67" s="3"/>
      <c r="M67" s="4"/>
      <c r="N67" s="2"/>
      <c r="O67" s="3"/>
      <c r="P67" s="4"/>
      <c r="Q67" s="2"/>
      <c r="R67" s="3"/>
      <c r="S67" s="4"/>
      <c r="T67" s="2"/>
      <c r="U67" s="3"/>
      <c r="V67" s="4"/>
      <c r="W67" s="2"/>
      <c r="X67" s="3"/>
    </row>
    <row r="68" spans="1:24" ht="16.5" customHeight="1" x14ac:dyDescent="0.25">
      <c r="A68" s="6" t="s">
        <v>74</v>
      </c>
      <c r="B68" s="7">
        <v>0</v>
      </c>
      <c r="C68" s="8">
        <f>IFERROR(B68/B327, "NA")</f>
        <v>0</v>
      </c>
      <c r="D68" s="9"/>
      <c r="E68" s="7">
        <v>0</v>
      </c>
      <c r="F68" s="8">
        <f>IFERROR(E68/E327, "NA")</f>
        <v>0</v>
      </c>
      <c r="G68" s="9"/>
      <c r="H68" s="7">
        <v>0</v>
      </c>
      <c r="I68" s="8">
        <f>IFERROR(H68/H327, "NA")</f>
        <v>0</v>
      </c>
      <c r="J68" s="9"/>
      <c r="K68" s="7">
        <v>0</v>
      </c>
      <c r="L68" s="8">
        <f>IFERROR(K68/K327, "NA")</f>
        <v>0</v>
      </c>
      <c r="M68" s="9"/>
      <c r="N68" s="7">
        <v>0</v>
      </c>
      <c r="O68" s="8">
        <f>IFERROR(N68/N327, "NA")</f>
        <v>0</v>
      </c>
      <c r="P68" s="9"/>
      <c r="Q68" s="7">
        <v>0</v>
      </c>
      <c r="R68" s="8">
        <f>IFERROR(Q68/Q327, "NA")</f>
        <v>0</v>
      </c>
      <c r="S68" s="9"/>
      <c r="T68" s="7">
        <v>0</v>
      </c>
      <c r="U68" s="8">
        <f>IFERROR(T68/T327, "NA")</f>
        <v>0</v>
      </c>
      <c r="V68" s="9"/>
      <c r="W68" s="7">
        <v>0</v>
      </c>
      <c r="X68" s="8">
        <f>IFERROR(W68/W327, "NA")</f>
        <v>0</v>
      </c>
    </row>
    <row r="69" spans="1:24" ht="16.5" customHeight="1" x14ac:dyDescent="0.25">
      <c r="A69" s="6" t="s">
        <v>75</v>
      </c>
      <c r="B69" s="7">
        <v>130.56</v>
      </c>
      <c r="C69" s="8">
        <f>IFERROR(B69/B327, "NA")</f>
        <v>3.275522715697348E-4</v>
      </c>
      <c r="D69" s="9"/>
      <c r="E69" s="7">
        <v>54.89</v>
      </c>
      <c r="F69" s="8">
        <f>IFERROR(E69/E327, "NA")</f>
        <v>2.664653135853522E-4</v>
      </c>
      <c r="G69" s="9"/>
      <c r="H69" s="7">
        <v>436.09</v>
      </c>
      <c r="I69" s="8">
        <f>IFERROR(H69/H327, "NA")</f>
        <v>1.2891344110854503E-3</v>
      </c>
      <c r="J69" s="9"/>
      <c r="K69" s="7">
        <v>0</v>
      </c>
      <c r="L69" s="8">
        <f>IFERROR(K69/K327, "NA")</f>
        <v>0</v>
      </c>
      <c r="M69" s="9"/>
      <c r="N69" s="7">
        <v>129.44</v>
      </c>
      <c r="O69" s="8">
        <f>IFERROR(N69/N327, "NA")</f>
        <v>3.4878890704689402E-4</v>
      </c>
      <c r="P69" s="9"/>
      <c r="Q69" s="7">
        <v>44.93</v>
      </c>
      <c r="R69" s="8">
        <f>IFERROR(Q69/Q327, "NA")</f>
        <v>2.5803154037880614E-4</v>
      </c>
      <c r="S69" s="9"/>
      <c r="T69" s="7">
        <v>195.52</v>
      </c>
      <c r="U69" s="8">
        <f>IFERROR(T69/T327, "NA")</f>
        <v>1.1057729014379233E-3</v>
      </c>
      <c r="V69" s="9"/>
      <c r="W69" s="7">
        <v>0</v>
      </c>
      <c r="X69" s="8">
        <f>IFERROR(W69/W327, "NA")</f>
        <v>0</v>
      </c>
    </row>
    <row r="70" spans="1:24" ht="16.5" customHeight="1" x14ac:dyDescent="0.25">
      <c r="A70" s="6" t="s">
        <v>76</v>
      </c>
      <c r="B70" s="7">
        <v>0</v>
      </c>
      <c r="C70" s="8">
        <f>IFERROR(B70/B327, "NA")</f>
        <v>0</v>
      </c>
      <c r="D70" s="9"/>
      <c r="E70" s="7">
        <v>0</v>
      </c>
      <c r="F70" s="8">
        <f>IFERROR(E70/E327, "NA")</f>
        <v>0</v>
      </c>
      <c r="G70" s="9"/>
      <c r="H70" s="7">
        <v>0</v>
      </c>
      <c r="I70" s="8">
        <f>IFERROR(H70/H327, "NA")</f>
        <v>0</v>
      </c>
      <c r="J70" s="9"/>
      <c r="K70" s="7">
        <v>0</v>
      </c>
      <c r="L70" s="8">
        <f>IFERROR(K70/K327, "NA")</f>
        <v>0</v>
      </c>
      <c r="M70" s="9"/>
      <c r="N70" s="7">
        <v>0</v>
      </c>
      <c r="O70" s="8">
        <f>IFERROR(N70/N327, "NA")</f>
        <v>0</v>
      </c>
      <c r="P70" s="9"/>
      <c r="Q70" s="7">
        <v>0</v>
      </c>
      <c r="R70" s="8">
        <f>IFERROR(Q70/Q327, "NA")</f>
        <v>0</v>
      </c>
      <c r="S70" s="9"/>
      <c r="T70" s="7">
        <v>0</v>
      </c>
      <c r="U70" s="8">
        <f>IFERROR(T70/T327, "NA")</f>
        <v>0</v>
      </c>
      <c r="V70" s="9"/>
      <c r="W70" s="7">
        <v>0</v>
      </c>
      <c r="X70" s="8">
        <f>IFERROR(W70/W327, "NA")</f>
        <v>0</v>
      </c>
    </row>
    <row r="71" spans="1:24" ht="16.5" customHeight="1" x14ac:dyDescent="0.25">
      <c r="A71" s="6" t="s">
        <v>77</v>
      </c>
      <c r="B71" s="7">
        <v>58504.26</v>
      </c>
      <c r="C71" s="8">
        <f>IFERROR(B71/B327, "NA")</f>
        <v>0.14677698574989564</v>
      </c>
      <c r="D71" s="9"/>
      <c r="E71" s="7">
        <v>11808.28</v>
      </c>
      <c r="F71" s="8">
        <f>IFERROR(E71/E327, "NA")</f>
        <v>5.7323684334189155E-2</v>
      </c>
      <c r="G71" s="9"/>
      <c r="H71" s="7">
        <v>9802.65</v>
      </c>
      <c r="I71" s="8">
        <f>IFERROR(H71/H327, "NA")</f>
        <v>2.8977810623556581E-2</v>
      </c>
      <c r="J71" s="9"/>
      <c r="K71" s="7">
        <v>8917.23</v>
      </c>
      <c r="L71" s="8">
        <f>IFERROR(K71/K327, "NA")</f>
        <v>3.8262175689011406E-2</v>
      </c>
      <c r="M71" s="9"/>
      <c r="N71" s="7">
        <v>12875</v>
      </c>
      <c r="O71" s="8">
        <f>IFERROR(N71/N327, "NA")</f>
        <v>3.4692963367033071E-2</v>
      </c>
      <c r="P71" s="9"/>
      <c r="Q71" s="7">
        <v>5889</v>
      </c>
      <c r="R71" s="8">
        <f>IFERROR(Q71/Q327, "NA")</f>
        <v>3.3820336997346746E-2</v>
      </c>
      <c r="S71" s="9"/>
      <c r="T71" s="7">
        <v>6056.33</v>
      </c>
      <c r="U71" s="8">
        <f>IFERROR(T71/T327, "NA")</f>
        <v>3.4251869865822106E-2</v>
      </c>
      <c r="V71" s="9"/>
      <c r="W71" s="7">
        <v>0</v>
      </c>
      <c r="X71" s="8">
        <f>IFERROR(W71/W327, "NA")</f>
        <v>0</v>
      </c>
    </row>
    <row r="72" spans="1:24" ht="16.5" customHeight="1" x14ac:dyDescent="0.25">
      <c r="A72" s="6" t="s">
        <v>78</v>
      </c>
      <c r="B72" s="7">
        <v>0</v>
      </c>
      <c r="C72" s="8">
        <f>IFERROR(B72/B327, "NA")</f>
        <v>0</v>
      </c>
      <c r="D72" s="9"/>
      <c r="E72" s="7">
        <v>0</v>
      </c>
      <c r="F72" s="8">
        <f>IFERROR(E72/E327, "NA")</f>
        <v>0</v>
      </c>
      <c r="G72" s="9"/>
      <c r="H72" s="7">
        <v>0</v>
      </c>
      <c r="I72" s="8">
        <f>IFERROR(H72/H327, "NA")</f>
        <v>0</v>
      </c>
      <c r="J72" s="9"/>
      <c r="K72" s="7">
        <v>0</v>
      </c>
      <c r="L72" s="8">
        <f>IFERROR(K72/K327, "NA")</f>
        <v>0</v>
      </c>
      <c r="M72" s="9"/>
      <c r="N72" s="7">
        <v>0</v>
      </c>
      <c r="O72" s="8">
        <f>IFERROR(N72/N327, "NA")</f>
        <v>0</v>
      </c>
      <c r="P72" s="9"/>
      <c r="Q72" s="7">
        <v>0</v>
      </c>
      <c r="R72" s="8">
        <f>IFERROR(Q72/Q327, "NA")</f>
        <v>0</v>
      </c>
      <c r="S72" s="9"/>
      <c r="T72" s="7">
        <v>0</v>
      </c>
      <c r="U72" s="8">
        <f>IFERROR(T72/T327, "NA")</f>
        <v>0</v>
      </c>
      <c r="V72" s="9"/>
      <c r="W72" s="7">
        <v>0</v>
      </c>
      <c r="X72" s="8">
        <f>IFERROR(W72/W327, "NA")</f>
        <v>0</v>
      </c>
    </row>
    <row r="73" spans="1:24" ht="16.5" customHeight="1" x14ac:dyDescent="0.25">
      <c r="A73" s="6" t="s">
        <v>79</v>
      </c>
      <c r="B73" s="7">
        <v>14827.96</v>
      </c>
      <c r="C73" s="8">
        <f>IFERROR(B73/B327, "NA")</f>
        <v>3.7200765783893724E-2</v>
      </c>
      <c r="D73" s="9"/>
      <c r="E73" s="7">
        <v>11781.99</v>
      </c>
      <c r="F73" s="8">
        <f>IFERROR(E73/E327, "NA")</f>
        <v>5.7196058662952881E-2</v>
      </c>
      <c r="G73" s="9"/>
      <c r="H73" s="7">
        <v>10888.38</v>
      </c>
      <c r="I73" s="8">
        <f>IFERROR(H73/H327, "NA")</f>
        <v>3.2187358891454965E-2</v>
      </c>
      <c r="J73" s="9"/>
      <c r="K73" s="7">
        <v>12938.84</v>
      </c>
      <c r="L73" s="8">
        <f>IFERROR(K73/K327, "NA")</f>
        <v>5.5518156343618855E-2</v>
      </c>
      <c r="M73" s="9"/>
      <c r="N73" s="7">
        <v>17379.55</v>
      </c>
      <c r="O73" s="8">
        <f>IFERROR(N73/N327, "NA")</f>
        <v>4.6830919727030643E-2</v>
      </c>
      <c r="P73" s="9"/>
      <c r="Q73" s="7">
        <v>12526.97</v>
      </c>
      <c r="R73" s="8">
        <f>IFERROR(Q73/Q327, "NA")</f>
        <v>7.1941984539930851E-2</v>
      </c>
      <c r="S73" s="9"/>
      <c r="T73" s="7">
        <v>10942.91</v>
      </c>
      <c r="U73" s="8">
        <f>IFERROR(T73/T327, "NA")</f>
        <v>6.1888161522473735E-2</v>
      </c>
      <c r="V73" s="9"/>
      <c r="W73" s="7">
        <v>0</v>
      </c>
      <c r="X73" s="8">
        <f>IFERROR(W73/W327, "NA")</f>
        <v>0</v>
      </c>
    </row>
    <row r="74" spans="1:24" ht="16.5" customHeight="1" x14ac:dyDescent="0.25">
      <c r="A74" s="6" t="s">
        <v>80</v>
      </c>
      <c r="B74" s="7">
        <v>0</v>
      </c>
      <c r="C74" s="8">
        <f>IFERROR(B74/B327, "NA")</f>
        <v>0</v>
      </c>
      <c r="D74" s="9"/>
      <c r="E74" s="7">
        <v>0</v>
      </c>
      <c r="F74" s="8">
        <f>IFERROR(E74/E327, "NA")</f>
        <v>0</v>
      </c>
      <c r="G74" s="9"/>
      <c r="H74" s="7">
        <v>0</v>
      </c>
      <c r="I74" s="8">
        <f>IFERROR(H74/H327, "NA")</f>
        <v>0</v>
      </c>
      <c r="J74" s="9"/>
      <c r="K74" s="7">
        <v>0</v>
      </c>
      <c r="L74" s="8">
        <f>IFERROR(K74/K327, "NA")</f>
        <v>0</v>
      </c>
      <c r="M74" s="9"/>
      <c r="N74" s="7">
        <v>0</v>
      </c>
      <c r="O74" s="8">
        <f>IFERROR(N74/N327, "NA")</f>
        <v>0</v>
      </c>
      <c r="P74" s="9"/>
      <c r="Q74" s="7">
        <v>0</v>
      </c>
      <c r="R74" s="8">
        <f>IFERROR(Q74/Q327, "NA")</f>
        <v>0</v>
      </c>
      <c r="S74" s="9"/>
      <c r="T74" s="7">
        <v>0</v>
      </c>
      <c r="U74" s="8">
        <f>IFERROR(T74/T327, "NA")</f>
        <v>0</v>
      </c>
      <c r="V74" s="9"/>
      <c r="W74" s="7">
        <v>0</v>
      </c>
      <c r="X74" s="8">
        <f>IFERROR(W74/W327, "NA")</f>
        <v>0</v>
      </c>
    </row>
    <row r="75" spans="1:24" ht="16.5" customHeight="1" x14ac:dyDescent="0.25">
      <c r="A75" s="6" t="s">
        <v>81</v>
      </c>
      <c r="B75" s="7">
        <v>2916.84</v>
      </c>
      <c r="C75" s="8">
        <f>IFERROR(B75/B327, "NA")</f>
        <v>7.3178428906668603E-3</v>
      </c>
      <c r="D75" s="9"/>
      <c r="E75" s="7">
        <v>2429.42</v>
      </c>
      <c r="F75" s="8">
        <f>IFERROR(E75/E327, "NA")</f>
        <v>1.1793699437612068E-2</v>
      </c>
      <c r="G75" s="9"/>
      <c r="H75" s="7">
        <v>3376.85</v>
      </c>
      <c r="I75" s="8">
        <f>IFERROR(H75/H327, "NA")</f>
        <v>9.9823741339491907E-3</v>
      </c>
      <c r="J75" s="9"/>
      <c r="K75" s="7">
        <v>2611.2399999999998</v>
      </c>
      <c r="L75" s="8">
        <f>IFERROR(K75/K327, "NA")</f>
        <v>1.1204345255889345E-2</v>
      </c>
      <c r="M75" s="9"/>
      <c r="N75" s="7">
        <v>1686.09</v>
      </c>
      <c r="O75" s="8">
        <f>IFERROR(N75/N327, "NA")</f>
        <v>4.5433365905647215E-3</v>
      </c>
      <c r="P75" s="9"/>
      <c r="Q75" s="7">
        <v>2720.9</v>
      </c>
      <c r="R75" s="8">
        <f>IFERROR(Q75/Q327, "NA")</f>
        <v>1.562604091290215E-2</v>
      </c>
      <c r="S75" s="9"/>
      <c r="T75" s="7">
        <v>2085.1</v>
      </c>
      <c r="U75" s="8">
        <f>IFERROR(T75/T327, "NA")</f>
        <v>1.1792384803540373E-2</v>
      </c>
      <c r="V75" s="9"/>
      <c r="W75" s="7">
        <v>0</v>
      </c>
      <c r="X75" s="8">
        <f>IFERROR(W75/W327, "NA")</f>
        <v>0</v>
      </c>
    </row>
    <row r="76" spans="1:24" ht="16.5" customHeight="1" x14ac:dyDescent="0.25">
      <c r="A76" s="10" t="s">
        <v>82</v>
      </c>
      <c r="B76" s="11">
        <f>IFERROR(B68+B69+B70+B71+B72+B73+B74+B75, "NA")</f>
        <v>76379.62</v>
      </c>
      <c r="C76" s="12">
        <f>IFERROR(B76/B327, "NA")</f>
        <v>0.19162314669602593</v>
      </c>
      <c r="D76" s="2"/>
      <c r="E76" s="11">
        <f>IFERROR(E68+E69+E70+E71+E72+E73+E74+E75, "NA")</f>
        <v>26074.58</v>
      </c>
      <c r="F76" s="12">
        <f>IFERROR(E76/E327, "NA")</f>
        <v>0.12657990774833947</v>
      </c>
      <c r="G76" s="2"/>
      <c r="H76" s="11">
        <f>IFERROR(H68+H69+H70+H71+H72+H73+H74+H75, "NA")</f>
        <v>24503.969999999998</v>
      </c>
      <c r="I76" s="12">
        <f>IFERROR(H76/H327, "NA")</f>
        <v>7.2436678060046181E-2</v>
      </c>
      <c r="J76" s="2"/>
      <c r="K76" s="11">
        <f>IFERROR(K68+K69+K70+K71+K72+K73+K74+K75, "NA")</f>
        <v>24467.309999999998</v>
      </c>
      <c r="L76" s="12">
        <f>IFERROR(K76/K327, "NA")</f>
        <v>0.1049846772885196</v>
      </c>
      <c r="M76" s="2"/>
      <c r="N76" s="11">
        <f>IFERROR(N68+N69+N70+N71+N72+N73+N74+N75, "NA")</f>
        <v>32070.079999999998</v>
      </c>
      <c r="O76" s="12">
        <f>IFERROR(N76/N327, "NA")</f>
        <v>8.6416008591675322E-2</v>
      </c>
      <c r="P76" s="2"/>
      <c r="Q76" s="11">
        <f>IFERROR(Q68+Q69+Q70+Q71+Q72+Q73+Q74+Q75, "NA")</f>
        <v>21181.800000000003</v>
      </c>
      <c r="R76" s="12">
        <f>IFERROR(Q76/Q327, "NA")</f>
        <v>0.12164639399055857</v>
      </c>
      <c r="S76" s="2"/>
      <c r="T76" s="11">
        <f>IFERROR(T68+T69+T70+T71+T72+T73+T74+T75, "NA")</f>
        <v>19279.86</v>
      </c>
      <c r="U76" s="12">
        <f>IFERROR(T76/T327, "NA")</f>
        <v>0.10903818909327415</v>
      </c>
      <c r="V76" s="2"/>
      <c r="W76" s="11">
        <f>IFERROR(W68+W69+W70+W71+W72+W73+W74+W75, "NA")</f>
        <v>0</v>
      </c>
      <c r="X76" s="12">
        <f>IFERROR(W76/W327, "NA")</f>
        <v>0</v>
      </c>
    </row>
    <row r="77" spans="1:24" ht="16.5" customHeight="1" x14ac:dyDescent="0.25">
      <c r="A77" s="5" t="s">
        <v>83</v>
      </c>
      <c r="B77" s="2"/>
      <c r="C77" s="3"/>
      <c r="D77" s="4"/>
      <c r="E77" s="2"/>
      <c r="F77" s="3"/>
      <c r="G77" s="4"/>
      <c r="H77" s="2"/>
      <c r="I77" s="3"/>
      <c r="J77" s="4"/>
      <c r="K77" s="2"/>
      <c r="L77" s="3"/>
      <c r="M77" s="4"/>
      <c r="N77" s="2"/>
      <c r="O77" s="3"/>
      <c r="P77" s="4"/>
      <c r="Q77" s="2"/>
      <c r="R77" s="3"/>
      <c r="S77" s="4"/>
      <c r="T77" s="2"/>
      <c r="U77" s="3"/>
      <c r="V77" s="4"/>
      <c r="W77" s="2"/>
      <c r="X77" s="3"/>
    </row>
    <row r="78" spans="1:24" ht="16.5" customHeight="1" x14ac:dyDescent="0.25">
      <c r="A78" s="6" t="s">
        <v>84</v>
      </c>
      <c r="B78" s="7">
        <v>0</v>
      </c>
      <c r="C78" s="8">
        <f>IFERROR(B78/B327, "NA")</f>
        <v>0</v>
      </c>
      <c r="D78" s="9"/>
      <c r="E78" s="7">
        <v>0</v>
      </c>
      <c r="F78" s="8">
        <f>IFERROR(E78/E327, "NA")</f>
        <v>0</v>
      </c>
      <c r="G78" s="9"/>
      <c r="H78" s="7">
        <v>0</v>
      </c>
      <c r="I78" s="8">
        <f>IFERROR(H78/H327, "NA")</f>
        <v>0</v>
      </c>
      <c r="J78" s="9"/>
      <c r="K78" s="7">
        <v>0</v>
      </c>
      <c r="L78" s="8">
        <f>IFERROR(K78/K327, "NA")</f>
        <v>0</v>
      </c>
      <c r="M78" s="9"/>
      <c r="N78" s="7">
        <v>0</v>
      </c>
      <c r="O78" s="8">
        <f>IFERROR(N78/N327, "NA")</f>
        <v>0</v>
      </c>
      <c r="P78" s="9"/>
      <c r="Q78" s="7">
        <v>0</v>
      </c>
      <c r="R78" s="8">
        <f>IFERROR(Q78/Q327, "NA")</f>
        <v>0</v>
      </c>
      <c r="S78" s="9"/>
      <c r="T78" s="7">
        <v>0</v>
      </c>
      <c r="U78" s="8">
        <f>IFERROR(T78/T327, "NA")</f>
        <v>0</v>
      </c>
      <c r="V78" s="9"/>
      <c r="W78" s="7">
        <v>0</v>
      </c>
      <c r="X78" s="8">
        <f>IFERROR(W78/W327, "NA")</f>
        <v>0</v>
      </c>
    </row>
    <row r="79" spans="1:24" ht="16.5" customHeight="1" x14ac:dyDescent="0.25">
      <c r="A79" s="6" t="s">
        <v>85</v>
      </c>
      <c r="B79" s="7">
        <v>0</v>
      </c>
      <c r="C79" s="8">
        <f>IFERROR(B79/B327, "NA")</f>
        <v>0</v>
      </c>
      <c r="D79" s="9"/>
      <c r="E79" s="7">
        <v>0</v>
      </c>
      <c r="F79" s="8">
        <f>IFERROR(E79/E327, "NA")</f>
        <v>0</v>
      </c>
      <c r="G79" s="9"/>
      <c r="H79" s="7">
        <v>0</v>
      </c>
      <c r="I79" s="8">
        <f>IFERROR(H79/H327, "NA")</f>
        <v>0</v>
      </c>
      <c r="J79" s="9"/>
      <c r="K79" s="7">
        <v>0</v>
      </c>
      <c r="L79" s="8">
        <f>IFERROR(K79/K327, "NA")</f>
        <v>0</v>
      </c>
      <c r="M79" s="9"/>
      <c r="N79" s="7">
        <v>0</v>
      </c>
      <c r="O79" s="8">
        <f>IFERROR(N79/N327, "NA")</f>
        <v>0</v>
      </c>
      <c r="P79" s="9"/>
      <c r="Q79" s="7">
        <v>0</v>
      </c>
      <c r="R79" s="8">
        <f>IFERROR(Q79/Q327, "NA")</f>
        <v>0</v>
      </c>
      <c r="S79" s="9"/>
      <c r="T79" s="7">
        <v>0</v>
      </c>
      <c r="U79" s="8">
        <f>IFERROR(T79/T327, "NA")</f>
        <v>0</v>
      </c>
      <c r="V79" s="9"/>
      <c r="W79" s="7">
        <v>0</v>
      </c>
      <c r="X79" s="8">
        <f>IFERROR(W79/W327, "NA")</f>
        <v>0</v>
      </c>
    </row>
    <row r="80" spans="1:24" ht="16.5" customHeight="1" x14ac:dyDescent="0.25">
      <c r="A80" s="10" t="s">
        <v>86</v>
      </c>
      <c r="B80" s="11">
        <f>IFERROR(B78+B79, "NA")</f>
        <v>0</v>
      </c>
      <c r="C80" s="12">
        <f>IFERROR(B80/B327, "NA")</f>
        <v>0</v>
      </c>
      <c r="D80" s="2"/>
      <c r="E80" s="11">
        <f>IFERROR(E78+E79, "NA")</f>
        <v>0</v>
      </c>
      <c r="F80" s="12">
        <f>IFERROR(E80/E327, "NA")</f>
        <v>0</v>
      </c>
      <c r="G80" s="2"/>
      <c r="H80" s="11">
        <f>IFERROR(H78+H79, "NA")</f>
        <v>0</v>
      </c>
      <c r="I80" s="12">
        <f>IFERROR(H80/H327, "NA")</f>
        <v>0</v>
      </c>
      <c r="J80" s="2"/>
      <c r="K80" s="11">
        <f>IFERROR(K78+K79, "NA")</f>
        <v>0</v>
      </c>
      <c r="L80" s="12">
        <f>IFERROR(K80/K327, "NA")</f>
        <v>0</v>
      </c>
      <c r="M80" s="2"/>
      <c r="N80" s="11">
        <f>IFERROR(N78+N79, "NA")</f>
        <v>0</v>
      </c>
      <c r="O80" s="12">
        <f>IFERROR(N80/N327, "NA")</f>
        <v>0</v>
      </c>
      <c r="P80" s="2"/>
      <c r="Q80" s="11">
        <f>IFERROR(Q78+Q79, "NA")</f>
        <v>0</v>
      </c>
      <c r="R80" s="12">
        <f>IFERROR(Q80/Q327, "NA")</f>
        <v>0</v>
      </c>
      <c r="S80" s="2"/>
      <c r="T80" s="11">
        <f>IFERROR(T78+T79, "NA")</f>
        <v>0</v>
      </c>
      <c r="U80" s="12">
        <f>IFERROR(T80/T327, "NA")</f>
        <v>0</v>
      </c>
      <c r="V80" s="2"/>
      <c r="W80" s="11">
        <f>IFERROR(W78+W79, "NA")</f>
        <v>0</v>
      </c>
      <c r="X80" s="12">
        <f>IFERROR(W80/W327, "NA")</f>
        <v>0</v>
      </c>
    </row>
    <row r="81" spans="1:24" ht="16.5" customHeight="1" x14ac:dyDescent="0.25">
      <c r="A81" s="5" t="s">
        <v>87</v>
      </c>
      <c r="B81" s="2"/>
      <c r="C81" s="3"/>
      <c r="D81" s="4"/>
      <c r="E81" s="2"/>
      <c r="F81" s="3"/>
      <c r="G81" s="4"/>
      <c r="H81" s="2"/>
      <c r="I81" s="3"/>
      <c r="J81" s="4"/>
      <c r="K81" s="2"/>
      <c r="L81" s="3"/>
      <c r="M81" s="4"/>
      <c r="N81" s="2"/>
      <c r="O81" s="3"/>
      <c r="P81" s="4"/>
      <c r="Q81" s="2"/>
      <c r="R81" s="3"/>
      <c r="S81" s="4"/>
      <c r="T81" s="2"/>
      <c r="U81" s="3"/>
      <c r="V81" s="4"/>
      <c r="W81" s="2"/>
      <c r="X81" s="3"/>
    </row>
    <row r="82" spans="1:24" ht="16.5" customHeight="1" x14ac:dyDescent="0.25">
      <c r="A82" s="6" t="s">
        <v>88</v>
      </c>
      <c r="B82" s="7">
        <v>0</v>
      </c>
      <c r="C82" s="8">
        <f>IFERROR(B82/B327, "NA")</f>
        <v>0</v>
      </c>
      <c r="D82" s="9"/>
      <c r="E82" s="7">
        <v>0</v>
      </c>
      <c r="F82" s="8">
        <f>IFERROR(E82/E327, "NA")</f>
        <v>0</v>
      </c>
      <c r="G82" s="9"/>
      <c r="H82" s="7">
        <v>0</v>
      </c>
      <c r="I82" s="8">
        <f>IFERROR(H82/H327, "NA")</f>
        <v>0</v>
      </c>
      <c r="J82" s="9"/>
      <c r="K82" s="7">
        <v>0</v>
      </c>
      <c r="L82" s="8">
        <f>IFERROR(K82/K327, "NA")</f>
        <v>0</v>
      </c>
      <c r="M82" s="9"/>
      <c r="N82" s="7">
        <v>0</v>
      </c>
      <c r="O82" s="8">
        <f>IFERROR(N82/N327, "NA")</f>
        <v>0</v>
      </c>
      <c r="P82" s="9"/>
      <c r="Q82" s="7">
        <v>0</v>
      </c>
      <c r="R82" s="8">
        <f>IFERROR(Q82/Q327, "NA")</f>
        <v>0</v>
      </c>
      <c r="S82" s="9"/>
      <c r="T82" s="7">
        <v>0</v>
      </c>
      <c r="U82" s="8">
        <f>IFERROR(T82/T327, "NA")</f>
        <v>0</v>
      </c>
      <c r="V82" s="9"/>
      <c r="W82" s="7">
        <v>0</v>
      </c>
      <c r="X82" s="8">
        <f>IFERROR(W82/W327, "NA")</f>
        <v>0</v>
      </c>
    </row>
    <row r="83" spans="1:24" ht="16.5" customHeight="1" x14ac:dyDescent="0.25">
      <c r="A83" s="15" t="s">
        <v>89</v>
      </c>
      <c r="B83" s="2"/>
      <c r="C83" s="3"/>
      <c r="D83" s="4"/>
      <c r="E83" s="2"/>
      <c r="F83" s="3"/>
      <c r="G83" s="4"/>
      <c r="H83" s="2"/>
      <c r="I83" s="3"/>
      <c r="J83" s="4"/>
      <c r="K83" s="2"/>
      <c r="L83" s="3"/>
      <c r="M83" s="4"/>
      <c r="N83" s="2"/>
      <c r="O83" s="3"/>
      <c r="P83" s="4"/>
      <c r="Q83" s="2"/>
      <c r="R83" s="3"/>
      <c r="S83" s="4"/>
      <c r="T83" s="2"/>
      <c r="U83" s="3"/>
      <c r="V83" s="4"/>
      <c r="W83" s="2"/>
      <c r="X83" s="3"/>
    </row>
    <row r="84" spans="1:24" ht="16.5" customHeight="1" x14ac:dyDescent="0.25">
      <c r="A84" s="16" t="s">
        <v>90</v>
      </c>
      <c r="B84" s="7">
        <v>0</v>
      </c>
      <c r="C84" s="8">
        <f>IFERROR(B84/B327, "NA")</f>
        <v>0</v>
      </c>
      <c r="D84" s="9"/>
      <c r="E84" s="7">
        <v>0</v>
      </c>
      <c r="F84" s="8">
        <f>IFERROR(E84/E327, "NA")</f>
        <v>0</v>
      </c>
      <c r="G84" s="9"/>
      <c r="H84" s="7">
        <v>0</v>
      </c>
      <c r="I84" s="8">
        <f>IFERROR(H84/H327, "NA")</f>
        <v>0</v>
      </c>
      <c r="J84" s="9"/>
      <c r="K84" s="7">
        <v>0</v>
      </c>
      <c r="L84" s="8">
        <f>IFERROR(K84/K327, "NA")</f>
        <v>0</v>
      </c>
      <c r="M84" s="9"/>
      <c r="N84" s="7">
        <v>0</v>
      </c>
      <c r="O84" s="8">
        <f>IFERROR(N84/N327, "NA")</f>
        <v>0</v>
      </c>
      <c r="P84" s="9"/>
      <c r="Q84" s="7">
        <v>0</v>
      </c>
      <c r="R84" s="8">
        <f>IFERROR(Q84/Q327, "NA")</f>
        <v>0</v>
      </c>
      <c r="S84" s="9"/>
      <c r="T84" s="7">
        <v>0</v>
      </c>
      <c r="U84" s="8">
        <f>IFERROR(T84/T327, "NA")</f>
        <v>0</v>
      </c>
      <c r="V84" s="9"/>
      <c r="W84" s="7">
        <v>0</v>
      </c>
      <c r="X84" s="8">
        <f>IFERROR(W84/W327, "NA")</f>
        <v>0</v>
      </c>
    </row>
    <row r="85" spans="1:24" ht="16.5" customHeight="1" x14ac:dyDescent="0.25">
      <c r="A85" s="16" t="s">
        <v>91</v>
      </c>
      <c r="B85" s="7">
        <v>4135.16</v>
      </c>
      <c r="C85" s="8">
        <f>IFERROR(B85/B327, "NA")</f>
        <v>1.037439530717145E-2</v>
      </c>
      <c r="D85" s="9"/>
      <c r="E85" s="7">
        <v>3949</v>
      </c>
      <c r="F85" s="8">
        <f>IFERROR(E85/E327, "NA")</f>
        <v>1.9170550616661612E-2</v>
      </c>
      <c r="G85" s="9"/>
      <c r="H85" s="7">
        <v>4118.8</v>
      </c>
      <c r="I85" s="8">
        <f>IFERROR(H85/H327, "NA")</f>
        <v>1.2175667436489608E-2</v>
      </c>
      <c r="J85" s="9"/>
      <c r="K85" s="7">
        <v>5420.09</v>
      </c>
      <c r="L85" s="8">
        <f>IFERROR(K85/K327, "NA")</f>
        <v>2.325659827438048E-2</v>
      </c>
      <c r="M85" s="9"/>
      <c r="N85" s="7">
        <v>4621.25</v>
      </c>
      <c r="O85" s="8">
        <f>IFERROR(N85/N327, "NA")</f>
        <v>1.2452416074555462E-2</v>
      </c>
      <c r="P85" s="9"/>
      <c r="Q85" s="7">
        <v>3373.3</v>
      </c>
      <c r="R85" s="8">
        <f>IFERROR(Q85/Q327, "NA")</f>
        <v>1.9372753063873288E-2</v>
      </c>
      <c r="S85" s="9"/>
      <c r="T85" s="7">
        <v>2457.94</v>
      </c>
      <c r="U85" s="8">
        <f>IFERROR(T85/T327, "NA")</f>
        <v>1.3900999618250457E-2</v>
      </c>
      <c r="V85" s="9"/>
      <c r="W85" s="7">
        <v>3047.28</v>
      </c>
      <c r="X85" s="8">
        <f>IFERROR(W85/W327, "NA")</f>
        <v>1.8040636544472861E-2</v>
      </c>
    </row>
    <row r="86" spans="1:24" ht="16.5" customHeight="1" x14ac:dyDescent="0.25">
      <c r="A86" s="16" t="s">
        <v>92</v>
      </c>
      <c r="B86" s="7">
        <v>785.45</v>
      </c>
      <c r="C86" s="8">
        <f>IFERROR(B86/B327, "NA")</f>
        <v>1.9705570749421583E-3</v>
      </c>
      <c r="D86" s="9"/>
      <c r="E86" s="7">
        <v>1264.1500000000001</v>
      </c>
      <c r="F86" s="8">
        <f>IFERROR(E86/E327, "NA")</f>
        <v>6.1368578278178723E-3</v>
      </c>
      <c r="G86" s="9"/>
      <c r="H86" s="7">
        <v>785.66</v>
      </c>
      <c r="I86" s="8">
        <f>IFERROR(H86/H327, "NA")</f>
        <v>2.322505311778291E-3</v>
      </c>
      <c r="J86" s="9"/>
      <c r="K86" s="7">
        <v>99.78</v>
      </c>
      <c r="L86" s="8">
        <f>IFERROR(K86/K327, "NA")</f>
        <v>4.2813742499067068E-4</v>
      </c>
      <c r="M86" s="9"/>
      <c r="N86" s="7">
        <v>1504.33</v>
      </c>
      <c r="O86" s="8">
        <f>IFERROR(N86/N327, "NA")</f>
        <v>4.0535662587905912E-3</v>
      </c>
      <c r="P86" s="9"/>
      <c r="Q86" s="7">
        <v>1202.96</v>
      </c>
      <c r="R86" s="8">
        <f>IFERROR(Q86/Q327, "NA")</f>
        <v>6.9085604677072924E-3</v>
      </c>
      <c r="S86" s="9"/>
      <c r="T86" s="7">
        <v>1458.69</v>
      </c>
      <c r="U86" s="8">
        <f>IFERROR(T86/T327, "NA")</f>
        <v>8.2496924795339831E-3</v>
      </c>
      <c r="V86" s="9"/>
      <c r="W86" s="7">
        <v>2043.65</v>
      </c>
      <c r="X86" s="8">
        <f>IFERROR(W86/W327, "NA")</f>
        <v>1.2098903571090272E-2</v>
      </c>
    </row>
    <row r="87" spans="1:24" ht="16.5" customHeight="1" x14ac:dyDescent="0.25">
      <c r="A87" s="16" t="s">
        <v>93</v>
      </c>
      <c r="B87" s="7">
        <v>747.9</v>
      </c>
      <c r="C87" s="8">
        <f>IFERROR(B87/B327, "NA")</f>
        <v>1.8763506733073274E-3</v>
      </c>
      <c r="D87" s="9"/>
      <c r="E87" s="7">
        <v>834.04</v>
      </c>
      <c r="F87" s="8">
        <f>IFERROR(E87/E327, "NA")</f>
        <v>4.0488746610079637E-3</v>
      </c>
      <c r="G87" s="9"/>
      <c r="H87" s="7">
        <v>606.73</v>
      </c>
      <c r="I87" s="8">
        <f>IFERROR(H87/H327, "NA")</f>
        <v>1.7935667436489609E-3</v>
      </c>
      <c r="J87" s="9"/>
      <c r="K87" s="7">
        <v>771.66</v>
      </c>
      <c r="L87" s="8">
        <f>IFERROR(K87/K327, "NA")</f>
        <v>3.3110495627209956E-3</v>
      </c>
      <c r="M87" s="9"/>
      <c r="N87" s="7">
        <v>573.41999999999996</v>
      </c>
      <c r="O87" s="8">
        <f>IFERROR(N87/N327, "NA")</f>
        <v>1.5451370138970177E-3</v>
      </c>
      <c r="P87" s="9"/>
      <c r="Q87" s="7">
        <v>765.64</v>
      </c>
      <c r="R87" s="8">
        <f>IFERROR(Q87/Q327, "NA")</f>
        <v>4.3970458173965979E-3</v>
      </c>
      <c r="S87" s="9"/>
      <c r="T87" s="7">
        <v>762.6</v>
      </c>
      <c r="U87" s="8">
        <f>IFERROR(T87/T327, "NA")</f>
        <v>4.3129215151215235E-3</v>
      </c>
      <c r="V87" s="9"/>
      <c r="W87" s="7">
        <v>750.74</v>
      </c>
      <c r="X87" s="8">
        <f>IFERROR(W87/W327, "NA")</f>
        <v>4.4445628492943067E-3</v>
      </c>
    </row>
    <row r="88" spans="1:24" ht="16.5" customHeight="1" x14ac:dyDescent="0.25">
      <c r="A88" s="16" t="s">
        <v>94</v>
      </c>
      <c r="B88" s="7">
        <v>4191.32</v>
      </c>
      <c r="C88" s="8">
        <f>IFERROR(B88/B327, "NA")</f>
        <v>1.0515290953398137E-2</v>
      </c>
      <c r="D88" s="9"/>
      <c r="E88" s="7">
        <v>707.71</v>
      </c>
      <c r="F88" s="8">
        <f>IFERROR(E88/E327, "NA")</f>
        <v>3.4356015135268646E-3</v>
      </c>
      <c r="G88" s="9"/>
      <c r="H88" s="7">
        <v>3847.57</v>
      </c>
      <c r="I88" s="8">
        <f>IFERROR(H88/H327, "NA")</f>
        <v>1.1373878983833718E-2</v>
      </c>
      <c r="J88" s="9"/>
      <c r="K88" s="7">
        <v>1250.98</v>
      </c>
      <c r="L88" s="8">
        <f>IFERROR(K88/K327, "NA")</f>
        <v>5.3677225487555541E-3</v>
      </c>
      <c r="M88" s="9"/>
      <c r="N88" s="7">
        <v>3083.28</v>
      </c>
      <c r="O88" s="8">
        <f>IFERROR(N88/N327, "NA")</f>
        <v>8.3082035021596681E-3</v>
      </c>
      <c r="P88" s="9"/>
      <c r="Q88" s="7">
        <v>3154.6</v>
      </c>
      <c r="R88" s="8">
        <f>IFERROR(Q88/Q327, "NA")</f>
        <v>1.8116766020008498E-2</v>
      </c>
      <c r="S88" s="9"/>
      <c r="T88" s="7">
        <v>3161.86</v>
      </c>
      <c r="U88" s="8">
        <f>IFERROR(T88/T327, "NA")</f>
        <v>1.7882053529769397E-2</v>
      </c>
      <c r="V88" s="9"/>
      <c r="W88" s="7">
        <v>2587.5700000000002</v>
      </c>
      <c r="X88" s="8">
        <f>IFERROR(W88/W327, "NA")</f>
        <v>1.5319041867954913E-2</v>
      </c>
    </row>
    <row r="89" spans="1:24" ht="16.5" customHeight="1" x14ac:dyDescent="0.25">
      <c r="A89" s="16" t="s">
        <v>95</v>
      </c>
      <c r="B89" s="7">
        <v>0</v>
      </c>
      <c r="C89" s="8">
        <f>IFERROR(B89/B327, "NA")</f>
        <v>0</v>
      </c>
      <c r="D89" s="9"/>
      <c r="E89" s="7">
        <v>0</v>
      </c>
      <c r="F89" s="8">
        <f>IFERROR(E89/E327, "NA")</f>
        <v>0</v>
      </c>
      <c r="G89" s="9"/>
      <c r="H89" s="7">
        <v>0</v>
      </c>
      <c r="I89" s="8">
        <f>IFERROR(H89/H327, "NA")</f>
        <v>0</v>
      </c>
      <c r="J89" s="9"/>
      <c r="K89" s="7">
        <v>0</v>
      </c>
      <c r="L89" s="8">
        <f>IFERROR(K89/K327, "NA")</f>
        <v>0</v>
      </c>
      <c r="M89" s="9"/>
      <c r="N89" s="7">
        <v>0</v>
      </c>
      <c r="O89" s="8">
        <f>IFERROR(N89/N327, "NA")</f>
        <v>0</v>
      </c>
      <c r="P89" s="9"/>
      <c r="Q89" s="7">
        <v>0</v>
      </c>
      <c r="R89" s="8">
        <f>IFERROR(Q89/Q327, "NA")</f>
        <v>0</v>
      </c>
      <c r="S89" s="9"/>
      <c r="T89" s="7">
        <v>0</v>
      </c>
      <c r="U89" s="8">
        <f>IFERROR(T89/T327, "NA")</f>
        <v>0</v>
      </c>
      <c r="V89" s="9"/>
      <c r="W89" s="7">
        <v>0</v>
      </c>
      <c r="X89" s="8">
        <f>IFERROR(W89/W327, "NA")</f>
        <v>0</v>
      </c>
    </row>
    <row r="90" spans="1:24" ht="16.5" customHeight="1" x14ac:dyDescent="0.25">
      <c r="A90" s="16" t="s">
        <v>96</v>
      </c>
      <c r="B90" s="7">
        <v>0</v>
      </c>
      <c r="C90" s="8">
        <f>IFERROR(B90/B327, "NA")</f>
        <v>0</v>
      </c>
      <c r="D90" s="9"/>
      <c r="E90" s="7">
        <v>0</v>
      </c>
      <c r="F90" s="8">
        <f>IFERROR(E90/E327, "NA")</f>
        <v>0</v>
      </c>
      <c r="G90" s="9"/>
      <c r="H90" s="7">
        <v>0</v>
      </c>
      <c r="I90" s="8">
        <f>IFERROR(H90/H327, "NA")</f>
        <v>0</v>
      </c>
      <c r="J90" s="9"/>
      <c r="K90" s="7">
        <v>0</v>
      </c>
      <c r="L90" s="8">
        <f>IFERROR(K90/K327, "NA")</f>
        <v>0</v>
      </c>
      <c r="M90" s="9"/>
      <c r="N90" s="7">
        <v>0</v>
      </c>
      <c r="O90" s="8">
        <f>IFERROR(N90/N327, "NA")</f>
        <v>0</v>
      </c>
      <c r="P90" s="9"/>
      <c r="Q90" s="7">
        <v>0</v>
      </c>
      <c r="R90" s="8">
        <f>IFERROR(Q90/Q327, "NA")</f>
        <v>0</v>
      </c>
      <c r="S90" s="9"/>
      <c r="T90" s="7">
        <v>0</v>
      </c>
      <c r="U90" s="8">
        <f>IFERROR(T90/T327, "NA")</f>
        <v>0</v>
      </c>
      <c r="V90" s="9"/>
      <c r="W90" s="7">
        <v>0</v>
      </c>
      <c r="X90" s="8">
        <f>IFERROR(W90/W327, "NA")</f>
        <v>0</v>
      </c>
    </row>
    <row r="91" spans="1:24" ht="16.5" customHeight="1" x14ac:dyDescent="0.25">
      <c r="A91" s="16" t="s">
        <v>97</v>
      </c>
      <c r="B91" s="7">
        <v>0</v>
      </c>
      <c r="C91" s="8">
        <f>IFERROR(B91/B327, "NA")</f>
        <v>0</v>
      </c>
      <c r="D91" s="9"/>
      <c r="E91" s="7">
        <v>0</v>
      </c>
      <c r="F91" s="8">
        <f>IFERROR(E91/E327, "NA")</f>
        <v>0</v>
      </c>
      <c r="G91" s="9"/>
      <c r="H91" s="7">
        <v>0</v>
      </c>
      <c r="I91" s="8">
        <f>IFERROR(H91/H327, "NA")</f>
        <v>0</v>
      </c>
      <c r="J91" s="9"/>
      <c r="K91" s="7">
        <v>0</v>
      </c>
      <c r="L91" s="8">
        <f>IFERROR(K91/K327, "NA")</f>
        <v>0</v>
      </c>
      <c r="M91" s="9"/>
      <c r="N91" s="7">
        <v>0</v>
      </c>
      <c r="O91" s="8">
        <f>IFERROR(N91/N327, "NA")</f>
        <v>0</v>
      </c>
      <c r="P91" s="9"/>
      <c r="Q91" s="7">
        <v>0</v>
      </c>
      <c r="R91" s="8">
        <f>IFERROR(Q91/Q327, "NA")</f>
        <v>0</v>
      </c>
      <c r="S91" s="9"/>
      <c r="T91" s="7">
        <v>0</v>
      </c>
      <c r="U91" s="8">
        <f>IFERROR(T91/T327, "NA")</f>
        <v>0</v>
      </c>
      <c r="V91" s="9"/>
      <c r="W91" s="7">
        <v>0</v>
      </c>
      <c r="X91" s="8">
        <f>IFERROR(W91/W327, "NA")</f>
        <v>0</v>
      </c>
    </row>
    <row r="92" spans="1:24" ht="16.5" customHeight="1" x14ac:dyDescent="0.25">
      <c r="A92" s="16" t="s">
        <v>98</v>
      </c>
      <c r="B92" s="7">
        <v>2181.36</v>
      </c>
      <c r="C92" s="8">
        <f>IFERROR(B92/B327, "NA")</f>
        <v>5.4726518314288965E-3</v>
      </c>
      <c r="D92" s="9"/>
      <c r="E92" s="7">
        <v>1734.43</v>
      </c>
      <c r="F92" s="8">
        <f>IFERROR(E92/E327, "NA")</f>
        <v>8.4198475831998992E-3</v>
      </c>
      <c r="G92" s="9"/>
      <c r="H92" s="7">
        <v>2224.9</v>
      </c>
      <c r="I92" s="8">
        <f>IFERROR(H92/H327, "NA")</f>
        <v>6.5770715935334874E-3</v>
      </c>
      <c r="J92" s="9"/>
      <c r="K92" s="7">
        <v>1200.01</v>
      </c>
      <c r="L92" s="8">
        <f>IFERROR(K92/K327, "NA")</f>
        <v>5.1490197570961587E-3</v>
      </c>
      <c r="M92" s="9"/>
      <c r="N92" s="7">
        <v>2356.7800000000002</v>
      </c>
      <c r="O92" s="8">
        <f>IFERROR(N92/N327, "NA")</f>
        <v>6.350577258575239E-3</v>
      </c>
      <c r="P92" s="9"/>
      <c r="Q92" s="7">
        <v>1028.26</v>
      </c>
      <c r="R92" s="8">
        <f>IFERROR(Q92/Q327, "NA")</f>
        <v>5.9052640042268241E-3</v>
      </c>
      <c r="S92" s="9"/>
      <c r="T92" s="7">
        <v>2234.19</v>
      </c>
      <c r="U92" s="8">
        <f>IFERROR(T92/T327, "NA")</f>
        <v>1.2635570574179592E-2</v>
      </c>
      <c r="V92" s="9"/>
      <c r="W92" s="7">
        <v>2245.4499999999998</v>
      </c>
      <c r="X92" s="8">
        <f>IFERROR(W92/W327, "NA")</f>
        <v>1.3293608506204414E-2</v>
      </c>
    </row>
    <row r="93" spans="1:24" ht="16.5" customHeight="1" x14ac:dyDescent="0.25">
      <c r="A93" s="16" t="s">
        <v>99</v>
      </c>
      <c r="B93" s="7">
        <v>0</v>
      </c>
      <c r="C93" s="8">
        <f>IFERROR(B93/B327, "NA")</f>
        <v>0</v>
      </c>
      <c r="D93" s="9"/>
      <c r="E93" s="7">
        <v>0</v>
      </c>
      <c r="F93" s="8">
        <f>IFERROR(E93/E327, "NA")</f>
        <v>0</v>
      </c>
      <c r="G93" s="9"/>
      <c r="H93" s="7">
        <v>0</v>
      </c>
      <c r="I93" s="8">
        <f>IFERROR(H93/H327, "NA")</f>
        <v>0</v>
      </c>
      <c r="J93" s="9"/>
      <c r="K93" s="7">
        <v>0</v>
      </c>
      <c r="L93" s="8">
        <f>IFERROR(K93/K327, "NA")</f>
        <v>0</v>
      </c>
      <c r="M93" s="9"/>
      <c r="N93" s="7">
        <v>0</v>
      </c>
      <c r="O93" s="8">
        <f>IFERROR(N93/N327, "NA")</f>
        <v>0</v>
      </c>
      <c r="P93" s="9"/>
      <c r="Q93" s="7">
        <v>0</v>
      </c>
      <c r="R93" s="8">
        <f>IFERROR(Q93/Q327, "NA")</f>
        <v>0</v>
      </c>
      <c r="S93" s="9"/>
      <c r="T93" s="7">
        <v>0</v>
      </c>
      <c r="U93" s="8">
        <f>IFERROR(T93/T327, "NA")</f>
        <v>0</v>
      </c>
      <c r="V93" s="9"/>
      <c r="W93" s="7">
        <v>0</v>
      </c>
      <c r="X93" s="8">
        <f>IFERROR(W93/W327, "NA")</f>
        <v>0</v>
      </c>
    </row>
    <row r="94" spans="1:24" ht="16.5" customHeight="1" x14ac:dyDescent="0.25">
      <c r="A94" s="16" t="s">
        <v>100</v>
      </c>
      <c r="B94" s="7">
        <v>0</v>
      </c>
      <c r="C94" s="8">
        <f>IFERROR(B94/B327, "NA")</f>
        <v>0</v>
      </c>
      <c r="D94" s="9"/>
      <c r="E94" s="7">
        <v>0</v>
      </c>
      <c r="F94" s="8">
        <f>IFERROR(E94/E327, "NA")</f>
        <v>0</v>
      </c>
      <c r="G94" s="9"/>
      <c r="H94" s="7">
        <v>0</v>
      </c>
      <c r="I94" s="8">
        <f>IFERROR(H94/H327, "NA")</f>
        <v>0</v>
      </c>
      <c r="J94" s="9"/>
      <c r="K94" s="7">
        <v>0</v>
      </c>
      <c r="L94" s="8">
        <f>IFERROR(K94/K327, "NA")</f>
        <v>0</v>
      </c>
      <c r="M94" s="9"/>
      <c r="N94" s="7">
        <v>0</v>
      </c>
      <c r="O94" s="8">
        <f>IFERROR(N94/N327, "NA")</f>
        <v>0</v>
      </c>
      <c r="P94" s="9"/>
      <c r="Q94" s="7">
        <v>0</v>
      </c>
      <c r="R94" s="8">
        <f>IFERROR(Q94/Q327, "NA")</f>
        <v>0</v>
      </c>
      <c r="S94" s="9"/>
      <c r="T94" s="7">
        <v>0</v>
      </c>
      <c r="U94" s="8">
        <f>IFERROR(T94/T327, "NA")</f>
        <v>0</v>
      </c>
      <c r="V94" s="9"/>
      <c r="W94" s="7">
        <v>0</v>
      </c>
      <c r="X94" s="8">
        <f>IFERROR(W94/W327, "NA")</f>
        <v>0</v>
      </c>
    </row>
    <row r="95" spans="1:24" ht="16.5" customHeight="1" x14ac:dyDescent="0.25">
      <c r="A95" s="16" t="s">
        <v>101</v>
      </c>
      <c r="B95" s="7">
        <v>0</v>
      </c>
      <c r="C95" s="8">
        <f>IFERROR(B95/B327, "NA")</f>
        <v>0</v>
      </c>
      <c r="D95" s="9"/>
      <c r="E95" s="7">
        <v>0</v>
      </c>
      <c r="F95" s="8">
        <f>IFERROR(E95/E327, "NA")</f>
        <v>0</v>
      </c>
      <c r="G95" s="9"/>
      <c r="H95" s="7">
        <v>0</v>
      </c>
      <c r="I95" s="8">
        <f>IFERROR(H95/H327, "NA")</f>
        <v>0</v>
      </c>
      <c r="J95" s="9"/>
      <c r="K95" s="7">
        <v>0</v>
      </c>
      <c r="L95" s="8">
        <f>IFERROR(K95/K327, "NA")</f>
        <v>0</v>
      </c>
      <c r="M95" s="9"/>
      <c r="N95" s="7">
        <v>0</v>
      </c>
      <c r="O95" s="8">
        <f>IFERROR(N95/N327, "NA")</f>
        <v>0</v>
      </c>
      <c r="P95" s="9"/>
      <c r="Q95" s="7">
        <v>0</v>
      </c>
      <c r="R95" s="8">
        <f>IFERROR(Q95/Q327, "NA")</f>
        <v>0</v>
      </c>
      <c r="S95" s="9"/>
      <c r="T95" s="7">
        <v>0</v>
      </c>
      <c r="U95" s="8">
        <f>IFERROR(T95/T327, "NA")</f>
        <v>0</v>
      </c>
      <c r="V95" s="9"/>
      <c r="W95" s="7">
        <v>0</v>
      </c>
      <c r="X95" s="8">
        <f>IFERROR(W95/W327, "NA")</f>
        <v>0</v>
      </c>
    </row>
    <row r="96" spans="1:24" ht="16.5" customHeight="1" x14ac:dyDescent="0.25">
      <c r="A96" s="16" t="s">
        <v>102</v>
      </c>
      <c r="B96" s="7">
        <v>0</v>
      </c>
      <c r="C96" s="8">
        <f>IFERROR(B96/B327, "NA")</f>
        <v>0</v>
      </c>
      <c r="D96" s="9"/>
      <c r="E96" s="7">
        <v>0</v>
      </c>
      <c r="F96" s="8">
        <f>IFERROR(E96/E327, "NA")</f>
        <v>0</v>
      </c>
      <c r="G96" s="9"/>
      <c r="H96" s="7">
        <v>0</v>
      </c>
      <c r="I96" s="8">
        <f>IFERROR(H96/H327, "NA")</f>
        <v>0</v>
      </c>
      <c r="J96" s="9"/>
      <c r="K96" s="7">
        <v>0</v>
      </c>
      <c r="L96" s="8">
        <f>IFERROR(K96/K327, "NA")</f>
        <v>0</v>
      </c>
      <c r="M96" s="9"/>
      <c r="N96" s="7">
        <v>0</v>
      </c>
      <c r="O96" s="8">
        <f>IFERROR(N96/N327, "NA")</f>
        <v>0</v>
      </c>
      <c r="P96" s="9"/>
      <c r="Q96" s="7">
        <v>0</v>
      </c>
      <c r="R96" s="8">
        <f>IFERROR(Q96/Q327, "NA")</f>
        <v>0</v>
      </c>
      <c r="S96" s="9"/>
      <c r="T96" s="7">
        <v>0</v>
      </c>
      <c r="U96" s="8">
        <f>IFERROR(T96/T327, "NA")</f>
        <v>0</v>
      </c>
      <c r="V96" s="9"/>
      <c r="W96" s="7">
        <v>0</v>
      </c>
      <c r="X96" s="8">
        <f>IFERROR(W96/W327, "NA")</f>
        <v>0</v>
      </c>
    </row>
    <row r="97" spans="1:24" ht="16.5" customHeight="1" x14ac:dyDescent="0.25">
      <c r="A97" s="16" t="s">
        <v>103</v>
      </c>
      <c r="B97" s="7">
        <v>606.47</v>
      </c>
      <c r="C97" s="8">
        <f>IFERROR(B97/B327, "NA")</f>
        <v>1.521527467362876E-3</v>
      </c>
      <c r="D97" s="9"/>
      <c r="E97" s="7">
        <v>818.32</v>
      </c>
      <c r="F97" s="8">
        <f>IFERROR(E97/E327, "NA")</f>
        <v>3.9725614030454619E-3</v>
      </c>
      <c r="G97" s="9"/>
      <c r="H97" s="7">
        <v>873.77</v>
      </c>
      <c r="I97" s="8">
        <f>IFERROR(H97/H327, "NA")</f>
        <v>2.5829690531177828E-3</v>
      </c>
      <c r="J97" s="9"/>
      <c r="K97" s="7">
        <v>1190.82</v>
      </c>
      <c r="L97" s="8">
        <f>IFERROR(K97/K327, "NA")</f>
        <v>5.109587176061239E-3</v>
      </c>
      <c r="M97" s="9"/>
      <c r="N97" s="7">
        <v>1394.98</v>
      </c>
      <c r="O97" s="8">
        <f>IFERROR(N97/N327, "NA")</f>
        <v>3.7589118475917509E-3</v>
      </c>
      <c r="P97" s="9"/>
      <c r="Q97" s="7">
        <v>977.98</v>
      </c>
      <c r="R97" s="8">
        <f>IFERROR(Q97/Q327, "NA")</f>
        <v>5.6165075864603791E-3</v>
      </c>
      <c r="S97" s="9"/>
      <c r="T97" s="7">
        <v>789.55</v>
      </c>
      <c r="U97" s="8">
        <f>IFERROR(T97/T327, "NA")</f>
        <v>4.4653385552900588E-3</v>
      </c>
      <c r="V97" s="9"/>
      <c r="W97" s="7">
        <v>1451.38</v>
      </c>
      <c r="X97" s="8">
        <f>IFERROR(W97/W327, "NA")</f>
        <v>8.5925215496826749E-3</v>
      </c>
    </row>
    <row r="98" spans="1:24" ht="16.5" customHeight="1" x14ac:dyDescent="0.25">
      <c r="A98" s="16" t="s">
        <v>104</v>
      </c>
      <c r="B98" s="7">
        <v>1315</v>
      </c>
      <c r="C98" s="8">
        <f>IFERROR(B98/B327, "NA")</f>
        <v>3.2991056764261738E-3</v>
      </c>
      <c r="D98" s="9"/>
      <c r="E98" s="7">
        <v>0</v>
      </c>
      <c r="F98" s="8">
        <f>IFERROR(E98/E327, "NA")</f>
        <v>0</v>
      </c>
      <c r="G98" s="9"/>
      <c r="H98" s="7">
        <v>1507</v>
      </c>
      <c r="I98" s="8">
        <f>IFERROR(H98/H327, "NA")</f>
        <v>4.4548729792147808E-3</v>
      </c>
      <c r="J98" s="9"/>
      <c r="K98" s="7">
        <v>0</v>
      </c>
      <c r="L98" s="8">
        <f>IFERROR(K98/K327, "NA")</f>
        <v>0</v>
      </c>
      <c r="M98" s="9"/>
      <c r="N98" s="7">
        <v>4912</v>
      </c>
      <c r="O98" s="8">
        <f>IFERROR(N98/N327, "NA")</f>
        <v>1.3235870761853704E-2</v>
      </c>
      <c r="P98" s="9"/>
      <c r="Q98" s="7">
        <v>1217</v>
      </c>
      <c r="R98" s="8">
        <f>IFERROR(Q98/Q327, "NA")</f>
        <v>6.9891917347208342E-3</v>
      </c>
      <c r="S98" s="9"/>
      <c r="T98" s="7">
        <v>1157</v>
      </c>
      <c r="U98" s="8">
        <f>IFERROR(T98/T327, "NA")</f>
        <v>6.5434699619664341E-3</v>
      </c>
      <c r="V98" s="9"/>
      <c r="W98" s="7">
        <v>1086</v>
      </c>
      <c r="X98" s="8">
        <f>IFERROR(W98/W327, "NA")</f>
        <v>6.4293833475419157E-3</v>
      </c>
    </row>
    <row r="99" spans="1:24" ht="16.5" customHeight="1" x14ac:dyDescent="0.25">
      <c r="A99" s="16" t="s">
        <v>105</v>
      </c>
      <c r="B99" s="7">
        <v>0</v>
      </c>
      <c r="C99" s="8">
        <f>IFERROR(B99/B327, "NA")</f>
        <v>0</v>
      </c>
      <c r="D99" s="9"/>
      <c r="E99" s="7">
        <v>0</v>
      </c>
      <c r="F99" s="8">
        <f>IFERROR(E99/E327, "NA")</f>
        <v>0</v>
      </c>
      <c r="G99" s="9"/>
      <c r="H99" s="7">
        <v>0</v>
      </c>
      <c r="I99" s="8">
        <f>IFERROR(H99/H327, "NA")</f>
        <v>0</v>
      </c>
      <c r="J99" s="9"/>
      <c r="K99" s="7">
        <v>0</v>
      </c>
      <c r="L99" s="8">
        <f>IFERROR(K99/K327, "NA")</f>
        <v>0</v>
      </c>
      <c r="M99" s="9"/>
      <c r="N99" s="7">
        <v>0</v>
      </c>
      <c r="O99" s="8">
        <f>IFERROR(N99/N327, "NA")</f>
        <v>0</v>
      </c>
      <c r="P99" s="9"/>
      <c r="Q99" s="7">
        <v>0</v>
      </c>
      <c r="R99" s="8">
        <f>IFERROR(Q99/Q327, "NA")</f>
        <v>0</v>
      </c>
      <c r="S99" s="9"/>
      <c r="T99" s="7">
        <v>0</v>
      </c>
      <c r="U99" s="8">
        <f>IFERROR(T99/T327, "NA")</f>
        <v>0</v>
      </c>
      <c r="V99" s="9"/>
      <c r="W99" s="7">
        <v>0</v>
      </c>
      <c r="X99" s="8">
        <f>IFERROR(W99/W327, "NA")</f>
        <v>0</v>
      </c>
    </row>
    <row r="100" spans="1:24" ht="16.5" customHeight="1" x14ac:dyDescent="0.25">
      <c r="A100" s="16" t="s">
        <v>106</v>
      </c>
      <c r="B100" s="7">
        <v>0</v>
      </c>
      <c r="C100" s="8">
        <f>IFERROR(B100/B327, "NA")</f>
        <v>0</v>
      </c>
      <c r="D100" s="9"/>
      <c r="E100" s="7">
        <v>0</v>
      </c>
      <c r="F100" s="8">
        <f>IFERROR(E100/E327, "NA")</f>
        <v>0</v>
      </c>
      <c r="G100" s="9"/>
      <c r="H100" s="7">
        <v>0</v>
      </c>
      <c r="I100" s="8">
        <f>IFERROR(H100/H327, "NA")</f>
        <v>0</v>
      </c>
      <c r="J100" s="9"/>
      <c r="K100" s="7">
        <v>0</v>
      </c>
      <c r="L100" s="8">
        <f>IFERROR(K100/K327, "NA")</f>
        <v>0</v>
      </c>
      <c r="M100" s="9"/>
      <c r="N100" s="7">
        <v>0</v>
      </c>
      <c r="O100" s="8">
        <f>IFERROR(N100/N327, "NA")</f>
        <v>0</v>
      </c>
      <c r="P100" s="9"/>
      <c r="Q100" s="7">
        <v>0</v>
      </c>
      <c r="R100" s="8">
        <f>IFERROR(Q100/Q327, "NA")</f>
        <v>0</v>
      </c>
      <c r="S100" s="9"/>
      <c r="T100" s="7">
        <v>0</v>
      </c>
      <c r="U100" s="8">
        <f>IFERROR(T100/T327, "NA")</f>
        <v>0</v>
      </c>
      <c r="V100" s="9"/>
      <c r="W100" s="7">
        <v>0</v>
      </c>
      <c r="X100" s="8">
        <f>IFERROR(W100/W327, "NA")</f>
        <v>0</v>
      </c>
    </row>
    <row r="101" spans="1:24" ht="16.5" customHeight="1" x14ac:dyDescent="0.25">
      <c r="A101" s="16" t="s">
        <v>107</v>
      </c>
      <c r="B101" s="7">
        <v>0</v>
      </c>
      <c r="C101" s="8">
        <f>IFERROR(B101/B327, "NA")</f>
        <v>0</v>
      </c>
      <c r="D101" s="9"/>
      <c r="E101" s="7">
        <v>0</v>
      </c>
      <c r="F101" s="8">
        <f>IFERROR(E101/E327, "NA")</f>
        <v>0</v>
      </c>
      <c r="G101" s="9"/>
      <c r="H101" s="7">
        <v>0</v>
      </c>
      <c r="I101" s="8">
        <f>IFERROR(H101/H327, "NA")</f>
        <v>0</v>
      </c>
      <c r="J101" s="9"/>
      <c r="K101" s="7">
        <v>0</v>
      </c>
      <c r="L101" s="8">
        <f>IFERROR(K101/K327, "NA")</f>
        <v>0</v>
      </c>
      <c r="M101" s="9"/>
      <c r="N101" s="7">
        <v>0</v>
      </c>
      <c r="O101" s="8">
        <f>IFERROR(N101/N327, "NA")</f>
        <v>0</v>
      </c>
      <c r="P101" s="9"/>
      <c r="Q101" s="7">
        <v>0</v>
      </c>
      <c r="R101" s="8">
        <f>IFERROR(Q101/Q327, "NA")</f>
        <v>0</v>
      </c>
      <c r="S101" s="9"/>
      <c r="T101" s="7">
        <v>0</v>
      </c>
      <c r="U101" s="8">
        <f>IFERROR(T101/T327, "NA")</f>
        <v>0</v>
      </c>
      <c r="V101" s="9"/>
      <c r="W101" s="7">
        <v>0</v>
      </c>
      <c r="X101" s="8">
        <f>IFERROR(W101/W327, "NA")</f>
        <v>0</v>
      </c>
    </row>
    <row r="102" spans="1:24" ht="16.5" customHeight="1" x14ac:dyDescent="0.25">
      <c r="A102" s="16" t="s">
        <v>108</v>
      </c>
      <c r="B102" s="7">
        <v>0</v>
      </c>
      <c r="C102" s="8">
        <f>IFERROR(B102/B327, "NA")</f>
        <v>0</v>
      </c>
      <c r="D102" s="9"/>
      <c r="E102" s="7">
        <v>0</v>
      </c>
      <c r="F102" s="8">
        <f>IFERROR(E102/E327, "NA")</f>
        <v>0</v>
      </c>
      <c r="G102" s="9"/>
      <c r="H102" s="7">
        <v>0</v>
      </c>
      <c r="I102" s="8">
        <f>IFERROR(H102/H327, "NA")</f>
        <v>0</v>
      </c>
      <c r="J102" s="9"/>
      <c r="K102" s="7">
        <v>0</v>
      </c>
      <c r="L102" s="8">
        <f>IFERROR(K102/K327, "NA")</f>
        <v>0</v>
      </c>
      <c r="M102" s="9"/>
      <c r="N102" s="7">
        <v>0</v>
      </c>
      <c r="O102" s="8">
        <f>IFERROR(N102/N327, "NA")</f>
        <v>0</v>
      </c>
      <c r="P102" s="9"/>
      <c r="Q102" s="7">
        <v>0</v>
      </c>
      <c r="R102" s="8">
        <f>IFERROR(Q102/Q327, "NA")</f>
        <v>0</v>
      </c>
      <c r="S102" s="9"/>
      <c r="T102" s="7">
        <v>0</v>
      </c>
      <c r="U102" s="8">
        <f>IFERROR(T102/T327, "NA")</f>
        <v>0</v>
      </c>
      <c r="V102" s="9"/>
      <c r="W102" s="7">
        <v>0</v>
      </c>
      <c r="X102" s="8">
        <f>IFERROR(W102/W327, "NA")</f>
        <v>0</v>
      </c>
    </row>
    <row r="103" spans="1:24" ht="16.5" customHeight="1" x14ac:dyDescent="0.25">
      <c r="A103" s="16" t="s">
        <v>109</v>
      </c>
      <c r="B103" s="7">
        <v>0</v>
      </c>
      <c r="C103" s="8">
        <f>IFERROR(B103/B327, "NA")</f>
        <v>0</v>
      </c>
      <c r="D103" s="9"/>
      <c r="E103" s="7">
        <v>0</v>
      </c>
      <c r="F103" s="8">
        <f>IFERROR(E103/E327, "NA")</f>
        <v>0</v>
      </c>
      <c r="G103" s="9"/>
      <c r="H103" s="7">
        <v>0</v>
      </c>
      <c r="I103" s="8">
        <f>IFERROR(H103/H327, "NA")</f>
        <v>0</v>
      </c>
      <c r="J103" s="9"/>
      <c r="K103" s="7">
        <v>0</v>
      </c>
      <c r="L103" s="8">
        <f>IFERROR(K103/K327, "NA")</f>
        <v>0</v>
      </c>
      <c r="M103" s="9"/>
      <c r="N103" s="7">
        <v>0</v>
      </c>
      <c r="O103" s="8">
        <f>IFERROR(N103/N327, "NA")</f>
        <v>0</v>
      </c>
      <c r="P103" s="9"/>
      <c r="Q103" s="7">
        <v>0</v>
      </c>
      <c r="R103" s="8">
        <f>IFERROR(Q103/Q327, "NA")</f>
        <v>0</v>
      </c>
      <c r="S103" s="9"/>
      <c r="T103" s="7">
        <v>0</v>
      </c>
      <c r="U103" s="8">
        <f>IFERROR(T103/T327, "NA")</f>
        <v>0</v>
      </c>
      <c r="V103" s="9"/>
      <c r="W103" s="7">
        <v>0</v>
      </c>
      <c r="X103" s="8">
        <f>IFERROR(W103/W327, "NA")</f>
        <v>0</v>
      </c>
    </row>
    <row r="104" spans="1:24" ht="16.5" customHeight="1" x14ac:dyDescent="0.25">
      <c r="A104" s="16" t="s">
        <v>110</v>
      </c>
      <c r="B104" s="7">
        <v>0</v>
      </c>
      <c r="C104" s="8">
        <f>IFERROR(B104/B327, "NA")</f>
        <v>0</v>
      </c>
      <c r="D104" s="9"/>
      <c r="E104" s="7">
        <v>0</v>
      </c>
      <c r="F104" s="8">
        <f>IFERROR(E104/E327, "NA")</f>
        <v>0</v>
      </c>
      <c r="G104" s="9"/>
      <c r="H104" s="7">
        <v>0</v>
      </c>
      <c r="I104" s="8">
        <f>IFERROR(H104/H327, "NA")</f>
        <v>0</v>
      </c>
      <c r="J104" s="9"/>
      <c r="K104" s="7">
        <v>0</v>
      </c>
      <c r="L104" s="8">
        <f>IFERROR(K104/K327, "NA")</f>
        <v>0</v>
      </c>
      <c r="M104" s="9"/>
      <c r="N104" s="7">
        <v>0</v>
      </c>
      <c r="O104" s="8">
        <f>IFERROR(N104/N327, "NA")</f>
        <v>0</v>
      </c>
      <c r="P104" s="9"/>
      <c r="Q104" s="7">
        <v>0</v>
      </c>
      <c r="R104" s="8">
        <f>IFERROR(Q104/Q327, "NA")</f>
        <v>0</v>
      </c>
      <c r="S104" s="9"/>
      <c r="T104" s="7">
        <v>0</v>
      </c>
      <c r="U104" s="8">
        <f>IFERROR(T104/T327, "NA")</f>
        <v>0</v>
      </c>
      <c r="V104" s="9"/>
      <c r="W104" s="7">
        <v>0</v>
      </c>
      <c r="X104" s="8">
        <f>IFERROR(W104/W327, "NA")</f>
        <v>0</v>
      </c>
    </row>
    <row r="105" spans="1:24" ht="16.5" customHeight="1" x14ac:dyDescent="0.25">
      <c r="A105" s="16" t="s">
        <v>111</v>
      </c>
      <c r="B105" s="7">
        <v>0</v>
      </c>
      <c r="C105" s="8">
        <f>IFERROR(B105/B327, "NA")</f>
        <v>0</v>
      </c>
      <c r="D105" s="9"/>
      <c r="E105" s="7">
        <v>0</v>
      </c>
      <c r="F105" s="8">
        <f>IFERROR(E105/E327, "NA")</f>
        <v>0</v>
      </c>
      <c r="G105" s="9"/>
      <c r="H105" s="7">
        <v>0</v>
      </c>
      <c r="I105" s="8">
        <f>IFERROR(H105/H327, "NA")</f>
        <v>0</v>
      </c>
      <c r="J105" s="9"/>
      <c r="K105" s="7">
        <v>0</v>
      </c>
      <c r="L105" s="8">
        <f>IFERROR(K105/K327, "NA")</f>
        <v>0</v>
      </c>
      <c r="M105" s="9"/>
      <c r="N105" s="7">
        <v>0</v>
      </c>
      <c r="O105" s="8">
        <f>IFERROR(N105/N327, "NA")</f>
        <v>0</v>
      </c>
      <c r="P105" s="9"/>
      <c r="Q105" s="7">
        <v>0</v>
      </c>
      <c r="R105" s="8">
        <f>IFERROR(Q105/Q327, "NA")</f>
        <v>0</v>
      </c>
      <c r="S105" s="9"/>
      <c r="T105" s="7">
        <v>0</v>
      </c>
      <c r="U105" s="8">
        <f>IFERROR(T105/T327, "NA")</f>
        <v>0</v>
      </c>
      <c r="V105" s="9"/>
      <c r="W105" s="7">
        <v>0</v>
      </c>
      <c r="X105" s="8">
        <f>IFERROR(W105/W327, "NA")</f>
        <v>0</v>
      </c>
    </row>
    <row r="106" spans="1:24" ht="16.5" customHeight="1" x14ac:dyDescent="0.25">
      <c r="A106" s="16" t="s">
        <v>112</v>
      </c>
      <c r="B106" s="7">
        <v>0</v>
      </c>
      <c r="C106" s="8">
        <f>IFERROR(B106/B327, "NA")</f>
        <v>0</v>
      </c>
      <c r="D106" s="9"/>
      <c r="E106" s="7">
        <v>0</v>
      </c>
      <c r="F106" s="8">
        <f>IFERROR(E106/E327, "NA")</f>
        <v>0</v>
      </c>
      <c r="G106" s="9"/>
      <c r="H106" s="7">
        <v>0</v>
      </c>
      <c r="I106" s="8">
        <f>IFERROR(H106/H327, "NA")</f>
        <v>0</v>
      </c>
      <c r="J106" s="9"/>
      <c r="K106" s="7">
        <v>0</v>
      </c>
      <c r="L106" s="8">
        <f>IFERROR(K106/K327, "NA")</f>
        <v>0</v>
      </c>
      <c r="M106" s="9"/>
      <c r="N106" s="7">
        <v>0</v>
      </c>
      <c r="O106" s="8">
        <f>IFERROR(N106/N327, "NA")</f>
        <v>0</v>
      </c>
      <c r="P106" s="9"/>
      <c r="Q106" s="7">
        <v>0</v>
      </c>
      <c r="R106" s="8">
        <f>IFERROR(Q106/Q327, "NA")</f>
        <v>0</v>
      </c>
      <c r="S106" s="9"/>
      <c r="T106" s="7">
        <v>0</v>
      </c>
      <c r="U106" s="8">
        <f>IFERROR(T106/T327, "NA")</f>
        <v>0</v>
      </c>
      <c r="V106" s="9"/>
      <c r="W106" s="7">
        <v>0</v>
      </c>
      <c r="X106" s="8">
        <f>IFERROR(W106/W327, "NA")</f>
        <v>0</v>
      </c>
    </row>
    <row r="107" spans="1:24" ht="16.5" customHeight="1" x14ac:dyDescent="0.25">
      <c r="A107" s="16" t="s">
        <v>113</v>
      </c>
      <c r="B107" s="7">
        <v>0</v>
      </c>
      <c r="C107" s="8">
        <f>IFERROR(B107/B327, "NA")</f>
        <v>0</v>
      </c>
      <c r="D107" s="9"/>
      <c r="E107" s="7">
        <v>0</v>
      </c>
      <c r="F107" s="8">
        <f>IFERROR(E107/E327, "NA")</f>
        <v>0</v>
      </c>
      <c r="G107" s="9"/>
      <c r="H107" s="7">
        <v>0</v>
      </c>
      <c r="I107" s="8">
        <f>IFERROR(H107/H327, "NA")</f>
        <v>0</v>
      </c>
      <c r="J107" s="9"/>
      <c r="K107" s="7">
        <v>0</v>
      </c>
      <c r="L107" s="8">
        <f>IFERROR(K107/K327, "NA")</f>
        <v>0</v>
      </c>
      <c r="M107" s="9"/>
      <c r="N107" s="7">
        <v>0</v>
      </c>
      <c r="O107" s="8">
        <f>IFERROR(N107/N327, "NA")</f>
        <v>0</v>
      </c>
      <c r="P107" s="9"/>
      <c r="Q107" s="7">
        <v>0</v>
      </c>
      <c r="R107" s="8">
        <f>IFERROR(Q107/Q327, "NA")</f>
        <v>0</v>
      </c>
      <c r="S107" s="9"/>
      <c r="T107" s="7">
        <v>0</v>
      </c>
      <c r="U107" s="8">
        <f>IFERROR(T107/T327, "NA")</f>
        <v>0</v>
      </c>
      <c r="V107" s="9"/>
      <c r="W107" s="7">
        <v>0</v>
      </c>
      <c r="X107" s="8">
        <f>IFERROR(W107/W327, "NA")</f>
        <v>0</v>
      </c>
    </row>
    <row r="108" spans="1:24" ht="16.5" customHeight="1" x14ac:dyDescent="0.25">
      <c r="A108" s="16" t="s">
        <v>114</v>
      </c>
      <c r="B108" s="7">
        <v>0</v>
      </c>
      <c r="C108" s="8">
        <f>IFERROR(B108/B327, "NA")</f>
        <v>0</v>
      </c>
      <c r="D108" s="9"/>
      <c r="E108" s="7">
        <v>0</v>
      </c>
      <c r="F108" s="8">
        <f>IFERROR(E108/E327, "NA")</f>
        <v>0</v>
      </c>
      <c r="G108" s="9"/>
      <c r="H108" s="7">
        <v>0</v>
      </c>
      <c r="I108" s="8">
        <f>IFERROR(H108/H327, "NA")</f>
        <v>0</v>
      </c>
      <c r="J108" s="9"/>
      <c r="K108" s="7">
        <v>0</v>
      </c>
      <c r="L108" s="8">
        <f>IFERROR(K108/K327, "NA")</f>
        <v>0</v>
      </c>
      <c r="M108" s="9"/>
      <c r="N108" s="7">
        <v>0</v>
      </c>
      <c r="O108" s="8">
        <f>IFERROR(N108/N327, "NA")</f>
        <v>0</v>
      </c>
      <c r="P108" s="9"/>
      <c r="Q108" s="7">
        <v>0</v>
      </c>
      <c r="R108" s="8">
        <f>IFERROR(Q108/Q327, "NA")</f>
        <v>0</v>
      </c>
      <c r="S108" s="9"/>
      <c r="T108" s="7">
        <v>0</v>
      </c>
      <c r="U108" s="8">
        <f>IFERROR(T108/T327, "NA")</f>
        <v>0</v>
      </c>
      <c r="V108" s="9"/>
      <c r="W108" s="7">
        <v>0</v>
      </c>
      <c r="X108" s="8">
        <f>IFERROR(W108/W327, "NA")</f>
        <v>0</v>
      </c>
    </row>
    <row r="109" spans="1:24" ht="16.5" customHeight="1" x14ac:dyDescent="0.25">
      <c r="A109" s="16" t="s">
        <v>115</v>
      </c>
      <c r="B109" s="7">
        <v>0</v>
      </c>
      <c r="C109" s="8">
        <f>IFERROR(B109/B327, "NA")</f>
        <v>0</v>
      </c>
      <c r="D109" s="9"/>
      <c r="E109" s="7">
        <v>0</v>
      </c>
      <c r="F109" s="8">
        <f>IFERROR(E109/E327, "NA")</f>
        <v>0</v>
      </c>
      <c r="G109" s="9"/>
      <c r="H109" s="7">
        <v>0</v>
      </c>
      <c r="I109" s="8">
        <f>IFERROR(H109/H327, "NA")</f>
        <v>0</v>
      </c>
      <c r="J109" s="9"/>
      <c r="K109" s="7">
        <v>0</v>
      </c>
      <c r="L109" s="8">
        <f>IFERROR(K109/K327, "NA")</f>
        <v>0</v>
      </c>
      <c r="M109" s="9"/>
      <c r="N109" s="7">
        <v>0</v>
      </c>
      <c r="O109" s="8">
        <f>IFERROR(N109/N327, "NA")</f>
        <v>0</v>
      </c>
      <c r="P109" s="9"/>
      <c r="Q109" s="7">
        <v>0</v>
      </c>
      <c r="R109" s="8">
        <f>IFERROR(Q109/Q327, "NA")</f>
        <v>0</v>
      </c>
      <c r="S109" s="9"/>
      <c r="T109" s="7">
        <v>0</v>
      </c>
      <c r="U109" s="8">
        <f>IFERROR(T109/T327, "NA")</f>
        <v>0</v>
      </c>
      <c r="V109" s="9"/>
      <c r="W109" s="7">
        <v>0</v>
      </c>
      <c r="X109" s="8">
        <f>IFERROR(W109/W327, "NA")</f>
        <v>0</v>
      </c>
    </row>
    <row r="110" spans="1:24" ht="16.5" customHeight="1" x14ac:dyDescent="0.25">
      <c r="A110" s="16" t="s">
        <v>116</v>
      </c>
      <c r="B110" s="7">
        <v>2020.63</v>
      </c>
      <c r="C110" s="8">
        <f>IFERROR(B110/B327, "NA")</f>
        <v>5.0694082912220682E-3</v>
      </c>
      <c r="D110" s="9"/>
      <c r="E110" s="7">
        <v>2006.27</v>
      </c>
      <c r="F110" s="8">
        <f>IFERROR(E110/E327, "NA")</f>
        <v>9.7395038201290671E-3</v>
      </c>
      <c r="G110" s="9"/>
      <c r="H110" s="7">
        <v>1998.29</v>
      </c>
      <c r="I110" s="8">
        <f>IFERROR(H110/H327, "NA")</f>
        <v>5.9071852193995382E-3</v>
      </c>
      <c r="J110" s="9"/>
      <c r="K110" s="7">
        <v>1818.91</v>
      </c>
      <c r="L110" s="8">
        <f>IFERROR(K110/K327, "NA")</f>
        <v>7.8046045669450878E-3</v>
      </c>
      <c r="M110" s="9"/>
      <c r="N110" s="7">
        <v>1861.01</v>
      </c>
      <c r="O110" s="8">
        <f>IFERROR(N110/N327, "NA")</f>
        <v>5.0146758645190073E-3</v>
      </c>
      <c r="P110" s="9"/>
      <c r="Q110" s="7">
        <v>2120.59</v>
      </c>
      <c r="R110" s="8">
        <f>IFERROR(Q110/Q327, "NA")</f>
        <v>1.2178479951299635E-2</v>
      </c>
      <c r="S110" s="9"/>
      <c r="T110" s="7">
        <v>2251.4</v>
      </c>
      <c r="U110" s="8">
        <f>IFERROR(T110/T327, "NA")</f>
        <v>1.2732902569033044E-2</v>
      </c>
      <c r="V110" s="9"/>
      <c r="W110" s="7">
        <v>2215.1</v>
      </c>
      <c r="X110" s="8">
        <f>IFERROR(W110/W327, "NA")</f>
        <v>1.3113929146537842E-2</v>
      </c>
    </row>
    <row r="111" spans="1:24" ht="16.5" customHeight="1" x14ac:dyDescent="0.25">
      <c r="A111" s="16" t="s">
        <v>117</v>
      </c>
      <c r="B111" s="7">
        <v>0</v>
      </c>
      <c r="C111" s="8">
        <f>IFERROR(B111/B327, "NA")</f>
        <v>0</v>
      </c>
      <c r="D111" s="9"/>
      <c r="E111" s="7">
        <v>0</v>
      </c>
      <c r="F111" s="8">
        <f>IFERROR(E111/E327, "NA")</f>
        <v>0</v>
      </c>
      <c r="G111" s="9"/>
      <c r="H111" s="7">
        <v>0</v>
      </c>
      <c r="I111" s="8">
        <f>IFERROR(H111/H327, "NA")</f>
        <v>0</v>
      </c>
      <c r="J111" s="9"/>
      <c r="K111" s="7">
        <v>0</v>
      </c>
      <c r="L111" s="8">
        <f>IFERROR(K111/K327, "NA")</f>
        <v>0</v>
      </c>
      <c r="M111" s="9"/>
      <c r="N111" s="7">
        <v>0</v>
      </c>
      <c r="O111" s="8">
        <f>IFERROR(N111/N327, "NA")</f>
        <v>0</v>
      </c>
      <c r="P111" s="9"/>
      <c r="Q111" s="7">
        <v>0</v>
      </c>
      <c r="R111" s="8">
        <f>IFERROR(Q111/Q327, "NA")</f>
        <v>0</v>
      </c>
      <c r="S111" s="9"/>
      <c r="T111" s="7">
        <v>0</v>
      </c>
      <c r="U111" s="8">
        <f>IFERROR(T111/T327, "NA")</f>
        <v>0</v>
      </c>
      <c r="V111" s="9"/>
      <c r="W111" s="7">
        <v>0</v>
      </c>
      <c r="X111" s="8">
        <f>IFERROR(W111/W327, "NA")</f>
        <v>0</v>
      </c>
    </row>
    <row r="112" spans="1:24" ht="16.5" customHeight="1" x14ac:dyDescent="0.25">
      <c r="A112" s="16" t="s">
        <v>118</v>
      </c>
      <c r="B112" s="7">
        <v>1218.96</v>
      </c>
      <c r="C112" s="8">
        <f>IFERROR(B112/B327, "NA")</f>
        <v>3.0581580648946379E-3</v>
      </c>
      <c r="D112" s="9"/>
      <c r="E112" s="7">
        <v>1185.69</v>
      </c>
      <c r="F112" s="8">
        <f>IFERROR(E112/E327, "NA")</f>
        <v>5.7559711726182594E-3</v>
      </c>
      <c r="G112" s="9"/>
      <c r="H112" s="7">
        <v>895.02</v>
      </c>
      <c r="I112" s="8">
        <f>IFERROR(H112/H327, "NA")</f>
        <v>2.6457866050808312E-3</v>
      </c>
      <c r="J112" s="9"/>
      <c r="K112" s="7">
        <v>1105.71</v>
      </c>
      <c r="L112" s="8">
        <f>IFERROR(K112/K327, "NA")</f>
        <v>4.7443959930490529E-3</v>
      </c>
      <c r="M112" s="9"/>
      <c r="N112" s="7">
        <v>1220.3800000000001</v>
      </c>
      <c r="O112" s="8">
        <f>IFERROR(N112/N327, "NA")</f>
        <v>3.2884348453483358E-3</v>
      </c>
      <c r="P112" s="9"/>
      <c r="Q112" s="7">
        <v>1166.42</v>
      </c>
      <c r="R112" s="8">
        <f>IFERROR(Q112/Q327, "NA")</f>
        <v>6.6987124266335877E-3</v>
      </c>
      <c r="S112" s="9"/>
      <c r="T112" s="7">
        <v>1094.48</v>
      </c>
      <c r="U112" s="8">
        <f>IFERROR(T112/T327, "NA")</f>
        <v>6.189885050970634E-3</v>
      </c>
      <c r="V112" s="9"/>
      <c r="W112" s="7">
        <v>1125.48</v>
      </c>
      <c r="X112" s="8">
        <f>IFERROR(W112/W327, "NA")</f>
        <v>6.6631145211707874E-3</v>
      </c>
    </row>
    <row r="113" spans="1:24" ht="16.5" customHeight="1" x14ac:dyDescent="0.25">
      <c r="A113" s="16" t="s">
        <v>119</v>
      </c>
      <c r="B113" s="7">
        <v>0</v>
      </c>
      <c r="C113" s="8">
        <f>IFERROR(B113/B327, "NA")</f>
        <v>0</v>
      </c>
      <c r="D113" s="9"/>
      <c r="E113" s="7">
        <v>0</v>
      </c>
      <c r="F113" s="8">
        <f>IFERROR(E113/E327, "NA")</f>
        <v>0</v>
      </c>
      <c r="G113" s="9"/>
      <c r="H113" s="7">
        <v>0</v>
      </c>
      <c r="I113" s="8">
        <f>IFERROR(H113/H327, "NA")</f>
        <v>0</v>
      </c>
      <c r="J113" s="9"/>
      <c r="K113" s="7">
        <v>0</v>
      </c>
      <c r="L113" s="8">
        <f>IFERROR(K113/K327, "NA")</f>
        <v>0</v>
      </c>
      <c r="M113" s="9"/>
      <c r="N113" s="7">
        <v>0</v>
      </c>
      <c r="O113" s="8">
        <f>IFERROR(N113/N327, "NA")</f>
        <v>0</v>
      </c>
      <c r="P113" s="9"/>
      <c r="Q113" s="7">
        <v>0</v>
      </c>
      <c r="R113" s="8">
        <f>IFERROR(Q113/Q327, "NA")</f>
        <v>0</v>
      </c>
      <c r="S113" s="9"/>
      <c r="T113" s="7">
        <v>0</v>
      </c>
      <c r="U113" s="8">
        <f>IFERROR(T113/T327, "NA")</f>
        <v>0</v>
      </c>
      <c r="V113" s="9"/>
      <c r="W113" s="7">
        <v>0</v>
      </c>
      <c r="X113" s="8">
        <f>IFERROR(W113/W327, "NA")</f>
        <v>0</v>
      </c>
    </row>
    <row r="114" spans="1:24" ht="16.5" customHeight="1" x14ac:dyDescent="0.25">
      <c r="A114" s="16" t="s">
        <v>120</v>
      </c>
      <c r="B114" s="7">
        <v>0</v>
      </c>
      <c r="C114" s="8">
        <f>IFERROR(B114/B327, "NA")</f>
        <v>0</v>
      </c>
      <c r="D114" s="9"/>
      <c r="E114" s="7">
        <v>38.25</v>
      </c>
      <c r="F114" s="8">
        <f>IFERROR(E114/E327, "NA")</f>
        <v>1.8568588530952306E-4</v>
      </c>
      <c r="G114" s="9"/>
      <c r="H114" s="7">
        <v>0</v>
      </c>
      <c r="I114" s="8">
        <f>IFERROR(H114/H327, "NA")</f>
        <v>0</v>
      </c>
      <c r="J114" s="9"/>
      <c r="K114" s="7">
        <v>267.37</v>
      </c>
      <c r="L114" s="8">
        <f>IFERROR(K114/K327, "NA")</f>
        <v>1.1472349500877494E-3</v>
      </c>
      <c r="M114" s="9"/>
      <c r="N114" s="7">
        <v>182.43</v>
      </c>
      <c r="O114" s="8">
        <f>IFERROR(N114/N327, "NA")</f>
        <v>4.9157571316876456E-4</v>
      </c>
      <c r="P114" s="9"/>
      <c r="Q114" s="7">
        <v>61.32</v>
      </c>
      <c r="R114" s="8">
        <f>IFERROR(Q114/Q327, "NA")</f>
        <v>3.5215878157196512E-4</v>
      </c>
      <c r="S114" s="9"/>
      <c r="T114" s="7">
        <v>151.29</v>
      </c>
      <c r="U114" s="8">
        <f>IFERROR(T114/T327, "NA")</f>
        <v>8.5562797799991507E-4</v>
      </c>
      <c r="V114" s="9"/>
      <c r="W114" s="7">
        <v>57.32</v>
      </c>
      <c r="X114" s="8">
        <f>IFERROR(W114/W327, "NA")</f>
        <v>3.3934829970635598E-4</v>
      </c>
    </row>
    <row r="115" spans="1:24" ht="16.5" customHeight="1" x14ac:dyDescent="0.25">
      <c r="A115" s="16" t="s">
        <v>121</v>
      </c>
      <c r="B115" s="7">
        <v>0</v>
      </c>
      <c r="C115" s="8">
        <f>IFERROR(B115/B327, "NA")</f>
        <v>0</v>
      </c>
      <c r="D115" s="9"/>
      <c r="E115" s="7">
        <v>0</v>
      </c>
      <c r="F115" s="8">
        <f>IFERROR(E115/E327, "NA")</f>
        <v>0</v>
      </c>
      <c r="G115" s="9"/>
      <c r="H115" s="7">
        <v>0</v>
      </c>
      <c r="I115" s="8">
        <f>IFERROR(H115/H327, "NA")</f>
        <v>0</v>
      </c>
      <c r="J115" s="9"/>
      <c r="K115" s="7">
        <v>0</v>
      </c>
      <c r="L115" s="8">
        <f>IFERROR(K115/K327, "NA")</f>
        <v>0</v>
      </c>
      <c r="M115" s="9"/>
      <c r="N115" s="7">
        <v>0</v>
      </c>
      <c r="O115" s="8">
        <f>IFERROR(N115/N327, "NA")</f>
        <v>0</v>
      </c>
      <c r="P115" s="9"/>
      <c r="Q115" s="7">
        <v>0</v>
      </c>
      <c r="R115" s="8">
        <f>IFERROR(Q115/Q327, "NA")</f>
        <v>0</v>
      </c>
      <c r="S115" s="9"/>
      <c r="T115" s="7">
        <v>0</v>
      </c>
      <c r="U115" s="8">
        <f>IFERROR(T115/T327, "NA")</f>
        <v>0</v>
      </c>
      <c r="V115" s="9"/>
      <c r="W115" s="7">
        <v>0</v>
      </c>
      <c r="X115" s="8">
        <f>IFERROR(W115/W327, "NA")</f>
        <v>0</v>
      </c>
    </row>
    <row r="116" spans="1:24" ht="16.5" customHeight="1" x14ac:dyDescent="0.25">
      <c r="A116" s="16" t="s">
        <v>122</v>
      </c>
      <c r="B116" s="7">
        <v>0</v>
      </c>
      <c r="C116" s="8">
        <f>IFERROR(B116/B327, "NA")</f>
        <v>0</v>
      </c>
      <c r="D116" s="9"/>
      <c r="E116" s="7">
        <v>0</v>
      </c>
      <c r="F116" s="8">
        <f>IFERROR(E116/E327, "NA")</f>
        <v>0</v>
      </c>
      <c r="G116" s="9"/>
      <c r="H116" s="7">
        <v>0</v>
      </c>
      <c r="I116" s="8">
        <f>IFERROR(H116/H327, "NA")</f>
        <v>0</v>
      </c>
      <c r="J116" s="9"/>
      <c r="K116" s="7">
        <v>0</v>
      </c>
      <c r="L116" s="8">
        <f>IFERROR(K116/K327, "NA")</f>
        <v>0</v>
      </c>
      <c r="M116" s="9"/>
      <c r="N116" s="7">
        <v>0</v>
      </c>
      <c r="O116" s="8">
        <f>IFERROR(N116/N327, "NA")</f>
        <v>0</v>
      </c>
      <c r="P116" s="9"/>
      <c r="Q116" s="7">
        <v>0</v>
      </c>
      <c r="R116" s="8">
        <f>IFERROR(Q116/Q327, "NA")</f>
        <v>0</v>
      </c>
      <c r="S116" s="9"/>
      <c r="T116" s="7">
        <v>0</v>
      </c>
      <c r="U116" s="8">
        <f>IFERROR(T116/T327, "NA")</f>
        <v>0</v>
      </c>
      <c r="V116" s="9"/>
      <c r="W116" s="7">
        <v>0</v>
      </c>
      <c r="X116" s="8">
        <f>IFERROR(W116/W327, "NA")</f>
        <v>0</v>
      </c>
    </row>
    <row r="117" spans="1:24" ht="16.5" customHeight="1" x14ac:dyDescent="0.25">
      <c r="A117" s="16" t="s">
        <v>123</v>
      </c>
      <c r="B117" s="7">
        <v>0</v>
      </c>
      <c r="C117" s="8">
        <f>IFERROR(B117/B327, "NA")</f>
        <v>0</v>
      </c>
      <c r="D117" s="9"/>
      <c r="E117" s="7">
        <v>0</v>
      </c>
      <c r="F117" s="8">
        <f>IFERROR(E117/E327, "NA")</f>
        <v>0</v>
      </c>
      <c r="G117" s="9"/>
      <c r="H117" s="7">
        <v>0</v>
      </c>
      <c r="I117" s="8">
        <f>IFERROR(H117/H327, "NA")</f>
        <v>0</v>
      </c>
      <c r="J117" s="9"/>
      <c r="K117" s="7">
        <v>0</v>
      </c>
      <c r="L117" s="8">
        <f>IFERROR(K117/K327, "NA")</f>
        <v>0</v>
      </c>
      <c r="M117" s="9"/>
      <c r="N117" s="7">
        <v>0</v>
      </c>
      <c r="O117" s="8">
        <f>IFERROR(N117/N327, "NA")</f>
        <v>0</v>
      </c>
      <c r="P117" s="9"/>
      <c r="Q117" s="7">
        <v>0</v>
      </c>
      <c r="R117" s="8">
        <f>IFERROR(Q117/Q327, "NA")</f>
        <v>0</v>
      </c>
      <c r="S117" s="9"/>
      <c r="T117" s="7">
        <v>0</v>
      </c>
      <c r="U117" s="8">
        <f>IFERROR(T117/T327, "NA")</f>
        <v>0</v>
      </c>
      <c r="V117" s="9"/>
      <c r="W117" s="7">
        <v>0</v>
      </c>
      <c r="X117" s="8">
        <f>IFERROR(W117/W327, "NA")</f>
        <v>0</v>
      </c>
    </row>
    <row r="118" spans="1:24" ht="16.5" customHeight="1" x14ac:dyDescent="0.25">
      <c r="A118" s="16" t="s">
        <v>124</v>
      </c>
      <c r="B118" s="7">
        <v>0</v>
      </c>
      <c r="C118" s="8">
        <f>IFERROR(B118/B327, "NA")</f>
        <v>0</v>
      </c>
      <c r="D118" s="9"/>
      <c r="E118" s="7">
        <v>222.43</v>
      </c>
      <c r="F118" s="8">
        <f>IFERROR(E118/E327, "NA")</f>
        <v>1.0797937639058096E-3</v>
      </c>
      <c r="G118" s="9"/>
      <c r="H118" s="7">
        <v>0</v>
      </c>
      <c r="I118" s="8">
        <f>IFERROR(H118/H327, "NA")</f>
        <v>0</v>
      </c>
      <c r="J118" s="9"/>
      <c r="K118" s="7">
        <v>194.47</v>
      </c>
      <c r="L118" s="8">
        <f>IFERROR(K118/K327, "NA")</f>
        <v>8.3443460651368736E-4</v>
      </c>
      <c r="M118" s="9"/>
      <c r="N118" s="7">
        <v>0</v>
      </c>
      <c r="O118" s="8">
        <f>IFERROR(N118/N327, "NA")</f>
        <v>0</v>
      </c>
      <c r="P118" s="9"/>
      <c r="Q118" s="7">
        <v>3565.34</v>
      </c>
      <c r="R118" s="8">
        <f>IFERROR(Q118/Q327, "NA")</f>
        <v>2.0475632587896121E-2</v>
      </c>
      <c r="S118" s="9"/>
      <c r="T118" s="7">
        <v>0</v>
      </c>
      <c r="U118" s="8">
        <f>IFERROR(T118/T327, "NA")</f>
        <v>0</v>
      </c>
      <c r="V118" s="9"/>
      <c r="W118" s="7">
        <v>0</v>
      </c>
      <c r="X118" s="8">
        <f>IFERROR(W118/W327, "NA")</f>
        <v>0</v>
      </c>
    </row>
    <row r="119" spans="1:24" ht="16.5" customHeight="1" x14ac:dyDescent="0.25">
      <c r="A119" s="17" t="s">
        <v>125</v>
      </c>
      <c r="B119" s="11">
        <f>IFERROR(B84+B85+B86+B87+B88+B89+B90+B91+B92+B93+B94+B95+B96+B97+B98+B99+B100+B101+B102+B103+B104+B105+B106+B107+B108+B109+B110+B111+B112+B113+B114+B115+B116+B117+B118, "NA")</f>
        <v>17202.249999999996</v>
      </c>
      <c r="C119" s="12">
        <f>IFERROR(B119/B327, "NA")</f>
        <v>4.315744534015372E-2</v>
      </c>
      <c r="D119" s="2"/>
      <c r="E119" s="11">
        <f>IFERROR(E84+E85+E86+E87+E88+E89+E90+E91+E92+E93+E94+E95+E96+E97+E98+E99+E100+E101+E102+E103+E104+E105+E106+E107+E108+E109+E110+E111+E112+E113+E114+E115+E116+E117+E118, "NA")</f>
        <v>12760.29</v>
      </c>
      <c r="F119" s="12">
        <f>IFERROR(E119/E327, "NA")</f>
        <v>6.1945248247222334E-2</v>
      </c>
      <c r="G119" s="2"/>
      <c r="H119" s="11">
        <f>IFERROR(H84+H85+H86+H87+H88+H89+H90+H91+H92+H93+H94+H95+H96+H97+H98+H99+H100+H101+H102+H103+H104+H105+H106+H107+H108+H109+H110+H111+H112+H113+H114+H115+H116+H117+H118, "NA")</f>
        <v>16857.740000000002</v>
      </c>
      <c r="I119" s="12">
        <f>IFERROR(H119/H327, "NA")</f>
        <v>4.9833503926097006E-2</v>
      </c>
      <c r="J119" s="2"/>
      <c r="K119" s="11">
        <f>IFERROR(K84+K85+K86+K87+K88+K89+K90+K91+K92+K93+K94+K95+K96+K97+K98+K99+K100+K101+K102+K103+K104+K105+K106+K107+K108+K109+K110+K111+K112+K113+K114+K115+K116+K117+K118, "NA")</f>
        <v>13319.8</v>
      </c>
      <c r="L119" s="12">
        <f>IFERROR(K119/K327, "NA")</f>
        <v>5.7152784860600672E-2</v>
      </c>
      <c r="M119" s="2"/>
      <c r="N119" s="11">
        <f>IFERROR(N84+N85+N86+N87+N88+N89+N90+N91+N92+N93+N94+N95+N96+N97+N98+N99+N100+N101+N102+N103+N104+N105+N106+N107+N108+N109+N110+N111+N112+N113+N114+N115+N116+N117+N118, "NA")</f>
        <v>21709.86</v>
      </c>
      <c r="O119" s="12">
        <f>IFERROR(N119/N327, "NA")</f>
        <v>5.8499369140459542E-2</v>
      </c>
      <c r="P119" s="2"/>
      <c r="Q119" s="11">
        <f>IFERROR(Q84+Q85+Q86+Q87+Q88+Q89+Q90+Q91+Q92+Q93+Q94+Q95+Q96+Q97+Q98+Q99+Q100+Q101+Q102+Q103+Q104+Q105+Q106+Q107+Q108+Q109+Q110+Q111+Q112+Q113+Q114+Q115+Q116+Q117+Q118, "NA")</f>
        <v>18633.41</v>
      </c>
      <c r="R119" s="12">
        <f>IFERROR(Q119/Q327, "NA")</f>
        <v>0.10701107244179502</v>
      </c>
      <c r="S119" s="2"/>
      <c r="T119" s="11">
        <f>IFERROR(T84+T85+T86+T87+T88+T89+T90+T91+T92+T93+T94+T95+T96+T97+T98+T99+T100+T101+T102+T103+T104+T105+T106+T107+T108+T109+T110+T111+T112+T113+T114+T115+T116+T117+T118, "NA")</f>
        <v>15519</v>
      </c>
      <c r="U119" s="12">
        <f>IFERROR(T119/T327, "NA")</f>
        <v>8.7768461832115036E-2</v>
      </c>
      <c r="V119" s="2"/>
      <c r="W119" s="11">
        <f>IFERROR(W84+W85+W86+W87+W88+W89+W90+W91+W92+W93+W94+W95+W96+W97+W98+W99+W100+W101+W102+W103+W104+W105+W106+W107+W108+W109+W110+W111+W112+W113+W114+W115+W116+W117+W118, "NA")</f>
        <v>16609.97</v>
      </c>
      <c r="X119" s="12">
        <f>IFERROR(W119/W327, "NA")</f>
        <v>9.8335050203656349E-2</v>
      </c>
    </row>
    <row r="120" spans="1:24" ht="16.5" customHeight="1" x14ac:dyDescent="0.25">
      <c r="A120" s="10" t="s">
        <v>126</v>
      </c>
      <c r="B120" s="11">
        <f>IFERROR(B82+B84+B85+B86+B87+B88+B89+B90+B91+B92+B93+B94+B95+B96+B97+B98+B99+B100+B101+B102+B103+B104+B105+B106+B107+B108+B109+B110+B111+B112+B113+B114+B115+B116+B117+B118, "NA")</f>
        <v>17202.249999999996</v>
      </c>
      <c r="C120" s="12">
        <f>IFERROR(B120/B327, "NA")</f>
        <v>4.315744534015372E-2</v>
      </c>
      <c r="D120" s="2"/>
      <c r="E120" s="11">
        <f>IFERROR(E82+E84+E85+E86+E87+E88+E89+E90+E91+E92+E93+E94+E95+E96+E97+E98+E99+E100+E101+E102+E103+E104+E105+E106+E107+E108+E109+E110+E111+E112+E113+E114+E115+E116+E117+E118, "NA")</f>
        <v>12760.29</v>
      </c>
      <c r="F120" s="12">
        <f>IFERROR(E120/E327, "NA")</f>
        <v>6.1945248247222334E-2</v>
      </c>
      <c r="G120" s="2"/>
      <c r="H120" s="11">
        <f>IFERROR(H82+H84+H85+H86+H87+H88+H89+H90+H91+H92+H93+H94+H95+H96+H97+H98+H99+H100+H101+H102+H103+H104+H105+H106+H107+H108+H109+H110+H111+H112+H113+H114+H115+H116+H117+H118, "NA")</f>
        <v>16857.740000000002</v>
      </c>
      <c r="I120" s="12">
        <f>IFERROR(H120/H327, "NA")</f>
        <v>4.9833503926097006E-2</v>
      </c>
      <c r="J120" s="2"/>
      <c r="K120" s="11">
        <f>IFERROR(K82+K84+K85+K86+K87+K88+K89+K90+K91+K92+K93+K94+K95+K96+K97+K98+K99+K100+K101+K102+K103+K104+K105+K106+K107+K108+K109+K110+K111+K112+K113+K114+K115+K116+K117+K118, "NA")</f>
        <v>13319.8</v>
      </c>
      <c r="L120" s="12">
        <f>IFERROR(K120/K327, "NA")</f>
        <v>5.7152784860600672E-2</v>
      </c>
      <c r="M120" s="2"/>
      <c r="N120" s="11">
        <f>IFERROR(N82+N84+N85+N86+N87+N88+N89+N90+N91+N92+N93+N94+N95+N96+N97+N98+N99+N100+N101+N102+N103+N104+N105+N106+N107+N108+N109+N110+N111+N112+N113+N114+N115+N116+N117+N118, "NA")</f>
        <v>21709.86</v>
      </c>
      <c r="O120" s="12">
        <f>IFERROR(N120/N327, "NA")</f>
        <v>5.8499369140459542E-2</v>
      </c>
      <c r="P120" s="2"/>
      <c r="Q120" s="11">
        <f>IFERROR(Q82+Q84+Q85+Q86+Q87+Q88+Q89+Q90+Q91+Q92+Q93+Q94+Q95+Q96+Q97+Q98+Q99+Q100+Q101+Q102+Q103+Q104+Q105+Q106+Q107+Q108+Q109+Q110+Q111+Q112+Q113+Q114+Q115+Q116+Q117+Q118, "NA")</f>
        <v>18633.41</v>
      </c>
      <c r="R120" s="12">
        <f>IFERROR(Q120/Q327, "NA")</f>
        <v>0.10701107244179502</v>
      </c>
      <c r="S120" s="2"/>
      <c r="T120" s="11">
        <f>IFERROR(T82+T84+T85+T86+T87+T88+T89+T90+T91+T92+T93+T94+T95+T96+T97+T98+T99+T100+T101+T102+T103+T104+T105+T106+T107+T108+T109+T110+T111+T112+T113+T114+T115+T116+T117+T118, "NA")</f>
        <v>15519</v>
      </c>
      <c r="U120" s="12">
        <f>IFERROR(T120/T327, "NA")</f>
        <v>8.7768461832115036E-2</v>
      </c>
      <c r="V120" s="2"/>
      <c r="W120" s="11">
        <f>IFERROR(W82+W84+W85+W86+W87+W88+W89+W90+W91+W92+W93+W94+W95+W96+W97+W98+W99+W100+W101+W102+W103+W104+W105+W106+W107+W108+W109+W110+W111+W112+W113+W114+W115+W116+W117+W118, "NA")</f>
        <v>16609.97</v>
      </c>
      <c r="X120" s="12">
        <f>IFERROR(W120/W327, "NA")</f>
        <v>9.8335050203656349E-2</v>
      </c>
    </row>
    <row r="121" spans="1:24" ht="16.5" customHeight="1" x14ac:dyDescent="0.25">
      <c r="A121" s="5" t="s">
        <v>127</v>
      </c>
      <c r="B121" s="2"/>
      <c r="C121" s="3"/>
      <c r="D121" s="4"/>
      <c r="E121" s="2"/>
      <c r="F121" s="3"/>
      <c r="G121" s="4"/>
      <c r="H121" s="2"/>
      <c r="I121" s="3"/>
      <c r="J121" s="4"/>
      <c r="K121" s="2"/>
      <c r="L121" s="3"/>
      <c r="M121" s="4"/>
      <c r="N121" s="2"/>
      <c r="O121" s="3"/>
      <c r="P121" s="4"/>
      <c r="Q121" s="2"/>
      <c r="R121" s="3"/>
      <c r="S121" s="4"/>
      <c r="T121" s="2"/>
      <c r="U121" s="3"/>
      <c r="V121" s="4"/>
      <c r="W121" s="2"/>
      <c r="X121" s="3"/>
    </row>
    <row r="122" spans="1:24" ht="16.5" customHeight="1" x14ac:dyDescent="0.25">
      <c r="A122" s="6" t="s">
        <v>128</v>
      </c>
      <c r="B122" s="7">
        <v>0</v>
      </c>
      <c r="C122" s="8">
        <f>IFERROR(B122/B327, "NA")</f>
        <v>0</v>
      </c>
      <c r="D122" s="9"/>
      <c r="E122" s="7">
        <v>0</v>
      </c>
      <c r="F122" s="8">
        <f>IFERROR(E122/E327, "NA")</f>
        <v>0</v>
      </c>
      <c r="G122" s="9"/>
      <c r="H122" s="7">
        <v>0</v>
      </c>
      <c r="I122" s="8">
        <f>IFERROR(H122/H327, "NA")</f>
        <v>0</v>
      </c>
      <c r="J122" s="9"/>
      <c r="K122" s="7">
        <v>0</v>
      </c>
      <c r="L122" s="8">
        <f>IFERROR(K122/K327, "NA")</f>
        <v>0</v>
      </c>
      <c r="M122" s="9"/>
      <c r="N122" s="7">
        <v>0</v>
      </c>
      <c r="O122" s="8">
        <f>IFERROR(N122/N327, "NA")</f>
        <v>0</v>
      </c>
      <c r="P122" s="9"/>
      <c r="Q122" s="7">
        <v>0</v>
      </c>
      <c r="R122" s="8">
        <f>IFERROR(Q122/Q327, "NA")</f>
        <v>0</v>
      </c>
      <c r="S122" s="9"/>
      <c r="T122" s="7">
        <v>0</v>
      </c>
      <c r="U122" s="8">
        <f>IFERROR(T122/T327, "NA")</f>
        <v>0</v>
      </c>
      <c r="V122" s="9"/>
      <c r="W122" s="7">
        <v>0</v>
      </c>
      <c r="X122" s="8">
        <f>IFERROR(W122/W327, "NA")</f>
        <v>0</v>
      </c>
    </row>
    <row r="123" spans="1:24" ht="16.5" customHeight="1" x14ac:dyDescent="0.25">
      <c r="A123" s="6" t="s">
        <v>129</v>
      </c>
      <c r="B123" s="7">
        <v>2009.62</v>
      </c>
      <c r="C123" s="8">
        <f>IFERROR(B123/B327, "NA")</f>
        <v>5.0417861212620286E-3</v>
      </c>
      <c r="D123" s="9"/>
      <c r="E123" s="7">
        <v>4019.24</v>
      </c>
      <c r="F123" s="8">
        <f>IFERROR(E123/E327, "NA")</f>
        <v>1.9511533011018236E-2</v>
      </c>
      <c r="G123" s="9"/>
      <c r="H123" s="7">
        <v>0</v>
      </c>
      <c r="I123" s="8">
        <f>IFERROR(H123/H327, "NA")</f>
        <v>0</v>
      </c>
      <c r="J123" s="9"/>
      <c r="K123" s="7">
        <v>0</v>
      </c>
      <c r="L123" s="8">
        <f>IFERROR(K123/K327, "NA")</f>
        <v>0</v>
      </c>
      <c r="M123" s="9"/>
      <c r="N123" s="7">
        <v>4019.24</v>
      </c>
      <c r="O123" s="8">
        <f>IFERROR(N123/N327, "NA")</f>
        <v>1.0830240472490408E-2</v>
      </c>
      <c r="P123" s="9"/>
      <c r="Q123" s="7">
        <v>0</v>
      </c>
      <c r="R123" s="8">
        <f>IFERROR(Q123/Q327, "NA")</f>
        <v>0</v>
      </c>
      <c r="S123" s="9"/>
      <c r="T123" s="7">
        <v>4019.24</v>
      </c>
      <c r="U123" s="8">
        <f>IFERROR(T123/T327, "NA")</f>
        <v>2.2731007960184936E-2</v>
      </c>
      <c r="V123" s="9"/>
      <c r="W123" s="7">
        <v>0</v>
      </c>
      <c r="X123" s="8">
        <f>IFERROR(W123/W327, "NA")</f>
        <v>0</v>
      </c>
    </row>
    <row r="124" spans="1:24" ht="16.5" customHeight="1" x14ac:dyDescent="0.25">
      <c r="A124" s="6" t="s">
        <v>130</v>
      </c>
      <c r="B124" s="7">
        <v>7711.54</v>
      </c>
      <c r="C124" s="8">
        <f>IFERROR(B124/B327, "NA")</f>
        <v>1.9346909040294676E-2</v>
      </c>
      <c r="D124" s="9"/>
      <c r="E124" s="7">
        <v>2211.54</v>
      </c>
      <c r="F124" s="8">
        <f>IFERROR(E124/E327, "NA")</f>
        <v>1.0735993798625429E-2</v>
      </c>
      <c r="G124" s="9"/>
      <c r="H124" s="7">
        <v>7711.54</v>
      </c>
      <c r="I124" s="8">
        <f>IFERROR(H124/H327, "NA")</f>
        <v>2.2796238337182449E-2</v>
      </c>
      <c r="J124" s="9"/>
      <c r="K124" s="7">
        <v>2211.54</v>
      </c>
      <c r="L124" s="8">
        <f>IFERROR(K124/K327, "NA")</f>
        <v>9.4893068837830011E-3</v>
      </c>
      <c r="M124" s="9"/>
      <c r="N124" s="7">
        <v>7711.54</v>
      </c>
      <c r="O124" s="8">
        <f>IFERROR(N124/N327, "NA")</f>
        <v>2.0779508716381376E-2</v>
      </c>
      <c r="P124" s="9"/>
      <c r="Q124" s="7">
        <v>2211.54</v>
      </c>
      <c r="R124" s="8">
        <f>IFERROR(Q124/Q327, "NA")</f>
        <v>1.2700802866889493E-2</v>
      </c>
      <c r="S124" s="9"/>
      <c r="T124" s="7">
        <v>7436.54</v>
      </c>
      <c r="U124" s="8">
        <f>IFERROR(T124/T327, "NA")</f>
        <v>4.2057714875507232E-2</v>
      </c>
      <c r="V124" s="9"/>
      <c r="W124" s="7">
        <v>-2211.54</v>
      </c>
      <c r="X124" s="8">
        <f>IFERROR(W124/W327, "NA")</f>
        <v>-1.3092853083262291E-2</v>
      </c>
    </row>
    <row r="125" spans="1:24" ht="30.75" customHeight="1" x14ac:dyDescent="0.25">
      <c r="A125" s="6" t="s">
        <v>131</v>
      </c>
      <c r="B125" s="7">
        <v>0</v>
      </c>
      <c r="C125" s="8">
        <f>IFERROR(B125/B327, "NA")</f>
        <v>0</v>
      </c>
      <c r="D125" s="9"/>
      <c r="E125" s="7">
        <v>0</v>
      </c>
      <c r="F125" s="8">
        <f>IFERROR(E125/E327, "NA")</f>
        <v>0</v>
      </c>
      <c r="G125" s="9"/>
      <c r="H125" s="7">
        <v>0</v>
      </c>
      <c r="I125" s="8">
        <f>IFERROR(H125/H327, "NA")</f>
        <v>0</v>
      </c>
      <c r="J125" s="9"/>
      <c r="K125" s="7">
        <v>0</v>
      </c>
      <c r="L125" s="8">
        <f>IFERROR(K125/K327, "NA")</f>
        <v>0</v>
      </c>
      <c r="M125" s="9"/>
      <c r="N125" s="7">
        <v>0</v>
      </c>
      <c r="O125" s="8">
        <f>IFERROR(N125/N327, "NA")</f>
        <v>0</v>
      </c>
      <c r="P125" s="9"/>
      <c r="Q125" s="7">
        <v>0</v>
      </c>
      <c r="R125" s="8">
        <f>IFERROR(Q125/Q327, "NA")</f>
        <v>0</v>
      </c>
      <c r="S125" s="9"/>
      <c r="T125" s="7">
        <v>0</v>
      </c>
      <c r="U125" s="8">
        <f>IFERROR(T125/T327, "NA")</f>
        <v>0</v>
      </c>
      <c r="V125" s="9"/>
      <c r="W125" s="7">
        <v>0</v>
      </c>
      <c r="X125" s="8">
        <f>IFERROR(W125/W327, "NA")</f>
        <v>0</v>
      </c>
    </row>
    <row r="126" spans="1:24" ht="16.5" customHeight="1" x14ac:dyDescent="0.25">
      <c r="A126" s="6" t="s">
        <v>132</v>
      </c>
      <c r="B126" s="7">
        <v>0</v>
      </c>
      <c r="C126" s="8">
        <f>IFERROR(B126/B327, "NA")</f>
        <v>0</v>
      </c>
      <c r="D126" s="9"/>
      <c r="E126" s="7">
        <v>0</v>
      </c>
      <c r="F126" s="8">
        <f>IFERROR(E126/E327, "NA")</f>
        <v>0</v>
      </c>
      <c r="G126" s="9"/>
      <c r="H126" s="7">
        <v>0</v>
      </c>
      <c r="I126" s="8">
        <f>IFERROR(H126/H327, "NA")</f>
        <v>0</v>
      </c>
      <c r="J126" s="9"/>
      <c r="K126" s="7">
        <v>0</v>
      </c>
      <c r="L126" s="8">
        <f>IFERROR(K126/K327, "NA")</f>
        <v>0</v>
      </c>
      <c r="M126" s="9"/>
      <c r="N126" s="7">
        <v>0</v>
      </c>
      <c r="O126" s="8">
        <f>IFERROR(N126/N327, "NA")</f>
        <v>0</v>
      </c>
      <c r="P126" s="9"/>
      <c r="Q126" s="7">
        <v>0</v>
      </c>
      <c r="R126" s="8">
        <f>IFERROR(Q126/Q327, "NA")</f>
        <v>0</v>
      </c>
      <c r="S126" s="9"/>
      <c r="T126" s="7">
        <v>0</v>
      </c>
      <c r="U126" s="8">
        <f>IFERROR(T126/T327, "NA")</f>
        <v>0</v>
      </c>
      <c r="V126" s="9"/>
      <c r="W126" s="7">
        <v>0</v>
      </c>
      <c r="X126" s="8">
        <f>IFERROR(W126/W327, "NA")</f>
        <v>0</v>
      </c>
    </row>
    <row r="127" spans="1:24" ht="16.5" customHeight="1" x14ac:dyDescent="0.25">
      <c r="A127" s="6" t="s">
        <v>133</v>
      </c>
      <c r="B127" s="7">
        <v>0</v>
      </c>
      <c r="C127" s="8">
        <f>IFERROR(B127/B327, "NA")</f>
        <v>0</v>
      </c>
      <c r="D127" s="9"/>
      <c r="E127" s="7">
        <v>0</v>
      </c>
      <c r="F127" s="8">
        <f>IFERROR(E127/E327, "NA")</f>
        <v>0</v>
      </c>
      <c r="G127" s="9"/>
      <c r="H127" s="7">
        <v>0</v>
      </c>
      <c r="I127" s="8">
        <f>IFERROR(H127/H327, "NA")</f>
        <v>0</v>
      </c>
      <c r="J127" s="9"/>
      <c r="K127" s="7">
        <v>0</v>
      </c>
      <c r="L127" s="8">
        <f>IFERROR(K127/K327, "NA")</f>
        <v>0</v>
      </c>
      <c r="M127" s="9"/>
      <c r="N127" s="7">
        <v>0</v>
      </c>
      <c r="O127" s="8">
        <f>IFERROR(N127/N327, "NA")</f>
        <v>0</v>
      </c>
      <c r="P127" s="9"/>
      <c r="Q127" s="7">
        <v>0</v>
      </c>
      <c r="R127" s="8">
        <f>IFERROR(Q127/Q327, "NA")</f>
        <v>0</v>
      </c>
      <c r="S127" s="9"/>
      <c r="T127" s="7">
        <v>0</v>
      </c>
      <c r="U127" s="8">
        <f>IFERROR(T127/T327, "NA")</f>
        <v>0</v>
      </c>
      <c r="V127" s="9"/>
      <c r="W127" s="7">
        <v>0</v>
      </c>
      <c r="X127" s="8">
        <f>IFERROR(W127/W327, "NA")</f>
        <v>0</v>
      </c>
    </row>
    <row r="128" spans="1:24" ht="16.5" customHeight="1" x14ac:dyDescent="0.25">
      <c r="A128" s="6" t="s">
        <v>134</v>
      </c>
      <c r="B128" s="7">
        <v>0</v>
      </c>
      <c r="C128" s="8">
        <f>IFERROR(B128/B327, "NA")</f>
        <v>0</v>
      </c>
      <c r="D128" s="9"/>
      <c r="E128" s="7">
        <v>0</v>
      </c>
      <c r="F128" s="8">
        <f>IFERROR(E128/E327, "NA")</f>
        <v>0</v>
      </c>
      <c r="G128" s="9"/>
      <c r="H128" s="7">
        <v>0</v>
      </c>
      <c r="I128" s="8">
        <f>IFERROR(H128/H327, "NA")</f>
        <v>0</v>
      </c>
      <c r="J128" s="9"/>
      <c r="K128" s="7">
        <v>0</v>
      </c>
      <c r="L128" s="8">
        <f>IFERROR(K128/K327, "NA")</f>
        <v>0</v>
      </c>
      <c r="M128" s="9"/>
      <c r="N128" s="7">
        <v>0</v>
      </c>
      <c r="O128" s="8">
        <f>IFERROR(N128/N327, "NA")</f>
        <v>0</v>
      </c>
      <c r="P128" s="9"/>
      <c r="Q128" s="7">
        <v>0</v>
      </c>
      <c r="R128" s="8">
        <f>IFERROR(Q128/Q327, "NA")</f>
        <v>0</v>
      </c>
      <c r="S128" s="9"/>
      <c r="T128" s="7">
        <v>0</v>
      </c>
      <c r="U128" s="8">
        <f>IFERROR(T128/T327, "NA")</f>
        <v>0</v>
      </c>
      <c r="V128" s="9"/>
      <c r="W128" s="7">
        <v>0</v>
      </c>
      <c r="X128" s="8">
        <f>IFERROR(W128/W327, "NA")</f>
        <v>0</v>
      </c>
    </row>
    <row r="129" spans="1:24" ht="16.5" customHeight="1" x14ac:dyDescent="0.25">
      <c r="A129" s="6" t="s">
        <v>135</v>
      </c>
      <c r="B129" s="7">
        <v>0</v>
      </c>
      <c r="C129" s="8">
        <f>IFERROR(B129/B327, "NA")</f>
        <v>0</v>
      </c>
      <c r="D129" s="9"/>
      <c r="E129" s="7">
        <v>0</v>
      </c>
      <c r="F129" s="8">
        <f>IFERROR(E129/E327, "NA")</f>
        <v>0</v>
      </c>
      <c r="G129" s="9"/>
      <c r="H129" s="7">
        <v>0</v>
      </c>
      <c r="I129" s="8">
        <f>IFERROR(H129/H327, "NA")</f>
        <v>0</v>
      </c>
      <c r="J129" s="9"/>
      <c r="K129" s="7">
        <v>0</v>
      </c>
      <c r="L129" s="8">
        <f>IFERROR(K129/K327, "NA")</f>
        <v>0</v>
      </c>
      <c r="M129" s="9"/>
      <c r="N129" s="7">
        <v>0</v>
      </c>
      <c r="O129" s="8">
        <f>IFERROR(N129/N327, "NA")</f>
        <v>0</v>
      </c>
      <c r="P129" s="9"/>
      <c r="Q129" s="7">
        <v>0</v>
      </c>
      <c r="R129" s="8">
        <f>IFERROR(Q129/Q327, "NA")</f>
        <v>0</v>
      </c>
      <c r="S129" s="9"/>
      <c r="T129" s="7">
        <v>0</v>
      </c>
      <c r="U129" s="8">
        <f>IFERROR(T129/T327, "NA")</f>
        <v>0</v>
      </c>
      <c r="V129" s="9"/>
      <c r="W129" s="7">
        <v>0</v>
      </c>
      <c r="X129" s="8">
        <f>IFERROR(W129/W327, "NA")</f>
        <v>0</v>
      </c>
    </row>
    <row r="130" spans="1:24" ht="16.5" customHeight="1" x14ac:dyDescent="0.25">
      <c r="A130" s="6" t="s">
        <v>136</v>
      </c>
      <c r="B130" s="7">
        <v>0</v>
      </c>
      <c r="C130" s="8">
        <f>IFERROR(B130/B327, "NA")</f>
        <v>0</v>
      </c>
      <c r="D130" s="9"/>
      <c r="E130" s="7">
        <v>0</v>
      </c>
      <c r="F130" s="8">
        <f>IFERROR(E130/E327, "NA")</f>
        <v>0</v>
      </c>
      <c r="G130" s="9"/>
      <c r="H130" s="7">
        <v>0</v>
      </c>
      <c r="I130" s="8">
        <f>IFERROR(H130/H327, "NA")</f>
        <v>0</v>
      </c>
      <c r="J130" s="9"/>
      <c r="K130" s="7">
        <v>0</v>
      </c>
      <c r="L130" s="8">
        <f>IFERROR(K130/K327, "NA")</f>
        <v>0</v>
      </c>
      <c r="M130" s="9"/>
      <c r="N130" s="7">
        <v>0</v>
      </c>
      <c r="O130" s="8">
        <f>IFERROR(N130/N327, "NA")</f>
        <v>0</v>
      </c>
      <c r="P130" s="9"/>
      <c r="Q130" s="7">
        <v>0</v>
      </c>
      <c r="R130" s="8">
        <f>IFERROR(Q130/Q327, "NA")</f>
        <v>0</v>
      </c>
      <c r="S130" s="9"/>
      <c r="T130" s="7">
        <v>0</v>
      </c>
      <c r="U130" s="8">
        <f>IFERROR(T130/T327, "NA")</f>
        <v>0</v>
      </c>
      <c r="V130" s="9"/>
      <c r="W130" s="7">
        <v>0</v>
      </c>
      <c r="X130" s="8">
        <f>IFERROR(W130/W327, "NA")</f>
        <v>0</v>
      </c>
    </row>
    <row r="131" spans="1:24" ht="16.5" customHeight="1" x14ac:dyDescent="0.25">
      <c r="A131" s="6" t="s">
        <v>137</v>
      </c>
      <c r="B131" s="7">
        <v>0</v>
      </c>
      <c r="C131" s="8">
        <f>IFERROR(B131/B327, "NA")</f>
        <v>0</v>
      </c>
      <c r="D131" s="9"/>
      <c r="E131" s="7">
        <v>0</v>
      </c>
      <c r="F131" s="8">
        <f>IFERROR(E131/E327, "NA")</f>
        <v>0</v>
      </c>
      <c r="G131" s="9"/>
      <c r="H131" s="7">
        <v>0</v>
      </c>
      <c r="I131" s="8">
        <f>IFERROR(H131/H327, "NA")</f>
        <v>0</v>
      </c>
      <c r="J131" s="9"/>
      <c r="K131" s="7">
        <v>0</v>
      </c>
      <c r="L131" s="8">
        <f>IFERROR(K131/K327, "NA")</f>
        <v>0</v>
      </c>
      <c r="M131" s="9"/>
      <c r="N131" s="7">
        <v>0</v>
      </c>
      <c r="O131" s="8">
        <f>IFERROR(N131/N327, "NA")</f>
        <v>0</v>
      </c>
      <c r="P131" s="9"/>
      <c r="Q131" s="7">
        <v>0</v>
      </c>
      <c r="R131" s="8">
        <f>IFERROR(Q131/Q327, "NA")</f>
        <v>0</v>
      </c>
      <c r="S131" s="9"/>
      <c r="T131" s="7">
        <v>0</v>
      </c>
      <c r="U131" s="8">
        <f>IFERROR(T131/T327, "NA")</f>
        <v>0</v>
      </c>
      <c r="V131" s="9"/>
      <c r="W131" s="7">
        <v>0</v>
      </c>
      <c r="X131" s="8">
        <f>IFERROR(W131/W327, "NA")</f>
        <v>0</v>
      </c>
    </row>
    <row r="132" spans="1:24" ht="16.5" customHeight="1" x14ac:dyDescent="0.25">
      <c r="A132" s="6" t="s">
        <v>138</v>
      </c>
      <c r="B132" s="7">
        <v>0</v>
      </c>
      <c r="C132" s="8">
        <f>IFERROR(B132/B327, "NA")</f>
        <v>0</v>
      </c>
      <c r="D132" s="9"/>
      <c r="E132" s="7">
        <v>0</v>
      </c>
      <c r="F132" s="8">
        <f>IFERROR(E132/E327, "NA")</f>
        <v>0</v>
      </c>
      <c r="G132" s="9"/>
      <c r="H132" s="7">
        <v>0</v>
      </c>
      <c r="I132" s="8">
        <f>IFERROR(H132/H327, "NA")</f>
        <v>0</v>
      </c>
      <c r="J132" s="9"/>
      <c r="K132" s="7">
        <v>0</v>
      </c>
      <c r="L132" s="8">
        <f>IFERROR(K132/K327, "NA")</f>
        <v>0</v>
      </c>
      <c r="M132" s="9"/>
      <c r="N132" s="7">
        <v>0</v>
      </c>
      <c r="O132" s="8">
        <f>IFERROR(N132/N327, "NA")</f>
        <v>0</v>
      </c>
      <c r="P132" s="9"/>
      <c r="Q132" s="7">
        <v>0</v>
      </c>
      <c r="R132" s="8">
        <f>IFERROR(Q132/Q327, "NA")</f>
        <v>0</v>
      </c>
      <c r="S132" s="9"/>
      <c r="T132" s="7">
        <v>0</v>
      </c>
      <c r="U132" s="8">
        <f>IFERROR(T132/T327, "NA")</f>
        <v>0</v>
      </c>
      <c r="V132" s="9"/>
      <c r="W132" s="7">
        <v>0</v>
      </c>
      <c r="X132" s="8">
        <f>IFERROR(W132/W327, "NA")</f>
        <v>0</v>
      </c>
    </row>
    <row r="133" spans="1:24" ht="16.5" customHeight="1" x14ac:dyDescent="0.25">
      <c r="A133" s="6" t="s">
        <v>139</v>
      </c>
      <c r="B133" s="7">
        <v>0</v>
      </c>
      <c r="C133" s="8">
        <f>IFERROR(B133/B327, "NA")</f>
        <v>0</v>
      </c>
      <c r="D133" s="9"/>
      <c r="E133" s="7">
        <v>0</v>
      </c>
      <c r="F133" s="8">
        <f>IFERROR(E133/E327, "NA")</f>
        <v>0</v>
      </c>
      <c r="G133" s="9"/>
      <c r="H133" s="7">
        <v>0</v>
      </c>
      <c r="I133" s="8">
        <f>IFERROR(H133/H327, "NA")</f>
        <v>0</v>
      </c>
      <c r="J133" s="9"/>
      <c r="K133" s="7">
        <v>0</v>
      </c>
      <c r="L133" s="8">
        <f>IFERROR(K133/K327, "NA")</f>
        <v>0</v>
      </c>
      <c r="M133" s="9"/>
      <c r="N133" s="7">
        <v>0</v>
      </c>
      <c r="O133" s="8">
        <f>IFERROR(N133/N327, "NA")</f>
        <v>0</v>
      </c>
      <c r="P133" s="9"/>
      <c r="Q133" s="7">
        <v>0</v>
      </c>
      <c r="R133" s="8">
        <f>IFERROR(Q133/Q327, "NA")</f>
        <v>0</v>
      </c>
      <c r="S133" s="9"/>
      <c r="T133" s="7">
        <v>0</v>
      </c>
      <c r="U133" s="8">
        <f>IFERROR(T133/T327, "NA")</f>
        <v>0</v>
      </c>
      <c r="V133" s="9"/>
      <c r="W133" s="7">
        <v>0</v>
      </c>
      <c r="X133" s="8">
        <f>IFERROR(W133/W327, "NA")</f>
        <v>0</v>
      </c>
    </row>
    <row r="134" spans="1:24" ht="16.5" customHeight="1" x14ac:dyDescent="0.25">
      <c r="A134" s="6" t="s">
        <v>140</v>
      </c>
      <c r="B134" s="7">
        <v>0</v>
      </c>
      <c r="C134" s="8">
        <f>IFERROR(B134/B327, "NA")</f>
        <v>0</v>
      </c>
      <c r="D134" s="9"/>
      <c r="E134" s="7">
        <v>0</v>
      </c>
      <c r="F134" s="8">
        <f>IFERROR(E134/E327, "NA")</f>
        <v>0</v>
      </c>
      <c r="G134" s="9"/>
      <c r="H134" s="7">
        <v>0</v>
      </c>
      <c r="I134" s="8">
        <f>IFERROR(H134/H327, "NA")</f>
        <v>0</v>
      </c>
      <c r="J134" s="9"/>
      <c r="K134" s="7">
        <v>0</v>
      </c>
      <c r="L134" s="8">
        <f>IFERROR(K134/K327, "NA")</f>
        <v>0</v>
      </c>
      <c r="M134" s="9"/>
      <c r="N134" s="7">
        <v>0</v>
      </c>
      <c r="O134" s="8">
        <f>IFERROR(N134/N327, "NA")</f>
        <v>0</v>
      </c>
      <c r="P134" s="9"/>
      <c r="Q134" s="7">
        <v>0</v>
      </c>
      <c r="R134" s="8">
        <f>IFERROR(Q134/Q327, "NA")</f>
        <v>0</v>
      </c>
      <c r="S134" s="9"/>
      <c r="T134" s="7">
        <v>0</v>
      </c>
      <c r="U134" s="8">
        <f>IFERROR(T134/T327, "NA")</f>
        <v>0</v>
      </c>
      <c r="V134" s="9"/>
      <c r="W134" s="7">
        <v>0</v>
      </c>
      <c r="X134" s="8">
        <f>IFERROR(W134/W327, "NA")</f>
        <v>0</v>
      </c>
    </row>
    <row r="135" spans="1:24" ht="16.5" customHeight="1" x14ac:dyDescent="0.25">
      <c r="A135" s="6" t="s">
        <v>141</v>
      </c>
      <c r="B135" s="7">
        <v>0</v>
      </c>
      <c r="C135" s="8">
        <f>IFERROR(B135/B327, "NA")</f>
        <v>0</v>
      </c>
      <c r="D135" s="9"/>
      <c r="E135" s="7">
        <v>0</v>
      </c>
      <c r="F135" s="8">
        <f>IFERROR(E135/E327, "NA")</f>
        <v>0</v>
      </c>
      <c r="G135" s="9"/>
      <c r="H135" s="7">
        <v>0</v>
      </c>
      <c r="I135" s="8">
        <f>IFERROR(H135/H327, "NA")</f>
        <v>0</v>
      </c>
      <c r="J135" s="9"/>
      <c r="K135" s="7">
        <v>0</v>
      </c>
      <c r="L135" s="8">
        <f>IFERROR(K135/K327, "NA")</f>
        <v>0</v>
      </c>
      <c r="M135" s="9"/>
      <c r="N135" s="7">
        <v>0</v>
      </c>
      <c r="O135" s="8">
        <f>IFERROR(N135/N327, "NA")</f>
        <v>0</v>
      </c>
      <c r="P135" s="9"/>
      <c r="Q135" s="7">
        <v>0</v>
      </c>
      <c r="R135" s="8">
        <f>IFERROR(Q135/Q327, "NA")</f>
        <v>0</v>
      </c>
      <c r="S135" s="9"/>
      <c r="T135" s="7">
        <v>0</v>
      </c>
      <c r="U135" s="8">
        <f>IFERROR(T135/T327, "NA")</f>
        <v>0</v>
      </c>
      <c r="V135" s="9"/>
      <c r="W135" s="7">
        <v>0</v>
      </c>
      <c r="X135" s="8">
        <f>IFERROR(W135/W327, "NA")</f>
        <v>0</v>
      </c>
    </row>
    <row r="136" spans="1:24" ht="16.5" customHeight="1" x14ac:dyDescent="0.25">
      <c r="A136" s="6" t="s">
        <v>142</v>
      </c>
      <c r="B136" s="7">
        <v>0</v>
      </c>
      <c r="C136" s="8">
        <f>IFERROR(B136/B327, "NA")</f>
        <v>0</v>
      </c>
      <c r="D136" s="9"/>
      <c r="E136" s="7">
        <v>0</v>
      </c>
      <c r="F136" s="8">
        <f>IFERROR(E136/E327, "NA")</f>
        <v>0</v>
      </c>
      <c r="G136" s="9"/>
      <c r="H136" s="7">
        <v>0</v>
      </c>
      <c r="I136" s="8">
        <f>IFERROR(H136/H327, "NA")</f>
        <v>0</v>
      </c>
      <c r="J136" s="9"/>
      <c r="K136" s="7">
        <v>0</v>
      </c>
      <c r="L136" s="8">
        <f>IFERROR(K136/K327, "NA")</f>
        <v>0</v>
      </c>
      <c r="M136" s="9"/>
      <c r="N136" s="7">
        <v>0</v>
      </c>
      <c r="O136" s="8">
        <f>IFERROR(N136/N327, "NA")</f>
        <v>0</v>
      </c>
      <c r="P136" s="9"/>
      <c r="Q136" s="7">
        <v>0</v>
      </c>
      <c r="R136" s="8">
        <f>IFERROR(Q136/Q327, "NA")</f>
        <v>0</v>
      </c>
      <c r="S136" s="9"/>
      <c r="T136" s="7">
        <v>0</v>
      </c>
      <c r="U136" s="8">
        <f>IFERROR(T136/T327, "NA")</f>
        <v>0</v>
      </c>
      <c r="V136" s="9"/>
      <c r="W136" s="7">
        <v>0</v>
      </c>
      <c r="X136" s="8">
        <f>IFERROR(W136/W327, "NA")</f>
        <v>0</v>
      </c>
    </row>
    <row r="137" spans="1:24" ht="16.5" customHeight="1" x14ac:dyDescent="0.25">
      <c r="A137" s="6" t="s">
        <v>143</v>
      </c>
      <c r="B137" s="7">
        <v>0</v>
      </c>
      <c r="C137" s="8">
        <f>IFERROR(B137/B327, "NA")</f>
        <v>0</v>
      </c>
      <c r="D137" s="9"/>
      <c r="E137" s="7">
        <v>0</v>
      </c>
      <c r="F137" s="8">
        <f>IFERROR(E137/E327, "NA")</f>
        <v>0</v>
      </c>
      <c r="G137" s="9"/>
      <c r="H137" s="7">
        <v>0</v>
      </c>
      <c r="I137" s="8">
        <f>IFERROR(H137/H327, "NA")</f>
        <v>0</v>
      </c>
      <c r="J137" s="9"/>
      <c r="K137" s="7">
        <v>0</v>
      </c>
      <c r="L137" s="8">
        <f>IFERROR(K137/K327, "NA")</f>
        <v>0</v>
      </c>
      <c r="M137" s="9"/>
      <c r="N137" s="7">
        <v>0</v>
      </c>
      <c r="O137" s="8">
        <f>IFERROR(N137/N327, "NA")</f>
        <v>0</v>
      </c>
      <c r="P137" s="9"/>
      <c r="Q137" s="7">
        <v>0</v>
      </c>
      <c r="R137" s="8">
        <f>IFERROR(Q137/Q327, "NA")</f>
        <v>0</v>
      </c>
      <c r="S137" s="9"/>
      <c r="T137" s="7">
        <v>0</v>
      </c>
      <c r="U137" s="8">
        <f>IFERROR(T137/T327, "NA")</f>
        <v>0</v>
      </c>
      <c r="V137" s="9"/>
      <c r="W137" s="7">
        <v>0</v>
      </c>
      <c r="X137" s="8">
        <f>IFERROR(W137/W327, "NA")</f>
        <v>0</v>
      </c>
    </row>
    <row r="138" spans="1:24" ht="16.5" customHeight="1" x14ac:dyDescent="0.25">
      <c r="A138" s="6" t="s">
        <v>144</v>
      </c>
      <c r="B138" s="7">
        <v>0</v>
      </c>
      <c r="C138" s="8">
        <f>IFERROR(B138/B327, "NA")</f>
        <v>0</v>
      </c>
      <c r="D138" s="9"/>
      <c r="E138" s="7">
        <v>0</v>
      </c>
      <c r="F138" s="8">
        <f>IFERROR(E138/E327, "NA")</f>
        <v>0</v>
      </c>
      <c r="G138" s="9"/>
      <c r="H138" s="7">
        <v>0</v>
      </c>
      <c r="I138" s="8">
        <f>IFERROR(H138/H327, "NA")</f>
        <v>0</v>
      </c>
      <c r="J138" s="9"/>
      <c r="K138" s="7">
        <v>0</v>
      </c>
      <c r="L138" s="8">
        <f>IFERROR(K138/K327, "NA")</f>
        <v>0</v>
      </c>
      <c r="M138" s="9"/>
      <c r="N138" s="7">
        <v>0</v>
      </c>
      <c r="O138" s="8">
        <f>IFERROR(N138/N327, "NA")</f>
        <v>0</v>
      </c>
      <c r="P138" s="9"/>
      <c r="Q138" s="7">
        <v>0</v>
      </c>
      <c r="R138" s="8">
        <f>IFERROR(Q138/Q327, "NA")</f>
        <v>0</v>
      </c>
      <c r="S138" s="9"/>
      <c r="T138" s="7">
        <v>0</v>
      </c>
      <c r="U138" s="8">
        <f>IFERROR(T138/T327, "NA")</f>
        <v>0</v>
      </c>
      <c r="V138" s="9"/>
      <c r="W138" s="7">
        <v>0</v>
      </c>
      <c r="X138" s="8">
        <f>IFERROR(W138/W327, "NA")</f>
        <v>0</v>
      </c>
    </row>
    <row r="139" spans="1:24" ht="16.5" customHeight="1" x14ac:dyDescent="0.25">
      <c r="A139" s="6" t="s">
        <v>145</v>
      </c>
      <c r="B139" s="7">
        <v>13120.46</v>
      </c>
      <c r="C139" s="8">
        <f>IFERROR(B139/B327, "NA")</f>
        <v>3.2916946055758595E-2</v>
      </c>
      <c r="D139" s="9"/>
      <c r="E139" s="7">
        <v>16999.810000000001</v>
      </c>
      <c r="F139" s="8">
        <f>IFERROR(E139/E327, "NA")</f>
        <v>8.252613777630545E-2</v>
      </c>
      <c r="G139" s="9"/>
      <c r="H139" s="7">
        <v>15977.81</v>
      </c>
      <c r="I139" s="8">
        <f>IFERROR(H139/H327, "NA")</f>
        <v>4.723232517321016E-2</v>
      </c>
      <c r="J139" s="9"/>
      <c r="K139" s="7">
        <v>17093.810000000001</v>
      </c>
      <c r="L139" s="8">
        <f>IFERROR(K139/K327, "NA")</f>
        <v>7.3346359958706919E-2</v>
      </c>
      <c r="M139" s="9"/>
      <c r="N139" s="7">
        <v>13463.81</v>
      </c>
      <c r="O139" s="8">
        <f>IFERROR(N139/N327, "NA")</f>
        <v>3.6279570261024741E-2</v>
      </c>
      <c r="P139" s="9"/>
      <c r="Q139" s="7">
        <v>11977.46</v>
      </c>
      <c r="R139" s="8">
        <f>IFERROR(Q139/Q327, "NA")</f>
        <v>6.87861663393175E-2</v>
      </c>
      <c r="S139" s="9"/>
      <c r="T139" s="7">
        <v>11977.46</v>
      </c>
      <c r="U139" s="8">
        <f>IFERROR(T139/T327, "NA")</f>
        <v>6.773910953384138E-2</v>
      </c>
      <c r="V139" s="9"/>
      <c r="W139" s="7">
        <v>11977.46</v>
      </c>
      <c r="X139" s="8">
        <f>IFERROR(W139/W327, "NA")</f>
        <v>7.0909467651795011E-2</v>
      </c>
    </row>
    <row r="140" spans="1:24" ht="16.5" customHeight="1" x14ac:dyDescent="0.25">
      <c r="A140" s="6" t="s">
        <v>146</v>
      </c>
      <c r="B140" s="7">
        <v>0</v>
      </c>
      <c r="C140" s="8">
        <f>IFERROR(B140/B327, "NA")</f>
        <v>0</v>
      </c>
      <c r="D140" s="9"/>
      <c r="E140" s="7">
        <v>0</v>
      </c>
      <c r="F140" s="8">
        <f>IFERROR(E140/E327, "NA")</f>
        <v>0</v>
      </c>
      <c r="G140" s="9"/>
      <c r="H140" s="7">
        <v>0</v>
      </c>
      <c r="I140" s="8">
        <f>IFERROR(H140/H327, "NA")</f>
        <v>0</v>
      </c>
      <c r="J140" s="9"/>
      <c r="K140" s="7">
        <v>0</v>
      </c>
      <c r="L140" s="8">
        <f>IFERROR(K140/K327, "NA")</f>
        <v>0</v>
      </c>
      <c r="M140" s="9"/>
      <c r="N140" s="7">
        <v>0</v>
      </c>
      <c r="O140" s="8">
        <f>IFERROR(N140/N327, "NA")</f>
        <v>0</v>
      </c>
      <c r="P140" s="9"/>
      <c r="Q140" s="7">
        <v>0</v>
      </c>
      <c r="R140" s="8">
        <f>IFERROR(Q140/Q327, "NA")</f>
        <v>0</v>
      </c>
      <c r="S140" s="9"/>
      <c r="T140" s="7">
        <v>0</v>
      </c>
      <c r="U140" s="8">
        <f>IFERROR(T140/T327, "NA")</f>
        <v>0</v>
      </c>
      <c r="V140" s="9"/>
      <c r="W140" s="7">
        <v>0</v>
      </c>
      <c r="X140" s="8">
        <f>IFERROR(W140/W327, "NA")</f>
        <v>0</v>
      </c>
    </row>
    <row r="141" spans="1:24" ht="16.5" customHeight="1" x14ac:dyDescent="0.25">
      <c r="A141" s="6" t="s">
        <v>147</v>
      </c>
      <c r="B141" s="7">
        <v>4870.43</v>
      </c>
      <c r="C141" s="8">
        <f>IFERROR(B141/B327, "NA")</f>
        <v>1.2219059513031431E-2</v>
      </c>
      <c r="D141" s="9"/>
      <c r="E141" s="7">
        <v>13774.85</v>
      </c>
      <c r="F141" s="8">
        <f>IFERROR(E141/E327, "NA")</f>
        <v>6.6870463196232258E-2</v>
      </c>
      <c r="G141" s="9"/>
      <c r="H141" s="7">
        <v>2120.4299999999998</v>
      </c>
      <c r="I141" s="8">
        <f>IFERROR(H141/H327, "NA")</f>
        <v>6.2682457274826787E-3</v>
      </c>
      <c r="J141" s="9"/>
      <c r="K141" s="7">
        <v>7868.56</v>
      </c>
      <c r="L141" s="8">
        <f>IFERROR(K141/K327, "NA")</f>
        <v>3.3762527728849384E-2</v>
      </c>
      <c r="M141" s="9"/>
      <c r="N141" s="7">
        <v>7620.43</v>
      </c>
      <c r="O141" s="8">
        <f>IFERROR(N141/N327, "NA")</f>
        <v>2.0534003792702121E-2</v>
      </c>
      <c r="P141" s="9"/>
      <c r="Q141" s="7">
        <v>7579.71</v>
      </c>
      <c r="R141" s="8">
        <f>IFERROR(Q141/Q327, "NA")</f>
        <v>4.3530029978291584E-2</v>
      </c>
      <c r="S141" s="9"/>
      <c r="T141" s="7">
        <v>7605.63</v>
      </c>
      <c r="U141" s="8">
        <f>IFERROR(T141/T327, "NA")</f>
        <v>4.3014011622152785E-2</v>
      </c>
      <c r="V141" s="9"/>
      <c r="W141" s="7">
        <v>-7605.63</v>
      </c>
      <c r="X141" s="8">
        <f>IFERROR(W141/W327, "NA")</f>
        <v>-4.5027173913043478E-2</v>
      </c>
    </row>
    <row r="142" spans="1:24" ht="16.5" customHeight="1" x14ac:dyDescent="0.25">
      <c r="A142" s="6" t="s">
        <v>148</v>
      </c>
      <c r="B142" s="7">
        <v>0</v>
      </c>
      <c r="C142" s="8">
        <f>IFERROR(B142/B327, "NA")</f>
        <v>0</v>
      </c>
      <c r="D142" s="9"/>
      <c r="E142" s="7">
        <v>0</v>
      </c>
      <c r="F142" s="8">
        <f>IFERROR(E142/E327, "NA")</f>
        <v>0</v>
      </c>
      <c r="G142" s="9"/>
      <c r="H142" s="7">
        <v>0</v>
      </c>
      <c r="I142" s="8">
        <f>IFERROR(H142/H327, "NA")</f>
        <v>0</v>
      </c>
      <c r="J142" s="9"/>
      <c r="K142" s="7">
        <v>0</v>
      </c>
      <c r="L142" s="8">
        <f>IFERROR(K142/K327, "NA")</f>
        <v>0</v>
      </c>
      <c r="M142" s="9"/>
      <c r="N142" s="7">
        <v>15444</v>
      </c>
      <c r="O142" s="8">
        <f>IFERROR(N142/N327, "NA")</f>
        <v>4.1615388445860872E-2</v>
      </c>
      <c r="P142" s="9"/>
      <c r="Q142" s="7">
        <v>0</v>
      </c>
      <c r="R142" s="8">
        <f>IFERROR(Q142/Q327, "NA")</f>
        <v>0</v>
      </c>
      <c r="S142" s="9"/>
      <c r="T142" s="7">
        <v>0</v>
      </c>
      <c r="U142" s="8">
        <f>IFERROR(T142/T327, "NA")</f>
        <v>0</v>
      </c>
      <c r="V142" s="9"/>
      <c r="W142" s="7">
        <v>0</v>
      </c>
      <c r="X142" s="8">
        <f>IFERROR(W142/W327, "NA")</f>
        <v>0</v>
      </c>
    </row>
    <row r="143" spans="1:24" ht="16.5" customHeight="1" x14ac:dyDescent="0.25">
      <c r="A143" s="10" t="s">
        <v>149</v>
      </c>
      <c r="B143" s="11">
        <f>IFERROR(B122+B123+B124+B125+B126+B127+B128+B129+B130+B131+B132+B133+B134+B135+B136+B137+B138+B139+B140+B141+B142, "NA")</f>
        <v>27712.05</v>
      </c>
      <c r="C143" s="12">
        <f>IFERROR(B143/B327, "NA")</f>
        <v>6.9524700730346736E-2</v>
      </c>
      <c r="D143" s="2"/>
      <c r="E143" s="11">
        <f>IFERROR(E122+E123+E124+E125+E126+E127+E128+E129+E130+E131+E132+E133+E134+E135+E136+E137+E138+E139+E140+E141+E142, "NA")</f>
        <v>37005.440000000002</v>
      </c>
      <c r="F143" s="12">
        <f>IFERROR(E143/E327, "NA")</f>
        <v>0.17964412778218139</v>
      </c>
      <c r="G143" s="2"/>
      <c r="H143" s="11">
        <f>IFERROR(H122+H123+H124+H125+H126+H127+H128+H129+H130+H131+H132+H133+H134+H135+H136+H137+H138+H139+H140+H141+H142, "NA")</f>
        <v>25809.78</v>
      </c>
      <c r="I143" s="12">
        <f>IFERROR(H143/H327, "NA")</f>
        <v>7.6296809237875282E-2</v>
      </c>
      <c r="J143" s="2"/>
      <c r="K143" s="11">
        <f>IFERROR(K122+K123+K124+K125+K126+K127+K128+K129+K130+K131+K132+K133+K134+K135+K136+K137+K138+K139+K140+K141+K142, "NA")</f>
        <v>27173.910000000003</v>
      </c>
      <c r="L143" s="12">
        <f>IFERROR(K143/K327, "NA")</f>
        <v>0.11659819457133933</v>
      </c>
      <c r="M143" s="2"/>
      <c r="N143" s="11">
        <f>IFERROR(N122+N123+N124+N125+N126+N127+N128+N129+N130+N131+N132+N133+N134+N135+N136+N137+N138+N139+N140+N141+N142, "NA")</f>
        <v>48259.02</v>
      </c>
      <c r="O143" s="12">
        <f>IFERROR(N143/N327, "NA")</f>
        <v>0.13003871168845951</v>
      </c>
      <c r="P143" s="2"/>
      <c r="Q143" s="11">
        <f>IFERROR(Q122+Q123+Q124+Q125+Q126+Q127+Q128+Q129+Q130+Q131+Q132+Q133+Q134+Q135+Q136+Q137+Q138+Q139+Q140+Q141+Q142, "NA")</f>
        <v>21768.71</v>
      </c>
      <c r="R143" s="12">
        <f>IFERROR(Q143/Q327, "NA")</f>
        <v>0.12501699918449857</v>
      </c>
      <c r="S143" s="2"/>
      <c r="T143" s="11">
        <f>IFERROR(T122+T123+T124+T125+T126+T127+T128+T129+T130+T131+T132+T133+T134+T135+T136+T137+T138+T139+T140+T141+T142, "NA")</f>
        <v>31038.87</v>
      </c>
      <c r="U143" s="12">
        <f>IFERROR(T143/T327, "NA")</f>
        <v>0.17554184399168635</v>
      </c>
      <c r="V143" s="2"/>
      <c r="W143" s="11">
        <f>IFERROR(W122+W123+W124+W125+W126+W127+W128+W129+W130+W131+W132+W133+W134+W135+W136+W137+W138+W139+W140+W141+W142, "NA")</f>
        <v>2160.2899999999981</v>
      </c>
      <c r="X143" s="12">
        <f>IFERROR(W143/W327, "NA")</f>
        <v>1.2789440655489238E-2</v>
      </c>
    </row>
    <row r="144" spans="1:24" ht="16.5" customHeight="1" x14ac:dyDescent="0.25">
      <c r="A144" s="5" t="s">
        <v>150</v>
      </c>
      <c r="B144" s="2"/>
      <c r="C144" s="3"/>
      <c r="D144" s="4"/>
      <c r="E144" s="2"/>
      <c r="F144" s="3"/>
      <c r="G144" s="4"/>
      <c r="H144" s="2"/>
      <c r="I144" s="3"/>
      <c r="J144" s="4"/>
      <c r="K144" s="2"/>
      <c r="L144" s="3"/>
      <c r="M144" s="4"/>
      <c r="N144" s="2"/>
      <c r="O144" s="3"/>
      <c r="P144" s="4"/>
      <c r="Q144" s="2"/>
      <c r="R144" s="3"/>
      <c r="S144" s="4"/>
      <c r="T144" s="2"/>
      <c r="U144" s="3"/>
      <c r="V144" s="4"/>
      <c r="W144" s="2"/>
      <c r="X144" s="3"/>
    </row>
    <row r="145" spans="1:24" ht="16.5" customHeight="1" x14ac:dyDescent="0.25">
      <c r="A145" s="6" t="s">
        <v>151</v>
      </c>
      <c r="B145" s="7">
        <v>0</v>
      </c>
      <c r="C145" s="8">
        <f>IFERROR(B145/B327, "NA")</f>
        <v>0</v>
      </c>
      <c r="D145" s="9"/>
      <c r="E145" s="7">
        <v>0</v>
      </c>
      <c r="F145" s="8">
        <f>IFERROR(E145/E327, "NA")</f>
        <v>0</v>
      </c>
      <c r="G145" s="9"/>
      <c r="H145" s="7">
        <v>0</v>
      </c>
      <c r="I145" s="8">
        <f>IFERROR(H145/H327, "NA")</f>
        <v>0</v>
      </c>
      <c r="J145" s="9"/>
      <c r="K145" s="7">
        <v>0</v>
      </c>
      <c r="L145" s="8">
        <f>IFERROR(K145/K327, "NA")</f>
        <v>0</v>
      </c>
      <c r="M145" s="9"/>
      <c r="N145" s="7">
        <v>0</v>
      </c>
      <c r="O145" s="8">
        <f>IFERROR(N145/N327, "NA")</f>
        <v>0</v>
      </c>
      <c r="P145" s="9"/>
      <c r="Q145" s="7">
        <v>0</v>
      </c>
      <c r="R145" s="8">
        <f>IFERROR(Q145/Q327, "NA")</f>
        <v>0</v>
      </c>
      <c r="S145" s="9"/>
      <c r="T145" s="7">
        <v>0</v>
      </c>
      <c r="U145" s="8">
        <f>IFERROR(T145/T327, "NA")</f>
        <v>0</v>
      </c>
      <c r="V145" s="9"/>
      <c r="W145" s="7">
        <v>0</v>
      </c>
      <c r="X145" s="8">
        <f>IFERROR(W145/W327, "NA")</f>
        <v>0</v>
      </c>
    </row>
    <row r="146" spans="1:24" ht="16.5" customHeight="1" x14ac:dyDescent="0.25">
      <c r="A146" s="6" t="s">
        <v>152</v>
      </c>
      <c r="B146" s="7">
        <v>8181.27</v>
      </c>
      <c r="C146" s="8">
        <f>IFERROR(B146/B327, "NA")</f>
        <v>2.052537969382142E-2</v>
      </c>
      <c r="D146" s="9"/>
      <c r="E146" s="7">
        <v>8421.39</v>
      </c>
      <c r="F146" s="8">
        <f>IFERROR(E146/E327, "NA")</f>
        <v>4.0881915233640896E-2</v>
      </c>
      <c r="G146" s="9"/>
      <c r="H146" s="7">
        <v>7980</v>
      </c>
      <c r="I146" s="8">
        <f>IFERROR(H146/H327, "NA")</f>
        <v>2.3589838337182447E-2</v>
      </c>
      <c r="J146" s="9"/>
      <c r="K146" s="7">
        <v>7391.18</v>
      </c>
      <c r="L146" s="8">
        <f>IFERROR(K146/K327, "NA")</f>
        <v>3.171417892205397E-2</v>
      </c>
      <c r="M146" s="9"/>
      <c r="N146" s="7">
        <v>7215.85</v>
      </c>
      <c r="O146" s="8">
        <f>IFERROR(N146/N327, "NA")</f>
        <v>1.9443822890252861E-2</v>
      </c>
      <c r="P146" s="9"/>
      <c r="Q146" s="7">
        <v>7634.74</v>
      </c>
      <c r="R146" s="8">
        <f>IFERROR(Q146/Q327, "NA")</f>
        <v>4.3846065492804058E-2</v>
      </c>
      <c r="S146" s="9"/>
      <c r="T146" s="7">
        <v>5902.28</v>
      </c>
      <c r="U146" s="8">
        <f>IFERROR(T146/T327, "NA")</f>
        <v>3.3380632573133312E-2</v>
      </c>
      <c r="V146" s="9"/>
      <c r="W146" s="7">
        <v>-5212.47</v>
      </c>
      <c r="X146" s="8">
        <f>IFERROR(W146/W327, "NA")</f>
        <v>-3.0859086388178462E-2</v>
      </c>
    </row>
    <row r="147" spans="1:24" ht="16.5" customHeight="1" x14ac:dyDescent="0.25">
      <c r="A147" s="6" t="s">
        <v>153</v>
      </c>
      <c r="B147" s="7">
        <v>830.54</v>
      </c>
      <c r="C147" s="8">
        <f>IFERROR(B147/B327, "NA")</f>
        <v>2.0836800216722392E-3</v>
      </c>
      <c r="D147" s="9"/>
      <c r="E147" s="7">
        <v>39.880000000000003</v>
      </c>
      <c r="F147" s="8">
        <f>IFERROR(E147/E327, "NA")</f>
        <v>1.9359877401683087E-4</v>
      </c>
      <c r="G147" s="9"/>
      <c r="H147" s="7">
        <v>846.47</v>
      </c>
      <c r="I147" s="8">
        <f>IFERROR(H147/H327, "NA")</f>
        <v>2.5022669745958432E-3</v>
      </c>
      <c r="J147" s="9"/>
      <c r="K147" s="7">
        <v>102.52</v>
      </c>
      <c r="L147" s="8">
        <f>IFERROR(K147/K327, "NA")</f>
        <v>4.3989425546245298E-4</v>
      </c>
      <c r="M147" s="9"/>
      <c r="N147" s="7">
        <v>698.48</v>
      </c>
      <c r="O147" s="8">
        <f>IFERROR(N147/N327, "NA")</f>
        <v>1.8821235769013794E-3</v>
      </c>
      <c r="P147" s="9"/>
      <c r="Q147" s="7">
        <v>624.48</v>
      </c>
      <c r="R147" s="8">
        <f>IFERROR(Q147/Q327, "NA")</f>
        <v>3.5863684917818131E-3</v>
      </c>
      <c r="S147" s="9"/>
      <c r="T147" s="7">
        <v>611.9</v>
      </c>
      <c r="U147" s="8">
        <f>IFERROR(T147/T327, "NA")</f>
        <v>3.4606303109137953E-3</v>
      </c>
      <c r="V147" s="9"/>
      <c r="W147" s="7">
        <v>-241.5</v>
      </c>
      <c r="X147" s="8">
        <f>IFERROR(W147/W327, "NA")</f>
        <v>-1.4297385620915032E-3</v>
      </c>
    </row>
    <row r="148" spans="1:24" ht="16.5" customHeight="1" x14ac:dyDescent="0.25">
      <c r="A148" s="6" t="s">
        <v>154</v>
      </c>
      <c r="B148" s="7">
        <v>0</v>
      </c>
      <c r="C148" s="8">
        <f>IFERROR(B148/B327, "NA")</f>
        <v>0</v>
      </c>
      <c r="D148" s="9"/>
      <c r="E148" s="7">
        <v>2065.86</v>
      </c>
      <c r="F148" s="8">
        <f>IFERROR(E148/E327, "NA")</f>
        <v>1.0028785438575983E-2</v>
      </c>
      <c r="G148" s="9"/>
      <c r="H148" s="7">
        <v>0</v>
      </c>
      <c r="I148" s="8">
        <f>IFERROR(H148/H327, "NA")</f>
        <v>0</v>
      </c>
      <c r="J148" s="9"/>
      <c r="K148" s="7">
        <v>0</v>
      </c>
      <c r="L148" s="8">
        <f>IFERROR(K148/K327, "NA")</f>
        <v>0</v>
      </c>
      <c r="M148" s="9"/>
      <c r="N148" s="7">
        <v>0</v>
      </c>
      <c r="O148" s="8">
        <f>IFERROR(N148/N327, "NA")</f>
        <v>0</v>
      </c>
      <c r="P148" s="9"/>
      <c r="Q148" s="7">
        <v>0</v>
      </c>
      <c r="R148" s="8">
        <f>IFERROR(Q148/Q327, "NA")</f>
        <v>0</v>
      </c>
      <c r="S148" s="9"/>
      <c r="T148" s="7">
        <v>0</v>
      </c>
      <c r="U148" s="8">
        <f>IFERROR(T148/T327, "NA")</f>
        <v>0</v>
      </c>
      <c r="V148" s="9"/>
      <c r="W148" s="7">
        <v>0</v>
      </c>
      <c r="X148" s="8">
        <f>IFERROR(W148/W327, "NA")</f>
        <v>0</v>
      </c>
    </row>
    <row r="149" spans="1:24" ht="16.5" customHeight="1" x14ac:dyDescent="0.25">
      <c r="A149" s="6" t="s">
        <v>155</v>
      </c>
      <c r="B149" s="7">
        <v>2577.63</v>
      </c>
      <c r="C149" s="8">
        <f>IFERROR(B149/B327, "NA")</f>
        <v>6.4668241556854744E-3</v>
      </c>
      <c r="D149" s="9"/>
      <c r="E149" s="7">
        <v>-1159.6099999999999</v>
      </c>
      <c r="F149" s="8">
        <f>IFERROR(E149/E327, "NA")</f>
        <v>-5.6293649533013341E-3</v>
      </c>
      <c r="G149" s="9"/>
      <c r="H149" s="7">
        <v>2627.09</v>
      </c>
      <c r="I149" s="8">
        <f>IFERROR(H149/H327, "NA")</f>
        <v>7.7659935334872983E-3</v>
      </c>
      <c r="J149" s="9"/>
      <c r="K149" s="7">
        <v>-1198.47</v>
      </c>
      <c r="L149" s="8">
        <f>IFERROR(K149/K327, "NA")</f>
        <v>-5.1424119034733321E-3</v>
      </c>
      <c r="M149" s="9"/>
      <c r="N149" s="7">
        <v>2167.7600000000002</v>
      </c>
      <c r="O149" s="8">
        <f>IFERROR(N149/N327, "NA")</f>
        <v>5.8412441373607467E-3</v>
      </c>
      <c r="P149" s="9"/>
      <c r="Q149" s="7">
        <v>-194.28</v>
      </c>
      <c r="R149" s="8">
        <f>IFERROR(Q149/Q327, "NA")</f>
        <v>-1.1157437717514904E-3</v>
      </c>
      <c r="S149" s="9"/>
      <c r="T149" s="7">
        <v>1899.09</v>
      </c>
      <c r="U149" s="8">
        <f>IFERROR(T149/T327, "NA")</f>
        <v>1.0740396171193461E-2</v>
      </c>
      <c r="V149" s="9"/>
      <c r="W149" s="7">
        <v>-749.51</v>
      </c>
      <c r="X149" s="8">
        <f>IFERROR(W149/W327, "NA")</f>
        <v>-4.437280951027754E-3</v>
      </c>
    </row>
    <row r="150" spans="1:24" ht="16.5" customHeight="1" x14ac:dyDescent="0.25">
      <c r="A150" s="6" t="s">
        <v>156</v>
      </c>
      <c r="B150" s="7">
        <v>1311.97</v>
      </c>
      <c r="C150" s="8">
        <f>IFERROR(B150/B327, "NA")</f>
        <v>3.2915039348295418E-3</v>
      </c>
      <c r="D150" s="9"/>
      <c r="E150" s="7">
        <v>1679.6</v>
      </c>
      <c r="F150" s="8">
        <f>IFERROR(E150/E327, "NA")</f>
        <v>8.153673541591501E-3</v>
      </c>
      <c r="G150" s="9"/>
      <c r="H150" s="7">
        <v>1679.6</v>
      </c>
      <c r="I150" s="8">
        <f>IFERROR(H150/H327, "NA")</f>
        <v>4.9650993071593532E-3</v>
      </c>
      <c r="J150" s="9"/>
      <c r="K150" s="7">
        <v>1679.6</v>
      </c>
      <c r="L150" s="8">
        <f>IFERROR(K150/K327, "NA")</f>
        <v>7.2068512629217324E-3</v>
      </c>
      <c r="M150" s="9"/>
      <c r="N150" s="7">
        <v>1679.6</v>
      </c>
      <c r="O150" s="8">
        <f>IFERROR(N150/N327, "NA")</f>
        <v>4.5258486424286405E-3</v>
      </c>
      <c r="P150" s="9"/>
      <c r="Q150" s="7">
        <v>1266.53</v>
      </c>
      <c r="R150" s="8">
        <f>IFERROR(Q150/Q327, "NA")</f>
        <v>7.2736409266852741E-3</v>
      </c>
      <c r="S150" s="9"/>
      <c r="T150" s="7">
        <v>1266.53</v>
      </c>
      <c r="U150" s="8">
        <f>IFERROR(T150/T327, "NA")</f>
        <v>7.1629222220651236E-3</v>
      </c>
      <c r="V150" s="9"/>
      <c r="W150" s="7">
        <v>1266.53</v>
      </c>
      <c r="X150" s="8">
        <f>IFERROR(W150/W327, "NA")</f>
        <v>7.4981647248271287E-3</v>
      </c>
    </row>
    <row r="151" spans="1:24" ht="16.5" customHeight="1" x14ac:dyDescent="0.25">
      <c r="A151" s="10" t="s">
        <v>157</v>
      </c>
      <c r="B151" s="11">
        <f>IFERROR(B145+B146+B147+B148+B149+B150, "NA")</f>
        <v>12901.410000000002</v>
      </c>
      <c r="C151" s="12">
        <f>IFERROR(B151/B327, "NA")</f>
        <v>3.2367387806008674E-2</v>
      </c>
      <c r="D151" s="2"/>
      <c r="E151" s="11">
        <f>IFERROR(E145+E146+E147+E148+E149+E150, "NA")</f>
        <v>11047.119999999999</v>
      </c>
      <c r="F151" s="12">
        <f>IFERROR(E151/E327, "NA")</f>
        <v>5.3628608034523878E-2</v>
      </c>
      <c r="G151" s="2"/>
      <c r="H151" s="11">
        <f>IFERROR(H145+H146+H147+H148+H149+H150, "NA")</f>
        <v>13133.16</v>
      </c>
      <c r="I151" s="12">
        <f>IFERROR(H151/H327, "NA")</f>
        <v>3.8823198152424944E-2</v>
      </c>
      <c r="J151" s="2"/>
      <c r="K151" s="11">
        <f>IFERROR(K145+K146+K147+K148+K149+K150, "NA")</f>
        <v>7974.83</v>
      </c>
      <c r="L151" s="12">
        <f>IFERROR(K151/K327, "NA")</f>
        <v>3.4218512536964826E-2</v>
      </c>
      <c r="M151" s="2"/>
      <c r="N151" s="11">
        <f>IFERROR(N145+N146+N147+N148+N149+N150, "NA")</f>
        <v>11761.69</v>
      </c>
      <c r="O151" s="12">
        <f>IFERROR(N151/N327, "NA")</f>
        <v>3.1693039246943625E-2</v>
      </c>
      <c r="P151" s="2"/>
      <c r="Q151" s="11">
        <f>IFERROR(Q145+Q146+Q147+Q148+Q149+Q150, "NA")</f>
        <v>9331.4699999999993</v>
      </c>
      <c r="R151" s="12">
        <f>IFERROR(Q151/Q327, "NA")</f>
        <v>5.3590331139519658E-2</v>
      </c>
      <c r="S151" s="2"/>
      <c r="T151" s="11">
        <f>IFERROR(T145+T146+T147+T148+T149+T150, "NA")</f>
        <v>9679.7999999999993</v>
      </c>
      <c r="U151" s="12">
        <f>IFERROR(T151/T327, "NA")</f>
        <v>5.4744581277305693E-2</v>
      </c>
      <c r="V151" s="2"/>
      <c r="W151" s="11">
        <f>IFERROR(W145+W146+W147+W148+W149+W150, "NA")</f>
        <v>-4936.9500000000007</v>
      </c>
      <c r="X151" s="12">
        <f>IFERROR(W151/W327, "NA")</f>
        <v>-2.9227941176470592E-2</v>
      </c>
    </row>
    <row r="152" spans="1:24" ht="16.5" customHeight="1" x14ac:dyDescent="0.25">
      <c r="A152" s="13" t="s">
        <v>158</v>
      </c>
      <c r="B152" s="7">
        <v>0</v>
      </c>
      <c r="C152" s="8">
        <f>IFERROR(B152/B327, "NA")</f>
        <v>0</v>
      </c>
      <c r="D152" s="9"/>
      <c r="E152" s="7">
        <v>0</v>
      </c>
      <c r="F152" s="8">
        <f>IFERROR(E152/E327, "NA")</f>
        <v>0</v>
      </c>
      <c r="G152" s="9"/>
      <c r="H152" s="7">
        <v>0</v>
      </c>
      <c r="I152" s="8">
        <f>IFERROR(H152/H327, "NA")</f>
        <v>0</v>
      </c>
      <c r="J152" s="9"/>
      <c r="K152" s="7">
        <v>0</v>
      </c>
      <c r="L152" s="8">
        <f>IFERROR(K152/K327, "NA")</f>
        <v>0</v>
      </c>
      <c r="M152" s="9"/>
      <c r="N152" s="7">
        <v>0</v>
      </c>
      <c r="O152" s="8">
        <f>IFERROR(N152/N327, "NA")</f>
        <v>0</v>
      </c>
      <c r="P152" s="9"/>
      <c r="Q152" s="7">
        <v>0</v>
      </c>
      <c r="R152" s="8">
        <f>IFERROR(Q152/Q327, "NA")</f>
        <v>0</v>
      </c>
      <c r="S152" s="9"/>
      <c r="T152" s="7">
        <v>0</v>
      </c>
      <c r="U152" s="8">
        <f>IFERROR(T152/T327, "NA")</f>
        <v>0</v>
      </c>
      <c r="V152" s="9"/>
      <c r="W152" s="7">
        <v>0</v>
      </c>
      <c r="X152" s="8">
        <f>IFERROR(W152/W327, "NA")</f>
        <v>0</v>
      </c>
    </row>
    <row r="153" spans="1:24" ht="16.5" customHeight="1" x14ac:dyDescent="0.25">
      <c r="A153" s="13" t="s">
        <v>159</v>
      </c>
      <c r="B153" s="7">
        <v>8190.83</v>
      </c>
      <c r="C153" s="8">
        <f>IFERROR(B153/B327, "NA")</f>
        <v>2.0549364066647754E-2</v>
      </c>
      <c r="D153" s="9"/>
      <c r="E153" s="7">
        <v>0</v>
      </c>
      <c r="F153" s="8">
        <f>IFERROR(E153/E327, "NA")</f>
        <v>0</v>
      </c>
      <c r="G153" s="9"/>
      <c r="H153" s="7">
        <v>0</v>
      </c>
      <c r="I153" s="8">
        <f>IFERROR(H153/H327, "NA")</f>
        <v>0</v>
      </c>
      <c r="J153" s="9"/>
      <c r="K153" s="7">
        <v>10687.52</v>
      </c>
      <c r="L153" s="8">
        <f>IFERROR(K153/K327, "NA")</f>
        <v>4.5858160877292976E-2</v>
      </c>
      <c r="M153" s="9"/>
      <c r="N153" s="7">
        <v>3752.16</v>
      </c>
      <c r="O153" s="8">
        <f>IFERROR(N153/N327, "NA")</f>
        <v>1.0110566945805576E-2</v>
      </c>
      <c r="P153" s="9"/>
      <c r="Q153" s="7">
        <v>0</v>
      </c>
      <c r="R153" s="8">
        <f>IFERROR(Q153/Q327, "NA")</f>
        <v>0</v>
      </c>
      <c r="S153" s="9"/>
      <c r="T153" s="7">
        <v>0</v>
      </c>
      <c r="U153" s="8">
        <f>IFERROR(T153/T327, "NA")</f>
        <v>0</v>
      </c>
      <c r="V153" s="9"/>
      <c r="W153" s="7">
        <v>0</v>
      </c>
      <c r="X153" s="8">
        <f>IFERROR(W153/W327, "NA")</f>
        <v>0</v>
      </c>
    </row>
    <row r="154" spans="1:24" ht="16.5" customHeight="1" x14ac:dyDescent="0.25">
      <c r="A154" s="13" t="s">
        <v>160</v>
      </c>
      <c r="B154" s="7">
        <v>369.77</v>
      </c>
      <c r="C154" s="8">
        <f>IFERROR(B154/B327, "NA")</f>
        <v>9.2768844560616446E-4</v>
      </c>
      <c r="D154" s="9"/>
      <c r="E154" s="7">
        <v>0</v>
      </c>
      <c r="F154" s="8">
        <f>IFERROR(E154/E327, "NA")</f>
        <v>0</v>
      </c>
      <c r="G154" s="9"/>
      <c r="H154" s="7">
        <v>0</v>
      </c>
      <c r="I154" s="8">
        <f>IFERROR(H154/H327, "NA")</f>
        <v>0</v>
      </c>
      <c r="J154" s="9"/>
      <c r="K154" s="7">
        <v>-102.94</v>
      </c>
      <c r="L154" s="8">
        <f>IFERROR(K154/K327, "NA")</f>
        <v>-4.416963973595875E-4</v>
      </c>
      <c r="M154" s="9"/>
      <c r="N154" s="7">
        <v>0</v>
      </c>
      <c r="O154" s="8">
        <f>IFERROR(N154/N327, "NA")</f>
        <v>0</v>
      </c>
      <c r="P154" s="9"/>
      <c r="Q154" s="7">
        <v>0</v>
      </c>
      <c r="R154" s="8">
        <f>IFERROR(Q154/Q327, "NA")</f>
        <v>0</v>
      </c>
      <c r="S154" s="9"/>
      <c r="T154" s="7">
        <v>0</v>
      </c>
      <c r="U154" s="8">
        <f>IFERROR(T154/T327, "NA")</f>
        <v>0</v>
      </c>
      <c r="V154" s="9"/>
      <c r="W154" s="7">
        <v>0</v>
      </c>
      <c r="X154" s="8">
        <f>IFERROR(W154/W327, "NA")</f>
        <v>0</v>
      </c>
    </row>
    <row r="155" spans="1:24" ht="16.5" customHeight="1" x14ac:dyDescent="0.25">
      <c r="A155" s="13" t="s">
        <v>161</v>
      </c>
      <c r="B155" s="7">
        <v>0</v>
      </c>
      <c r="C155" s="8">
        <f>IFERROR(B155/B327, "NA")</f>
        <v>0</v>
      </c>
      <c r="D155" s="9"/>
      <c r="E155" s="7">
        <v>0</v>
      </c>
      <c r="F155" s="8">
        <f>IFERROR(E155/E327, "NA")</f>
        <v>0</v>
      </c>
      <c r="G155" s="9"/>
      <c r="H155" s="7">
        <v>0</v>
      </c>
      <c r="I155" s="8">
        <f>IFERROR(H155/H327, "NA")</f>
        <v>0</v>
      </c>
      <c r="J155" s="9"/>
      <c r="K155" s="7">
        <v>-12.41</v>
      </c>
      <c r="L155" s="8">
        <f>IFERROR(K155/K327, "NA")</f>
        <v>-5.3249002246284055E-5</v>
      </c>
      <c r="M155" s="9"/>
      <c r="N155" s="7">
        <v>0</v>
      </c>
      <c r="O155" s="8">
        <f>IFERROR(N155/N327, "NA")</f>
        <v>0</v>
      </c>
      <c r="P155" s="9"/>
      <c r="Q155" s="7">
        <v>0</v>
      </c>
      <c r="R155" s="8">
        <f>IFERROR(Q155/Q327, "NA")</f>
        <v>0</v>
      </c>
      <c r="S155" s="9"/>
      <c r="T155" s="7">
        <v>0</v>
      </c>
      <c r="U155" s="8">
        <f>IFERROR(T155/T327, "NA")</f>
        <v>0</v>
      </c>
      <c r="V155" s="9"/>
      <c r="W155" s="7">
        <v>0</v>
      </c>
      <c r="X155" s="8">
        <f>IFERROR(W155/W327, "NA")</f>
        <v>0</v>
      </c>
    </row>
    <row r="156" spans="1:24" ht="16.5" customHeight="1" x14ac:dyDescent="0.25">
      <c r="A156" s="13" t="s">
        <v>162</v>
      </c>
      <c r="B156" s="7">
        <v>0</v>
      </c>
      <c r="C156" s="8">
        <f>IFERROR(B156/B327, "NA")</f>
        <v>0</v>
      </c>
      <c r="D156" s="9"/>
      <c r="E156" s="7">
        <v>0</v>
      </c>
      <c r="F156" s="8">
        <f>IFERROR(E156/E327, "NA")</f>
        <v>0</v>
      </c>
      <c r="G156" s="9"/>
      <c r="H156" s="7">
        <v>0</v>
      </c>
      <c r="I156" s="8">
        <f>IFERROR(H156/H327, "NA")</f>
        <v>0</v>
      </c>
      <c r="J156" s="9"/>
      <c r="K156" s="7">
        <v>0</v>
      </c>
      <c r="L156" s="8">
        <f>IFERROR(K156/K327, "NA")</f>
        <v>0</v>
      </c>
      <c r="M156" s="9"/>
      <c r="N156" s="7">
        <v>0</v>
      </c>
      <c r="O156" s="8">
        <f>IFERROR(N156/N327, "NA")</f>
        <v>0</v>
      </c>
      <c r="P156" s="9"/>
      <c r="Q156" s="7">
        <v>0</v>
      </c>
      <c r="R156" s="8">
        <f>IFERROR(Q156/Q327, "NA")</f>
        <v>0</v>
      </c>
      <c r="S156" s="9"/>
      <c r="T156" s="7">
        <v>0</v>
      </c>
      <c r="U156" s="8">
        <f>IFERROR(T156/T327, "NA")</f>
        <v>0</v>
      </c>
      <c r="V156" s="9"/>
      <c r="W156" s="7">
        <v>0</v>
      </c>
      <c r="X156" s="8">
        <f>IFERROR(W156/W327, "NA")</f>
        <v>0</v>
      </c>
    </row>
    <row r="157" spans="1:24" ht="16.5" customHeight="1" x14ac:dyDescent="0.25">
      <c r="A157" s="14" t="s">
        <v>163</v>
      </c>
      <c r="B157" s="11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  <v>163604.51999999996</v>
      </c>
      <c r="C157" s="12">
        <f>IFERROR(B157/B327, "NA")</f>
        <v>0.41045520959770293</v>
      </c>
      <c r="D157" s="2"/>
      <c r="E157" s="11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  <v>102148.83000000002</v>
      </c>
      <c r="F157" s="12">
        <f>IFERROR(E157/E327, "NA")</f>
        <v>0.49588486096423456</v>
      </c>
      <c r="G157" s="2"/>
      <c r="H157" s="11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  <v>98328.529999999984</v>
      </c>
      <c r="I157" s="12">
        <f>IFERROR(H157/H327, "NA")</f>
        <v>0.29067094318706693</v>
      </c>
      <c r="J157" s="2"/>
      <c r="K157" s="11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107921.36000000002</v>
      </c>
      <c r="L157" s="12">
        <f>IFERROR(K157/K327, "NA")</f>
        <v>0.46307048678984941</v>
      </c>
      <c r="M157" s="2"/>
      <c r="N157" s="11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138387.43999999997</v>
      </c>
      <c r="O157" s="12">
        <f>IFERROR(N157/N327, "NA")</f>
        <v>0.37289867078660088</v>
      </c>
      <c r="P157" s="2"/>
      <c r="Q157" s="11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85660.030000000013</v>
      </c>
      <c r="R157" s="12">
        <f>IFERROR(Q157/Q327, "NA")</f>
        <v>0.49194278855541396</v>
      </c>
      <c r="S157" s="2"/>
      <c r="T157" s="11">
        <f>IFERROR(T55+T56+T57+T58+T59+T60+T61+T62+T63+T64+T66+T68+T69+T70+T71+T72+T73+T74+T75+T78+T79+T82+T84+T85+T86+T87+T88+T89+T90+T91+T92+T93+T94+T95+T96+T97+T98+T99+T100+T101+T102+T103+T104+T105+T106+T107+T108+T109+T110+T111+T112+T113+T114+T115+T116+T117+T118+T122+T123+T124+T125+T126+T127+T128+T129+T130+T131+T132+T133+T134+T135+T136+T137+T138+T139+T140+T141+T142+T145+T146+T147+T148+T149+T150+T152+T153+T154+T155+T156, "NA")</f>
        <v>93467</v>
      </c>
      <c r="U157" s="12">
        <f>IFERROR(T157/T327, "NA")</f>
        <v>0.52860717971920201</v>
      </c>
      <c r="V157" s="2"/>
      <c r="W157" s="11">
        <f>IFERROR(W55+W56+W57+W58+W59+W60+W61+W62+W63+W64+W66+W68+W69+W70+W71+W72+W73+W74+W75+W78+W79+W82+W84+W85+W86+W87+W88+W89+W90+W91+W92+W93+W94+W95+W96+W97+W98+W99+W100+W101+W102+W103+W104+W105+W106+W107+W108+W109+W110+W111+W112+W113+W114+W115+W116+W117+W118+W122+W123+W124+W125+W126+W127+W128+W129+W130+W131+W132+W133+W134+W135+W136+W137+W138+W139+W140+W141+W142+W145+W146+W147+W148+W149+W150+W152+W153+W154+W155+W156, "NA")</f>
        <v>13833.309999999998</v>
      </c>
      <c r="X157" s="12">
        <f>IFERROR(W157/W327, "NA")</f>
        <v>8.1896549682674985E-2</v>
      </c>
    </row>
    <row r="158" spans="1:24" ht="16.5" customHeight="1" x14ac:dyDescent="0.25">
      <c r="A158" s="1" t="s">
        <v>164</v>
      </c>
      <c r="B158" s="2"/>
      <c r="C158" s="3"/>
      <c r="D158" s="4"/>
      <c r="E158" s="2"/>
      <c r="F158" s="3"/>
      <c r="G158" s="4"/>
      <c r="H158" s="2"/>
      <c r="I158" s="3"/>
      <c r="J158" s="4"/>
      <c r="K158" s="2"/>
      <c r="L158" s="3"/>
      <c r="M158" s="4"/>
      <c r="N158" s="2"/>
      <c r="O158" s="3"/>
      <c r="P158" s="4"/>
      <c r="Q158" s="2"/>
      <c r="R158" s="3"/>
      <c r="S158" s="4"/>
      <c r="T158" s="2"/>
      <c r="U158" s="3"/>
      <c r="V158" s="4"/>
      <c r="W158" s="2"/>
      <c r="X158" s="3"/>
    </row>
    <row r="159" spans="1:24" ht="16.5" customHeight="1" x14ac:dyDescent="0.25">
      <c r="A159" s="5" t="s">
        <v>165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</row>
    <row r="160" spans="1:24" ht="16.5" customHeight="1" x14ac:dyDescent="0.25">
      <c r="A160" s="6" t="s">
        <v>166</v>
      </c>
      <c r="B160" s="7">
        <v>0</v>
      </c>
      <c r="C160" s="8">
        <f>IFERROR(B160/B327, "NA")</f>
        <v>0</v>
      </c>
      <c r="D160" s="9"/>
      <c r="E160" s="7">
        <v>0</v>
      </c>
      <c r="F160" s="8">
        <f>IFERROR(E160/E327, "NA")</f>
        <v>0</v>
      </c>
      <c r="G160" s="9"/>
      <c r="H160" s="7">
        <v>0</v>
      </c>
      <c r="I160" s="8">
        <f>IFERROR(H160/H327, "NA")</f>
        <v>0</v>
      </c>
      <c r="J160" s="9"/>
      <c r="K160" s="7">
        <v>0</v>
      </c>
      <c r="L160" s="8">
        <f>IFERROR(K160/K327, "NA")</f>
        <v>0</v>
      </c>
      <c r="M160" s="9"/>
      <c r="N160" s="7">
        <v>0</v>
      </c>
      <c r="O160" s="8">
        <f>IFERROR(N160/N327, "NA")</f>
        <v>0</v>
      </c>
      <c r="P160" s="9"/>
      <c r="Q160" s="7">
        <v>0</v>
      </c>
      <c r="R160" s="8">
        <f>IFERROR(Q160/Q327, "NA")</f>
        <v>0</v>
      </c>
      <c r="S160" s="9"/>
      <c r="T160" s="7">
        <v>0</v>
      </c>
      <c r="U160" s="8">
        <f>IFERROR(T160/T327, "NA")</f>
        <v>0</v>
      </c>
      <c r="V160" s="9"/>
      <c r="W160" s="7">
        <v>0</v>
      </c>
      <c r="X160" s="8">
        <f>IFERROR(W160/W327, "NA")</f>
        <v>0</v>
      </c>
    </row>
    <row r="161" spans="1:24" ht="16.5" customHeight="1" x14ac:dyDescent="0.25">
      <c r="A161" s="6" t="s">
        <v>167</v>
      </c>
      <c r="B161" s="7">
        <v>0</v>
      </c>
      <c r="C161" s="8">
        <f>IFERROR(B161/B327, "NA")</f>
        <v>0</v>
      </c>
      <c r="D161" s="9"/>
      <c r="E161" s="7">
        <v>0</v>
      </c>
      <c r="F161" s="8">
        <f>IFERROR(E161/E327, "NA")</f>
        <v>0</v>
      </c>
      <c r="G161" s="9"/>
      <c r="H161" s="7">
        <v>0</v>
      </c>
      <c r="I161" s="8">
        <f>IFERROR(H161/H327, "NA")</f>
        <v>0</v>
      </c>
      <c r="J161" s="9"/>
      <c r="K161" s="7">
        <v>0</v>
      </c>
      <c r="L161" s="8">
        <f>IFERROR(K161/K327, "NA")</f>
        <v>0</v>
      </c>
      <c r="M161" s="9"/>
      <c r="N161" s="7">
        <v>0</v>
      </c>
      <c r="O161" s="8">
        <f>IFERROR(N161/N327, "NA")</f>
        <v>0</v>
      </c>
      <c r="P161" s="9"/>
      <c r="Q161" s="7">
        <v>0</v>
      </c>
      <c r="R161" s="8">
        <f>IFERROR(Q161/Q327, "NA")</f>
        <v>0</v>
      </c>
      <c r="S161" s="9"/>
      <c r="T161" s="7">
        <v>0</v>
      </c>
      <c r="U161" s="8">
        <f>IFERROR(T161/T327, "NA")</f>
        <v>0</v>
      </c>
      <c r="V161" s="9"/>
      <c r="W161" s="7">
        <v>0</v>
      </c>
      <c r="X161" s="8">
        <f>IFERROR(W161/W327, "NA")</f>
        <v>0</v>
      </c>
    </row>
    <row r="162" spans="1:24" ht="16.5" customHeight="1" x14ac:dyDescent="0.25">
      <c r="A162" s="6" t="s">
        <v>168</v>
      </c>
      <c r="B162" s="7">
        <v>0</v>
      </c>
      <c r="C162" s="8">
        <f>IFERROR(B162/B327, "NA")</f>
        <v>0</v>
      </c>
      <c r="D162" s="9"/>
      <c r="E162" s="7">
        <v>0</v>
      </c>
      <c r="F162" s="8">
        <f>IFERROR(E162/E327, "NA")</f>
        <v>0</v>
      </c>
      <c r="G162" s="9"/>
      <c r="H162" s="7">
        <v>0</v>
      </c>
      <c r="I162" s="8">
        <f>IFERROR(H162/H327, "NA")</f>
        <v>0</v>
      </c>
      <c r="J162" s="9"/>
      <c r="K162" s="7">
        <v>0</v>
      </c>
      <c r="L162" s="8">
        <f>IFERROR(K162/K327, "NA")</f>
        <v>0</v>
      </c>
      <c r="M162" s="9"/>
      <c r="N162" s="7">
        <v>0</v>
      </c>
      <c r="O162" s="8">
        <f>IFERROR(N162/N327, "NA")</f>
        <v>0</v>
      </c>
      <c r="P162" s="9"/>
      <c r="Q162" s="7">
        <v>102.28</v>
      </c>
      <c r="R162" s="8">
        <f>IFERROR(Q162/Q327, "NA")</f>
        <v>5.8739074003882246E-4</v>
      </c>
      <c r="S162" s="9"/>
      <c r="T162" s="7">
        <v>0</v>
      </c>
      <c r="U162" s="8">
        <f>IFERROR(T162/T327, "NA")</f>
        <v>0</v>
      </c>
      <c r="V162" s="9"/>
      <c r="W162" s="7">
        <v>0</v>
      </c>
      <c r="X162" s="8">
        <f>IFERROR(W162/W327, "NA")</f>
        <v>0</v>
      </c>
    </row>
    <row r="163" spans="1:24" ht="16.5" customHeight="1" x14ac:dyDescent="0.25">
      <c r="A163" s="6" t="s">
        <v>169</v>
      </c>
      <c r="B163" s="7">
        <v>0</v>
      </c>
      <c r="C163" s="8">
        <f>IFERROR(B163/B327, "NA")</f>
        <v>0</v>
      </c>
      <c r="D163" s="9"/>
      <c r="E163" s="7">
        <v>-225</v>
      </c>
      <c r="F163" s="8">
        <f>IFERROR(E163/E327, "NA")</f>
        <v>-1.0922699135854298E-3</v>
      </c>
      <c r="G163" s="9"/>
      <c r="H163" s="7">
        <v>0</v>
      </c>
      <c r="I163" s="8">
        <f>IFERROR(H163/H327, "NA")</f>
        <v>0</v>
      </c>
      <c r="J163" s="9"/>
      <c r="K163" s="7">
        <v>0</v>
      </c>
      <c r="L163" s="8">
        <f>IFERROR(K163/K327, "NA")</f>
        <v>0</v>
      </c>
      <c r="M163" s="9"/>
      <c r="N163" s="7">
        <v>0</v>
      </c>
      <c r="O163" s="8">
        <f>IFERROR(N163/N327, "NA")</f>
        <v>0</v>
      </c>
      <c r="P163" s="9"/>
      <c r="Q163" s="7">
        <v>0</v>
      </c>
      <c r="R163" s="8">
        <f>IFERROR(Q163/Q327, "NA")</f>
        <v>0</v>
      </c>
      <c r="S163" s="9"/>
      <c r="T163" s="7">
        <v>0</v>
      </c>
      <c r="U163" s="8">
        <f>IFERROR(T163/T327, "NA")</f>
        <v>0</v>
      </c>
      <c r="V163" s="9"/>
      <c r="W163" s="7">
        <v>0</v>
      </c>
      <c r="X163" s="8">
        <f>IFERROR(W163/W327, "NA")</f>
        <v>0</v>
      </c>
    </row>
    <row r="164" spans="1:24" ht="16.5" customHeight="1" x14ac:dyDescent="0.25">
      <c r="A164" s="6" t="s">
        <v>170</v>
      </c>
      <c r="B164" s="7">
        <v>0</v>
      </c>
      <c r="C164" s="8">
        <f>IFERROR(B164/B327, "NA")</f>
        <v>0</v>
      </c>
      <c r="D164" s="9"/>
      <c r="E164" s="7">
        <v>0</v>
      </c>
      <c r="F164" s="8">
        <f>IFERROR(E164/E327, "NA")</f>
        <v>0</v>
      </c>
      <c r="G164" s="9"/>
      <c r="H164" s="7">
        <v>0</v>
      </c>
      <c r="I164" s="8">
        <f>IFERROR(H164/H327, "NA")</f>
        <v>0</v>
      </c>
      <c r="J164" s="9"/>
      <c r="K164" s="7">
        <v>0</v>
      </c>
      <c r="L164" s="8">
        <f>IFERROR(K164/K327, "NA")</f>
        <v>0</v>
      </c>
      <c r="M164" s="9"/>
      <c r="N164" s="7">
        <v>0</v>
      </c>
      <c r="O164" s="8">
        <f>IFERROR(N164/N327, "NA")</f>
        <v>0</v>
      </c>
      <c r="P164" s="9"/>
      <c r="Q164" s="7">
        <v>0</v>
      </c>
      <c r="R164" s="8">
        <f>IFERROR(Q164/Q327, "NA")</f>
        <v>0</v>
      </c>
      <c r="S164" s="9"/>
      <c r="T164" s="7">
        <v>0</v>
      </c>
      <c r="U164" s="8">
        <f>IFERROR(T164/T327, "NA")</f>
        <v>0</v>
      </c>
      <c r="V164" s="9"/>
      <c r="W164" s="7">
        <v>0</v>
      </c>
      <c r="X164" s="8">
        <f>IFERROR(W164/W327, "NA")</f>
        <v>0</v>
      </c>
    </row>
    <row r="165" spans="1:24" ht="16.5" customHeight="1" x14ac:dyDescent="0.25">
      <c r="A165" s="6" t="s">
        <v>171</v>
      </c>
      <c r="B165" s="7">
        <v>9.6199999999999992</v>
      </c>
      <c r="C165" s="8">
        <f>IFERROR(B165/B327, "NA")</f>
        <v>2.4134902362904785E-5</v>
      </c>
      <c r="D165" s="9"/>
      <c r="E165" s="7">
        <v>94.98</v>
      </c>
      <c r="F165" s="8">
        <f>IFERROR(E165/E327, "NA")</f>
        <v>4.6108353952152949E-4</v>
      </c>
      <c r="G165" s="9"/>
      <c r="H165" s="7">
        <v>0</v>
      </c>
      <c r="I165" s="8">
        <f>IFERROR(H165/H327, "NA")</f>
        <v>0</v>
      </c>
      <c r="J165" s="9"/>
      <c r="K165" s="7">
        <v>0</v>
      </c>
      <c r="L165" s="8">
        <f>IFERROR(K165/K327, "NA")</f>
        <v>0</v>
      </c>
      <c r="M165" s="9"/>
      <c r="N165" s="7">
        <v>82.44</v>
      </c>
      <c r="O165" s="8">
        <f>IFERROR(N165/N327, "NA")</f>
        <v>2.2214274951287038E-4</v>
      </c>
      <c r="P165" s="9"/>
      <c r="Q165" s="7">
        <v>0</v>
      </c>
      <c r="R165" s="8">
        <f>IFERROR(Q165/Q327, "NA")</f>
        <v>0</v>
      </c>
      <c r="S165" s="9"/>
      <c r="T165" s="7">
        <v>285.16000000000003</v>
      </c>
      <c r="U165" s="8">
        <f>IFERROR(T165/T327, "NA")</f>
        <v>1.6127362958983135E-3</v>
      </c>
      <c r="V165" s="9"/>
      <c r="W165" s="7">
        <v>0</v>
      </c>
      <c r="X165" s="8">
        <f>IFERROR(W165/W327, "NA")</f>
        <v>0</v>
      </c>
    </row>
    <row r="166" spans="1:24" ht="16.5" customHeight="1" x14ac:dyDescent="0.25">
      <c r="A166" s="6" t="s">
        <v>172</v>
      </c>
      <c r="B166" s="7">
        <v>1311.65</v>
      </c>
      <c r="C166" s="8">
        <f>IFERROR(B166/B327, "NA")</f>
        <v>3.2907011106345181E-3</v>
      </c>
      <c r="D166" s="9"/>
      <c r="E166" s="7">
        <v>783.99</v>
      </c>
      <c r="F166" s="8">
        <f>IFERROR(E166/E327, "NA")</f>
        <v>3.8059052868970717E-3</v>
      </c>
      <c r="G166" s="9"/>
      <c r="H166" s="7">
        <v>532.21</v>
      </c>
      <c r="I166" s="8">
        <f>IFERROR(H166/H327, "NA")</f>
        <v>1.5732766743648961E-3</v>
      </c>
      <c r="J166" s="9"/>
      <c r="K166" s="7">
        <v>571.15</v>
      </c>
      <c r="L166" s="8">
        <f>IFERROR(K166/K327, "NA")</f>
        <v>2.4506984394008975E-3</v>
      </c>
      <c r="M166" s="9"/>
      <c r="N166" s="7">
        <v>675.44</v>
      </c>
      <c r="O166" s="8">
        <f>IFERROR(N166/N327, "NA")</f>
        <v>1.8200400137187431E-3</v>
      </c>
      <c r="P166" s="9"/>
      <c r="Q166" s="7">
        <v>673.22</v>
      </c>
      <c r="R166" s="8">
        <f>IFERROR(Q166/Q327, "NA")</f>
        <v>3.8662807392348072E-3</v>
      </c>
      <c r="S166" s="9"/>
      <c r="T166" s="7">
        <v>731.4</v>
      </c>
      <c r="U166" s="8">
        <f>IFERROR(T166/T327, "NA")</f>
        <v>4.1364683925516421E-3</v>
      </c>
      <c r="V166" s="9"/>
      <c r="W166" s="7">
        <v>0</v>
      </c>
      <c r="X166" s="8">
        <f>IFERROR(W166/W327, "NA")</f>
        <v>0</v>
      </c>
    </row>
    <row r="167" spans="1:24" ht="16.5" customHeight="1" x14ac:dyDescent="0.25">
      <c r="A167" s="6" t="s">
        <v>173</v>
      </c>
      <c r="B167" s="7">
        <v>640.12</v>
      </c>
      <c r="C167" s="8">
        <f>IFERROR(B167/B327, "NA")</f>
        <v>1.6059494491208535E-3</v>
      </c>
      <c r="D167" s="9"/>
      <c r="E167" s="7">
        <v>735.29</v>
      </c>
      <c r="F167" s="8">
        <f>IFERROR(E167/E327, "NA")</f>
        <v>3.5694895322676916E-3</v>
      </c>
      <c r="G167" s="9"/>
      <c r="H167" s="7">
        <v>696.47</v>
      </c>
      <c r="I167" s="8">
        <f>IFERROR(H167/H327, "NA")</f>
        <v>2.0588489607390303E-3</v>
      </c>
      <c r="J167" s="9"/>
      <c r="K167" s="7">
        <v>696.1</v>
      </c>
      <c r="L167" s="8">
        <f>IFERROR(K167/K327, "NA")</f>
        <v>2.9868356537984153E-3</v>
      </c>
      <c r="M167" s="9"/>
      <c r="N167" s="7">
        <v>596.01</v>
      </c>
      <c r="O167" s="8">
        <f>IFERROR(N167/N327, "NA")</f>
        <v>1.6060080074862431E-3</v>
      </c>
      <c r="P167" s="9"/>
      <c r="Q167" s="7">
        <v>660.42</v>
      </c>
      <c r="R167" s="8">
        <f>IFERROR(Q167/Q327, "NA")</f>
        <v>3.792770752213914E-3</v>
      </c>
      <c r="S167" s="9"/>
      <c r="T167" s="7">
        <v>597.59</v>
      </c>
      <c r="U167" s="8">
        <f>IFERROR(T167/T327, "NA")</f>
        <v>3.3796994075812633E-3</v>
      </c>
      <c r="V167" s="9"/>
      <c r="W167" s="7">
        <v>0</v>
      </c>
      <c r="X167" s="8">
        <f>IFERROR(W167/W327, "NA")</f>
        <v>0</v>
      </c>
    </row>
    <row r="168" spans="1:24" ht="16.5" customHeight="1" x14ac:dyDescent="0.25">
      <c r="A168" s="6" t="s">
        <v>174</v>
      </c>
      <c r="B168" s="7">
        <v>1580.09</v>
      </c>
      <c r="C168" s="8">
        <f>IFERROR(B168/B327, "NA")</f>
        <v>3.964170257235158E-3</v>
      </c>
      <c r="D168" s="9"/>
      <c r="E168" s="7">
        <v>2006</v>
      </c>
      <c r="F168" s="8">
        <f>IFERROR(E168/E327, "NA")</f>
        <v>9.7381930962327657E-3</v>
      </c>
      <c r="G168" s="9"/>
      <c r="H168" s="7">
        <v>1832.7</v>
      </c>
      <c r="I168" s="8">
        <f>IFERROR(H168/H327, "NA")</f>
        <v>5.4176812933025408E-3</v>
      </c>
      <c r="J168" s="9"/>
      <c r="K168" s="7">
        <v>2055.12</v>
      </c>
      <c r="L168" s="8">
        <f>IFERROR(K168/K327, "NA")</f>
        <v>8.8181377515216177E-3</v>
      </c>
      <c r="M168" s="9"/>
      <c r="N168" s="7">
        <v>2394.39</v>
      </c>
      <c r="O168" s="8">
        <f>IFERROR(N168/N327, "NA")</f>
        <v>6.4519211305934217E-3</v>
      </c>
      <c r="P168" s="9"/>
      <c r="Q168" s="7">
        <v>2472.1799999999998</v>
      </c>
      <c r="R168" s="8">
        <f>IFERROR(Q168/Q327, "NA")</f>
        <v>1.4197649977602424E-2</v>
      </c>
      <c r="S168" s="9"/>
      <c r="T168" s="7">
        <v>2272.46</v>
      </c>
      <c r="U168" s="8">
        <f>IFERROR(T168/T327, "NA")</f>
        <v>1.2852008426767713E-2</v>
      </c>
      <c r="V168" s="9"/>
      <c r="W168" s="7">
        <v>0</v>
      </c>
      <c r="X168" s="8">
        <f>IFERROR(W168/W327, "NA")</f>
        <v>0</v>
      </c>
    </row>
    <row r="169" spans="1:24" ht="16.5" customHeight="1" x14ac:dyDescent="0.25">
      <c r="A169" s="6" t="s">
        <v>175</v>
      </c>
      <c r="B169" s="7">
        <v>0</v>
      </c>
      <c r="C169" s="8">
        <f>IFERROR(B169/B327, "NA")</f>
        <v>0</v>
      </c>
      <c r="D169" s="9"/>
      <c r="E169" s="7">
        <v>0</v>
      </c>
      <c r="F169" s="8">
        <f>IFERROR(E169/E327, "NA")</f>
        <v>0</v>
      </c>
      <c r="G169" s="9"/>
      <c r="H169" s="7">
        <v>0</v>
      </c>
      <c r="I169" s="8">
        <f>IFERROR(H169/H327, "NA")</f>
        <v>0</v>
      </c>
      <c r="J169" s="9"/>
      <c r="K169" s="7">
        <v>0</v>
      </c>
      <c r="L169" s="8">
        <f>IFERROR(K169/K327, "NA")</f>
        <v>0</v>
      </c>
      <c r="M169" s="9"/>
      <c r="N169" s="7">
        <v>0</v>
      </c>
      <c r="O169" s="8">
        <f>IFERROR(N169/N327, "NA")</f>
        <v>0</v>
      </c>
      <c r="P169" s="9"/>
      <c r="Q169" s="7">
        <v>0</v>
      </c>
      <c r="R169" s="8">
        <f>IFERROR(Q169/Q327, "NA")</f>
        <v>0</v>
      </c>
      <c r="S169" s="9"/>
      <c r="T169" s="7">
        <v>0</v>
      </c>
      <c r="U169" s="8">
        <f>IFERROR(T169/T327, "NA")</f>
        <v>0</v>
      </c>
      <c r="V169" s="9"/>
      <c r="W169" s="7">
        <v>0</v>
      </c>
      <c r="X169" s="8">
        <f>IFERROR(W169/W327, "NA")</f>
        <v>0</v>
      </c>
    </row>
    <row r="170" spans="1:24" ht="16.5" customHeight="1" x14ac:dyDescent="0.25">
      <c r="A170" s="6" t="s">
        <v>176</v>
      </c>
      <c r="B170" s="7">
        <v>504.56</v>
      </c>
      <c r="C170" s="8">
        <f>IFERROR(B170/B327, "NA")</f>
        <v>1.265853049503871E-3</v>
      </c>
      <c r="D170" s="9"/>
      <c r="E170" s="7">
        <v>563.4</v>
      </c>
      <c r="F170" s="8">
        <f>IFERROR(E170/E327, "NA")</f>
        <v>2.7350438636179163E-3</v>
      </c>
      <c r="G170" s="9"/>
      <c r="H170" s="7">
        <v>315.95</v>
      </c>
      <c r="I170" s="8">
        <f>IFERROR(H170/H327, "NA")</f>
        <v>9.3398614318706695E-4</v>
      </c>
      <c r="J170" s="9"/>
      <c r="K170" s="7">
        <v>876.15</v>
      </c>
      <c r="L170" s="8">
        <f>IFERROR(K170/K327, "NA")</f>
        <v>3.7593967218438173E-3</v>
      </c>
      <c r="M170" s="9"/>
      <c r="N170" s="7">
        <v>7913.4</v>
      </c>
      <c r="O170" s="8">
        <f>IFERROR(N170/N327, "NA")</f>
        <v>2.1323440489994523E-2</v>
      </c>
      <c r="P170" s="9"/>
      <c r="Q170" s="7">
        <v>855.91</v>
      </c>
      <c r="R170" s="8">
        <f>IFERROR(Q170/Q327, "NA")</f>
        <v>4.9154635149259726E-3</v>
      </c>
      <c r="S170" s="9"/>
      <c r="T170" s="7">
        <v>627.09</v>
      </c>
      <c r="U170" s="8">
        <f>IFERROR(T170/T327, "NA")</f>
        <v>3.5465380971906064E-3</v>
      </c>
      <c r="V170" s="9"/>
      <c r="W170" s="7">
        <v>19.25</v>
      </c>
      <c r="X170" s="8">
        <f>IFERROR(W170/W327, "NA")</f>
        <v>1.1396466799280099E-4</v>
      </c>
    </row>
    <row r="171" spans="1:24" ht="16.5" customHeight="1" x14ac:dyDescent="0.25">
      <c r="A171" s="6" t="s">
        <v>177</v>
      </c>
      <c r="B171" s="7">
        <v>265.06</v>
      </c>
      <c r="C171" s="8">
        <f>IFERROR(B171/B327, "NA")</f>
        <v>6.6498931604070093E-4</v>
      </c>
      <c r="D171" s="9"/>
      <c r="E171" s="7">
        <v>1741.95</v>
      </c>
      <c r="F171" s="8">
        <f>IFERROR(E171/E327, "NA")</f>
        <v>8.4563536709783976E-3</v>
      </c>
      <c r="G171" s="9"/>
      <c r="H171" s="7">
        <v>0</v>
      </c>
      <c r="I171" s="8">
        <f>IFERROR(H171/H327, "NA")</f>
        <v>0</v>
      </c>
      <c r="J171" s="9"/>
      <c r="K171" s="7">
        <v>51.67</v>
      </c>
      <c r="L171" s="8">
        <f>IFERROR(K171/K327, "NA")</f>
        <v>2.2170636148795305E-4</v>
      </c>
      <c r="M171" s="9"/>
      <c r="N171" s="7">
        <v>806.17</v>
      </c>
      <c r="O171" s="8">
        <f>IFERROR(N171/N327, "NA")</f>
        <v>2.1723049536000816E-3</v>
      </c>
      <c r="P171" s="9"/>
      <c r="Q171" s="7">
        <v>0</v>
      </c>
      <c r="R171" s="8">
        <f>IFERROR(Q171/Q327, "NA")</f>
        <v>0</v>
      </c>
      <c r="S171" s="9"/>
      <c r="T171" s="7">
        <v>52.47</v>
      </c>
      <c r="U171" s="8">
        <f>IFERROR(T171/T327, "NA")</f>
        <v>2.9674664555261779E-4</v>
      </c>
      <c r="V171" s="9"/>
      <c r="W171" s="7">
        <v>0</v>
      </c>
      <c r="X171" s="8">
        <f>IFERROR(W171/W327, "NA")</f>
        <v>0</v>
      </c>
    </row>
    <row r="172" spans="1:24" ht="16.5" customHeight="1" x14ac:dyDescent="0.25">
      <c r="A172" s="6" t="s">
        <v>178</v>
      </c>
      <c r="B172" s="7">
        <v>0</v>
      </c>
      <c r="C172" s="8">
        <f>IFERROR(B172/B327, "NA")</f>
        <v>0</v>
      </c>
      <c r="D172" s="9"/>
      <c r="E172" s="7">
        <v>0</v>
      </c>
      <c r="F172" s="8">
        <f>IFERROR(E172/E327, "NA")</f>
        <v>0</v>
      </c>
      <c r="G172" s="9"/>
      <c r="H172" s="7">
        <v>0</v>
      </c>
      <c r="I172" s="8">
        <f>IFERROR(H172/H327, "NA")</f>
        <v>0</v>
      </c>
      <c r="J172" s="9"/>
      <c r="K172" s="7">
        <v>0</v>
      </c>
      <c r="L172" s="8">
        <f>IFERROR(K172/K327, "NA")</f>
        <v>0</v>
      </c>
      <c r="M172" s="9"/>
      <c r="N172" s="7">
        <v>0</v>
      </c>
      <c r="O172" s="8">
        <f>IFERROR(N172/N327, "NA")</f>
        <v>0</v>
      </c>
      <c r="P172" s="9"/>
      <c r="Q172" s="7">
        <v>0</v>
      </c>
      <c r="R172" s="8">
        <f>IFERROR(Q172/Q327, "NA")</f>
        <v>0</v>
      </c>
      <c r="S172" s="9"/>
      <c r="T172" s="7">
        <v>0</v>
      </c>
      <c r="U172" s="8">
        <f>IFERROR(T172/T327, "NA")</f>
        <v>0</v>
      </c>
      <c r="V172" s="9"/>
      <c r="W172" s="7">
        <v>0</v>
      </c>
      <c r="X172" s="8">
        <f>IFERROR(W172/W327, "NA")</f>
        <v>0</v>
      </c>
    </row>
    <row r="173" spans="1:24" ht="16.5" customHeight="1" x14ac:dyDescent="0.25">
      <c r="A173" s="6" t="s">
        <v>179</v>
      </c>
      <c r="B173" s="7">
        <v>0</v>
      </c>
      <c r="C173" s="8">
        <f>IFERROR(B173/B327, "NA")</f>
        <v>0</v>
      </c>
      <c r="D173" s="9"/>
      <c r="E173" s="7">
        <v>0</v>
      </c>
      <c r="F173" s="8">
        <f>IFERROR(E173/E327, "NA")</f>
        <v>0</v>
      </c>
      <c r="G173" s="9"/>
      <c r="H173" s="7">
        <v>0</v>
      </c>
      <c r="I173" s="8">
        <f>IFERROR(H173/H327, "NA")</f>
        <v>0</v>
      </c>
      <c r="J173" s="9"/>
      <c r="K173" s="7">
        <v>0</v>
      </c>
      <c r="L173" s="8">
        <f>IFERROR(K173/K327, "NA")</f>
        <v>0</v>
      </c>
      <c r="M173" s="9"/>
      <c r="N173" s="7">
        <v>0</v>
      </c>
      <c r="O173" s="8">
        <f>IFERROR(N173/N327, "NA")</f>
        <v>0</v>
      </c>
      <c r="P173" s="9"/>
      <c r="Q173" s="7">
        <v>0</v>
      </c>
      <c r="R173" s="8">
        <f>IFERROR(Q173/Q327, "NA")</f>
        <v>0</v>
      </c>
      <c r="S173" s="9"/>
      <c r="T173" s="7">
        <v>0</v>
      </c>
      <c r="U173" s="8">
        <f>IFERROR(T173/T327, "NA")</f>
        <v>0</v>
      </c>
      <c r="V173" s="9"/>
      <c r="W173" s="7">
        <v>0</v>
      </c>
      <c r="X173" s="8">
        <f>IFERROR(W173/W327, "NA")</f>
        <v>0</v>
      </c>
    </row>
    <row r="174" spans="1:24" ht="16.5" customHeight="1" x14ac:dyDescent="0.25">
      <c r="A174" s="6" t="s">
        <v>180</v>
      </c>
      <c r="B174" s="7">
        <v>0</v>
      </c>
      <c r="C174" s="8">
        <f>IFERROR(B174/B327, "NA")</f>
        <v>0</v>
      </c>
      <c r="D174" s="9"/>
      <c r="E174" s="7">
        <v>0</v>
      </c>
      <c r="F174" s="8">
        <f>IFERROR(E174/E327, "NA")</f>
        <v>0</v>
      </c>
      <c r="G174" s="9"/>
      <c r="H174" s="7">
        <v>0</v>
      </c>
      <c r="I174" s="8">
        <f>IFERROR(H174/H327, "NA")</f>
        <v>0</v>
      </c>
      <c r="J174" s="9"/>
      <c r="K174" s="7">
        <v>0</v>
      </c>
      <c r="L174" s="8">
        <f>IFERROR(K174/K327, "NA")</f>
        <v>0</v>
      </c>
      <c r="M174" s="9"/>
      <c r="N174" s="7">
        <v>0</v>
      </c>
      <c r="O174" s="8">
        <f>IFERROR(N174/N327, "NA")</f>
        <v>0</v>
      </c>
      <c r="P174" s="9"/>
      <c r="Q174" s="7">
        <v>0</v>
      </c>
      <c r="R174" s="8">
        <f>IFERROR(Q174/Q327, "NA")</f>
        <v>0</v>
      </c>
      <c r="S174" s="9"/>
      <c r="T174" s="7">
        <v>0</v>
      </c>
      <c r="U174" s="8">
        <f>IFERROR(T174/T327, "NA")</f>
        <v>0</v>
      </c>
      <c r="V174" s="9"/>
      <c r="W174" s="7">
        <v>0</v>
      </c>
      <c r="X174" s="8">
        <f>IFERROR(W174/W327, "NA")</f>
        <v>0</v>
      </c>
    </row>
    <row r="175" spans="1:24" ht="16.5" customHeight="1" x14ac:dyDescent="0.25">
      <c r="A175" s="6" t="s">
        <v>181</v>
      </c>
      <c r="B175" s="7">
        <v>728.75</v>
      </c>
      <c r="C175" s="8">
        <f>IFERROR(B175/B327, "NA")</f>
        <v>1.8283066628863682E-3</v>
      </c>
      <c r="D175" s="9"/>
      <c r="E175" s="7">
        <v>1102.27</v>
      </c>
      <c r="F175" s="8">
        <f>IFERROR(E175/E327, "NA")</f>
        <v>5.3510060339902743E-3</v>
      </c>
      <c r="G175" s="9"/>
      <c r="H175" s="7">
        <v>481.45</v>
      </c>
      <c r="I175" s="8">
        <f>IFERROR(H175/H327, "NA")</f>
        <v>1.4232240184757505E-3</v>
      </c>
      <c r="J175" s="9"/>
      <c r="K175" s="7">
        <v>1008.85</v>
      </c>
      <c r="L175" s="8">
        <f>IFERROR(K175/K327, "NA")</f>
        <v>4.3287877450575076E-3</v>
      </c>
      <c r="M175" s="9"/>
      <c r="N175" s="7">
        <v>988.09</v>
      </c>
      <c r="O175" s="8">
        <f>IFERROR(N175/N327, "NA")</f>
        <v>2.6625064212296473E-3</v>
      </c>
      <c r="P175" s="9"/>
      <c r="Q175" s="7">
        <v>777.68</v>
      </c>
      <c r="R175" s="8">
        <f>IFERROR(Q175/Q327, "NA")</f>
        <v>4.4661911489381253E-3</v>
      </c>
      <c r="S175" s="9"/>
      <c r="T175" s="7">
        <v>880.5</v>
      </c>
      <c r="U175" s="8">
        <f>IFERROR(T175/T327, "NA")</f>
        <v>4.9797107186788639E-3</v>
      </c>
      <c r="V175" s="9"/>
      <c r="W175" s="7">
        <v>0</v>
      </c>
      <c r="X175" s="8">
        <f>IFERROR(W175/W327, "NA")</f>
        <v>0</v>
      </c>
    </row>
    <row r="176" spans="1:24" ht="16.5" customHeight="1" x14ac:dyDescent="0.25">
      <c r="A176" s="6" t="s">
        <v>182</v>
      </c>
      <c r="B176" s="7">
        <v>909.74</v>
      </c>
      <c r="C176" s="8">
        <f>IFERROR(B176/B327, "NA")</f>
        <v>2.2823790099406444E-3</v>
      </c>
      <c r="D176" s="9"/>
      <c r="E176" s="7">
        <v>743.15</v>
      </c>
      <c r="F176" s="8">
        <f>IFERROR(E176/E327, "NA")</f>
        <v>3.607646161248943E-3</v>
      </c>
      <c r="G176" s="9"/>
      <c r="H176" s="7">
        <v>815.13</v>
      </c>
      <c r="I176" s="8">
        <f>IFERROR(H176/H327, "NA")</f>
        <v>2.4096221709006926E-3</v>
      </c>
      <c r="J176" s="9"/>
      <c r="K176" s="7">
        <v>690.31</v>
      </c>
      <c r="L176" s="8">
        <f>IFERROR(K176/K327, "NA")</f>
        <v>2.9619918405022032E-3</v>
      </c>
      <c r="M176" s="9"/>
      <c r="N176" s="7">
        <v>742.05</v>
      </c>
      <c r="O176" s="8">
        <f>IFERROR(N176/N327, "NA")</f>
        <v>1.9995272595345155E-3</v>
      </c>
      <c r="P176" s="9"/>
      <c r="Q176" s="7">
        <v>874.45</v>
      </c>
      <c r="R176" s="8">
        <f>IFERROR(Q176/Q327, "NA")</f>
        <v>5.0219381367515477E-3</v>
      </c>
      <c r="S176" s="9"/>
      <c r="T176" s="7">
        <v>1091.6099999999999</v>
      </c>
      <c r="U176" s="8">
        <f>IFERROR(T176/T327, "NA")</f>
        <v>6.1736536259137239E-3</v>
      </c>
      <c r="V176" s="9"/>
      <c r="W176" s="7">
        <v>0</v>
      </c>
      <c r="X176" s="8">
        <f>IFERROR(W176/W327, "NA")</f>
        <v>0</v>
      </c>
    </row>
    <row r="177" spans="1:24" ht="16.5" customHeight="1" x14ac:dyDescent="0.25">
      <c r="A177" s="6" t="s">
        <v>183</v>
      </c>
      <c r="B177" s="7">
        <v>5274.44</v>
      </c>
      <c r="C177" s="8">
        <f>IFERROR(B177/B327, "NA")</f>
        <v>1.3232650147505147E-2</v>
      </c>
      <c r="D177" s="9"/>
      <c r="E177" s="7">
        <v>0</v>
      </c>
      <c r="F177" s="8">
        <f>IFERROR(E177/E327, "NA")</f>
        <v>0</v>
      </c>
      <c r="G177" s="9"/>
      <c r="H177" s="7">
        <v>0</v>
      </c>
      <c r="I177" s="8">
        <f>IFERROR(H177/H327, "NA")</f>
        <v>0</v>
      </c>
      <c r="J177" s="9"/>
      <c r="K177" s="7">
        <v>0</v>
      </c>
      <c r="L177" s="8">
        <f>IFERROR(K177/K327, "NA")</f>
        <v>0</v>
      </c>
      <c r="M177" s="9"/>
      <c r="N177" s="7">
        <v>3031.6</v>
      </c>
      <c r="O177" s="8">
        <f>IFERROR(N177/N327, "NA")</f>
        <v>8.1689466208541717E-3</v>
      </c>
      <c r="P177" s="9"/>
      <c r="Q177" s="7">
        <v>0</v>
      </c>
      <c r="R177" s="8">
        <f>IFERROR(Q177/Q327, "NA")</f>
        <v>0</v>
      </c>
      <c r="S177" s="9"/>
      <c r="T177" s="7">
        <v>0</v>
      </c>
      <c r="U177" s="8">
        <f>IFERROR(T177/T327, "NA")</f>
        <v>0</v>
      </c>
      <c r="V177" s="9"/>
      <c r="W177" s="7">
        <v>0</v>
      </c>
      <c r="X177" s="8">
        <f>IFERROR(W177/W327, "NA")</f>
        <v>0</v>
      </c>
    </row>
    <row r="178" spans="1:24" ht="16.5" customHeight="1" x14ac:dyDescent="0.25">
      <c r="A178" s="6" t="s">
        <v>184</v>
      </c>
      <c r="B178" s="7">
        <v>295.92</v>
      </c>
      <c r="C178" s="8">
        <f>IFERROR(B178/B327, "NA")</f>
        <v>7.4241167434831439E-4</v>
      </c>
      <c r="D178" s="9"/>
      <c r="E178" s="7">
        <v>567.35</v>
      </c>
      <c r="F178" s="8">
        <f>IFERROR(E178/E327, "NA")</f>
        <v>2.7542192687675274E-3</v>
      </c>
      <c r="G178" s="9"/>
      <c r="H178" s="7">
        <v>166.03</v>
      </c>
      <c r="I178" s="8">
        <f>IFERROR(H178/H327, "NA")</f>
        <v>4.9080461893764437E-4</v>
      </c>
      <c r="J178" s="9"/>
      <c r="K178" s="7">
        <v>0</v>
      </c>
      <c r="L178" s="8">
        <f>IFERROR(K178/K327, "NA")</f>
        <v>0</v>
      </c>
      <c r="M178" s="9"/>
      <c r="N178" s="7">
        <v>0</v>
      </c>
      <c r="O178" s="8">
        <f>IFERROR(N178/N327, "NA")</f>
        <v>0</v>
      </c>
      <c r="P178" s="9"/>
      <c r="Q178" s="7">
        <v>0</v>
      </c>
      <c r="R178" s="8">
        <f>IFERROR(Q178/Q327, "NA")</f>
        <v>0</v>
      </c>
      <c r="S178" s="9"/>
      <c r="T178" s="7">
        <v>55.44</v>
      </c>
      <c r="U178" s="8">
        <f>IFERROR(T178/T327, "NA")</f>
        <v>3.1354362548955843E-4</v>
      </c>
      <c r="V178" s="9"/>
      <c r="W178" s="7">
        <v>0</v>
      </c>
      <c r="X178" s="8">
        <f>IFERROR(W178/W327, "NA")</f>
        <v>0</v>
      </c>
    </row>
    <row r="179" spans="1:24" ht="16.5" customHeight="1" x14ac:dyDescent="0.25">
      <c r="A179" s="6" t="s">
        <v>185</v>
      </c>
      <c r="B179" s="7">
        <v>593.85</v>
      </c>
      <c r="C179" s="8">
        <f>IFERROR(B179/B327, "NA")</f>
        <v>1.4898660881716224E-3</v>
      </c>
      <c r="D179" s="9"/>
      <c r="E179" s="7">
        <v>1521.44</v>
      </c>
      <c r="F179" s="8">
        <f>IFERROR(E179/E327, "NA")</f>
        <v>7.3858806103351844E-3</v>
      </c>
      <c r="G179" s="9"/>
      <c r="H179" s="7">
        <v>0</v>
      </c>
      <c r="I179" s="8">
        <f>IFERROR(H179/H327, "NA")</f>
        <v>0</v>
      </c>
      <c r="J179" s="9"/>
      <c r="K179" s="7">
        <v>0</v>
      </c>
      <c r="L179" s="8">
        <f>IFERROR(K179/K327, "NA")</f>
        <v>0</v>
      </c>
      <c r="M179" s="9"/>
      <c r="N179" s="7">
        <v>0</v>
      </c>
      <c r="O179" s="8">
        <f>IFERROR(N179/N327, "NA")</f>
        <v>0</v>
      </c>
      <c r="P179" s="9"/>
      <c r="Q179" s="7">
        <v>0</v>
      </c>
      <c r="R179" s="8">
        <f>IFERROR(Q179/Q327, "NA")</f>
        <v>0</v>
      </c>
      <c r="S179" s="9"/>
      <c r="T179" s="7">
        <v>0</v>
      </c>
      <c r="U179" s="8">
        <f>IFERROR(T179/T327, "NA")</f>
        <v>0</v>
      </c>
      <c r="V179" s="9"/>
      <c r="W179" s="7">
        <v>0</v>
      </c>
      <c r="X179" s="8">
        <f>IFERROR(W179/W327, "NA")</f>
        <v>0</v>
      </c>
    </row>
    <row r="180" spans="1:24" ht="16.5" customHeight="1" x14ac:dyDescent="0.25">
      <c r="A180" s="6" t="s">
        <v>186</v>
      </c>
      <c r="B180" s="7">
        <v>219</v>
      </c>
      <c r="C180" s="8">
        <f>IFERROR(B180/B327, "NA")</f>
        <v>5.4943280846945402E-4</v>
      </c>
      <c r="D180" s="9"/>
      <c r="E180" s="7">
        <v>1852.5</v>
      </c>
      <c r="F180" s="8">
        <f>IFERROR(E180/E327, "NA")</f>
        <v>8.9930222885200393E-3</v>
      </c>
      <c r="G180" s="9"/>
      <c r="H180" s="7">
        <v>1184.7</v>
      </c>
      <c r="I180" s="8">
        <f>IFERROR(H180/H327, "NA")</f>
        <v>3.5021154734411089E-3</v>
      </c>
      <c r="J180" s="9"/>
      <c r="K180" s="7">
        <v>1809.8</v>
      </c>
      <c r="L180" s="8">
        <f>IFERROR(K180/K327, "NA")</f>
        <v>7.7655152510334316E-3</v>
      </c>
      <c r="M180" s="9"/>
      <c r="N180" s="7">
        <v>260.89999999999998</v>
      </c>
      <c r="O180" s="8">
        <f>IFERROR(N180/N327, "NA")</f>
        <v>7.0302090426865459E-4</v>
      </c>
      <c r="P180" s="9"/>
      <c r="Q180" s="7">
        <v>2261.1999999999998</v>
      </c>
      <c r="R180" s="8">
        <f>IFERROR(Q180/Q327, "NA")</f>
        <v>1.2985998644659612E-2</v>
      </c>
      <c r="S180" s="9"/>
      <c r="T180" s="7">
        <v>897.5</v>
      </c>
      <c r="U180" s="8">
        <f>IFERROR(T180/T327, "NA")</f>
        <v>5.0758550482842479E-3</v>
      </c>
      <c r="V180" s="9"/>
      <c r="W180" s="7">
        <v>0</v>
      </c>
      <c r="X180" s="8">
        <f>IFERROR(W180/W327, "NA")</f>
        <v>0</v>
      </c>
    </row>
    <row r="181" spans="1:24" ht="16.5" customHeight="1" x14ac:dyDescent="0.25">
      <c r="A181" s="6" t="s">
        <v>187</v>
      </c>
      <c r="B181" s="7">
        <v>0</v>
      </c>
      <c r="C181" s="8">
        <f>IFERROR(B181/B327, "NA")</f>
        <v>0</v>
      </c>
      <c r="D181" s="9"/>
      <c r="E181" s="7">
        <v>0</v>
      </c>
      <c r="F181" s="8">
        <f>IFERROR(E181/E327, "NA")</f>
        <v>0</v>
      </c>
      <c r="G181" s="9"/>
      <c r="H181" s="7">
        <v>0</v>
      </c>
      <c r="I181" s="8">
        <f>IFERROR(H181/H327, "NA")</f>
        <v>0</v>
      </c>
      <c r="J181" s="9"/>
      <c r="K181" s="7">
        <v>0</v>
      </c>
      <c r="L181" s="8">
        <f>IFERROR(K181/K327, "NA")</f>
        <v>0</v>
      </c>
      <c r="M181" s="9"/>
      <c r="N181" s="7">
        <v>0</v>
      </c>
      <c r="O181" s="8">
        <f>IFERROR(N181/N327, "NA")</f>
        <v>0</v>
      </c>
      <c r="P181" s="9"/>
      <c r="Q181" s="7">
        <v>0</v>
      </c>
      <c r="R181" s="8">
        <f>IFERROR(Q181/Q327, "NA")</f>
        <v>0</v>
      </c>
      <c r="S181" s="9"/>
      <c r="T181" s="7">
        <v>0</v>
      </c>
      <c r="U181" s="8">
        <f>IFERROR(T181/T327, "NA")</f>
        <v>0</v>
      </c>
      <c r="V181" s="9"/>
      <c r="W181" s="7">
        <v>0</v>
      </c>
      <c r="X181" s="8">
        <f>IFERROR(W181/W327, "NA")</f>
        <v>0</v>
      </c>
    </row>
    <row r="182" spans="1:24" ht="16.5" customHeight="1" x14ac:dyDescent="0.25">
      <c r="A182" s="6" t="s">
        <v>188</v>
      </c>
      <c r="B182" s="7">
        <v>0</v>
      </c>
      <c r="C182" s="8">
        <f>IFERROR(B182/B327, "NA")</f>
        <v>0</v>
      </c>
      <c r="D182" s="9"/>
      <c r="E182" s="7">
        <v>0</v>
      </c>
      <c r="F182" s="8">
        <f>IFERROR(E182/E327, "NA")</f>
        <v>0</v>
      </c>
      <c r="G182" s="9"/>
      <c r="H182" s="7">
        <v>0</v>
      </c>
      <c r="I182" s="8">
        <f>IFERROR(H182/H327, "NA")</f>
        <v>0</v>
      </c>
      <c r="J182" s="9"/>
      <c r="K182" s="7">
        <v>0</v>
      </c>
      <c r="L182" s="8">
        <f>IFERROR(K182/K327, "NA")</f>
        <v>0</v>
      </c>
      <c r="M182" s="9"/>
      <c r="N182" s="7">
        <v>89.13</v>
      </c>
      <c r="O182" s="8">
        <f>IFERROR(N182/N327, "NA")</f>
        <v>2.4016961746824525E-4</v>
      </c>
      <c r="P182" s="9"/>
      <c r="Q182" s="7">
        <v>52.86</v>
      </c>
      <c r="R182" s="8">
        <f>IFERROR(Q182/Q327, "NA")</f>
        <v>3.0357327452534372E-4</v>
      </c>
      <c r="S182" s="9"/>
      <c r="T182" s="7">
        <v>0</v>
      </c>
      <c r="U182" s="8">
        <f>IFERROR(T182/T327, "NA")</f>
        <v>0</v>
      </c>
      <c r="V182" s="9"/>
      <c r="W182" s="7">
        <v>0</v>
      </c>
      <c r="X182" s="8">
        <f>IFERROR(W182/W327, "NA")</f>
        <v>0</v>
      </c>
    </row>
    <row r="183" spans="1:24" ht="16.5" customHeight="1" x14ac:dyDescent="0.25">
      <c r="A183" s="6" t="s">
        <v>189</v>
      </c>
      <c r="B183" s="7">
        <v>2611.46</v>
      </c>
      <c r="C183" s="8">
        <f>IFERROR(B183/B327, "NA")</f>
        <v>6.5516977260531529E-3</v>
      </c>
      <c r="D183" s="9"/>
      <c r="E183" s="7">
        <v>0</v>
      </c>
      <c r="F183" s="8">
        <f>IFERROR(E183/E327, "NA")</f>
        <v>0</v>
      </c>
      <c r="G183" s="9"/>
      <c r="H183" s="7">
        <v>0</v>
      </c>
      <c r="I183" s="8">
        <f>IFERROR(H183/H327, "NA")</f>
        <v>0</v>
      </c>
      <c r="J183" s="9"/>
      <c r="K183" s="7">
        <v>3.32</v>
      </c>
      <c r="L183" s="8">
        <f>IFERROR(K183/K327, "NA")</f>
        <v>1.4245502615444243E-5</v>
      </c>
      <c r="M183" s="9"/>
      <c r="N183" s="7">
        <v>1693.41</v>
      </c>
      <c r="O183" s="8">
        <f>IFERROR(N183/N327, "NA")</f>
        <v>4.5630610559508717E-3</v>
      </c>
      <c r="P183" s="9"/>
      <c r="Q183" s="7">
        <v>3.32</v>
      </c>
      <c r="R183" s="8">
        <f>IFERROR(Q183/Q327, "NA")</f>
        <v>1.9066652883544099E-5</v>
      </c>
      <c r="S183" s="9"/>
      <c r="T183" s="7">
        <v>3.32</v>
      </c>
      <c r="U183" s="8">
        <f>IFERROR(T183/T327, "NA")</f>
        <v>1.877642201705148E-5</v>
      </c>
      <c r="V183" s="9"/>
      <c r="W183" s="7">
        <v>0</v>
      </c>
      <c r="X183" s="8">
        <f>IFERROR(W183/W327, "NA")</f>
        <v>0</v>
      </c>
    </row>
    <row r="184" spans="1:24" ht="16.5" customHeight="1" x14ac:dyDescent="0.25">
      <c r="A184" s="6" t="s">
        <v>190</v>
      </c>
      <c r="B184" s="7">
        <v>5.84</v>
      </c>
      <c r="C184" s="8">
        <f>IFERROR(B184/B327, "NA")</f>
        <v>1.4651541559185442E-5</v>
      </c>
      <c r="D184" s="9"/>
      <c r="E184" s="7">
        <v>139.5</v>
      </c>
      <c r="F184" s="8">
        <f>IFERROR(E184/E327, "NA")</f>
        <v>6.7720734642296647E-4</v>
      </c>
      <c r="G184" s="9"/>
      <c r="H184" s="7">
        <v>637.86</v>
      </c>
      <c r="I184" s="8">
        <f>IFERROR(H184/H327, "NA")</f>
        <v>1.8855907621247114E-3</v>
      </c>
      <c r="J184" s="9"/>
      <c r="K184" s="7">
        <v>55.24</v>
      </c>
      <c r="L184" s="8">
        <f>IFERROR(K184/K327, "NA")</f>
        <v>2.3702456761359641E-4</v>
      </c>
      <c r="M184" s="9"/>
      <c r="N184" s="7">
        <v>25.14</v>
      </c>
      <c r="O184" s="8">
        <f>IFERROR(N184/N327, "NA")</f>
        <v>6.7742221285220307E-5</v>
      </c>
      <c r="P184" s="9"/>
      <c r="Q184" s="7">
        <v>5.48</v>
      </c>
      <c r="R184" s="8">
        <f>IFERROR(Q184/Q327, "NA")</f>
        <v>3.1471463193319784E-5</v>
      </c>
      <c r="S184" s="9"/>
      <c r="T184" s="7">
        <v>584.39</v>
      </c>
      <c r="U184" s="8">
        <f>IFERROR(T184/T327, "NA")</f>
        <v>3.3050461634170827E-3</v>
      </c>
      <c r="V184" s="9"/>
      <c r="W184" s="7">
        <v>0</v>
      </c>
      <c r="X184" s="8">
        <f>IFERROR(W184/W327, "NA")</f>
        <v>0</v>
      </c>
    </row>
    <row r="185" spans="1:24" ht="16.5" customHeight="1" x14ac:dyDescent="0.25">
      <c r="A185" s="6" t="s">
        <v>191</v>
      </c>
      <c r="B185" s="7">
        <v>0</v>
      </c>
      <c r="C185" s="8">
        <f>IFERROR(B185/B327, "NA")</f>
        <v>0</v>
      </c>
      <c r="D185" s="9"/>
      <c r="E185" s="7">
        <v>0</v>
      </c>
      <c r="F185" s="8">
        <f>IFERROR(E185/E327, "NA")</f>
        <v>0</v>
      </c>
      <c r="G185" s="9"/>
      <c r="H185" s="7">
        <v>0</v>
      </c>
      <c r="I185" s="8">
        <f>IFERROR(H185/H327, "NA")</f>
        <v>0</v>
      </c>
      <c r="J185" s="9"/>
      <c r="K185" s="7">
        <v>500</v>
      </c>
      <c r="L185" s="8">
        <f>IFERROR(K185/K327, "NA")</f>
        <v>2.1454070203982293E-3</v>
      </c>
      <c r="M185" s="9"/>
      <c r="N185" s="7">
        <v>0</v>
      </c>
      <c r="O185" s="8">
        <f>IFERROR(N185/N327, "NA")</f>
        <v>0</v>
      </c>
      <c r="P185" s="9"/>
      <c r="Q185" s="7">
        <v>0</v>
      </c>
      <c r="R185" s="8">
        <f>IFERROR(Q185/Q327, "NA")</f>
        <v>0</v>
      </c>
      <c r="S185" s="9"/>
      <c r="T185" s="7">
        <v>0</v>
      </c>
      <c r="U185" s="8">
        <f>IFERROR(T185/T327, "NA")</f>
        <v>0</v>
      </c>
      <c r="V185" s="9"/>
      <c r="W185" s="7">
        <v>0</v>
      </c>
      <c r="X185" s="8">
        <f>IFERROR(W185/W327, "NA")</f>
        <v>0</v>
      </c>
    </row>
    <row r="186" spans="1:24" ht="16.5" customHeight="1" x14ac:dyDescent="0.25">
      <c r="A186" s="6" t="s">
        <v>192</v>
      </c>
      <c r="B186" s="7">
        <v>0</v>
      </c>
      <c r="C186" s="8">
        <f>IFERROR(B186/B327, "NA")</f>
        <v>0</v>
      </c>
      <c r="D186" s="9"/>
      <c r="E186" s="7">
        <v>0</v>
      </c>
      <c r="F186" s="8">
        <f>IFERROR(E186/E327, "NA")</f>
        <v>0</v>
      </c>
      <c r="G186" s="9"/>
      <c r="H186" s="7">
        <v>0</v>
      </c>
      <c r="I186" s="8">
        <f>IFERROR(H186/H327, "NA")</f>
        <v>0</v>
      </c>
      <c r="J186" s="9"/>
      <c r="K186" s="7">
        <v>0</v>
      </c>
      <c r="L186" s="8">
        <f>IFERROR(K186/K327, "NA")</f>
        <v>0</v>
      </c>
      <c r="M186" s="9"/>
      <c r="N186" s="7">
        <v>0</v>
      </c>
      <c r="O186" s="8">
        <f>IFERROR(N186/N327, "NA")</f>
        <v>0</v>
      </c>
      <c r="P186" s="9"/>
      <c r="Q186" s="7">
        <v>0</v>
      </c>
      <c r="R186" s="8">
        <f>IFERROR(Q186/Q327, "NA")</f>
        <v>0</v>
      </c>
      <c r="S186" s="9"/>
      <c r="T186" s="7">
        <v>0</v>
      </c>
      <c r="U186" s="8">
        <f>IFERROR(T186/T327, "NA")</f>
        <v>0</v>
      </c>
      <c r="V186" s="9"/>
      <c r="W186" s="7">
        <v>0</v>
      </c>
      <c r="X186" s="8">
        <f>IFERROR(W186/W327, "NA")</f>
        <v>0</v>
      </c>
    </row>
    <row r="187" spans="1:24" ht="16.5" customHeight="1" x14ac:dyDescent="0.25">
      <c r="A187" s="6" t="s">
        <v>193</v>
      </c>
      <c r="B187" s="7">
        <v>95.04</v>
      </c>
      <c r="C187" s="8">
        <f>IFERROR(B187/B327, "NA")</f>
        <v>2.3843878592208639E-4</v>
      </c>
      <c r="D187" s="9"/>
      <c r="E187" s="7">
        <v>878.53</v>
      </c>
      <c r="F187" s="8">
        <f>IFERROR(E187/E327, "NA")</f>
        <v>4.2648528319209232E-3</v>
      </c>
      <c r="G187" s="9"/>
      <c r="H187" s="7">
        <v>179.64</v>
      </c>
      <c r="I187" s="8">
        <f>IFERROR(H187/H327, "NA")</f>
        <v>5.3103741339491914E-4</v>
      </c>
      <c r="J187" s="9"/>
      <c r="K187" s="7">
        <v>85.02</v>
      </c>
      <c r="L187" s="8">
        <f>IFERROR(K187/K327, "NA")</f>
        <v>3.6480500974851493E-4</v>
      </c>
      <c r="M187" s="9"/>
      <c r="N187" s="7">
        <v>179.64</v>
      </c>
      <c r="O187" s="8">
        <f>IFERROR(N187/N327, "NA")</f>
        <v>4.8405778168961709E-4</v>
      </c>
      <c r="P187" s="9"/>
      <c r="Q187" s="7">
        <v>179.64</v>
      </c>
      <c r="R187" s="8">
        <f>IFERROR(Q187/Q327, "NA")</f>
        <v>1.031666724096344E-3</v>
      </c>
      <c r="S187" s="9"/>
      <c r="T187" s="7">
        <v>277.74</v>
      </c>
      <c r="U187" s="8">
        <f>IFERROR(T187/T327, "NA")</f>
        <v>1.5707721237999633E-3</v>
      </c>
      <c r="V187" s="9"/>
      <c r="W187" s="7">
        <v>0</v>
      </c>
      <c r="X187" s="8">
        <f>IFERROR(W187/W327, "NA")</f>
        <v>0</v>
      </c>
    </row>
    <row r="188" spans="1:24" ht="16.5" customHeight="1" x14ac:dyDescent="0.25">
      <c r="A188" s="6" t="s">
        <v>194</v>
      </c>
      <c r="B188" s="7">
        <v>1430.98</v>
      </c>
      <c r="C188" s="8">
        <f>IFERROR(B188/B327, "NA")</f>
        <v>3.5900792706101341E-3</v>
      </c>
      <c r="D188" s="9"/>
      <c r="E188" s="7">
        <v>1124.8900000000001</v>
      </c>
      <c r="F188" s="8">
        <f>IFERROR(E188/E327, "NA")</f>
        <v>5.4608155693027299E-3</v>
      </c>
      <c r="G188" s="9"/>
      <c r="H188" s="7">
        <v>0</v>
      </c>
      <c r="I188" s="8">
        <f>IFERROR(H188/H327, "NA")</f>
        <v>0</v>
      </c>
      <c r="J188" s="9"/>
      <c r="K188" s="7">
        <v>74</v>
      </c>
      <c r="L188" s="8">
        <f>IFERROR(K188/K327, "NA")</f>
        <v>3.1752023901893795E-4</v>
      </c>
      <c r="M188" s="9"/>
      <c r="N188" s="7">
        <v>0</v>
      </c>
      <c r="O188" s="8">
        <f>IFERROR(N188/N327, "NA")</f>
        <v>0</v>
      </c>
      <c r="P188" s="9"/>
      <c r="Q188" s="7">
        <v>0</v>
      </c>
      <c r="R188" s="8">
        <f>IFERROR(Q188/Q327, "NA")</f>
        <v>0</v>
      </c>
      <c r="S188" s="9"/>
      <c r="T188" s="7">
        <v>631.09</v>
      </c>
      <c r="U188" s="8">
        <f>IFERROR(T188/T327, "NA")</f>
        <v>3.5691602923918733E-3</v>
      </c>
      <c r="V188" s="9"/>
      <c r="W188" s="7">
        <v>20.5</v>
      </c>
      <c r="X188" s="8">
        <f>IFERROR(W188/W327, "NA")</f>
        <v>1.2136497110921664E-4</v>
      </c>
    </row>
    <row r="189" spans="1:24" ht="16.5" customHeight="1" x14ac:dyDescent="0.25">
      <c r="A189" s="6" t="s">
        <v>195</v>
      </c>
      <c r="B189" s="7">
        <v>1470.83</v>
      </c>
      <c r="C189" s="8">
        <f>IFERROR(B189/B327, "NA")</f>
        <v>3.6900559711466989E-3</v>
      </c>
      <c r="D189" s="9"/>
      <c r="E189" s="7">
        <v>220.65</v>
      </c>
      <c r="F189" s="8">
        <f>IFERROR(E189/E327, "NA")</f>
        <v>1.0711526952561115E-3</v>
      </c>
      <c r="G189" s="9"/>
      <c r="H189" s="7">
        <v>30.13</v>
      </c>
      <c r="I189" s="8">
        <f>IFERROR(H189/H327, "NA")</f>
        <v>8.9067898383371824E-5</v>
      </c>
      <c r="J189" s="9"/>
      <c r="K189" s="7">
        <v>3090.38</v>
      </c>
      <c r="L189" s="8">
        <f>IFERROR(K189/K327, "NA")</f>
        <v>1.3260245895396561E-2</v>
      </c>
      <c r="M189" s="9"/>
      <c r="N189" s="7">
        <v>566.88</v>
      </c>
      <c r="O189" s="8">
        <f>IFERROR(N189/N327, "NA")</f>
        <v>1.5275143358061132E-3</v>
      </c>
      <c r="P189" s="9"/>
      <c r="Q189" s="7">
        <v>71.42</v>
      </c>
      <c r="R189" s="8">
        <f>IFERROR(Q189/Q327, "NA")</f>
        <v>4.1016275570563847E-4</v>
      </c>
      <c r="S189" s="9"/>
      <c r="T189" s="7">
        <v>1481.48</v>
      </c>
      <c r="U189" s="8">
        <f>IFERROR(T189/T327, "NA")</f>
        <v>8.3785824366932014E-3</v>
      </c>
      <c r="V189" s="9"/>
      <c r="W189" s="7">
        <v>35.76</v>
      </c>
      <c r="X189" s="8">
        <f>IFERROR(W189/W327, "NA")</f>
        <v>2.1170787155441886E-4</v>
      </c>
    </row>
    <row r="190" spans="1:24" ht="16.5" customHeight="1" x14ac:dyDescent="0.25">
      <c r="A190" s="6" t="s">
        <v>196</v>
      </c>
      <c r="B190" s="7">
        <v>0</v>
      </c>
      <c r="C190" s="8">
        <f>IFERROR(B190/B327, "NA")</f>
        <v>0</v>
      </c>
      <c r="D190" s="9"/>
      <c r="E190" s="7">
        <v>0</v>
      </c>
      <c r="F190" s="8">
        <f>IFERROR(E190/E327, "NA")</f>
        <v>0</v>
      </c>
      <c r="G190" s="9"/>
      <c r="H190" s="7">
        <v>0</v>
      </c>
      <c r="I190" s="8">
        <f>IFERROR(H190/H327, "NA")</f>
        <v>0</v>
      </c>
      <c r="J190" s="9"/>
      <c r="K190" s="7">
        <v>0</v>
      </c>
      <c r="L190" s="8">
        <f>IFERROR(K190/K327, "NA")</f>
        <v>0</v>
      </c>
      <c r="M190" s="9"/>
      <c r="N190" s="7">
        <v>0</v>
      </c>
      <c r="O190" s="8">
        <f>IFERROR(N190/N327, "NA")</f>
        <v>0</v>
      </c>
      <c r="P190" s="9"/>
      <c r="Q190" s="7">
        <v>0</v>
      </c>
      <c r="R190" s="8">
        <f>IFERROR(Q190/Q327, "NA")</f>
        <v>0</v>
      </c>
      <c r="S190" s="9"/>
      <c r="T190" s="7">
        <v>0</v>
      </c>
      <c r="U190" s="8">
        <f>IFERROR(T190/T327, "NA")</f>
        <v>0</v>
      </c>
      <c r="V190" s="9"/>
      <c r="W190" s="7">
        <v>0</v>
      </c>
      <c r="X190" s="8">
        <f>IFERROR(W190/W327, "NA")</f>
        <v>0</v>
      </c>
    </row>
    <row r="191" spans="1:24" ht="16.5" customHeight="1" x14ac:dyDescent="0.25">
      <c r="A191" s="6" t="s">
        <v>197</v>
      </c>
      <c r="B191" s="7">
        <v>0</v>
      </c>
      <c r="C191" s="8">
        <f>IFERROR(B191/B327, "NA")</f>
        <v>0</v>
      </c>
      <c r="D191" s="9"/>
      <c r="E191" s="7">
        <v>0</v>
      </c>
      <c r="F191" s="8">
        <f>IFERROR(E191/E327, "NA")</f>
        <v>0</v>
      </c>
      <c r="G191" s="9"/>
      <c r="H191" s="7">
        <v>0</v>
      </c>
      <c r="I191" s="8">
        <f>IFERROR(H191/H327, "NA")</f>
        <v>0</v>
      </c>
      <c r="J191" s="9"/>
      <c r="K191" s="7">
        <v>0</v>
      </c>
      <c r="L191" s="8">
        <f>IFERROR(K191/K327, "NA")</f>
        <v>0</v>
      </c>
      <c r="M191" s="9"/>
      <c r="N191" s="7">
        <v>0</v>
      </c>
      <c r="O191" s="8">
        <f>IFERROR(N191/N327, "NA")</f>
        <v>0</v>
      </c>
      <c r="P191" s="9"/>
      <c r="Q191" s="7">
        <v>0</v>
      </c>
      <c r="R191" s="8">
        <f>IFERROR(Q191/Q327, "NA")</f>
        <v>0</v>
      </c>
      <c r="S191" s="9"/>
      <c r="T191" s="7">
        <v>0</v>
      </c>
      <c r="U191" s="8">
        <f>IFERROR(T191/T327, "NA")</f>
        <v>0</v>
      </c>
      <c r="V191" s="9"/>
      <c r="W191" s="7">
        <v>0</v>
      </c>
      <c r="X191" s="8">
        <f>IFERROR(W191/W327, "NA")</f>
        <v>0</v>
      </c>
    </row>
    <row r="192" spans="1:24" ht="16.5" customHeight="1" x14ac:dyDescent="0.25">
      <c r="A192" s="6" t="s">
        <v>198</v>
      </c>
      <c r="B192" s="7">
        <v>26.64</v>
      </c>
      <c r="C192" s="8">
        <f>IFERROR(B192/B327, "NA")</f>
        <v>6.6835114235736328E-5</v>
      </c>
      <c r="D192" s="9"/>
      <c r="E192" s="7">
        <v>11.1</v>
      </c>
      <c r="F192" s="8">
        <f>IFERROR(E192/E327, "NA")</f>
        <v>5.3885315736881203E-5</v>
      </c>
      <c r="G192" s="9"/>
      <c r="H192" s="7">
        <v>3011.49</v>
      </c>
      <c r="I192" s="8">
        <f>IFERROR(H192/H327, "NA")</f>
        <v>8.9023260969976897E-3</v>
      </c>
      <c r="J192" s="9"/>
      <c r="K192" s="7">
        <v>26.64</v>
      </c>
      <c r="L192" s="8">
        <f>IFERROR(K192/K327, "NA")</f>
        <v>1.1430728604681768E-4</v>
      </c>
      <c r="M192" s="9"/>
      <c r="N192" s="7">
        <v>1156.8499999999999</v>
      </c>
      <c r="O192" s="8">
        <f>IFERROR(N192/N327, "NA")</f>
        <v>3.1172469647496857E-3</v>
      </c>
      <c r="P192" s="9"/>
      <c r="Q192" s="7">
        <v>323.57</v>
      </c>
      <c r="R192" s="8">
        <f>IFERROR(Q192/Q327, "NA")</f>
        <v>1.8582520703398688E-3</v>
      </c>
      <c r="S192" s="9"/>
      <c r="T192" s="7">
        <v>20.350000000000001</v>
      </c>
      <c r="U192" s="8">
        <f>IFERROR(T192/T327, "NA")</f>
        <v>1.1509041808644507E-4</v>
      </c>
      <c r="V192" s="9"/>
      <c r="W192" s="7">
        <v>0</v>
      </c>
      <c r="X192" s="8">
        <f>IFERROR(W192/W327, "NA")</f>
        <v>0</v>
      </c>
    </row>
    <row r="193" spans="1:24" ht="16.5" customHeight="1" x14ac:dyDescent="0.25">
      <c r="A193" s="6" t="s">
        <v>199</v>
      </c>
      <c r="B193" s="7">
        <v>4349.9399999999996</v>
      </c>
      <c r="C193" s="8">
        <f>IFERROR(B193/B327, "NA")</f>
        <v>1.0913240871569026E-2</v>
      </c>
      <c r="D193" s="9"/>
      <c r="E193" s="7">
        <v>4618.59</v>
      </c>
      <c r="F193" s="8">
        <f>IFERROR(E193/E327, "NA")</f>
        <v>2.2421097334162358E-2</v>
      </c>
      <c r="G193" s="9"/>
      <c r="H193" s="7">
        <v>4349.9399999999996</v>
      </c>
      <c r="I193" s="8">
        <f>IFERROR(H193/H327, "NA")</f>
        <v>1.2858945034642031E-2</v>
      </c>
      <c r="J193" s="9"/>
      <c r="K193" s="7">
        <v>4618.62</v>
      </c>
      <c r="L193" s="8">
        <f>IFERROR(K193/K327, "NA")</f>
        <v>1.9817639545103342E-2</v>
      </c>
      <c r="M193" s="9"/>
      <c r="N193" s="7">
        <v>4593.8999999999996</v>
      </c>
      <c r="O193" s="8">
        <f>IFERROR(N193/N327, "NA")</f>
        <v>1.2378718789267044E-2</v>
      </c>
      <c r="P193" s="9"/>
      <c r="Q193" s="7">
        <v>4862.55</v>
      </c>
      <c r="R193" s="8">
        <f>IFERROR(Q193/Q327, "NA")</f>
        <v>2.7925467764722097E-2</v>
      </c>
      <c r="S193" s="9"/>
      <c r="T193" s="7">
        <v>4862.55</v>
      </c>
      <c r="U193" s="8">
        <f>IFERROR(T193/T327, "NA")</f>
        <v>2.7500388818980023E-2</v>
      </c>
      <c r="V193" s="9"/>
      <c r="W193" s="7">
        <v>4618.59</v>
      </c>
      <c r="X193" s="8">
        <f>IFERROR(W193/W327, "NA")</f>
        <v>2.7343172776356922E-2</v>
      </c>
    </row>
    <row r="194" spans="1:24" ht="16.5" customHeight="1" x14ac:dyDescent="0.25">
      <c r="A194" s="6" t="s">
        <v>200</v>
      </c>
      <c r="B194" s="7">
        <v>13595.18</v>
      </c>
      <c r="C194" s="8">
        <f>IFERROR(B194/B327, "NA")</f>
        <v>3.4107935749076494E-2</v>
      </c>
      <c r="D194" s="9"/>
      <c r="E194" s="7">
        <v>0</v>
      </c>
      <c r="F194" s="8">
        <f>IFERROR(E194/E327, "NA")</f>
        <v>0</v>
      </c>
      <c r="G194" s="9"/>
      <c r="H194" s="7">
        <v>0</v>
      </c>
      <c r="I194" s="8">
        <f>IFERROR(H194/H327, "NA")</f>
        <v>0</v>
      </c>
      <c r="J194" s="9"/>
      <c r="K194" s="7">
        <v>0</v>
      </c>
      <c r="L194" s="8">
        <f>IFERROR(K194/K327, "NA")</f>
        <v>0</v>
      </c>
      <c r="M194" s="9"/>
      <c r="N194" s="7">
        <v>6223.26</v>
      </c>
      <c r="O194" s="8">
        <f>IFERROR(N194/N327, "NA")</f>
        <v>1.6769190773089106E-2</v>
      </c>
      <c r="P194" s="9"/>
      <c r="Q194" s="7">
        <v>0</v>
      </c>
      <c r="R194" s="8">
        <f>IFERROR(Q194/Q327, "NA")</f>
        <v>0</v>
      </c>
      <c r="S194" s="9"/>
      <c r="T194" s="7">
        <v>0</v>
      </c>
      <c r="U194" s="8">
        <f>IFERROR(T194/T327, "NA")</f>
        <v>0</v>
      </c>
      <c r="V194" s="9"/>
      <c r="W194" s="7">
        <v>0</v>
      </c>
      <c r="X194" s="8">
        <f>IFERROR(W194/W327, "NA")</f>
        <v>0</v>
      </c>
    </row>
    <row r="195" spans="1:24" ht="16.5" customHeight="1" x14ac:dyDescent="0.25">
      <c r="A195" s="6" t="s">
        <v>201</v>
      </c>
      <c r="B195" s="7">
        <v>0</v>
      </c>
      <c r="C195" s="8">
        <f>IFERROR(B195/B327, "NA")</f>
        <v>0</v>
      </c>
      <c r="D195" s="9"/>
      <c r="E195" s="7">
        <v>0</v>
      </c>
      <c r="F195" s="8">
        <f>IFERROR(E195/E327, "NA")</f>
        <v>0</v>
      </c>
      <c r="G195" s="9"/>
      <c r="H195" s="7">
        <v>0</v>
      </c>
      <c r="I195" s="8">
        <f>IFERROR(H195/H327, "NA")</f>
        <v>0</v>
      </c>
      <c r="J195" s="9"/>
      <c r="K195" s="7">
        <v>0</v>
      </c>
      <c r="L195" s="8">
        <f>IFERROR(K195/K327, "NA")</f>
        <v>0</v>
      </c>
      <c r="M195" s="9"/>
      <c r="N195" s="7">
        <v>412.72</v>
      </c>
      <c r="O195" s="8">
        <f>IFERROR(N195/N327, "NA")</f>
        <v>1.1121149390945157E-3</v>
      </c>
      <c r="P195" s="9"/>
      <c r="Q195" s="7">
        <v>0</v>
      </c>
      <c r="R195" s="8">
        <f>IFERROR(Q195/Q327, "NA")</f>
        <v>0</v>
      </c>
      <c r="S195" s="9"/>
      <c r="T195" s="7">
        <v>0</v>
      </c>
      <c r="U195" s="8">
        <f>IFERROR(T195/T327, "NA")</f>
        <v>0</v>
      </c>
      <c r="V195" s="9"/>
      <c r="W195" s="7">
        <v>0</v>
      </c>
      <c r="X195" s="8">
        <f>IFERROR(W195/W327, "NA")</f>
        <v>0</v>
      </c>
    </row>
    <row r="196" spans="1:24" ht="16.5" customHeight="1" x14ac:dyDescent="0.25">
      <c r="A196" s="6" t="s">
        <v>202</v>
      </c>
      <c r="B196" s="7">
        <v>21598.23</v>
      </c>
      <c r="C196" s="8">
        <f>IFERROR(B196/B327, "NA")</f>
        <v>5.4186192542781814E-2</v>
      </c>
      <c r="D196" s="9"/>
      <c r="E196" s="7">
        <v>15425.95</v>
      </c>
      <c r="F196" s="8">
        <f>IFERROR(E196/E327, "NA")</f>
        <v>7.4885782548769611E-2</v>
      </c>
      <c r="G196" s="9"/>
      <c r="H196" s="7">
        <v>21215.1</v>
      </c>
      <c r="I196" s="8">
        <f>IFERROR(H196/H327, "NA")</f>
        <v>6.2714383371824473E-2</v>
      </c>
      <c r="J196" s="9"/>
      <c r="K196" s="7">
        <v>19605</v>
      </c>
      <c r="L196" s="8">
        <f>IFERROR(K196/K327, "NA")</f>
        <v>8.4121409269814582E-2</v>
      </c>
      <c r="M196" s="9"/>
      <c r="N196" s="7">
        <v>21970</v>
      </c>
      <c r="O196" s="8">
        <f>IFERROR(N196/N327, "NA")</f>
        <v>5.9200342149414879E-2</v>
      </c>
      <c r="P196" s="9"/>
      <c r="Q196" s="7">
        <v>16600</v>
      </c>
      <c r="R196" s="8">
        <f>IFERROR(Q196/Q327, "NA")</f>
        <v>9.5333264417720498E-2</v>
      </c>
      <c r="S196" s="9"/>
      <c r="T196" s="7">
        <v>20035</v>
      </c>
      <c r="U196" s="8">
        <f>IFERROR(T196/T327, "NA")</f>
        <v>0.1133089202143453</v>
      </c>
      <c r="V196" s="9"/>
      <c r="W196" s="7">
        <v>10400</v>
      </c>
      <c r="X196" s="8">
        <f>IFERROR(W196/W327, "NA")</f>
        <v>6.1570521928578197E-2</v>
      </c>
    </row>
    <row r="197" spans="1:24" ht="16.5" customHeight="1" x14ac:dyDescent="0.25">
      <c r="A197" s="6" t="s">
        <v>203</v>
      </c>
      <c r="B197" s="7">
        <v>0</v>
      </c>
      <c r="C197" s="8">
        <f>IFERROR(B197/B327, "NA")</f>
        <v>0</v>
      </c>
      <c r="D197" s="9"/>
      <c r="E197" s="7">
        <v>0</v>
      </c>
      <c r="F197" s="8">
        <f>IFERROR(E197/E327, "NA")</f>
        <v>0</v>
      </c>
      <c r="G197" s="9"/>
      <c r="H197" s="7">
        <v>0</v>
      </c>
      <c r="I197" s="8">
        <f>IFERROR(H197/H327, "NA")</f>
        <v>0</v>
      </c>
      <c r="J197" s="9"/>
      <c r="K197" s="7">
        <v>0</v>
      </c>
      <c r="L197" s="8">
        <f>IFERROR(K197/K327, "NA")</f>
        <v>0</v>
      </c>
      <c r="M197" s="9"/>
      <c r="N197" s="7">
        <v>0</v>
      </c>
      <c r="O197" s="8">
        <f>IFERROR(N197/N327, "NA")</f>
        <v>0</v>
      </c>
      <c r="P197" s="9"/>
      <c r="Q197" s="7">
        <v>0</v>
      </c>
      <c r="R197" s="8">
        <f>IFERROR(Q197/Q327, "NA")</f>
        <v>0</v>
      </c>
      <c r="S197" s="9"/>
      <c r="T197" s="7">
        <v>0</v>
      </c>
      <c r="U197" s="8">
        <f>IFERROR(T197/T327, "NA")</f>
        <v>0</v>
      </c>
      <c r="V197" s="9"/>
      <c r="W197" s="7">
        <v>0</v>
      </c>
      <c r="X197" s="8">
        <f>IFERROR(W197/W327, "NA")</f>
        <v>0</v>
      </c>
    </row>
    <row r="198" spans="1:24" ht="16.5" customHeight="1" x14ac:dyDescent="0.25">
      <c r="A198" s="6" t="s">
        <v>204</v>
      </c>
      <c r="B198" s="7">
        <v>0</v>
      </c>
      <c r="C198" s="8">
        <f>IFERROR(B198/B327, "NA")</f>
        <v>0</v>
      </c>
      <c r="D198" s="9"/>
      <c r="E198" s="7">
        <v>0</v>
      </c>
      <c r="F198" s="8">
        <f>IFERROR(E198/E327, "NA")</f>
        <v>0</v>
      </c>
      <c r="G198" s="9"/>
      <c r="H198" s="7">
        <v>0</v>
      </c>
      <c r="I198" s="8">
        <f>IFERROR(H198/H327, "NA")</f>
        <v>0</v>
      </c>
      <c r="J198" s="9"/>
      <c r="K198" s="7">
        <v>0</v>
      </c>
      <c r="L198" s="8">
        <f>IFERROR(K198/K327, "NA")</f>
        <v>0</v>
      </c>
      <c r="M198" s="9"/>
      <c r="N198" s="7">
        <v>0</v>
      </c>
      <c r="O198" s="8">
        <f>IFERROR(N198/N327, "NA")</f>
        <v>0</v>
      </c>
      <c r="P198" s="9"/>
      <c r="Q198" s="7">
        <v>0</v>
      </c>
      <c r="R198" s="8">
        <f>IFERROR(Q198/Q327, "NA")</f>
        <v>0</v>
      </c>
      <c r="S198" s="9"/>
      <c r="T198" s="7">
        <v>0</v>
      </c>
      <c r="U198" s="8">
        <f>IFERROR(T198/T327, "NA")</f>
        <v>0</v>
      </c>
      <c r="V198" s="9"/>
      <c r="W198" s="7">
        <v>0</v>
      </c>
      <c r="X198" s="8">
        <f>IFERROR(W198/W327, "NA")</f>
        <v>0</v>
      </c>
    </row>
    <row r="199" spans="1:24" ht="16.5" customHeight="1" x14ac:dyDescent="0.25">
      <c r="A199" s="6" t="s">
        <v>205</v>
      </c>
      <c r="B199" s="7">
        <v>0</v>
      </c>
      <c r="C199" s="8">
        <f>IFERROR(B199/B327, "NA")</f>
        <v>0</v>
      </c>
      <c r="D199" s="9"/>
      <c r="E199" s="7">
        <v>0</v>
      </c>
      <c r="F199" s="8">
        <f>IFERROR(E199/E327, "NA")</f>
        <v>0</v>
      </c>
      <c r="G199" s="9"/>
      <c r="H199" s="7">
        <v>0</v>
      </c>
      <c r="I199" s="8">
        <f>IFERROR(H199/H327, "NA")</f>
        <v>0</v>
      </c>
      <c r="J199" s="9"/>
      <c r="K199" s="7">
        <v>0</v>
      </c>
      <c r="L199" s="8">
        <f>IFERROR(K199/K327, "NA")</f>
        <v>0</v>
      </c>
      <c r="M199" s="9"/>
      <c r="N199" s="7">
        <v>0</v>
      </c>
      <c r="O199" s="8">
        <f>IFERROR(N199/N327, "NA")</f>
        <v>0</v>
      </c>
      <c r="P199" s="9"/>
      <c r="Q199" s="7">
        <v>0</v>
      </c>
      <c r="R199" s="8">
        <f>IFERROR(Q199/Q327, "NA")</f>
        <v>0</v>
      </c>
      <c r="S199" s="9"/>
      <c r="T199" s="7">
        <v>0</v>
      </c>
      <c r="U199" s="8">
        <f>IFERROR(T199/T327, "NA")</f>
        <v>0</v>
      </c>
      <c r="V199" s="9"/>
      <c r="W199" s="7">
        <v>0</v>
      </c>
      <c r="X199" s="8">
        <f>IFERROR(W199/W327, "NA")</f>
        <v>0</v>
      </c>
    </row>
    <row r="200" spans="1:24" ht="16.5" customHeight="1" x14ac:dyDescent="0.25">
      <c r="A200" s="6" t="s">
        <v>206</v>
      </c>
      <c r="B200" s="7">
        <v>0</v>
      </c>
      <c r="C200" s="8">
        <f>IFERROR(B200/B327, "NA")</f>
        <v>0</v>
      </c>
      <c r="D200" s="9"/>
      <c r="E200" s="7">
        <v>0</v>
      </c>
      <c r="F200" s="8">
        <f>IFERROR(E200/E327, "NA")</f>
        <v>0</v>
      </c>
      <c r="G200" s="9"/>
      <c r="H200" s="7">
        <v>0</v>
      </c>
      <c r="I200" s="8">
        <f>IFERROR(H200/H327, "NA")</f>
        <v>0</v>
      </c>
      <c r="J200" s="9"/>
      <c r="K200" s="7">
        <v>0</v>
      </c>
      <c r="L200" s="8">
        <f>IFERROR(K200/K327, "NA")</f>
        <v>0</v>
      </c>
      <c r="M200" s="9"/>
      <c r="N200" s="7">
        <v>0</v>
      </c>
      <c r="O200" s="8">
        <f>IFERROR(N200/N327, "NA")</f>
        <v>0</v>
      </c>
      <c r="P200" s="9"/>
      <c r="Q200" s="7">
        <v>0</v>
      </c>
      <c r="R200" s="8">
        <f>IFERROR(Q200/Q327, "NA")</f>
        <v>0</v>
      </c>
      <c r="S200" s="9"/>
      <c r="T200" s="7">
        <v>0</v>
      </c>
      <c r="U200" s="8">
        <f>IFERROR(T200/T327, "NA")</f>
        <v>0</v>
      </c>
      <c r="V200" s="9"/>
      <c r="W200" s="7">
        <v>0</v>
      </c>
      <c r="X200" s="8">
        <f>IFERROR(W200/W327, "NA")</f>
        <v>0</v>
      </c>
    </row>
    <row r="201" spans="1:24" ht="16.5" customHeight="1" x14ac:dyDescent="0.25">
      <c r="A201" s="6" t="s">
        <v>207</v>
      </c>
      <c r="B201" s="7">
        <v>697.16</v>
      </c>
      <c r="C201" s="8">
        <f>IFERROR(B201/B327, "NA")</f>
        <v>1.7490528618838565E-3</v>
      </c>
      <c r="D201" s="9"/>
      <c r="E201" s="7">
        <v>0</v>
      </c>
      <c r="F201" s="8">
        <f>IFERROR(E201/E327, "NA")</f>
        <v>0</v>
      </c>
      <c r="G201" s="9"/>
      <c r="H201" s="7">
        <v>0</v>
      </c>
      <c r="I201" s="8">
        <f>IFERROR(H201/H327, "NA")</f>
        <v>0</v>
      </c>
      <c r="J201" s="9"/>
      <c r="K201" s="7">
        <v>0</v>
      </c>
      <c r="L201" s="8">
        <f>IFERROR(K201/K327, "NA")</f>
        <v>0</v>
      </c>
      <c r="M201" s="9"/>
      <c r="N201" s="7">
        <v>-168.36</v>
      </c>
      <c r="O201" s="8">
        <f>IFERROR(N201/N327, "NA")</f>
        <v>-4.5366270388145152E-4</v>
      </c>
      <c r="P201" s="9"/>
      <c r="Q201" s="7">
        <v>0</v>
      </c>
      <c r="R201" s="8">
        <f>IFERROR(Q201/Q327, "NA")</f>
        <v>0</v>
      </c>
      <c r="S201" s="9"/>
      <c r="T201" s="7">
        <v>0</v>
      </c>
      <c r="U201" s="8">
        <f>IFERROR(T201/T327, "NA")</f>
        <v>0</v>
      </c>
      <c r="V201" s="9"/>
      <c r="W201" s="7">
        <v>0</v>
      </c>
      <c r="X201" s="8">
        <f>IFERROR(W201/W327, "NA")</f>
        <v>0</v>
      </c>
    </row>
    <row r="202" spans="1:24" ht="16.5" customHeight="1" x14ac:dyDescent="0.25">
      <c r="A202" s="6" t="s">
        <v>208</v>
      </c>
      <c r="B202" s="7">
        <v>0</v>
      </c>
      <c r="C202" s="8">
        <f>IFERROR(B202/B327, "NA")</f>
        <v>0</v>
      </c>
      <c r="D202" s="9"/>
      <c r="E202" s="7">
        <v>0</v>
      </c>
      <c r="F202" s="8">
        <f>IFERROR(E202/E327, "NA")</f>
        <v>0</v>
      </c>
      <c r="G202" s="9"/>
      <c r="H202" s="7">
        <v>0</v>
      </c>
      <c r="I202" s="8">
        <f>IFERROR(H202/H327, "NA")</f>
        <v>0</v>
      </c>
      <c r="J202" s="9"/>
      <c r="K202" s="7">
        <v>0</v>
      </c>
      <c r="L202" s="8">
        <f>IFERROR(K202/K327, "NA")</f>
        <v>0</v>
      </c>
      <c r="M202" s="9"/>
      <c r="N202" s="7">
        <v>0</v>
      </c>
      <c r="O202" s="8">
        <f>IFERROR(N202/N327, "NA")</f>
        <v>0</v>
      </c>
      <c r="P202" s="9"/>
      <c r="Q202" s="7">
        <v>0</v>
      </c>
      <c r="R202" s="8">
        <f>IFERROR(Q202/Q327, "NA")</f>
        <v>0</v>
      </c>
      <c r="S202" s="9"/>
      <c r="T202" s="7">
        <v>0</v>
      </c>
      <c r="U202" s="8">
        <f>IFERROR(T202/T327, "NA")</f>
        <v>0</v>
      </c>
      <c r="V202" s="9"/>
      <c r="W202" s="7">
        <v>0</v>
      </c>
      <c r="X202" s="8">
        <f>IFERROR(W202/W327, "NA")</f>
        <v>0</v>
      </c>
    </row>
    <row r="203" spans="1:24" ht="16.5" customHeight="1" x14ac:dyDescent="0.25">
      <c r="A203" s="6" t="s">
        <v>209</v>
      </c>
      <c r="B203" s="7">
        <v>0</v>
      </c>
      <c r="C203" s="8">
        <f>IFERROR(B203/B327, "NA")</f>
        <v>0</v>
      </c>
      <c r="D203" s="9"/>
      <c r="E203" s="7">
        <v>0</v>
      </c>
      <c r="F203" s="8">
        <f>IFERROR(E203/E327, "NA")</f>
        <v>0</v>
      </c>
      <c r="G203" s="9"/>
      <c r="H203" s="7">
        <v>0</v>
      </c>
      <c r="I203" s="8">
        <f>IFERROR(H203/H327, "NA")</f>
        <v>0</v>
      </c>
      <c r="J203" s="9"/>
      <c r="K203" s="7">
        <v>0</v>
      </c>
      <c r="L203" s="8">
        <f>IFERROR(K203/K327, "NA")</f>
        <v>0</v>
      </c>
      <c r="M203" s="9"/>
      <c r="N203" s="7">
        <v>0</v>
      </c>
      <c r="O203" s="8">
        <f>IFERROR(N203/N327, "NA")</f>
        <v>0</v>
      </c>
      <c r="P203" s="9"/>
      <c r="Q203" s="7">
        <v>0</v>
      </c>
      <c r="R203" s="8">
        <f>IFERROR(Q203/Q327, "NA")</f>
        <v>0</v>
      </c>
      <c r="S203" s="9"/>
      <c r="T203" s="7">
        <v>0</v>
      </c>
      <c r="U203" s="8">
        <f>IFERROR(T203/T327, "NA")</f>
        <v>0</v>
      </c>
      <c r="V203" s="9"/>
      <c r="W203" s="7">
        <v>0</v>
      </c>
      <c r="X203" s="8">
        <f>IFERROR(W203/W327, "NA")</f>
        <v>0</v>
      </c>
    </row>
    <row r="204" spans="1:24" ht="16.5" customHeight="1" x14ac:dyDescent="0.25">
      <c r="A204" s="6" t="s">
        <v>210</v>
      </c>
      <c r="B204" s="7">
        <v>0</v>
      </c>
      <c r="C204" s="8">
        <f>IFERROR(B204/B327, "NA")</f>
        <v>0</v>
      </c>
      <c r="D204" s="9"/>
      <c r="E204" s="7">
        <v>0</v>
      </c>
      <c r="F204" s="8">
        <f>IFERROR(E204/E327, "NA")</f>
        <v>0</v>
      </c>
      <c r="G204" s="9"/>
      <c r="H204" s="7">
        <v>0</v>
      </c>
      <c r="I204" s="8">
        <f>IFERROR(H204/H327, "NA")</f>
        <v>0</v>
      </c>
      <c r="J204" s="9"/>
      <c r="K204" s="7">
        <v>0</v>
      </c>
      <c r="L204" s="8">
        <f>IFERROR(K204/K327, "NA")</f>
        <v>0</v>
      </c>
      <c r="M204" s="9"/>
      <c r="N204" s="7">
        <v>0</v>
      </c>
      <c r="O204" s="8">
        <f>IFERROR(N204/N327, "NA")</f>
        <v>0</v>
      </c>
      <c r="P204" s="9"/>
      <c r="Q204" s="7">
        <v>0</v>
      </c>
      <c r="R204" s="8">
        <f>IFERROR(Q204/Q327, "NA")</f>
        <v>0</v>
      </c>
      <c r="S204" s="9"/>
      <c r="T204" s="7">
        <v>0</v>
      </c>
      <c r="U204" s="8">
        <f>IFERROR(T204/T327, "NA")</f>
        <v>0</v>
      </c>
      <c r="V204" s="9"/>
      <c r="W204" s="7">
        <v>0</v>
      </c>
      <c r="X204" s="8">
        <f>IFERROR(W204/W327, "NA")</f>
        <v>0</v>
      </c>
    </row>
    <row r="205" spans="1:24" ht="16.5" customHeight="1" x14ac:dyDescent="0.25">
      <c r="A205" s="6" t="s">
        <v>211</v>
      </c>
      <c r="B205" s="7">
        <v>0</v>
      </c>
      <c r="C205" s="8">
        <f>IFERROR(B205/B327, "NA")</f>
        <v>0</v>
      </c>
      <c r="D205" s="9"/>
      <c r="E205" s="7">
        <v>0</v>
      </c>
      <c r="F205" s="8">
        <f>IFERROR(E205/E327, "NA")</f>
        <v>0</v>
      </c>
      <c r="G205" s="9"/>
      <c r="H205" s="7">
        <v>0</v>
      </c>
      <c r="I205" s="8">
        <f>IFERROR(H205/H327, "NA")</f>
        <v>0</v>
      </c>
      <c r="J205" s="9"/>
      <c r="K205" s="7">
        <v>0</v>
      </c>
      <c r="L205" s="8">
        <f>IFERROR(K205/K327, "NA")</f>
        <v>0</v>
      </c>
      <c r="M205" s="9"/>
      <c r="N205" s="7">
        <v>0</v>
      </c>
      <c r="O205" s="8">
        <f>IFERROR(N205/N327, "NA")</f>
        <v>0</v>
      </c>
      <c r="P205" s="9"/>
      <c r="Q205" s="7">
        <v>0</v>
      </c>
      <c r="R205" s="8">
        <f>IFERROR(Q205/Q327, "NA")</f>
        <v>0</v>
      </c>
      <c r="S205" s="9"/>
      <c r="T205" s="7">
        <v>0</v>
      </c>
      <c r="U205" s="8">
        <f>IFERROR(T205/T327, "NA")</f>
        <v>0</v>
      </c>
      <c r="V205" s="9"/>
      <c r="W205" s="7">
        <v>0</v>
      </c>
      <c r="X205" s="8">
        <f>IFERROR(W205/W327, "NA")</f>
        <v>0</v>
      </c>
    </row>
    <row r="206" spans="1:24" ht="16.5" customHeight="1" x14ac:dyDescent="0.25">
      <c r="A206" s="6" t="s">
        <v>212</v>
      </c>
      <c r="B206" s="7">
        <v>0</v>
      </c>
      <c r="C206" s="8">
        <f>IFERROR(B206/B327, "NA")</f>
        <v>0</v>
      </c>
      <c r="D206" s="9"/>
      <c r="E206" s="7">
        <v>0</v>
      </c>
      <c r="F206" s="8">
        <f>IFERROR(E206/E327, "NA")</f>
        <v>0</v>
      </c>
      <c r="G206" s="9"/>
      <c r="H206" s="7">
        <v>0</v>
      </c>
      <c r="I206" s="8">
        <f>IFERROR(H206/H327, "NA")</f>
        <v>0</v>
      </c>
      <c r="J206" s="9"/>
      <c r="K206" s="7">
        <v>0</v>
      </c>
      <c r="L206" s="8">
        <f>IFERROR(K206/K327, "NA")</f>
        <v>0</v>
      </c>
      <c r="M206" s="9"/>
      <c r="N206" s="7">
        <v>0</v>
      </c>
      <c r="O206" s="8">
        <f>IFERROR(N206/N327, "NA")</f>
        <v>0</v>
      </c>
      <c r="P206" s="9"/>
      <c r="Q206" s="7">
        <v>0</v>
      </c>
      <c r="R206" s="8">
        <f>IFERROR(Q206/Q327, "NA")</f>
        <v>0</v>
      </c>
      <c r="S206" s="9"/>
      <c r="T206" s="7">
        <v>0</v>
      </c>
      <c r="U206" s="8">
        <f>IFERROR(T206/T327, "NA")</f>
        <v>0</v>
      </c>
      <c r="V206" s="9"/>
      <c r="W206" s="7">
        <v>0</v>
      </c>
      <c r="X206" s="8">
        <f>IFERROR(W206/W327, "NA")</f>
        <v>0</v>
      </c>
    </row>
    <row r="207" spans="1:24" ht="16.5" customHeight="1" x14ac:dyDescent="0.25">
      <c r="A207" s="6" t="s">
        <v>213</v>
      </c>
      <c r="B207" s="7">
        <v>0</v>
      </c>
      <c r="C207" s="8">
        <f>IFERROR(B207/B327, "NA")</f>
        <v>0</v>
      </c>
      <c r="D207" s="9"/>
      <c r="E207" s="7">
        <v>0</v>
      </c>
      <c r="F207" s="8">
        <f>IFERROR(E207/E327, "NA")</f>
        <v>0</v>
      </c>
      <c r="G207" s="9"/>
      <c r="H207" s="7">
        <v>0</v>
      </c>
      <c r="I207" s="8">
        <f>IFERROR(H207/H327, "NA")</f>
        <v>0</v>
      </c>
      <c r="J207" s="9"/>
      <c r="K207" s="7">
        <v>0</v>
      </c>
      <c r="L207" s="8">
        <f>IFERROR(K207/K327, "NA")</f>
        <v>0</v>
      </c>
      <c r="M207" s="9"/>
      <c r="N207" s="7">
        <v>0</v>
      </c>
      <c r="O207" s="8">
        <f>IFERROR(N207/N327, "NA")</f>
        <v>0</v>
      </c>
      <c r="P207" s="9"/>
      <c r="Q207" s="7">
        <v>0</v>
      </c>
      <c r="R207" s="8">
        <f>IFERROR(Q207/Q327, "NA")</f>
        <v>0</v>
      </c>
      <c r="S207" s="9"/>
      <c r="T207" s="7">
        <v>0</v>
      </c>
      <c r="U207" s="8">
        <f>IFERROR(T207/T327, "NA")</f>
        <v>0</v>
      </c>
      <c r="V207" s="9"/>
      <c r="W207" s="7">
        <v>0</v>
      </c>
      <c r="X207" s="8">
        <f>IFERROR(W207/W327, "NA")</f>
        <v>0</v>
      </c>
    </row>
    <row r="208" spans="1:24" ht="16.5" customHeight="1" x14ac:dyDescent="0.25">
      <c r="A208" s="6" t="s">
        <v>214</v>
      </c>
      <c r="B208" s="7">
        <v>0</v>
      </c>
      <c r="C208" s="8">
        <f>IFERROR(B208/B327, "NA")</f>
        <v>0</v>
      </c>
      <c r="D208" s="9"/>
      <c r="E208" s="7">
        <v>0</v>
      </c>
      <c r="F208" s="8">
        <f>IFERROR(E208/E327, "NA")</f>
        <v>0</v>
      </c>
      <c r="G208" s="9"/>
      <c r="H208" s="7">
        <v>0</v>
      </c>
      <c r="I208" s="8">
        <f>IFERROR(H208/H327, "NA")</f>
        <v>0</v>
      </c>
      <c r="J208" s="9"/>
      <c r="K208" s="7">
        <v>0</v>
      </c>
      <c r="L208" s="8">
        <f>IFERROR(K208/K327, "NA")</f>
        <v>0</v>
      </c>
      <c r="M208" s="9"/>
      <c r="N208" s="7">
        <v>0</v>
      </c>
      <c r="O208" s="8">
        <f>IFERROR(N208/N327, "NA")</f>
        <v>0</v>
      </c>
      <c r="P208" s="9"/>
      <c r="Q208" s="7">
        <v>0</v>
      </c>
      <c r="R208" s="8">
        <f>IFERROR(Q208/Q327, "NA")</f>
        <v>0</v>
      </c>
      <c r="S208" s="9"/>
      <c r="T208" s="7">
        <v>0</v>
      </c>
      <c r="U208" s="8">
        <f>IFERROR(T208/T327, "NA")</f>
        <v>0</v>
      </c>
      <c r="V208" s="9"/>
      <c r="W208" s="7">
        <v>0</v>
      </c>
      <c r="X208" s="8">
        <f>IFERROR(W208/W327, "NA")</f>
        <v>0</v>
      </c>
    </row>
    <row r="209" spans="1:24" ht="16.5" customHeight="1" x14ac:dyDescent="0.25">
      <c r="A209" s="10" t="s">
        <v>215</v>
      </c>
      <c r="B209" s="11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  <v>58214.099999999991</v>
      </c>
      <c r="C209" s="12">
        <f>IFERROR(B209/B327, "NA")</f>
        <v>0.14604902491105773</v>
      </c>
      <c r="D209" s="2"/>
      <c r="E209" s="11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  <v>33906.53</v>
      </c>
      <c r="F209" s="12">
        <f>IFERROR(E209/E327, "NA")</f>
        <v>0.16460036708036349</v>
      </c>
      <c r="G209" s="2"/>
      <c r="H209" s="11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  <v>35448.799999999996</v>
      </c>
      <c r="I209" s="12">
        <f>IFERROR(H209/H327, "NA")</f>
        <v>0.10479090993071592</v>
      </c>
      <c r="J209" s="2"/>
      <c r="K209" s="11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35817.369999999995</v>
      </c>
      <c r="L209" s="12">
        <f>IFERROR(K209/K327, "NA")</f>
        <v>0.15368567410040185</v>
      </c>
      <c r="M209" s="2"/>
      <c r="N209" s="11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54233.060000000005</v>
      </c>
      <c r="O209" s="12">
        <f>IFERROR(N209/N327, "NA")</f>
        <v>0.14613635447472673</v>
      </c>
      <c r="P209" s="2"/>
      <c r="Q209" s="11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30776.18</v>
      </c>
      <c r="R209" s="12">
        <f>IFERROR(Q209/Q327, "NA")</f>
        <v>0.17674660877755188</v>
      </c>
      <c r="S209" s="2"/>
      <c r="T209" s="11">
        <f>IFERROR(T160+T161+T162+T163+T164+T165+T166+T167+T168+T169+T170+T171+T172+T173+T174+T175+T176+T177+T178+T179+T180+T181+T182+T183+T184+T185+T186+T187+T188+T189+T190+T191+T192+T193+T194+T195+T196+T197+T198+T199+T200+T201+T202+T203+T204+T205+T206+T207+T208, "NA")</f>
        <v>35387.14</v>
      </c>
      <c r="U209" s="12">
        <f>IFERROR(T209/T327, "NA")</f>
        <v>0.20013369717363949</v>
      </c>
      <c r="V209" s="2"/>
      <c r="W209" s="11">
        <f>IFERROR(W160+W161+W162+W163+W164+W165+W166+W167+W168+W169+W170+W171+W172+W173+W174+W175+W176+W177+W178+W179+W180+W181+W182+W183+W184+W185+W186+W187+W188+W189+W190+W191+W192+W193+W194+W195+W196+W197+W198+W199+W200+W201+W202+W203+W204+W205+W206+W207+W208, "NA")</f>
        <v>15094.1</v>
      </c>
      <c r="X209" s="12">
        <f>IFERROR(W209/W327, "NA")</f>
        <v>8.9360732215591557E-2</v>
      </c>
    </row>
    <row r="210" spans="1:24" ht="16.5" customHeight="1" x14ac:dyDescent="0.25">
      <c r="A210" s="13" t="s">
        <v>216</v>
      </c>
      <c r="B210" s="7">
        <v>0</v>
      </c>
      <c r="C210" s="8">
        <f>IFERROR(B210/B327, "NA")</f>
        <v>0</v>
      </c>
      <c r="D210" s="9"/>
      <c r="E210" s="7">
        <v>0</v>
      </c>
      <c r="F210" s="8">
        <f>IFERROR(E210/E327, "NA")</f>
        <v>0</v>
      </c>
      <c r="G210" s="9"/>
      <c r="H210" s="7">
        <v>0</v>
      </c>
      <c r="I210" s="8">
        <f>IFERROR(H210/H327, "NA")</f>
        <v>0</v>
      </c>
      <c r="J210" s="9"/>
      <c r="K210" s="7">
        <v>0</v>
      </c>
      <c r="L210" s="8">
        <f>IFERROR(K210/K327, "NA")</f>
        <v>0</v>
      </c>
      <c r="M210" s="9"/>
      <c r="N210" s="7">
        <v>0</v>
      </c>
      <c r="O210" s="8">
        <f>IFERROR(N210/N327, "NA")</f>
        <v>0</v>
      </c>
      <c r="P210" s="9"/>
      <c r="Q210" s="7">
        <v>0</v>
      </c>
      <c r="R210" s="8">
        <f>IFERROR(Q210/Q327, "NA")</f>
        <v>0</v>
      </c>
      <c r="S210" s="9"/>
      <c r="T210" s="7">
        <v>0</v>
      </c>
      <c r="U210" s="8">
        <f>IFERROR(T210/T327, "NA")</f>
        <v>0</v>
      </c>
      <c r="V210" s="9"/>
      <c r="W210" s="7">
        <v>0</v>
      </c>
      <c r="X210" s="8">
        <f>IFERROR(W210/W327, "NA")</f>
        <v>0</v>
      </c>
    </row>
    <row r="211" spans="1:24" ht="16.5" customHeight="1" x14ac:dyDescent="0.25">
      <c r="A211" s="14" t="s">
        <v>217</v>
      </c>
      <c r="B211" s="11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  <v>58214.099999999991</v>
      </c>
      <c r="C211" s="12">
        <f>IFERROR(B211/B327, "NA")</f>
        <v>0.14604902491105773</v>
      </c>
      <c r="D211" s="2"/>
      <c r="E211" s="11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  <v>33906.53</v>
      </c>
      <c r="F211" s="12">
        <f>IFERROR(E211/E327, "NA")</f>
        <v>0.16460036708036349</v>
      </c>
      <c r="G211" s="2"/>
      <c r="H211" s="11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  <v>35448.799999999996</v>
      </c>
      <c r="I211" s="12">
        <f>IFERROR(H211/H327, "NA")</f>
        <v>0.10479090993071592</v>
      </c>
      <c r="J211" s="2"/>
      <c r="K211" s="11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35817.369999999995</v>
      </c>
      <c r="L211" s="12">
        <f>IFERROR(K211/K327, "NA")</f>
        <v>0.15368567410040185</v>
      </c>
      <c r="M211" s="2"/>
      <c r="N211" s="11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54233.060000000005</v>
      </c>
      <c r="O211" s="12">
        <f>IFERROR(N211/N327, "NA")</f>
        <v>0.14613635447472673</v>
      </c>
      <c r="P211" s="2"/>
      <c r="Q211" s="11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30776.18</v>
      </c>
      <c r="R211" s="12">
        <f>IFERROR(Q211/Q327, "NA")</f>
        <v>0.17674660877755188</v>
      </c>
      <c r="S211" s="2"/>
      <c r="T211" s="11">
        <f>IFERROR(T160+T161+T162+T163+T164+T165+T166+T167+T168+T169+T170+T171+T172+T173+T174+T175+T176+T177+T178+T179+T180+T181+T182+T183+T184+T185+T186+T187+T188+T189+T190+T191+T192+T193+T194+T195+T196+T197+T198+T199+T200+T201+T202+T203+T204+T205+T206+T207+T208+T210, "NA")</f>
        <v>35387.14</v>
      </c>
      <c r="U211" s="12">
        <f>IFERROR(T211/T327, "NA")</f>
        <v>0.20013369717363949</v>
      </c>
      <c r="V211" s="2"/>
      <c r="W211" s="11">
        <f>IFERROR(W160+W161+W162+W163+W164+W165+W166+W167+W168+W169+W170+W171+W172+W173+W174+W175+W176+W177+W178+W179+W180+W181+W182+W183+W184+W185+W186+W187+W188+W189+W190+W191+W192+W193+W194+W195+W196+W197+W198+W199+W200+W201+W202+W203+W204+W205+W206+W207+W208+W210, "NA")</f>
        <v>15094.1</v>
      </c>
      <c r="X211" s="12">
        <f>IFERROR(W211/W327, "NA")</f>
        <v>8.9360732215591557E-2</v>
      </c>
    </row>
    <row r="212" spans="1:24" ht="16.5" customHeight="1" x14ac:dyDescent="0.25">
      <c r="A212" s="1" t="s">
        <v>218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</row>
    <row r="213" spans="1:24" ht="16.5" customHeight="1" x14ac:dyDescent="0.25">
      <c r="A213" s="5" t="s">
        <v>219</v>
      </c>
      <c r="B213" s="2"/>
      <c r="C213" s="3"/>
      <c r="D213" s="4"/>
      <c r="E213" s="2"/>
      <c r="F213" s="3"/>
      <c r="G213" s="4"/>
      <c r="H213" s="2"/>
      <c r="I213" s="3"/>
      <c r="J213" s="4"/>
      <c r="K213" s="2"/>
      <c r="L213" s="3"/>
      <c r="M213" s="4"/>
      <c r="N213" s="2"/>
      <c r="O213" s="3"/>
      <c r="P213" s="4"/>
      <c r="Q213" s="2"/>
      <c r="R213" s="3"/>
      <c r="S213" s="4"/>
      <c r="T213" s="2"/>
      <c r="U213" s="3"/>
      <c r="V213" s="4"/>
      <c r="W213" s="2"/>
      <c r="X213" s="3"/>
    </row>
    <row r="214" spans="1:24" ht="16.5" customHeight="1" x14ac:dyDescent="0.25">
      <c r="A214" s="6" t="s">
        <v>220</v>
      </c>
      <c r="B214" s="7">
        <v>0</v>
      </c>
      <c r="C214" s="8">
        <f>IFERROR(B214/B327, "NA")</f>
        <v>0</v>
      </c>
      <c r="D214" s="9"/>
      <c r="E214" s="7">
        <v>0</v>
      </c>
      <c r="F214" s="8">
        <f>IFERROR(E214/E327, "NA")</f>
        <v>0</v>
      </c>
      <c r="G214" s="9"/>
      <c r="H214" s="7">
        <v>0</v>
      </c>
      <c r="I214" s="8">
        <f>IFERROR(H214/H327, "NA")</f>
        <v>0</v>
      </c>
      <c r="J214" s="9"/>
      <c r="K214" s="7">
        <v>0</v>
      </c>
      <c r="L214" s="8">
        <f>IFERROR(K214/K327, "NA")</f>
        <v>0</v>
      </c>
      <c r="M214" s="9"/>
      <c r="N214" s="7">
        <v>0</v>
      </c>
      <c r="O214" s="8">
        <f>IFERROR(N214/N327, "NA")</f>
        <v>0</v>
      </c>
      <c r="P214" s="9"/>
      <c r="Q214" s="7">
        <v>0</v>
      </c>
      <c r="R214" s="8">
        <f>IFERROR(Q214/Q327, "NA")</f>
        <v>0</v>
      </c>
      <c r="S214" s="9"/>
      <c r="T214" s="7">
        <v>0</v>
      </c>
      <c r="U214" s="8">
        <f>IFERROR(T214/T327, "NA")</f>
        <v>0</v>
      </c>
      <c r="V214" s="9"/>
      <c r="W214" s="7">
        <v>0</v>
      </c>
      <c r="X214" s="8">
        <f>IFERROR(W214/W327, "NA")</f>
        <v>0</v>
      </c>
    </row>
    <row r="215" spans="1:24" ht="16.5" customHeight="1" x14ac:dyDescent="0.25">
      <c r="A215" s="6" t="s">
        <v>221</v>
      </c>
      <c r="B215" s="7">
        <v>32989.730000000003</v>
      </c>
      <c r="C215" s="8">
        <f>IFERROR(B215/B327, "NA")</f>
        <v>8.2765479472826503E-2</v>
      </c>
      <c r="D215" s="9"/>
      <c r="E215" s="7">
        <v>1738.59</v>
      </c>
      <c r="F215" s="8">
        <f>IFERROR(E215/E327, "NA")</f>
        <v>8.4400424402688544E-3</v>
      </c>
      <c r="G215" s="9"/>
      <c r="H215" s="7">
        <v>2477.92</v>
      </c>
      <c r="I215" s="8">
        <f>IFERROR(H215/H327, "NA")</f>
        <v>7.32502909930716E-3</v>
      </c>
      <c r="J215" s="9"/>
      <c r="K215" s="7">
        <v>1242.6600000000001</v>
      </c>
      <c r="L215" s="8">
        <f>IFERROR(K215/K327, "NA")</f>
        <v>5.3320229759361284E-3</v>
      </c>
      <c r="M215" s="9"/>
      <c r="N215" s="7">
        <v>31763.4</v>
      </c>
      <c r="O215" s="8">
        <f>IFERROR(N215/N327, "NA")</f>
        <v>8.5589628940770351E-2</v>
      </c>
      <c r="P215" s="9"/>
      <c r="Q215" s="7">
        <v>1429.07</v>
      </c>
      <c r="R215" s="8">
        <f>IFERROR(Q215/Q327, "NA")</f>
        <v>8.2071029024958931E-3</v>
      </c>
      <c r="S215" s="9"/>
      <c r="T215" s="7">
        <v>1758.24</v>
      </c>
      <c r="U215" s="8">
        <f>IFERROR(T215/T327, "NA")</f>
        <v>9.943812122668854E-3</v>
      </c>
      <c r="V215" s="9"/>
      <c r="W215" s="7">
        <v>1347.4</v>
      </c>
      <c r="X215" s="8">
        <f>IFERROR(W215/W327, "NA")</f>
        <v>7.9769347352467556E-3</v>
      </c>
    </row>
    <row r="216" spans="1:24" ht="16.5" customHeight="1" x14ac:dyDescent="0.25">
      <c r="A216" s="6" t="s">
        <v>222</v>
      </c>
      <c r="B216" s="7">
        <v>0</v>
      </c>
      <c r="C216" s="8">
        <f>IFERROR(B216/B327, "NA")</f>
        <v>0</v>
      </c>
      <c r="D216" s="9"/>
      <c r="E216" s="7">
        <v>449</v>
      </c>
      <c r="F216" s="8">
        <f>IFERROR(E216/E327, "NA")</f>
        <v>2.1796852942215909E-3</v>
      </c>
      <c r="G216" s="9"/>
      <c r="H216" s="7">
        <v>0</v>
      </c>
      <c r="I216" s="8">
        <f>IFERROR(H216/H327, "NA")</f>
        <v>0</v>
      </c>
      <c r="J216" s="9"/>
      <c r="K216" s="7">
        <v>0</v>
      </c>
      <c r="L216" s="8">
        <f>IFERROR(K216/K327, "NA")</f>
        <v>0</v>
      </c>
      <c r="M216" s="9"/>
      <c r="N216" s="7">
        <v>157.5</v>
      </c>
      <c r="O216" s="8">
        <f>IFERROR(N216/N327, "NA")</f>
        <v>4.2439935769380258E-4</v>
      </c>
      <c r="P216" s="9"/>
      <c r="Q216" s="7">
        <v>0</v>
      </c>
      <c r="R216" s="8">
        <f>IFERROR(Q216/Q327, "NA")</f>
        <v>0</v>
      </c>
      <c r="S216" s="9"/>
      <c r="T216" s="7">
        <v>0</v>
      </c>
      <c r="U216" s="8">
        <f>IFERROR(T216/T327, "NA")</f>
        <v>0</v>
      </c>
      <c r="V216" s="9"/>
      <c r="W216" s="7">
        <v>0</v>
      </c>
      <c r="X216" s="8">
        <f>IFERROR(W216/W327, "NA")</f>
        <v>0</v>
      </c>
    </row>
    <row r="217" spans="1:24" ht="16.5" customHeight="1" x14ac:dyDescent="0.25">
      <c r="A217" s="6" t="s">
        <v>223</v>
      </c>
      <c r="B217" s="7">
        <v>2932.63</v>
      </c>
      <c r="C217" s="8">
        <f>IFERROR(B217/B327, "NA")</f>
        <v>7.3574572470400694E-3</v>
      </c>
      <c r="D217" s="9"/>
      <c r="E217" s="7">
        <v>7216.15</v>
      </c>
      <c r="F217" s="8">
        <f>IFERROR(E217/E327, "NA")</f>
        <v>3.5031037941864442E-2</v>
      </c>
      <c r="G217" s="9"/>
      <c r="H217" s="7">
        <v>2153.25</v>
      </c>
      <c r="I217" s="8">
        <f>IFERROR(H217/H327, "NA")</f>
        <v>6.3652655889145492E-3</v>
      </c>
      <c r="J217" s="9"/>
      <c r="K217" s="7">
        <v>837.87</v>
      </c>
      <c r="L217" s="8">
        <f>IFERROR(K217/K327, "NA")</f>
        <v>3.5951443603621292E-3</v>
      </c>
      <c r="M217" s="9"/>
      <c r="N217" s="7">
        <v>4255.1400000000003</v>
      </c>
      <c r="O217" s="8">
        <f>IFERROR(N217/N327, "NA")</f>
        <v>1.1465896399347348E-2</v>
      </c>
      <c r="P217" s="9"/>
      <c r="Q217" s="7">
        <v>3243.73</v>
      </c>
      <c r="R217" s="8">
        <f>IFERROR(Q217/Q327, "NA")</f>
        <v>1.8628636734318825E-2</v>
      </c>
      <c r="S217" s="9"/>
      <c r="T217" s="7">
        <v>2197.4699999999998</v>
      </c>
      <c r="U217" s="8">
        <f>IFERROR(T217/T327, "NA")</f>
        <v>1.2427898822231961E-2</v>
      </c>
      <c r="V217" s="9"/>
      <c r="W217" s="7">
        <v>0</v>
      </c>
      <c r="X217" s="8">
        <f>IFERROR(W217/W327, "NA")</f>
        <v>0</v>
      </c>
    </row>
    <row r="218" spans="1:24" ht="16.5" customHeight="1" x14ac:dyDescent="0.25">
      <c r="A218" s="6" t="s">
        <v>224</v>
      </c>
      <c r="B218" s="7">
        <v>-26.62</v>
      </c>
      <c r="C218" s="8">
        <f>IFERROR(B218/B327, "NA")</f>
        <v>-6.6784937723547347E-5</v>
      </c>
      <c r="D218" s="9"/>
      <c r="E218" s="7">
        <v>0</v>
      </c>
      <c r="F218" s="8">
        <f>IFERROR(E218/E327, "NA")</f>
        <v>0</v>
      </c>
      <c r="G218" s="9"/>
      <c r="H218" s="7">
        <v>0</v>
      </c>
      <c r="I218" s="8">
        <f>IFERROR(H218/H327, "NA")</f>
        <v>0</v>
      </c>
      <c r="J218" s="9"/>
      <c r="K218" s="7">
        <v>0</v>
      </c>
      <c r="L218" s="8">
        <f>IFERROR(K218/K327, "NA")</f>
        <v>0</v>
      </c>
      <c r="M218" s="9"/>
      <c r="N218" s="7">
        <v>1898.59</v>
      </c>
      <c r="O218" s="8">
        <f>IFERROR(N218/N327, "NA")</f>
        <v>5.1159388985642963E-3</v>
      </c>
      <c r="P218" s="9"/>
      <c r="Q218" s="7">
        <v>0</v>
      </c>
      <c r="R218" s="8">
        <f>IFERROR(Q218/Q327, "NA")</f>
        <v>0</v>
      </c>
      <c r="S218" s="9"/>
      <c r="T218" s="7">
        <v>0</v>
      </c>
      <c r="U218" s="8">
        <f>IFERROR(T218/T327, "NA")</f>
        <v>0</v>
      </c>
      <c r="V218" s="9"/>
      <c r="W218" s="7">
        <v>0</v>
      </c>
      <c r="X218" s="8">
        <f>IFERROR(W218/W327, "NA")</f>
        <v>0</v>
      </c>
    </row>
    <row r="219" spans="1:24" ht="16.5" customHeight="1" x14ac:dyDescent="0.25">
      <c r="A219" s="6" t="s">
        <v>225</v>
      </c>
      <c r="B219" s="7">
        <v>4803.26</v>
      </c>
      <c r="C219" s="8">
        <f>IFERROR(B219/B327, "NA")</f>
        <v>1.2050541696844703E-2</v>
      </c>
      <c r="D219" s="9"/>
      <c r="E219" s="7">
        <v>5264.11</v>
      </c>
      <c r="F219" s="8">
        <f>IFERROR(E219/E327, "NA")</f>
        <v>2.5554795443574207E-2</v>
      </c>
      <c r="G219" s="9"/>
      <c r="H219" s="7">
        <v>4949.8500000000004</v>
      </c>
      <c r="I219" s="8">
        <f>IFERROR(H219/H327, "NA")</f>
        <v>1.4632351039260971E-2</v>
      </c>
      <c r="J219" s="9"/>
      <c r="K219" s="7">
        <v>5114.3900000000003</v>
      </c>
      <c r="L219" s="8">
        <f>IFERROR(K219/K327, "NA")</f>
        <v>2.1944896422109002E-2</v>
      </c>
      <c r="M219" s="9"/>
      <c r="N219" s="7">
        <v>4642.18</v>
      </c>
      <c r="O219" s="8">
        <f>IFERROR(N219/N327, "NA")</f>
        <v>1.2508814033644551E-2</v>
      </c>
      <c r="P219" s="9"/>
      <c r="Q219" s="7">
        <v>4789.53</v>
      </c>
      <c r="R219" s="8">
        <f>IFERROR(Q219/Q327, "NA")</f>
        <v>2.7506116260638848E-2</v>
      </c>
      <c r="S219" s="9"/>
      <c r="T219" s="7">
        <v>5418.2</v>
      </c>
      <c r="U219" s="8">
        <f>IFERROR(T219/T327, "NA")</f>
        <v>3.0642894509875999E-2</v>
      </c>
      <c r="V219" s="9"/>
      <c r="W219" s="7">
        <v>5464.85</v>
      </c>
      <c r="X219" s="8">
        <f>IFERROR(W219/W327, "NA")</f>
        <v>3.2353237188595244E-2</v>
      </c>
    </row>
    <row r="220" spans="1:24" ht="16.5" customHeight="1" x14ac:dyDescent="0.25">
      <c r="A220" s="6" t="s">
        <v>226</v>
      </c>
      <c r="B220" s="7">
        <v>13.96</v>
      </c>
      <c r="C220" s="8">
        <f>IFERROR(B220/B327, "NA")</f>
        <v>3.5023205507915888E-5</v>
      </c>
      <c r="D220" s="9"/>
      <c r="E220" s="7">
        <v>20.65</v>
      </c>
      <c r="F220" s="8">
        <f>IFERROR(E220/E327, "NA")</f>
        <v>1.0024610540239611E-4</v>
      </c>
      <c r="G220" s="9"/>
      <c r="H220" s="7">
        <v>39.35</v>
      </c>
      <c r="I220" s="8">
        <f>IFERROR(H220/H327, "NA")</f>
        <v>1.1632332563510393E-4</v>
      </c>
      <c r="J220" s="9"/>
      <c r="K220" s="7">
        <v>20.350000000000001</v>
      </c>
      <c r="L220" s="8">
        <f>IFERROR(K220/K327, "NA")</f>
        <v>8.7318065730207945E-5</v>
      </c>
      <c r="M220" s="9"/>
      <c r="N220" s="7">
        <v>77.069999999999993</v>
      </c>
      <c r="O220" s="8">
        <f>IFERROR(N220/N327, "NA")</f>
        <v>2.0767275236483406E-4</v>
      </c>
      <c r="P220" s="9"/>
      <c r="Q220" s="7">
        <v>0</v>
      </c>
      <c r="R220" s="8">
        <f>IFERROR(Q220/Q327, "NA")</f>
        <v>0</v>
      </c>
      <c r="S220" s="9"/>
      <c r="T220" s="7">
        <v>5787.54</v>
      </c>
      <c r="U220" s="8">
        <f>IFERROR(T220/T327, "NA")</f>
        <v>3.2731714903784973E-2</v>
      </c>
      <c r="V220" s="9"/>
      <c r="W220" s="7">
        <v>0</v>
      </c>
      <c r="X220" s="8">
        <f>IFERROR(W220/W327, "NA")</f>
        <v>0</v>
      </c>
    </row>
    <row r="221" spans="1:24" ht="16.5" customHeight="1" x14ac:dyDescent="0.25">
      <c r="A221" s="6" t="s">
        <v>227</v>
      </c>
      <c r="B221" s="7">
        <v>0</v>
      </c>
      <c r="C221" s="8">
        <f>IFERROR(B221/B327, "NA")</f>
        <v>0</v>
      </c>
      <c r="D221" s="9"/>
      <c r="E221" s="7">
        <v>0</v>
      </c>
      <c r="F221" s="8">
        <f>IFERROR(E221/E327, "NA")</f>
        <v>0</v>
      </c>
      <c r="G221" s="9"/>
      <c r="H221" s="7">
        <v>0</v>
      </c>
      <c r="I221" s="8">
        <f>IFERROR(H221/H327, "NA")</f>
        <v>0</v>
      </c>
      <c r="J221" s="9"/>
      <c r="K221" s="7">
        <v>0</v>
      </c>
      <c r="L221" s="8">
        <f>IFERROR(K221/K327, "NA")</f>
        <v>0</v>
      </c>
      <c r="M221" s="9"/>
      <c r="N221" s="7">
        <v>0</v>
      </c>
      <c r="O221" s="8">
        <f>IFERROR(N221/N327, "NA")</f>
        <v>0</v>
      </c>
      <c r="P221" s="9"/>
      <c r="Q221" s="7">
        <v>0</v>
      </c>
      <c r="R221" s="8">
        <f>IFERROR(Q221/Q327, "NA")</f>
        <v>0</v>
      </c>
      <c r="S221" s="9"/>
      <c r="T221" s="7">
        <v>0</v>
      </c>
      <c r="U221" s="8">
        <f>IFERROR(T221/T327, "NA")</f>
        <v>0</v>
      </c>
      <c r="V221" s="9"/>
      <c r="W221" s="7">
        <v>0</v>
      </c>
      <c r="X221" s="8">
        <f>IFERROR(W221/W327, "NA")</f>
        <v>0</v>
      </c>
    </row>
    <row r="222" spans="1:24" ht="16.5" customHeight="1" x14ac:dyDescent="0.25">
      <c r="A222" s="6" t="s">
        <v>228</v>
      </c>
      <c r="B222" s="7">
        <v>0</v>
      </c>
      <c r="C222" s="8">
        <f>IFERROR(B222/B327, "NA")</f>
        <v>0</v>
      </c>
      <c r="D222" s="9"/>
      <c r="E222" s="7">
        <v>0</v>
      </c>
      <c r="F222" s="8">
        <f>IFERROR(E222/E327, "NA")</f>
        <v>0</v>
      </c>
      <c r="G222" s="9"/>
      <c r="H222" s="7">
        <v>136.51</v>
      </c>
      <c r="I222" s="8">
        <f>IFERROR(H222/H327, "NA")</f>
        <v>4.0353995381062354E-4</v>
      </c>
      <c r="J222" s="9"/>
      <c r="K222" s="7">
        <v>8.1999999999999993</v>
      </c>
      <c r="L222" s="8">
        <f>IFERROR(K222/K327, "NA")</f>
        <v>3.5184675134530964E-5</v>
      </c>
      <c r="M222" s="9"/>
      <c r="N222" s="7">
        <v>0</v>
      </c>
      <c r="O222" s="8">
        <f>IFERROR(N222/N327, "NA")</f>
        <v>0</v>
      </c>
      <c r="P222" s="9"/>
      <c r="Q222" s="7">
        <v>17.100000000000001</v>
      </c>
      <c r="R222" s="8">
        <f>IFERROR(Q222/Q327, "NA")</f>
        <v>9.8204748285724138E-5</v>
      </c>
      <c r="S222" s="9"/>
      <c r="T222" s="7">
        <v>0</v>
      </c>
      <c r="U222" s="8">
        <f>IFERROR(T222/T327, "NA")</f>
        <v>0</v>
      </c>
      <c r="V222" s="9"/>
      <c r="W222" s="7">
        <v>0</v>
      </c>
      <c r="X222" s="8">
        <f>IFERROR(W222/W327, "NA")</f>
        <v>0</v>
      </c>
    </row>
    <row r="223" spans="1:24" ht="16.5" customHeight="1" x14ac:dyDescent="0.25">
      <c r="A223" s="6" t="s">
        <v>229</v>
      </c>
      <c r="B223" s="7">
        <v>0</v>
      </c>
      <c r="C223" s="8">
        <f>IFERROR(B223/B327, "NA")</f>
        <v>0</v>
      </c>
      <c r="D223" s="9"/>
      <c r="E223" s="7">
        <v>0</v>
      </c>
      <c r="F223" s="8">
        <f>IFERROR(E223/E327, "NA")</f>
        <v>0</v>
      </c>
      <c r="G223" s="9"/>
      <c r="H223" s="7">
        <v>0</v>
      </c>
      <c r="I223" s="8">
        <f>IFERROR(H223/H327, "NA")</f>
        <v>0</v>
      </c>
      <c r="J223" s="9"/>
      <c r="K223" s="7">
        <v>0</v>
      </c>
      <c r="L223" s="8">
        <f>IFERROR(K223/K327, "NA")</f>
        <v>0</v>
      </c>
      <c r="M223" s="9"/>
      <c r="N223" s="7">
        <v>0</v>
      </c>
      <c r="O223" s="8">
        <f>IFERROR(N223/N327, "NA")</f>
        <v>0</v>
      </c>
      <c r="P223" s="9"/>
      <c r="Q223" s="7">
        <v>0</v>
      </c>
      <c r="R223" s="8">
        <f>IFERROR(Q223/Q327, "NA")</f>
        <v>0</v>
      </c>
      <c r="S223" s="9"/>
      <c r="T223" s="7">
        <v>0</v>
      </c>
      <c r="U223" s="8">
        <f>IFERROR(T223/T327, "NA")</f>
        <v>0</v>
      </c>
      <c r="V223" s="9"/>
      <c r="W223" s="7">
        <v>0</v>
      </c>
      <c r="X223" s="8">
        <f>IFERROR(W223/W327, "NA")</f>
        <v>0</v>
      </c>
    </row>
    <row r="224" spans="1:24" ht="16.5" customHeight="1" x14ac:dyDescent="0.25">
      <c r="A224" s="6" t="s">
        <v>230</v>
      </c>
      <c r="B224" s="7">
        <v>0</v>
      </c>
      <c r="C224" s="8">
        <f>IFERROR(B224/B327, "NA")</f>
        <v>0</v>
      </c>
      <c r="D224" s="9"/>
      <c r="E224" s="7">
        <v>0</v>
      </c>
      <c r="F224" s="8">
        <f>IFERROR(E224/E327, "NA")</f>
        <v>0</v>
      </c>
      <c r="G224" s="9"/>
      <c r="H224" s="7">
        <v>0</v>
      </c>
      <c r="I224" s="8">
        <f>IFERROR(H224/H327, "NA")</f>
        <v>0</v>
      </c>
      <c r="J224" s="9"/>
      <c r="K224" s="7">
        <v>0</v>
      </c>
      <c r="L224" s="8">
        <f>IFERROR(K224/K327, "NA")</f>
        <v>0</v>
      </c>
      <c r="M224" s="9"/>
      <c r="N224" s="7">
        <v>55.29</v>
      </c>
      <c r="O224" s="8">
        <f>IFERROR(N224/N327, "NA")</f>
        <v>1.4898438404374823E-4</v>
      </c>
      <c r="P224" s="9"/>
      <c r="Q224" s="7">
        <v>0</v>
      </c>
      <c r="R224" s="8">
        <f>IFERROR(Q224/Q327, "NA")</f>
        <v>0</v>
      </c>
      <c r="S224" s="9"/>
      <c r="T224" s="7">
        <v>0</v>
      </c>
      <c r="U224" s="8">
        <f>IFERROR(T224/T327, "NA")</f>
        <v>0</v>
      </c>
      <c r="V224" s="9"/>
      <c r="W224" s="7">
        <v>0</v>
      </c>
      <c r="X224" s="8">
        <f>IFERROR(W224/W327, "NA")</f>
        <v>0</v>
      </c>
    </row>
    <row r="225" spans="1:24" ht="16.5" customHeight="1" x14ac:dyDescent="0.25">
      <c r="A225" s="6" t="s">
        <v>231</v>
      </c>
      <c r="B225" s="7">
        <v>0</v>
      </c>
      <c r="C225" s="8">
        <f>IFERROR(B225/B327, "NA")</f>
        <v>0</v>
      </c>
      <c r="D225" s="9"/>
      <c r="E225" s="7">
        <v>0</v>
      </c>
      <c r="F225" s="8">
        <f>IFERROR(E225/E327, "NA")</f>
        <v>0</v>
      </c>
      <c r="G225" s="9"/>
      <c r="H225" s="7">
        <v>0</v>
      </c>
      <c r="I225" s="8">
        <f>IFERROR(H225/H327, "NA")</f>
        <v>0</v>
      </c>
      <c r="J225" s="9"/>
      <c r="K225" s="7">
        <v>0</v>
      </c>
      <c r="L225" s="8">
        <f>IFERROR(K225/K327, "NA")</f>
        <v>0</v>
      </c>
      <c r="M225" s="9"/>
      <c r="N225" s="7">
        <v>0</v>
      </c>
      <c r="O225" s="8">
        <f>IFERROR(N225/N327, "NA")</f>
        <v>0</v>
      </c>
      <c r="P225" s="9"/>
      <c r="Q225" s="7">
        <v>0</v>
      </c>
      <c r="R225" s="8">
        <f>IFERROR(Q225/Q327, "NA")</f>
        <v>0</v>
      </c>
      <c r="S225" s="9"/>
      <c r="T225" s="7">
        <v>0</v>
      </c>
      <c r="U225" s="8">
        <f>IFERROR(T225/T327, "NA")</f>
        <v>0</v>
      </c>
      <c r="V225" s="9"/>
      <c r="W225" s="7">
        <v>0</v>
      </c>
      <c r="X225" s="8">
        <f>IFERROR(W225/W327, "NA")</f>
        <v>0</v>
      </c>
    </row>
    <row r="226" spans="1:24" ht="16.5" customHeight="1" x14ac:dyDescent="0.25">
      <c r="A226" s="6" t="s">
        <v>232</v>
      </c>
      <c r="B226" s="7">
        <v>-52.56</v>
      </c>
      <c r="C226" s="8">
        <f>IFERROR(B226/B327, "NA")</f>
        <v>-1.3186387403266899E-4</v>
      </c>
      <c r="D226" s="9"/>
      <c r="E226" s="7">
        <v>694.25</v>
      </c>
      <c r="F226" s="8">
        <f>IFERROR(E226/E327, "NA")</f>
        <v>3.3702595000297095E-3</v>
      </c>
      <c r="G226" s="9"/>
      <c r="H226" s="7">
        <v>-707.29</v>
      </c>
      <c r="I226" s="8">
        <f>IFERROR(H226/H327, "NA")</f>
        <v>-2.0908341801385679E-3</v>
      </c>
      <c r="J226" s="9"/>
      <c r="K226" s="7">
        <v>0.36</v>
      </c>
      <c r="L226" s="8">
        <f>IFERROR(K226/K327, "NA")</f>
        <v>1.5446930546867252E-6</v>
      </c>
      <c r="M226" s="9"/>
      <c r="N226" s="7">
        <v>-64.989999999999995</v>
      </c>
      <c r="O226" s="8">
        <f>IFERROR(N226/N327, "NA")</f>
        <v>-1.7512199527949351E-4</v>
      </c>
      <c r="P226" s="9"/>
      <c r="Q226" s="7">
        <v>-111.63</v>
      </c>
      <c r="R226" s="8">
        <f>IFERROR(Q226/Q327, "NA")</f>
        <v>-6.4108748837049035E-4</v>
      </c>
      <c r="S226" s="9"/>
      <c r="T226" s="7">
        <v>117.99</v>
      </c>
      <c r="U226" s="8">
        <f>IFERROR(T226/T327, "NA")</f>
        <v>6.6729820294936866E-4</v>
      </c>
      <c r="V226" s="9"/>
      <c r="W226" s="7">
        <v>0.74</v>
      </c>
      <c r="X226" s="8">
        <f>IFERROR(W226/W327, "NA")</f>
        <v>4.3809794449180639E-6</v>
      </c>
    </row>
    <row r="227" spans="1:24" ht="16.5" customHeight="1" x14ac:dyDescent="0.25">
      <c r="A227" s="6" t="s">
        <v>233</v>
      </c>
      <c r="B227" s="7">
        <v>0</v>
      </c>
      <c r="C227" s="8">
        <f>IFERROR(B227/B327, "NA")</f>
        <v>0</v>
      </c>
      <c r="D227" s="9"/>
      <c r="E227" s="7">
        <v>2578.83</v>
      </c>
      <c r="F227" s="8">
        <f>IFERROR(E227/E327, "NA")</f>
        <v>1.2519015205562284E-2</v>
      </c>
      <c r="G227" s="9"/>
      <c r="H227" s="7">
        <v>36.630000000000003</v>
      </c>
      <c r="I227" s="8">
        <f>IFERROR(H227/H327, "NA")</f>
        <v>1.0828267898383372E-4</v>
      </c>
      <c r="J227" s="9"/>
      <c r="K227" s="7">
        <v>0</v>
      </c>
      <c r="L227" s="8">
        <f>IFERROR(K227/K327, "NA")</f>
        <v>0</v>
      </c>
      <c r="M227" s="9"/>
      <c r="N227" s="7">
        <v>0</v>
      </c>
      <c r="O227" s="8">
        <f>IFERROR(N227/N327, "NA")</f>
        <v>0</v>
      </c>
      <c r="P227" s="9"/>
      <c r="Q227" s="7">
        <v>1005.37</v>
      </c>
      <c r="R227" s="8">
        <f>IFERROR(Q227/Q327, "NA")</f>
        <v>5.7738074727496178E-3</v>
      </c>
      <c r="S227" s="9"/>
      <c r="T227" s="7">
        <v>1081.45</v>
      </c>
      <c r="U227" s="8">
        <f>IFERROR(T227/T327, "NA")</f>
        <v>6.1161932501025071E-3</v>
      </c>
      <c r="V227" s="9"/>
      <c r="W227" s="7">
        <v>0</v>
      </c>
      <c r="X227" s="8">
        <f>IFERROR(W227/W327, "NA")</f>
        <v>0</v>
      </c>
    </row>
    <row r="228" spans="1:24" ht="16.5" customHeight="1" x14ac:dyDescent="0.25">
      <c r="A228" s="6" t="s">
        <v>234</v>
      </c>
      <c r="B228" s="7">
        <v>947.14</v>
      </c>
      <c r="C228" s="8">
        <f>IFERROR(B228/B327, "NA")</f>
        <v>2.3762090877340581E-3</v>
      </c>
      <c r="D228" s="9"/>
      <c r="E228" s="7">
        <v>520.32000000000005</v>
      </c>
      <c r="F228" s="8">
        <f>IFERROR(E228/E327, "NA")</f>
        <v>2.5259105841634261E-3</v>
      </c>
      <c r="G228" s="9"/>
      <c r="H228" s="7">
        <v>0</v>
      </c>
      <c r="I228" s="8">
        <f>IFERROR(H228/H327, "NA")</f>
        <v>0</v>
      </c>
      <c r="J228" s="9"/>
      <c r="K228" s="7">
        <v>0</v>
      </c>
      <c r="L228" s="8">
        <f>IFERROR(K228/K327, "NA")</f>
        <v>0</v>
      </c>
      <c r="M228" s="9"/>
      <c r="N228" s="7">
        <v>500</v>
      </c>
      <c r="O228" s="8">
        <f>IFERROR(N228/N327, "NA")</f>
        <v>1.3472995482342941E-3</v>
      </c>
      <c r="P228" s="9"/>
      <c r="Q228" s="7">
        <v>50</v>
      </c>
      <c r="R228" s="8">
        <f>IFERROR(Q228/Q327, "NA")</f>
        <v>2.8714838680036293E-4</v>
      </c>
      <c r="S228" s="9"/>
      <c r="T228" s="7">
        <v>2</v>
      </c>
      <c r="U228" s="8">
        <f>IFERROR(T228/T327, "NA")</f>
        <v>1.1311097600633422E-5</v>
      </c>
      <c r="V228" s="9"/>
      <c r="W228" s="7">
        <v>0</v>
      </c>
      <c r="X228" s="8">
        <f>IFERROR(W228/W327, "NA")</f>
        <v>0</v>
      </c>
    </row>
    <row r="229" spans="1:24" ht="16.5" customHeight="1" x14ac:dyDescent="0.25">
      <c r="A229" s="6" t="s">
        <v>235</v>
      </c>
      <c r="B229" s="7">
        <v>0</v>
      </c>
      <c r="C229" s="8">
        <f>IFERROR(B229/B327, "NA")</f>
        <v>0</v>
      </c>
      <c r="D229" s="9"/>
      <c r="E229" s="7">
        <v>0</v>
      </c>
      <c r="F229" s="8">
        <f>IFERROR(E229/E327, "NA")</f>
        <v>0</v>
      </c>
      <c r="G229" s="9"/>
      <c r="H229" s="7">
        <v>0</v>
      </c>
      <c r="I229" s="8">
        <f>IFERROR(H229/H327, "NA")</f>
        <v>0</v>
      </c>
      <c r="J229" s="9"/>
      <c r="K229" s="7">
        <v>0</v>
      </c>
      <c r="L229" s="8">
        <f>IFERROR(K229/K327, "NA")</f>
        <v>0</v>
      </c>
      <c r="M229" s="9"/>
      <c r="N229" s="7">
        <v>0</v>
      </c>
      <c r="O229" s="8">
        <f>IFERROR(N229/N327, "NA")</f>
        <v>0</v>
      </c>
      <c r="P229" s="9"/>
      <c r="Q229" s="7">
        <v>0</v>
      </c>
      <c r="R229" s="8">
        <f>IFERROR(Q229/Q327, "NA")</f>
        <v>0</v>
      </c>
      <c r="S229" s="9"/>
      <c r="T229" s="7">
        <v>0</v>
      </c>
      <c r="U229" s="8">
        <f>IFERROR(T229/T327, "NA")</f>
        <v>0</v>
      </c>
      <c r="V229" s="9"/>
      <c r="W229" s="7">
        <v>0</v>
      </c>
      <c r="X229" s="8">
        <f>IFERROR(W229/W327, "NA")</f>
        <v>0</v>
      </c>
    </row>
    <row r="230" spans="1:24" ht="16.5" customHeight="1" x14ac:dyDescent="0.25">
      <c r="A230" s="6" t="s">
        <v>236</v>
      </c>
      <c r="B230" s="7">
        <v>0</v>
      </c>
      <c r="C230" s="8">
        <f>IFERROR(B230/B327, "NA")</f>
        <v>0</v>
      </c>
      <c r="D230" s="9"/>
      <c r="E230" s="7">
        <v>0</v>
      </c>
      <c r="F230" s="8">
        <f>IFERROR(E230/E327, "NA")</f>
        <v>0</v>
      </c>
      <c r="G230" s="9"/>
      <c r="H230" s="7">
        <v>0</v>
      </c>
      <c r="I230" s="8">
        <f>IFERROR(H230/H327, "NA")</f>
        <v>0</v>
      </c>
      <c r="J230" s="9"/>
      <c r="K230" s="7">
        <v>0</v>
      </c>
      <c r="L230" s="8">
        <f>IFERROR(K230/K327, "NA")</f>
        <v>0</v>
      </c>
      <c r="M230" s="9"/>
      <c r="N230" s="7">
        <v>714.29</v>
      </c>
      <c r="O230" s="8">
        <f>IFERROR(N230/N327, "NA")</f>
        <v>1.9247251886165477E-3</v>
      </c>
      <c r="P230" s="9"/>
      <c r="Q230" s="7">
        <v>0</v>
      </c>
      <c r="R230" s="8">
        <f>IFERROR(Q230/Q327, "NA")</f>
        <v>0</v>
      </c>
      <c r="S230" s="9"/>
      <c r="T230" s="7">
        <v>0</v>
      </c>
      <c r="U230" s="8">
        <f>IFERROR(T230/T327, "NA")</f>
        <v>0</v>
      </c>
      <c r="V230" s="9"/>
      <c r="W230" s="7">
        <v>0</v>
      </c>
      <c r="X230" s="8">
        <f>IFERROR(W230/W327, "NA")</f>
        <v>0</v>
      </c>
    </row>
    <row r="231" spans="1:24" ht="16.5" customHeight="1" x14ac:dyDescent="0.25">
      <c r="A231" s="6" t="s">
        <v>237</v>
      </c>
      <c r="B231" s="7">
        <v>0</v>
      </c>
      <c r="C231" s="8">
        <f>IFERROR(B231/B327, "NA")</f>
        <v>0</v>
      </c>
      <c r="D231" s="9"/>
      <c r="E231" s="7">
        <v>0</v>
      </c>
      <c r="F231" s="8">
        <f>IFERROR(E231/E327, "NA")</f>
        <v>0</v>
      </c>
      <c r="G231" s="9"/>
      <c r="H231" s="7">
        <v>0</v>
      </c>
      <c r="I231" s="8">
        <f>IFERROR(H231/H327, "NA")</f>
        <v>0</v>
      </c>
      <c r="J231" s="9"/>
      <c r="K231" s="7">
        <v>0</v>
      </c>
      <c r="L231" s="8">
        <f>IFERROR(K231/K327, "NA")</f>
        <v>0</v>
      </c>
      <c r="M231" s="9"/>
      <c r="N231" s="7">
        <v>0</v>
      </c>
      <c r="O231" s="8">
        <f>IFERROR(N231/N327, "NA")</f>
        <v>0</v>
      </c>
      <c r="P231" s="9"/>
      <c r="Q231" s="7">
        <v>0</v>
      </c>
      <c r="R231" s="8">
        <f>IFERROR(Q231/Q327, "NA")</f>
        <v>0</v>
      </c>
      <c r="S231" s="9"/>
      <c r="T231" s="7">
        <v>0</v>
      </c>
      <c r="U231" s="8">
        <f>IFERROR(T231/T327, "NA")</f>
        <v>0</v>
      </c>
      <c r="V231" s="9"/>
      <c r="W231" s="7">
        <v>0</v>
      </c>
      <c r="X231" s="8">
        <f>IFERROR(W231/W327, "NA")</f>
        <v>0</v>
      </c>
    </row>
    <row r="232" spans="1:24" ht="16.5" customHeight="1" x14ac:dyDescent="0.25">
      <c r="A232" s="6" t="s">
        <v>238</v>
      </c>
      <c r="B232" s="7">
        <v>0</v>
      </c>
      <c r="C232" s="8">
        <f>IFERROR(B232/B327, "NA")</f>
        <v>0</v>
      </c>
      <c r="D232" s="9"/>
      <c r="E232" s="7">
        <v>0</v>
      </c>
      <c r="F232" s="8">
        <f>IFERROR(E232/E327, "NA")</f>
        <v>0</v>
      </c>
      <c r="G232" s="9"/>
      <c r="H232" s="7">
        <v>0</v>
      </c>
      <c r="I232" s="8">
        <f>IFERROR(H232/H327, "NA")</f>
        <v>0</v>
      </c>
      <c r="J232" s="9"/>
      <c r="K232" s="7">
        <v>0</v>
      </c>
      <c r="L232" s="8">
        <f>IFERROR(K232/K327, "NA")</f>
        <v>0</v>
      </c>
      <c r="M232" s="9"/>
      <c r="N232" s="7">
        <v>0</v>
      </c>
      <c r="O232" s="8">
        <f>IFERROR(N232/N327, "NA")</f>
        <v>0</v>
      </c>
      <c r="P232" s="9"/>
      <c r="Q232" s="7">
        <v>0</v>
      </c>
      <c r="R232" s="8">
        <f>IFERROR(Q232/Q327, "NA")</f>
        <v>0</v>
      </c>
      <c r="S232" s="9"/>
      <c r="T232" s="7">
        <v>0</v>
      </c>
      <c r="U232" s="8">
        <f>IFERROR(T232/T327, "NA")</f>
        <v>0</v>
      </c>
      <c r="V232" s="9"/>
      <c r="W232" s="7">
        <v>0</v>
      </c>
      <c r="X232" s="8">
        <f>IFERROR(W232/W327, "NA")</f>
        <v>0</v>
      </c>
    </row>
    <row r="233" spans="1:24" ht="16.5" customHeight="1" x14ac:dyDescent="0.25">
      <c r="A233" s="6" t="s">
        <v>239</v>
      </c>
      <c r="B233" s="7">
        <v>91.42</v>
      </c>
      <c r="C233" s="8">
        <f>IFERROR(B233/B327, "NA")</f>
        <v>2.2935683721587896E-4</v>
      </c>
      <c r="D233" s="9"/>
      <c r="E233" s="7">
        <v>0</v>
      </c>
      <c r="F233" s="8">
        <f>IFERROR(E233/E327, "NA")</f>
        <v>0</v>
      </c>
      <c r="G233" s="9"/>
      <c r="H233" s="7">
        <v>0</v>
      </c>
      <c r="I233" s="8">
        <f>IFERROR(H233/H327, "NA")</f>
        <v>0</v>
      </c>
      <c r="J233" s="9"/>
      <c r="K233" s="7">
        <v>0</v>
      </c>
      <c r="L233" s="8">
        <f>IFERROR(K233/K327, "NA")</f>
        <v>0</v>
      </c>
      <c r="M233" s="9"/>
      <c r="N233" s="7">
        <v>0</v>
      </c>
      <c r="O233" s="8">
        <f>IFERROR(N233/N327, "NA")</f>
        <v>0</v>
      </c>
      <c r="P233" s="9"/>
      <c r="Q233" s="7">
        <v>0</v>
      </c>
      <c r="R233" s="8">
        <f>IFERROR(Q233/Q327, "NA")</f>
        <v>0</v>
      </c>
      <c r="S233" s="9"/>
      <c r="T233" s="7">
        <v>0</v>
      </c>
      <c r="U233" s="8">
        <f>IFERROR(T233/T327, "NA")</f>
        <v>0</v>
      </c>
      <c r="V233" s="9"/>
      <c r="W233" s="7">
        <v>0</v>
      </c>
      <c r="X233" s="8">
        <f>IFERROR(W233/W327, "NA")</f>
        <v>0</v>
      </c>
    </row>
    <row r="234" spans="1:24" ht="16.5" customHeight="1" x14ac:dyDescent="0.25">
      <c r="A234" s="6" t="s">
        <v>240</v>
      </c>
      <c r="B234" s="7">
        <v>27.49</v>
      </c>
      <c r="C234" s="8">
        <f>IFERROR(B234/B327, "NA")</f>
        <v>6.8967616003768454E-5</v>
      </c>
      <c r="D234" s="9"/>
      <c r="E234" s="7">
        <v>5.48</v>
      </c>
      <c r="F234" s="8">
        <f>IFERROR(E234/E327, "NA")</f>
        <v>2.6602840561991803E-5</v>
      </c>
      <c r="G234" s="9"/>
      <c r="H234" s="7">
        <v>0</v>
      </c>
      <c r="I234" s="8">
        <f>IFERROR(H234/H327, "NA")</f>
        <v>0</v>
      </c>
      <c r="J234" s="9"/>
      <c r="K234" s="7">
        <v>54.22</v>
      </c>
      <c r="L234" s="8">
        <f>IFERROR(K234/K327, "NA")</f>
        <v>2.3264793729198401E-4</v>
      </c>
      <c r="M234" s="9"/>
      <c r="N234" s="7">
        <v>0</v>
      </c>
      <c r="O234" s="8">
        <f>IFERROR(N234/N327, "NA")</f>
        <v>0</v>
      </c>
      <c r="P234" s="9"/>
      <c r="Q234" s="7">
        <v>11.68</v>
      </c>
      <c r="R234" s="8">
        <f>IFERROR(Q234/Q327, "NA")</f>
        <v>6.7077863156564786E-5</v>
      </c>
      <c r="S234" s="9"/>
      <c r="T234" s="7">
        <v>0</v>
      </c>
      <c r="U234" s="8">
        <f>IFERROR(T234/T327, "NA")</f>
        <v>0</v>
      </c>
      <c r="V234" s="9"/>
      <c r="W234" s="7">
        <v>0</v>
      </c>
      <c r="X234" s="8">
        <f>IFERROR(W234/W327, "NA")</f>
        <v>0</v>
      </c>
    </row>
    <row r="235" spans="1:24" ht="16.5" customHeight="1" x14ac:dyDescent="0.25">
      <c r="A235" s="6" t="s">
        <v>241</v>
      </c>
      <c r="B235" s="7">
        <v>0</v>
      </c>
      <c r="C235" s="8">
        <f>IFERROR(B235/B327, "NA")</f>
        <v>0</v>
      </c>
      <c r="D235" s="9"/>
      <c r="E235" s="7">
        <v>0</v>
      </c>
      <c r="F235" s="8">
        <f>IFERROR(E235/E327, "NA")</f>
        <v>0</v>
      </c>
      <c r="G235" s="9"/>
      <c r="H235" s="7">
        <v>0</v>
      </c>
      <c r="I235" s="8">
        <f>IFERROR(H235/H327, "NA")</f>
        <v>0</v>
      </c>
      <c r="J235" s="9"/>
      <c r="K235" s="7">
        <v>404.39</v>
      </c>
      <c r="L235" s="8">
        <f>IFERROR(K235/K327, "NA")</f>
        <v>1.73516228995768E-3</v>
      </c>
      <c r="M235" s="9"/>
      <c r="N235" s="7">
        <v>0</v>
      </c>
      <c r="O235" s="8">
        <f>IFERROR(N235/N327, "NA")</f>
        <v>0</v>
      </c>
      <c r="P235" s="9"/>
      <c r="Q235" s="7">
        <v>0</v>
      </c>
      <c r="R235" s="8">
        <f>IFERROR(Q235/Q327, "NA")</f>
        <v>0</v>
      </c>
      <c r="S235" s="9"/>
      <c r="T235" s="7">
        <v>28.55</v>
      </c>
      <c r="U235" s="8">
        <f>IFERROR(T235/T327, "NA")</f>
        <v>1.6146591824904208E-4</v>
      </c>
      <c r="V235" s="9"/>
      <c r="W235" s="7">
        <v>115.98</v>
      </c>
      <c r="X235" s="8">
        <f>IFERROR(W235/W327, "NA")</f>
        <v>6.8662972435350959E-4</v>
      </c>
    </row>
    <row r="236" spans="1:24" ht="16.5" customHeight="1" x14ac:dyDescent="0.25">
      <c r="A236" s="6" t="s">
        <v>242</v>
      </c>
      <c r="B236" s="7">
        <v>0</v>
      </c>
      <c r="C236" s="8">
        <f>IFERROR(B236/B327, "NA")</f>
        <v>0</v>
      </c>
      <c r="D236" s="9"/>
      <c r="E236" s="7">
        <v>32742.85</v>
      </c>
      <c r="F236" s="8">
        <f>IFERROR(E236/E327, "NA")</f>
        <v>0.15895124417795861</v>
      </c>
      <c r="G236" s="9"/>
      <c r="H236" s="7">
        <v>0</v>
      </c>
      <c r="I236" s="8">
        <f>IFERROR(H236/H327, "NA")</f>
        <v>0</v>
      </c>
      <c r="J236" s="9"/>
      <c r="K236" s="7">
        <v>0</v>
      </c>
      <c r="L236" s="8">
        <f>IFERROR(K236/K327, "NA")</f>
        <v>0</v>
      </c>
      <c r="M236" s="9"/>
      <c r="N236" s="7">
        <v>0</v>
      </c>
      <c r="O236" s="8">
        <f>IFERROR(N236/N327, "NA")</f>
        <v>0</v>
      </c>
      <c r="P236" s="9"/>
      <c r="Q236" s="7">
        <v>0</v>
      </c>
      <c r="R236" s="8">
        <f>IFERROR(Q236/Q327, "NA")</f>
        <v>0</v>
      </c>
      <c r="S236" s="9"/>
      <c r="T236" s="7">
        <v>32742.85</v>
      </c>
      <c r="U236" s="8">
        <f>IFERROR(T236/T327, "NA")</f>
        <v>0.18517878603644999</v>
      </c>
      <c r="V236" s="9"/>
      <c r="W236" s="7">
        <v>0</v>
      </c>
      <c r="X236" s="8">
        <f>IFERROR(W236/W327, "NA")</f>
        <v>0</v>
      </c>
    </row>
    <row r="237" spans="1:24" ht="16.5" customHeight="1" x14ac:dyDescent="0.25">
      <c r="A237" s="6" t="s">
        <v>243</v>
      </c>
      <c r="B237" s="7">
        <v>545.70000000000005</v>
      </c>
      <c r="C237" s="8">
        <f>IFERROR(B237/B327, "NA")</f>
        <v>1.369066135076626E-3</v>
      </c>
      <c r="D237" s="9"/>
      <c r="E237" s="7">
        <v>2040.67</v>
      </c>
      <c r="F237" s="8">
        <f>IFERROR(E237/E327, "NA")</f>
        <v>9.906499753583908E-3</v>
      </c>
      <c r="G237" s="9"/>
      <c r="H237" s="7">
        <v>1035.94</v>
      </c>
      <c r="I237" s="8">
        <f>IFERROR(H237/H327, "NA")</f>
        <v>3.0623630484988454E-3</v>
      </c>
      <c r="J237" s="9"/>
      <c r="K237" s="7">
        <v>544.63</v>
      </c>
      <c r="L237" s="8">
        <f>IFERROR(K237/K327, "NA")</f>
        <v>2.3369060510389753E-3</v>
      </c>
      <c r="M237" s="9"/>
      <c r="N237" s="7">
        <v>171.2</v>
      </c>
      <c r="O237" s="8">
        <f>IFERROR(N237/N327, "NA")</f>
        <v>4.6131536531542224E-4</v>
      </c>
      <c r="P237" s="9"/>
      <c r="Q237" s="7">
        <v>331.7</v>
      </c>
      <c r="R237" s="8">
        <f>IFERROR(Q237/Q327, "NA")</f>
        <v>1.9049423980336078E-3</v>
      </c>
      <c r="S237" s="9"/>
      <c r="T237" s="7">
        <v>479.54</v>
      </c>
      <c r="U237" s="8">
        <f>IFERROR(T237/T327, "NA")</f>
        <v>2.7120618717038757E-3</v>
      </c>
      <c r="V237" s="9"/>
      <c r="W237" s="7">
        <v>726.53</v>
      </c>
      <c r="X237" s="8">
        <f>IFERROR(W237/W327, "NA")</f>
        <v>4.3012337785355683E-3</v>
      </c>
    </row>
    <row r="238" spans="1:24" ht="16.5" customHeight="1" x14ac:dyDescent="0.25">
      <c r="A238" s="6" t="s">
        <v>244</v>
      </c>
      <c r="B238" s="7">
        <v>5.27</v>
      </c>
      <c r="C238" s="8">
        <f>IFERROR(B238/B327, "NA")</f>
        <v>1.3221510961799191E-5</v>
      </c>
      <c r="D238" s="9"/>
      <c r="E238" s="7">
        <v>3.54</v>
      </c>
      <c r="F238" s="8">
        <f>IFERROR(E238/E327, "NA")</f>
        <v>1.7185046640410764E-5</v>
      </c>
      <c r="G238" s="9"/>
      <c r="H238" s="7">
        <v>15.99</v>
      </c>
      <c r="I238" s="8">
        <f>IFERROR(H238/H327, "NA")</f>
        <v>4.7268360277136258E-5</v>
      </c>
      <c r="J238" s="9"/>
      <c r="K238" s="7">
        <v>8.51</v>
      </c>
      <c r="L238" s="8">
        <f>IFERROR(K238/K327, "NA")</f>
        <v>3.6514827487177863E-5</v>
      </c>
      <c r="M238" s="9"/>
      <c r="N238" s="7">
        <v>0</v>
      </c>
      <c r="O238" s="8">
        <f>IFERROR(N238/N327, "NA")</f>
        <v>0</v>
      </c>
      <c r="P238" s="9"/>
      <c r="Q238" s="7">
        <v>6.83</v>
      </c>
      <c r="R238" s="8">
        <f>IFERROR(Q238/Q327, "NA")</f>
        <v>3.9224469636929581E-5</v>
      </c>
      <c r="S238" s="9"/>
      <c r="T238" s="7">
        <v>0</v>
      </c>
      <c r="U238" s="8">
        <f>IFERROR(T238/T327, "NA")</f>
        <v>0</v>
      </c>
      <c r="V238" s="9"/>
      <c r="W238" s="7">
        <v>13.66</v>
      </c>
      <c r="X238" s="8">
        <f>IFERROR(W238/W327, "NA")</f>
        <v>8.0870512456190211E-5</v>
      </c>
    </row>
    <row r="239" spans="1:24" ht="16.5" customHeight="1" x14ac:dyDescent="0.25">
      <c r="A239" s="6" t="s">
        <v>245</v>
      </c>
      <c r="B239" s="7">
        <v>0</v>
      </c>
      <c r="C239" s="8">
        <f>IFERROR(B239/B327, "NA")</f>
        <v>0</v>
      </c>
      <c r="D239" s="9"/>
      <c r="E239" s="7">
        <v>0</v>
      </c>
      <c r="F239" s="8">
        <f>IFERROR(E239/E327, "NA")</f>
        <v>0</v>
      </c>
      <c r="G239" s="9"/>
      <c r="H239" s="7">
        <v>0</v>
      </c>
      <c r="I239" s="8">
        <f>IFERROR(H239/H327, "NA")</f>
        <v>0</v>
      </c>
      <c r="J239" s="9"/>
      <c r="K239" s="7">
        <v>0</v>
      </c>
      <c r="L239" s="8">
        <f>IFERROR(K239/K327, "NA")</f>
        <v>0</v>
      </c>
      <c r="M239" s="9"/>
      <c r="N239" s="7">
        <v>0</v>
      </c>
      <c r="O239" s="8">
        <f>IFERROR(N239/N327, "NA")</f>
        <v>0</v>
      </c>
      <c r="P239" s="9"/>
      <c r="Q239" s="7">
        <v>0</v>
      </c>
      <c r="R239" s="8">
        <f>IFERROR(Q239/Q327, "NA")</f>
        <v>0</v>
      </c>
      <c r="S239" s="9"/>
      <c r="T239" s="7">
        <v>0</v>
      </c>
      <c r="U239" s="8">
        <f>IFERROR(T239/T327, "NA")</f>
        <v>0</v>
      </c>
      <c r="V239" s="9"/>
      <c r="W239" s="7">
        <v>0</v>
      </c>
      <c r="X239" s="8">
        <f>IFERROR(W239/W327, "NA")</f>
        <v>0</v>
      </c>
    </row>
    <row r="240" spans="1:24" ht="16.5" customHeight="1" x14ac:dyDescent="0.25">
      <c r="A240" s="6" t="s">
        <v>246</v>
      </c>
      <c r="B240" s="7">
        <v>0</v>
      </c>
      <c r="C240" s="8">
        <f>IFERROR(B240/B327, "NA")</f>
        <v>0</v>
      </c>
      <c r="D240" s="9"/>
      <c r="E240" s="7">
        <v>0</v>
      </c>
      <c r="F240" s="8">
        <f>IFERROR(E240/E327, "NA")</f>
        <v>0</v>
      </c>
      <c r="G240" s="9"/>
      <c r="H240" s="7">
        <v>0</v>
      </c>
      <c r="I240" s="8">
        <f>IFERROR(H240/H327, "NA")</f>
        <v>0</v>
      </c>
      <c r="J240" s="9"/>
      <c r="K240" s="7">
        <v>0</v>
      </c>
      <c r="L240" s="8">
        <f>IFERROR(K240/K327, "NA")</f>
        <v>0</v>
      </c>
      <c r="M240" s="9"/>
      <c r="N240" s="7">
        <v>0</v>
      </c>
      <c r="O240" s="8">
        <f>IFERROR(N240/N327, "NA")</f>
        <v>0</v>
      </c>
      <c r="P240" s="9"/>
      <c r="Q240" s="7">
        <v>0</v>
      </c>
      <c r="R240" s="8">
        <f>IFERROR(Q240/Q327, "NA")</f>
        <v>0</v>
      </c>
      <c r="S240" s="9"/>
      <c r="T240" s="7">
        <v>0</v>
      </c>
      <c r="U240" s="8">
        <f>IFERROR(T240/T327, "NA")</f>
        <v>0</v>
      </c>
      <c r="V240" s="9"/>
      <c r="W240" s="7">
        <v>0</v>
      </c>
      <c r="X240" s="8">
        <f>IFERROR(W240/W327, "NA")</f>
        <v>0</v>
      </c>
    </row>
    <row r="241" spans="1:24" ht="16.5" customHeight="1" x14ac:dyDescent="0.25">
      <c r="A241" s="10" t="s">
        <v>247</v>
      </c>
      <c r="B241" s="11">
        <f>IFERROR(B214+B215+B216+B217+B218+B219+B220+B221+B222+B223+B224+B225+B226+B227+B228+B229+B230+B231+B232+B233+B234+B235+B236+B237+B238+B239+B240, "NA")</f>
        <v>42277.419999999991</v>
      </c>
      <c r="C241" s="12">
        <f>IFERROR(B241/B327, "NA")</f>
        <v>0.10606667399745508</v>
      </c>
      <c r="D241" s="2"/>
      <c r="E241" s="11">
        <f>IFERROR(E214+E215+E216+E217+E218+E219+E220+E221+E222+E223+E224+E225+E226+E227+E228+E229+E230+E231+E232+E233+E234+E235+E236+E237+E238+E239+E240, "NA")</f>
        <v>53274.439999999995</v>
      </c>
      <c r="F241" s="12">
        <f>IFERROR(E241/E327, "NA")</f>
        <v>0.25862252433383182</v>
      </c>
      <c r="G241" s="2"/>
      <c r="H241" s="11">
        <f>IFERROR(H214+H215+H216+H217+H218+H219+H220+H221+H222+H223+H224+H225+H226+H227+H228+H229+H230+H231+H232+H233+H234+H235+H236+H237+H238+H239+H240, "NA")</f>
        <v>10138.15</v>
      </c>
      <c r="I241" s="12">
        <f>IFERROR(H241/H327, "NA")</f>
        <v>2.9969588914549653E-2</v>
      </c>
      <c r="J241" s="2"/>
      <c r="K241" s="11">
        <f>IFERROR(K214+K215+K216+K217+K218+K219+K220+K221+K222+K223+K224+K225+K226+K227+K228+K229+K230+K231+K232+K233+K234+K235+K236+K237+K238+K239+K240, "NA")</f>
        <v>8235.58</v>
      </c>
      <c r="L241" s="12">
        <f>IFERROR(K241/K327, "NA")</f>
        <v>3.5337342298102502E-2</v>
      </c>
      <c r="M241" s="2"/>
      <c r="N241" s="11">
        <f>IFERROR(N214+N215+N216+N217+N218+N219+N220+N221+N222+N223+N224+N225+N226+N227+N228+N229+N230+N231+N232+N233+N234+N235+N236+N237+N238+N239+N240, "NA")</f>
        <v>44169.67</v>
      </c>
      <c r="O241" s="12">
        <f>IFERROR(N241/N327, "NA")</f>
        <v>0.11901955287331568</v>
      </c>
      <c r="P241" s="2"/>
      <c r="Q241" s="11">
        <f>IFERROR(Q214+Q215+Q216+Q217+Q218+Q219+Q220+Q221+Q222+Q223+Q224+Q225+Q226+Q227+Q228+Q229+Q230+Q231+Q232+Q233+Q234+Q235+Q236+Q237+Q238+Q239+Q240, "NA")</f>
        <v>10773.380000000003</v>
      </c>
      <c r="R241" s="12">
        <f>IFERROR(Q241/Q327, "NA")</f>
        <v>6.1871173747745901E-2</v>
      </c>
      <c r="S241" s="2"/>
      <c r="T241" s="11">
        <f>IFERROR(T214+T215+T216+T217+T218+T219+T220+T221+T222+T223+T224+T225+T226+T227+T228+T229+T230+T231+T232+T233+T234+T235+T236+T237+T238+T239+T240, "NA")</f>
        <v>49613.83</v>
      </c>
      <c r="U241" s="12">
        <f>IFERROR(T241/T327, "NA")</f>
        <v>0.28059343673561726</v>
      </c>
      <c r="V241" s="2"/>
      <c r="W241" s="11">
        <f>IFERROR(W214+W215+W216+W217+W218+W219+W220+W221+W222+W223+W224+W225+W226+W227+W228+W229+W230+W231+W232+W233+W234+W235+W236+W237+W238+W239+W240, "NA")</f>
        <v>7669.1599999999989</v>
      </c>
      <c r="X241" s="12">
        <f>IFERROR(W241/W327, "NA")</f>
        <v>4.5403286918632178E-2</v>
      </c>
    </row>
    <row r="242" spans="1:24" ht="16.5" customHeight="1" x14ac:dyDescent="0.25">
      <c r="A242" s="5" t="s">
        <v>248</v>
      </c>
      <c r="B242" s="2"/>
      <c r="C242" s="3"/>
      <c r="D242" s="4"/>
      <c r="E242" s="2"/>
      <c r="F242" s="3"/>
      <c r="G242" s="4"/>
      <c r="H242" s="2"/>
      <c r="I242" s="3"/>
      <c r="J242" s="4"/>
      <c r="K242" s="2"/>
      <c r="L242" s="3"/>
      <c r="M242" s="4"/>
      <c r="N242" s="2"/>
      <c r="O242" s="3"/>
      <c r="P242" s="4"/>
      <c r="Q242" s="2"/>
      <c r="R242" s="3"/>
      <c r="S242" s="4"/>
      <c r="T242" s="2"/>
      <c r="U242" s="3"/>
      <c r="V242" s="4"/>
      <c r="W242" s="2"/>
      <c r="X242" s="3"/>
    </row>
    <row r="243" spans="1:24" ht="16.5" customHeight="1" x14ac:dyDescent="0.25">
      <c r="A243" s="6" t="s">
        <v>249</v>
      </c>
      <c r="B243" s="7">
        <v>0</v>
      </c>
      <c r="C243" s="8">
        <f>IFERROR(B243/B327, "NA")</f>
        <v>0</v>
      </c>
      <c r="D243" s="9"/>
      <c r="E243" s="7">
        <v>0</v>
      </c>
      <c r="F243" s="8">
        <f>IFERROR(E243/E327, "NA")</f>
        <v>0</v>
      </c>
      <c r="G243" s="9"/>
      <c r="H243" s="7">
        <v>0</v>
      </c>
      <c r="I243" s="8">
        <f>IFERROR(H243/H327, "NA")</f>
        <v>0</v>
      </c>
      <c r="J243" s="9"/>
      <c r="K243" s="7">
        <v>0</v>
      </c>
      <c r="L243" s="8">
        <f>IFERROR(K243/K327, "NA")</f>
        <v>0</v>
      </c>
      <c r="M243" s="9"/>
      <c r="N243" s="7">
        <v>0</v>
      </c>
      <c r="O243" s="8">
        <f>IFERROR(N243/N327, "NA")</f>
        <v>0</v>
      </c>
      <c r="P243" s="9"/>
      <c r="Q243" s="7">
        <v>0</v>
      </c>
      <c r="R243" s="8">
        <f>IFERROR(Q243/Q327, "NA")</f>
        <v>0</v>
      </c>
      <c r="S243" s="9"/>
      <c r="T243" s="7">
        <v>0</v>
      </c>
      <c r="U243" s="8">
        <f>IFERROR(T243/T327, "NA")</f>
        <v>0</v>
      </c>
      <c r="V243" s="9"/>
      <c r="W243" s="7">
        <v>0</v>
      </c>
      <c r="X243" s="8">
        <f>IFERROR(W243/W327, "NA")</f>
        <v>0</v>
      </c>
    </row>
    <row r="244" spans="1:24" ht="16.5" customHeight="1" x14ac:dyDescent="0.25">
      <c r="A244" s="6" t="s">
        <v>250</v>
      </c>
      <c r="B244" s="7">
        <v>0</v>
      </c>
      <c r="C244" s="8">
        <f>IFERROR(B244/B327, "NA")</f>
        <v>0</v>
      </c>
      <c r="D244" s="9"/>
      <c r="E244" s="7">
        <v>0</v>
      </c>
      <c r="F244" s="8">
        <f>IFERROR(E244/E327, "NA")</f>
        <v>0</v>
      </c>
      <c r="G244" s="9"/>
      <c r="H244" s="7">
        <v>92.5</v>
      </c>
      <c r="I244" s="8">
        <f>IFERROR(H244/H327, "NA")</f>
        <v>2.7344110854503464E-4</v>
      </c>
      <c r="J244" s="9"/>
      <c r="K244" s="7">
        <v>0</v>
      </c>
      <c r="L244" s="8">
        <f>IFERROR(K244/K327, "NA")</f>
        <v>0</v>
      </c>
      <c r="M244" s="9"/>
      <c r="N244" s="7">
        <v>0</v>
      </c>
      <c r="O244" s="8">
        <f>IFERROR(N244/N327, "NA")</f>
        <v>0</v>
      </c>
      <c r="P244" s="9"/>
      <c r="Q244" s="7">
        <v>77.930000000000007</v>
      </c>
      <c r="R244" s="8">
        <f>IFERROR(Q244/Q327, "NA")</f>
        <v>4.4754947566704573E-4</v>
      </c>
      <c r="S244" s="9"/>
      <c r="T244" s="7">
        <v>0</v>
      </c>
      <c r="U244" s="8">
        <f>IFERROR(T244/T327, "NA")</f>
        <v>0</v>
      </c>
      <c r="V244" s="9"/>
      <c r="W244" s="7">
        <v>0</v>
      </c>
      <c r="X244" s="8">
        <f>IFERROR(W244/W327, "NA")</f>
        <v>0</v>
      </c>
    </row>
    <row r="245" spans="1:24" ht="16.5" customHeight="1" x14ac:dyDescent="0.25">
      <c r="A245" s="6" t="s">
        <v>251</v>
      </c>
      <c r="B245" s="7">
        <v>690.03</v>
      </c>
      <c r="C245" s="8">
        <f>IFERROR(B245/B327, "NA")</f>
        <v>1.7311649352884811E-3</v>
      </c>
      <c r="D245" s="9"/>
      <c r="E245" s="7">
        <v>314.94</v>
      </c>
      <c r="F245" s="8">
        <f>IFERROR(E245/E327, "NA")</f>
        <v>1.5288866070426457E-3</v>
      </c>
      <c r="G245" s="9"/>
      <c r="H245" s="7">
        <v>0</v>
      </c>
      <c r="I245" s="8">
        <f>IFERROR(H245/H327, "NA")</f>
        <v>0</v>
      </c>
      <c r="J245" s="9"/>
      <c r="K245" s="7">
        <v>0</v>
      </c>
      <c r="L245" s="8">
        <f>IFERROR(K245/K327, "NA")</f>
        <v>0</v>
      </c>
      <c r="M245" s="9"/>
      <c r="N245" s="7">
        <v>-137.97999999999999</v>
      </c>
      <c r="O245" s="8">
        <f>IFERROR(N245/N327, "NA")</f>
        <v>-3.7180078333073576E-4</v>
      </c>
      <c r="P245" s="9"/>
      <c r="Q245" s="7">
        <v>0</v>
      </c>
      <c r="R245" s="8">
        <f>IFERROR(Q245/Q327, "NA")</f>
        <v>0</v>
      </c>
      <c r="S245" s="9"/>
      <c r="T245" s="7">
        <v>0</v>
      </c>
      <c r="U245" s="8">
        <f>IFERROR(T245/T327, "NA")</f>
        <v>0</v>
      </c>
      <c r="V245" s="9"/>
      <c r="W245" s="7">
        <v>0</v>
      </c>
      <c r="X245" s="8">
        <f>IFERROR(W245/W327, "NA")</f>
        <v>0</v>
      </c>
    </row>
    <row r="246" spans="1:24" ht="16.5" customHeight="1" x14ac:dyDescent="0.25">
      <c r="A246" s="6" t="s">
        <v>252</v>
      </c>
      <c r="B246" s="7">
        <v>0</v>
      </c>
      <c r="C246" s="8">
        <f>IFERROR(B246/B327, "NA")</f>
        <v>0</v>
      </c>
      <c r="D246" s="9"/>
      <c r="E246" s="7">
        <v>0</v>
      </c>
      <c r="F246" s="8">
        <f>IFERROR(E246/E327, "NA")</f>
        <v>0</v>
      </c>
      <c r="G246" s="9"/>
      <c r="H246" s="7">
        <v>0</v>
      </c>
      <c r="I246" s="8">
        <f>IFERROR(H246/H327, "NA")</f>
        <v>0</v>
      </c>
      <c r="J246" s="9"/>
      <c r="K246" s="7">
        <v>0</v>
      </c>
      <c r="L246" s="8">
        <f>IFERROR(K246/K327, "NA")</f>
        <v>0</v>
      </c>
      <c r="M246" s="9"/>
      <c r="N246" s="7">
        <v>0</v>
      </c>
      <c r="O246" s="8">
        <f>IFERROR(N246/N327, "NA")</f>
        <v>0</v>
      </c>
      <c r="P246" s="9"/>
      <c r="Q246" s="7">
        <v>0</v>
      </c>
      <c r="R246" s="8">
        <f>IFERROR(Q246/Q327, "NA")</f>
        <v>0</v>
      </c>
      <c r="S246" s="9"/>
      <c r="T246" s="7">
        <v>0</v>
      </c>
      <c r="U246" s="8">
        <f>IFERROR(T246/T327, "NA")</f>
        <v>0</v>
      </c>
      <c r="V246" s="9"/>
      <c r="W246" s="7">
        <v>0</v>
      </c>
      <c r="X246" s="8">
        <f>IFERROR(W246/W327, "NA")</f>
        <v>0</v>
      </c>
    </row>
    <row r="247" spans="1:24" ht="16.5" customHeight="1" x14ac:dyDescent="0.25">
      <c r="A247" s="6" t="s">
        <v>253</v>
      </c>
      <c r="B247" s="7">
        <v>4921.1000000000004</v>
      </c>
      <c r="C247" s="8">
        <f>IFERROR(B247/B327, "NA")</f>
        <v>1.234618170666224E-2</v>
      </c>
      <c r="D247" s="9"/>
      <c r="E247" s="7">
        <v>0</v>
      </c>
      <c r="F247" s="8">
        <f>IFERROR(E247/E327, "NA")</f>
        <v>0</v>
      </c>
      <c r="G247" s="9"/>
      <c r="H247" s="7">
        <v>0</v>
      </c>
      <c r="I247" s="8">
        <f>IFERROR(H247/H327, "NA")</f>
        <v>0</v>
      </c>
      <c r="J247" s="9"/>
      <c r="K247" s="7">
        <v>0</v>
      </c>
      <c r="L247" s="8">
        <f>IFERROR(K247/K327, "NA")</f>
        <v>0</v>
      </c>
      <c r="M247" s="9"/>
      <c r="N247" s="7">
        <v>4163.97</v>
      </c>
      <c r="O247" s="8">
        <f>IFERROR(N247/N327, "NA")</f>
        <v>1.1220229799722307E-2</v>
      </c>
      <c r="P247" s="9"/>
      <c r="Q247" s="7">
        <v>0</v>
      </c>
      <c r="R247" s="8">
        <f>IFERROR(Q247/Q327, "NA")</f>
        <v>0</v>
      </c>
      <c r="S247" s="9"/>
      <c r="T247" s="7">
        <v>0</v>
      </c>
      <c r="U247" s="8">
        <f>IFERROR(T247/T327, "NA")</f>
        <v>0</v>
      </c>
      <c r="V247" s="9"/>
      <c r="W247" s="7">
        <v>0</v>
      </c>
      <c r="X247" s="8">
        <f>IFERROR(W247/W327, "NA")</f>
        <v>0</v>
      </c>
    </row>
    <row r="248" spans="1:24" ht="16.5" customHeight="1" x14ac:dyDescent="0.25">
      <c r="A248" s="6" t="s">
        <v>254</v>
      </c>
      <c r="B248" s="7">
        <v>856.22</v>
      </c>
      <c r="C248" s="8">
        <f>IFERROR(B248/B327, "NA")</f>
        <v>2.1481066633229039E-3</v>
      </c>
      <c r="D248" s="9"/>
      <c r="E248" s="7">
        <v>323.63</v>
      </c>
      <c r="F248" s="8">
        <f>IFERROR(E248/E327, "NA")</f>
        <v>1.5710724983717895E-3</v>
      </c>
      <c r="G248" s="9"/>
      <c r="H248" s="7">
        <v>0</v>
      </c>
      <c r="I248" s="8">
        <f>IFERROR(H248/H327, "NA")</f>
        <v>0</v>
      </c>
      <c r="J248" s="9"/>
      <c r="K248" s="7">
        <v>0</v>
      </c>
      <c r="L248" s="8">
        <f>IFERROR(K248/K327, "NA")</f>
        <v>0</v>
      </c>
      <c r="M248" s="9"/>
      <c r="N248" s="7">
        <v>161.18</v>
      </c>
      <c r="O248" s="8">
        <f>IFERROR(N248/N327, "NA")</f>
        <v>4.3431548236880701E-4</v>
      </c>
      <c r="P248" s="9"/>
      <c r="Q248" s="7">
        <v>0</v>
      </c>
      <c r="R248" s="8">
        <f>IFERROR(Q248/Q327, "NA")</f>
        <v>0</v>
      </c>
      <c r="S248" s="9"/>
      <c r="T248" s="7">
        <v>357.08</v>
      </c>
      <c r="U248" s="8">
        <f>IFERROR(T248/T327, "NA")</f>
        <v>2.0194833656170912E-3</v>
      </c>
      <c r="V248" s="9"/>
      <c r="W248" s="7">
        <v>0</v>
      </c>
      <c r="X248" s="8">
        <f>IFERROR(W248/W327, "NA")</f>
        <v>0</v>
      </c>
    </row>
    <row r="249" spans="1:24" ht="16.5" customHeight="1" x14ac:dyDescent="0.25">
      <c r="A249" s="6" t="s">
        <v>255</v>
      </c>
      <c r="B249" s="7">
        <v>0</v>
      </c>
      <c r="C249" s="8">
        <f>IFERROR(B249/B327, "NA")</f>
        <v>0</v>
      </c>
      <c r="D249" s="9"/>
      <c r="E249" s="7">
        <v>3848</v>
      </c>
      <c r="F249" s="8">
        <f>IFERROR(E249/E327, "NA")</f>
        <v>1.8680242788785485E-2</v>
      </c>
      <c r="G249" s="9"/>
      <c r="H249" s="7">
        <v>0</v>
      </c>
      <c r="I249" s="8">
        <f>IFERROR(H249/H327, "NA")</f>
        <v>0</v>
      </c>
      <c r="J249" s="9"/>
      <c r="K249" s="7">
        <v>0</v>
      </c>
      <c r="L249" s="8">
        <f>IFERROR(K249/K327, "NA")</f>
        <v>0</v>
      </c>
      <c r="M249" s="9"/>
      <c r="N249" s="7">
        <v>0</v>
      </c>
      <c r="O249" s="8">
        <f>IFERROR(N249/N327, "NA")</f>
        <v>0</v>
      </c>
      <c r="P249" s="9"/>
      <c r="Q249" s="7">
        <v>3885</v>
      </c>
      <c r="R249" s="8">
        <f>IFERROR(Q249/Q327, "NA")</f>
        <v>2.2311429654388201E-2</v>
      </c>
      <c r="S249" s="9"/>
      <c r="T249" s="7">
        <v>0</v>
      </c>
      <c r="U249" s="8">
        <f>IFERROR(T249/T327, "NA")</f>
        <v>0</v>
      </c>
      <c r="V249" s="9"/>
      <c r="W249" s="7">
        <v>0</v>
      </c>
      <c r="X249" s="8">
        <f>IFERROR(W249/W327, "NA")</f>
        <v>0</v>
      </c>
    </row>
    <row r="250" spans="1:24" ht="16.5" customHeight="1" x14ac:dyDescent="0.25">
      <c r="A250" s="6" t="s">
        <v>256</v>
      </c>
      <c r="B250" s="7">
        <v>0</v>
      </c>
      <c r="C250" s="8">
        <f>IFERROR(B250/B327, "NA")</f>
        <v>0</v>
      </c>
      <c r="D250" s="9"/>
      <c r="E250" s="7">
        <v>0</v>
      </c>
      <c r="F250" s="8">
        <f>IFERROR(E250/E327, "NA")</f>
        <v>0</v>
      </c>
      <c r="G250" s="9"/>
      <c r="H250" s="7">
        <v>0</v>
      </c>
      <c r="I250" s="8">
        <f>IFERROR(H250/H327, "NA")</f>
        <v>0</v>
      </c>
      <c r="J250" s="9"/>
      <c r="K250" s="7">
        <v>0</v>
      </c>
      <c r="L250" s="8">
        <f>IFERROR(K250/K327, "NA")</f>
        <v>0</v>
      </c>
      <c r="M250" s="9"/>
      <c r="N250" s="7">
        <v>0</v>
      </c>
      <c r="O250" s="8">
        <f>IFERROR(N250/N327, "NA")</f>
        <v>0</v>
      </c>
      <c r="P250" s="9"/>
      <c r="Q250" s="7">
        <v>0</v>
      </c>
      <c r="R250" s="8">
        <f>IFERROR(Q250/Q327, "NA")</f>
        <v>0</v>
      </c>
      <c r="S250" s="9"/>
      <c r="T250" s="7">
        <v>0</v>
      </c>
      <c r="U250" s="8">
        <f>IFERROR(T250/T327, "NA")</f>
        <v>0</v>
      </c>
      <c r="V250" s="9"/>
      <c r="W250" s="7">
        <v>0</v>
      </c>
      <c r="X250" s="8">
        <f>IFERROR(W250/W327, "NA")</f>
        <v>0</v>
      </c>
    </row>
    <row r="251" spans="1:24" ht="16.5" customHeight="1" x14ac:dyDescent="0.25">
      <c r="A251" s="6" t="s">
        <v>257</v>
      </c>
      <c r="B251" s="7">
        <v>0</v>
      </c>
      <c r="C251" s="8">
        <f>IFERROR(B251/B327, "NA")</f>
        <v>0</v>
      </c>
      <c r="D251" s="9"/>
      <c r="E251" s="7">
        <v>0</v>
      </c>
      <c r="F251" s="8">
        <f>IFERROR(E251/E327, "NA")</f>
        <v>0</v>
      </c>
      <c r="G251" s="9"/>
      <c r="H251" s="7">
        <v>0</v>
      </c>
      <c r="I251" s="8">
        <f>IFERROR(H251/H327, "NA")</f>
        <v>0</v>
      </c>
      <c r="J251" s="9"/>
      <c r="K251" s="7">
        <v>0</v>
      </c>
      <c r="L251" s="8">
        <f>IFERROR(K251/K327, "NA")</f>
        <v>0</v>
      </c>
      <c r="M251" s="9"/>
      <c r="N251" s="7">
        <v>0</v>
      </c>
      <c r="O251" s="8">
        <f>IFERROR(N251/N327, "NA")</f>
        <v>0</v>
      </c>
      <c r="P251" s="9"/>
      <c r="Q251" s="7">
        <v>0</v>
      </c>
      <c r="R251" s="8">
        <f>IFERROR(Q251/Q327, "NA")</f>
        <v>0</v>
      </c>
      <c r="S251" s="9"/>
      <c r="T251" s="7">
        <v>0</v>
      </c>
      <c r="U251" s="8">
        <f>IFERROR(T251/T327, "NA")</f>
        <v>0</v>
      </c>
      <c r="V251" s="9"/>
      <c r="W251" s="7">
        <v>0</v>
      </c>
      <c r="X251" s="8">
        <f>IFERROR(W251/W327, "NA")</f>
        <v>0</v>
      </c>
    </row>
    <row r="252" spans="1:24" ht="16.5" customHeight="1" x14ac:dyDescent="0.25">
      <c r="A252" s="10" t="s">
        <v>258</v>
      </c>
      <c r="B252" s="11">
        <f>IFERROR(B243+B244+B245+B246+B247+B248+B249+B250+B251, "NA")</f>
        <v>6467.35</v>
      </c>
      <c r="C252" s="12">
        <f>IFERROR(B252/B327, "NA")</f>
        <v>1.6225453305273627E-2</v>
      </c>
      <c r="D252" s="2"/>
      <c r="E252" s="11">
        <f>IFERROR(E243+E244+E245+E246+E247+E248+E249+E250+E251, "NA")</f>
        <v>4486.57</v>
      </c>
      <c r="F252" s="12">
        <f>IFERROR(E252/E327, "NA")</f>
        <v>2.1780201894199918E-2</v>
      </c>
      <c r="G252" s="2"/>
      <c r="H252" s="11">
        <f>IFERROR(H243+H244+H245+H246+H247+H248+H249+H250+H251, "NA")</f>
        <v>92.5</v>
      </c>
      <c r="I252" s="12">
        <f>IFERROR(H252/H327, "NA")</f>
        <v>2.7344110854503464E-4</v>
      </c>
      <c r="J252" s="2"/>
      <c r="K252" s="11">
        <f>IFERROR(K243+K244+K245+K246+K247+K248+K249+K250+K251, "NA")</f>
        <v>0</v>
      </c>
      <c r="L252" s="12">
        <f>IFERROR(K252/K327, "NA")</f>
        <v>0</v>
      </c>
      <c r="M252" s="2"/>
      <c r="N252" s="11">
        <f>IFERROR(N243+N244+N245+N246+N247+N248+N249+N250+N251, "NA")</f>
        <v>4187.17</v>
      </c>
      <c r="O252" s="12">
        <f>IFERROR(N252/N327, "NA")</f>
        <v>1.1282744498760378E-2</v>
      </c>
      <c r="P252" s="2"/>
      <c r="Q252" s="11">
        <f>IFERROR(Q243+Q244+Q245+Q246+Q247+Q248+Q249+Q250+Q251, "NA")</f>
        <v>3962.93</v>
      </c>
      <c r="R252" s="12">
        <f>IFERROR(Q252/Q327, "NA")</f>
        <v>2.2758979130055246E-2</v>
      </c>
      <c r="S252" s="2"/>
      <c r="T252" s="11">
        <f>IFERROR(T243+T244+T245+T246+T247+T248+T249+T250+T251, "NA")</f>
        <v>357.08</v>
      </c>
      <c r="U252" s="12">
        <f>IFERROR(T252/T327, "NA")</f>
        <v>2.0194833656170912E-3</v>
      </c>
      <c r="V252" s="2"/>
      <c r="W252" s="11">
        <f>IFERROR(W243+W244+W245+W246+W247+W248+W249+W250+W251, "NA")</f>
        <v>0</v>
      </c>
      <c r="X252" s="12">
        <f>IFERROR(W252/W327, "NA")</f>
        <v>0</v>
      </c>
    </row>
    <row r="253" spans="1:24" ht="16.5" customHeight="1" x14ac:dyDescent="0.25">
      <c r="A253" s="5" t="s">
        <v>259</v>
      </c>
      <c r="B253" s="2"/>
      <c r="C253" s="3"/>
      <c r="D253" s="4"/>
      <c r="E253" s="2"/>
      <c r="F253" s="3"/>
      <c r="G253" s="4"/>
      <c r="H253" s="2"/>
      <c r="I253" s="3"/>
      <c r="J253" s="4"/>
      <c r="K253" s="2"/>
      <c r="L253" s="3"/>
      <c r="M253" s="4"/>
      <c r="N253" s="2"/>
      <c r="O253" s="3"/>
      <c r="P253" s="4"/>
      <c r="Q253" s="2"/>
      <c r="R253" s="3"/>
      <c r="S253" s="4"/>
      <c r="T253" s="2"/>
      <c r="U253" s="3"/>
      <c r="V253" s="4"/>
      <c r="W253" s="2"/>
      <c r="X253" s="3"/>
    </row>
    <row r="254" spans="1:24" ht="16.5" customHeight="1" x14ac:dyDescent="0.25">
      <c r="A254" s="6" t="s">
        <v>260</v>
      </c>
      <c r="B254" s="7">
        <v>0</v>
      </c>
      <c r="C254" s="8">
        <f>IFERROR(B254/B327, "NA")</f>
        <v>0</v>
      </c>
      <c r="D254" s="9"/>
      <c r="E254" s="7">
        <v>0</v>
      </c>
      <c r="F254" s="8">
        <f>IFERROR(E254/E327, "NA")</f>
        <v>0</v>
      </c>
      <c r="G254" s="9"/>
      <c r="H254" s="7">
        <v>0</v>
      </c>
      <c r="I254" s="8">
        <f>IFERROR(H254/H327, "NA")</f>
        <v>0</v>
      </c>
      <c r="J254" s="9"/>
      <c r="K254" s="7">
        <v>0</v>
      </c>
      <c r="L254" s="8">
        <f>IFERROR(K254/K327, "NA")</f>
        <v>0</v>
      </c>
      <c r="M254" s="9"/>
      <c r="N254" s="7">
        <v>0</v>
      </c>
      <c r="O254" s="8">
        <f>IFERROR(N254/N327, "NA")</f>
        <v>0</v>
      </c>
      <c r="P254" s="9"/>
      <c r="Q254" s="7">
        <v>0</v>
      </c>
      <c r="R254" s="8">
        <f>IFERROR(Q254/Q327, "NA")</f>
        <v>0</v>
      </c>
      <c r="S254" s="9"/>
      <c r="T254" s="7">
        <v>0</v>
      </c>
      <c r="U254" s="8">
        <f>IFERROR(T254/T327, "NA")</f>
        <v>0</v>
      </c>
      <c r="V254" s="9"/>
      <c r="W254" s="7">
        <v>0</v>
      </c>
      <c r="X254" s="8">
        <f>IFERROR(W254/W327, "NA")</f>
        <v>0</v>
      </c>
    </row>
    <row r="255" spans="1:24" ht="16.5" customHeight="1" x14ac:dyDescent="0.25">
      <c r="A255" s="6" t="s">
        <v>261</v>
      </c>
      <c r="B255" s="7">
        <v>0</v>
      </c>
      <c r="C255" s="8">
        <f>IFERROR(B255/B327, "NA")</f>
        <v>0</v>
      </c>
      <c r="D255" s="9"/>
      <c r="E255" s="7">
        <v>0</v>
      </c>
      <c r="F255" s="8">
        <f>IFERROR(E255/E327, "NA")</f>
        <v>0</v>
      </c>
      <c r="G255" s="9"/>
      <c r="H255" s="7">
        <v>0</v>
      </c>
      <c r="I255" s="8">
        <f>IFERROR(H255/H327, "NA")</f>
        <v>0</v>
      </c>
      <c r="J255" s="9"/>
      <c r="K255" s="7">
        <v>0</v>
      </c>
      <c r="L255" s="8">
        <f>IFERROR(K255/K327, "NA")</f>
        <v>0</v>
      </c>
      <c r="M255" s="9"/>
      <c r="N255" s="7">
        <v>0</v>
      </c>
      <c r="O255" s="8">
        <f>IFERROR(N255/N327, "NA")</f>
        <v>0</v>
      </c>
      <c r="P255" s="9"/>
      <c r="Q255" s="7">
        <v>0</v>
      </c>
      <c r="R255" s="8">
        <f>IFERROR(Q255/Q327, "NA")</f>
        <v>0</v>
      </c>
      <c r="S255" s="9"/>
      <c r="T255" s="7">
        <v>0</v>
      </c>
      <c r="U255" s="8">
        <f>IFERROR(T255/T327, "NA")</f>
        <v>0</v>
      </c>
      <c r="V255" s="9"/>
      <c r="W255" s="7">
        <v>0</v>
      </c>
      <c r="X255" s="8">
        <f>IFERROR(W255/W327, "NA")</f>
        <v>0</v>
      </c>
    </row>
    <row r="256" spans="1:24" ht="16.5" customHeight="1" x14ac:dyDescent="0.25">
      <c r="A256" s="6" t="s">
        <v>262</v>
      </c>
      <c r="B256" s="7">
        <v>47908.69</v>
      </c>
      <c r="C256" s="8">
        <f>IFERROR(B256/B327, "NA")</f>
        <v>0.12019454838718013</v>
      </c>
      <c r="D256" s="9"/>
      <c r="E256" s="7">
        <v>4592.53</v>
      </c>
      <c r="F256" s="8">
        <f>IFERROR(E256/E327, "NA")</f>
        <v>2.2294588205504416E-2</v>
      </c>
      <c r="G256" s="9"/>
      <c r="H256" s="7">
        <v>0</v>
      </c>
      <c r="I256" s="8">
        <f>IFERROR(H256/H327, "NA")</f>
        <v>0</v>
      </c>
      <c r="J256" s="9"/>
      <c r="K256" s="7">
        <v>0</v>
      </c>
      <c r="L256" s="8">
        <f>IFERROR(K256/K327, "NA")</f>
        <v>0</v>
      </c>
      <c r="M256" s="9"/>
      <c r="N256" s="7">
        <v>45017.8</v>
      </c>
      <c r="O256" s="8">
        <f>IFERROR(N256/N327, "NA")</f>
        <v>0.12130492320500361</v>
      </c>
      <c r="P256" s="9"/>
      <c r="Q256" s="7">
        <v>9330.09</v>
      </c>
      <c r="R256" s="8">
        <f>IFERROR(Q256/Q327, "NA")</f>
        <v>5.3582405844043966E-2</v>
      </c>
      <c r="S256" s="9"/>
      <c r="T256" s="7">
        <v>0</v>
      </c>
      <c r="U256" s="8">
        <f>IFERROR(T256/T327, "NA")</f>
        <v>0</v>
      </c>
      <c r="V256" s="9"/>
      <c r="W256" s="7">
        <v>0</v>
      </c>
      <c r="X256" s="8">
        <f>IFERROR(W256/W327, "NA")</f>
        <v>0</v>
      </c>
    </row>
    <row r="257" spans="1:24" ht="16.5" customHeight="1" x14ac:dyDescent="0.25">
      <c r="A257" s="6" t="s">
        <v>263</v>
      </c>
      <c r="B257" s="7">
        <v>0</v>
      </c>
      <c r="C257" s="8">
        <f>IFERROR(B257/B327, "NA")</f>
        <v>0</v>
      </c>
      <c r="D257" s="9"/>
      <c r="E257" s="7">
        <v>0</v>
      </c>
      <c r="F257" s="8">
        <f>IFERROR(E257/E327, "NA")</f>
        <v>0</v>
      </c>
      <c r="G257" s="9"/>
      <c r="H257" s="7">
        <v>0</v>
      </c>
      <c r="I257" s="8">
        <f>IFERROR(H257/H327, "NA")</f>
        <v>0</v>
      </c>
      <c r="J257" s="9"/>
      <c r="K257" s="7">
        <v>0</v>
      </c>
      <c r="L257" s="8">
        <f>IFERROR(K257/K327, "NA")</f>
        <v>0</v>
      </c>
      <c r="M257" s="9"/>
      <c r="N257" s="7">
        <v>0</v>
      </c>
      <c r="O257" s="8">
        <f>IFERROR(N257/N327, "NA")</f>
        <v>0</v>
      </c>
      <c r="P257" s="9"/>
      <c r="Q257" s="7">
        <v>0</v>
      </c>
      <c r="R257" s="8">
        <f>IFERROR(Q257/Q327, "NA")</f>
        <v>0</v>
      </c>
      <c r="S257" s="9"/>
      <c r="T257" s="7">
        <v>0</v>
      </c>
      <c r="U257" s="8">
        <f>IFERROR(T257/T327, "NA")</f>
        <v>0</v>
      </c>
      <c r="V257" s="9"/>
      <c r="W257" s="7">
        <v>0</v>
      </c>
      <c r="X257" s="8">
        <f>IFERROR(W257/W327, "NA")</f>
        <v>0</v>
      </c>
    </row>
    <row r="258" spans="1:24" ht="16.5" customHeight="1" x14ac:dyDescent="0.25">
      <c r="A258" s="6" t="s">
        <v>264</v>
      </c>
      <c r="B258" s="7">
        <v>8050.48</v>
      </c>
      <c r="C258" s="8">
        <f>IFERROR(B258/B327, "NA")</f>
        <v>2.0197250392361508E-2</v>
      </c>
      <c r="D258" s="9"/>
      <c r="E258" s="7">
        <v>7344.12</v>
      </c>
      <c r="F258" s="8">
        <f>IFERROR(E258/E327, "NA")</f>
        <v>3.5652272523382343E-2</v>
      </c>
      <c r="G258" s="9"/>
      <c r="H258" s="7">
        <v>0</v>
      </c>
      <c r="I258" s="8">
        <f>IFERROR(H258/H327, "NA")</f>
        <v>0</v>
      </c>
      <c r="J258" s="9"/>
      <c r="K258" s="7">
        <v>0</v>
      </c>
      <c r="L258" s="8">
        <f>IFERROR(K258/K327, "NA")</f>
        <v>0</v>
      </c>
      <c r="M258" s="9"/>
      <c r="N258" s="7">
        <v>0</v>
      </c>
      <c r="O258" s="8">
        <f>IFERROR(N258/N327, "NA")</f>
        <v>0</v>
      </c>
      <c r="P258" s="9"/>
      <c r="Q258" s="7">
        <v>14688.24</v>
      </c>
      <c r="R258" s="8">
        <f>IFERROR(Q258/Q327, "NA")</f>
        <v>8.4354088418731266E-2</v>
      </c>
      <c r="S258" s="9"/>
      <c r="T258" s="7">
        <v>0</v>
      </c>
      <c r="U258" s="8">
        <f>IFERROR(T258/T327, "NA")</f>
        <v>0</v>
      </c>
      <c r="V258" s="9"/>
      <c r="W258" s="7">
        <v>0</v>
      </c>
      <c r="X258" s="8">
        <f>IFERROR(W258/W327, "NA")</f>
        <v>0</v>
      </c>
    </row>
    <row r="259" spans="1:24" ht="16.5" customHeight="1" x14ac:dyDescent="0.25">
      <c r="A259" s="6" t="s">
        <v>265</v>
      </c>
      <c r="B259" s="7">
        <v>0</v>
      </c>
      <c r="C259" s="8">
        <f>IFERROR(B259/B327, "NA")</f>
        <v>0</v>
      </c>
      <c r="D259" s="9"/>
      <c r="E259" s="7">
        <v>0</v>
      </c>
      <c r="F259" s="8">
        <f>IFERROR(E259/E327, "NA")</f>
        <v>0</v>
      </c>
      <c r="G259" s="9"/>
      <c r="H259" s="7">
        <v>0</v>
      </c>
      <c r="I259" s="8">
        <f>IFERROR(H259/H327, "NA")</f>
        <v>0</v>
      </c>
      <c r="J259" s="9"/>
      <c r="K259" s="7">
        <v>0</v>
      </c>
      <c r="L259" s="8">
        <f>IFERROR(K259/K327, "NA")</f>
        <v>0</v>
      </c>
      <c r="M259" s="9"/>
      <c r="N259" s="7">
        <v>0</v>
      </c>
      <c r="O259" s="8">
        <f>IFERROR(N259/N327, "NA")</f>
        <v>0</v>
      </c>
      <c r="P259" s="9"/>
      <c r="Q259" s="7">
        <v>0</v>
      </c>
      <c r="R259" s="8">
        <f>IFERROR(Q259/Q327, "NA")</f>
        <v>0</v>
      </c>
      <c r="S259" s="9"/>
      <c r="T259" s="7">
        <v>0</v>
      </c>
      <c r="U259" s="8">
        <f>IFERROR(T259/T327, "NA")</f>
        <v>0</v>
      </c>
      <c r="V259" s="9"/>
      <c r="W259" s="7">
        <v>0</v>
      </c>
      <c r="X259" s="8">
        <f>IFERROR(W259/W327, "NA")</f>
        <v>0</v>
      </c>
    </row>
    <row r="260" spans="1:24" ht="16.5" customHeight="1" x14ac:dyDescent="0.25">
      <c r="A260" s="6" t="s">
        <v>266</v>
      </c>
      <c r="B260" s="7">
        <v>0</v>
      </c>
      <c r="C260" s="8">
        <f>IFERROR(B260/B327, "NA")</f>
        <v>0</v>
      </c>
      <c r="D260" s="9"/>
      <c r="E260" s="7">
        <v>0</v>
      </c>
      <c r="F260" s="8">
        <f>IFERROR(E260/E327, "NA")</f>
        <v>0</v>
      </c>
      <c r="G260" s="9"/>
      <c r="H260" s="7">
        <v>0</v>
      </c>
      <c r="I260" s="8">
        <f>IFERROR(H260/H327, "NA")</f>
        <v>0</v>
      </c>
      <c r="J260" s="9"/>
      <c r="K260" s="7">
        <v>0</v>
      </c>
      <c r="L260" s="8">
        <f>IFERROR(K260/K327, "NA")</f>
        <v>0</v>
      </c>
      <c r="M260" s="9"/>
      <c r="N260" s="7">
        <v>0</v>
      </c>
      <c r="O260" s="8">
        <f>IFERROR(N260/N327, "NA")</f>
        <v>0</v>
      </c>
      <c r="P260" s="9"/>
      <c r="Q260" s="7">
        <v>0</v>
      </c>
      <c r="R260" s="8">
        <f>IFERROR(Q260/Q327, "NA")</f>
        <v>0</v>
      </c>
      <c r="S260" s="9"/>
      <c r="T260" s="7">
        <v>0</v>
      </c>
      <c r="U260" s="8">
        <f>IFERROR(T260/T327, "NA")</f>
        <v>0</v>
      </c>
      <c r="V260" s="9"/>
      <c r="W260" s="7">
        <v>0</v>
      </c>
      <c r="X260" s="8">
        <f>IFERROR(W260/W327, "NA")</f>
        <v>0</v>
      </c>
    </row>
    <row r="261" spans="1:24" ht="16.5" customHeight="1" x14ac:dyDescent="0.25">
      <c r="A261" s="6" t="s">
        <v>267</v>
      </c>
      <c r="B261" s="7">
        <v>25468.12</v>
      </c>
      <c r="C261" s="8">
        <f>IFERROR(B261/B327, "NA")</f>
        <v>6.3895071680534571E-2</v>
      </c>
      <c r="D261" s="9"/>
      <c r="E261" s="7">
        <v>0</v>
      </c>
      <c r="F261" s="8">
        <f>IFERROR(E261/E327, "NA")</f>
        <v>0</v>
      </c>
      <c r="G261" s="9"/>
      <c r="H261" s="7">
        <v>0</v>
      </c>
      <c r="I261" s="8">
        <f>IFERROR(H261/H327, "NA")</f>
        <v>0</v>
      </c>
      <c r="J261" s="9"/>
      <c r="K261" s="7">
        <v>0</v>
      </c>
      <c r="L261" s="8">
        <f>IFERROR(K261/K327, "NA")</f>
        <v>0</v>
      </c>
      <c r="M261" s="9"/>
      <c r="N261" s="7">
        <v>25563.49</v>
      </c>
      <c r="O261" s="8">
        <f>IFERROR(N261/N327, "NA")</f>
        <v>6.8883357056583785E-2</v>
      </c>
      <c r="P261" s="9"/>
      <c r="Q261" s="7">
        <v>0</v>
      </c>
      <c r="R261" s="8">
        <f>IFERROR(Q261/Q327, "NA")</f>
        <v>0</v>
      </c>
      <c r="S261" s="9"/>
      <c r="T261" s="7">
        <v>0</v>
      </c>
      <c r="U261" s="8">
        <f>IFERROR(T261/T327, "NA")</f>
        <v>0</v>
      </c>
      <c r="V261" s="9"/>
      <c r="W261" s="7">
        <v>0</v>
      </c>
      <c r="X261" s="8">
        <f>IFERROR(W261/W327, "NA")</f>
        <v>0</v>
      </c>
    </row>
    <row r="262" spans="1:24" ht="16.5" customHeight="1" x14ac:dyDescent="0.25">
      <c r="A262" s="6" t="s">
        <v>268</v>
      </c>
      <c r="B262" s="7">
        <v>9135.5400000000009</v>
      </c>
      <c r="C262" s="8">
        <f>IFERROR(B262/B327, "NA")</f>
        <v>2.2919476708150852E-2</v>
      </c>
      <c r="D262" s="9"/>
      <c r="E262" s="7">
        <v>0</v>
      </c>
      <c r="F262" s="8">
        <f>IFERROR(E262/E327, "NA")</f>
        <v>0</v>
      </c>
      <c r="G262" s="9"/>
      <c r="H262" s="7">
        <v>0</v>
      </c>
      <c r="I262" s="8">
        <f>IFERROR(H262/H327, "NA")</f>
        <v>0</v>
      </c>
      <c r="J262" s="9"/>
      <c r="K262" s="7">
        <v>0</v>
      </c>
      <c r="L262" s="8">
        <f>IFERROR(K262/K327, "NA")</f>
        <v>0</v>
      </c>
      <c r="M262" s="9"/>
      <c r="N262" s="7">
        <v>9040.17</v>
      </c>
      <c r="O262" s="8">
        <f>IFERROR(N262/N327, "NA")</f>
        <v>2.4359633913922436E-2</v>
      </c>
      <c r="P262" s="9"/>
      <c r="Q262" s="7">
        <v>0</v>
      </c>
      <c r="R262" s="8">
        <f>IFERROR(Q262/Q327, "NA")</f>
        <v>0</v>
      </c>
      <c r="S262" s="9"/>
      <c r="T262" s="7">
        <v>0</v>
      </c>
      <c r="U262" s="8">
        <f>IFERROR(T262/T327, "NA")</f>
        <v>0</v>
      </c>
      <c r="V262" s="9"/>
      <c r="W262" s="7">
        <v>0</v>
      </c>
      <c r="X262" s="8">
        <f>IFERROR(W262/W327, "NA")</f>
        <v>0</v>
      </c>
    </row>
    <row r="263" spans="1:24" ht="16.5" customHeight="1" x14ac:dyDescent="0.25">
      <c r="A263" s="10" t="s">
        <v>269</v>
      </c>
      <c r="B263" s="11">
        <f>IFERROR(B254+B255+B256+B257+B258+B259+B260+B261+B262, "NA")</f>
        <v>90562.829999999987</v>
      </c>
      <c r="C263" s="12">
        <f>IFERROR(B263/B327, "NA")</f>
        <v>0.22720634716822705</v>
      </c>
      <c r="D263" s="2"/>
      <c r="E263" s="11">
        <f>IFERROR(E254+E255+E256+E257+E258+E259+E260+E261+E262, "NA")</f>
        <v>11936.65</v>
      </c>
      <c r="F263" s="12">
        <f>IFERROR(E263/E327, "NA")</f>
        <v>5.7946860728886759E-2</v>
      </c>
      <c r="G263" s="2"/>
      <c r="H263" s="11">
        <f>IFERROR(H254+H255+H256+H257+H258+H259+H260+H261+H262, "NA")</f>
        <v>0</v>
      </c>
      <c r="I263" s="12">
        <f>IFERROR(H263/H327, "NA")</f>
        <v>0</v>
      </c>
      <c r="J263" s="2"/>
      <c r="K263" s="11">
        <f>IFERROR(K254+K255+K256+K257+K258+K259+K260+K261+K262, "NA")</f>
        <v>0</v>
      </c>
      <c r="L263" s="12">
        <f>IFERROR(K263/K327, "NA")</f>
        <v>0</v>
      </c>
      <c r="M263" s="2"/>
      <c r="N263" s="11">
        <f>IFERROR(N254+N255+N256+N257+N258+N259+N260+N261+N262, "NA")</f>
        <v>79621.460000000006</v>
      </c>
      <c r="O263" s="12">
        <f>IFERROR(N263/N327, "NA")</f>
        <v>0.21454791417550984</v>
      </c>
      <c r="P263" s="2"/>
      <c r="Q263" s="11">
        <f>IFERROR(Q254+Q255+Q256+Q257+Q258+Q259+Q260+Q261+Q262, "NA")</f>
        <v>24018.33</v>
      </c>
      <c r="R263" s="12">
        <f>IFERROR(Q263/Q327, "NA")</f>
        <v>0.13793649426277524</v>
      </c>
      <c r="S263" s="2"/>
      <c r="T263" s="11">
        <f>IFERROR(T254+T255+T256+T257+T258+T259+T260+T261+T262, "NA")</f>
        <v>0</v>
      </c>
      <c r="U263" s="12">
        <f>IFERROR(T263/T327, "NA")</f>
        <v>0</v>
      </c>
      <c r="V263" s="2"/>
      <c r="W263" s="11">
        <f>IFERROR(W254+W255+W256+W257+W258+W259+W260+W261+W262, "NA")</f>
        <v>0</v>
      </c>
      <c r="X263" s="12">
        <f>IFERROR(W263/W327, "NA")</f>
        <v>0</v>
      </c>
    </row>
    <row r="264" spans="1:24" ht="16.5" customHeight="1" x14ac:dyDescent="0.25">
      <c r="A264" s="5" t="s">
        <v>270</v>
      </c>
      <c r="B264" s="2"/>
      <c r="C264" s="3"/>
      <c r="D264" s="4"/>
      <c r="E264" s="2"/>
      <c r="F264" s="3"/>
      <c r="G264" s="4"/>
      <c r="H264" s="2"/>
      <c r="I264" s="3"/>
      <c r="J264" s="4"/>
      <c r="K264" s="2"/>
      <c r="L264" s="3"/>
      <c r="M264" s="4"/>
      <c r="N264" s="2"/>
      <c r="O264" s="3"/>
      <c r="P264" s="4"/>
      <c r="Q264" s="2"/>
      <c r="R264" s="3"/>
      <c r="S264" s="4"/>
      <c r="T264" s="2"/>
      <c r="U264" s="3"/>
      <c r="V264" s="4"/>
      <c r="W264" s="2"/>
      <c r="X264" s="3"/>
    </row>
    <row r="265" spans="1:24" ht="16.5" customHeight="1" x14ac:dyDescent="0.25">
      <c r="A265" s="6" t="s">
        <v>271</v>
      </c>
      <c r="B265" s="7">
        <v>0</v>
      </c>
      <c r="C265" s="8">
        <f>IFERROR(B265/B327, "NA")</f>
        <v>0</v>
      </c>
      <c r="D265" s="9"/>
      <c r="E265" s="7">
        <v>0</v>
      </c>
      <c r="F265" s="8">
        <f>IFERROR(E265/E327, "NA")</f>
        <v>0</v>
      </c>
      <c r="G265" s="9"/>
      <c r="H265" s="7">
        <v>0</v>
      </c>
      <c r="I265" s="8">
        <f>IFERROR(H265/H327, "NA")</f>
        <v>0</v>
      </c>
      <c r="J265" s="9"/>
      <c r="K265" s="7">
        <v>0</v>
      </c>
      <c r="L265" s="8">
        <f>IFERROR(K265/K327, "NA")</f>
        <v>0</v>
      </c>
      <c r="M265" s="9"/>
      <c r="N265" s="7">
        <v>0</v>
      </c>
      <c r="O265" s="8">
        <f>IFERROR(N265/N327, "NA")</f>
        <v>0</v>
      </c>
      <c r="P265" s="9"/>
      <c r="Q265" s="7">
        <v>0</v>
      </c>
      <c r="R265" s="8">
        <f>IFERROR(Q265/Q327, "NA")</f>
        <v>0</v>
      </c>
      <c r="S265" s="9"/>
      <c r="T265" s="7">
        <v>0</v>
      </c>
      <c r="U265" s="8">
        <f>IFERROR(T265/T327, "NA")</f>
        <v>0</v>
      </c>
      <c r="V265" s="9"/>
      <c r="W265" s="7">
        <v>0</v>
      </c>
      <c r="X265" s="8">
        <f>IFERROR(W265/W327, "NA")</f>
        <v>0</v>
      </c>
    </row>
    <row r="266" spans="1:24" ht="16.5" customHeight="1" x14ac:dyDescent="0.25">
      <c r="A266" s="6" t="s">
        <v>272</v>
      </c>
      <c r="B266" s="7">
        <v>0</v>
      </c>
      <c r="C266" s="8">
        <f>IFERROR(B266/B327, "NA")</f>
        <v>0</v>
      </c>
      <c r="D266" s="9"/>
      <c r="E266" s="7">
        <v>0</v>
      </c>
      <c r="F266" s="8">
        <f>IFERROR(E266/E327, "NA")</f>
        <v>0</v>
      </c>
      <c r="G266" s="9"/>
      <c r="H266" s="7">
        <v>0</v>
      </c>
      <c r="I266" s="8">
        <f>IFERROR(H266/H327, "NA")</f>
        <v>0</v>
      </c>
      <c r="J266" s="9"/>
      <c r="K266" s="7">
        <v>0</v>
      </c>
      <c r="L266" s="8">
        <f>IFERROR(K266/K327, "NA")</f>
        <v>0</v>
      </c>
      <c r="M266" s="9"/>
      <c r="N266" s="7">
        <v>0</v>
      </c>
      <c r="O266" s="8">
        <f>IFERROR(N266/N327, "NA")</f>
        <v>0</v>
      </c>
      <c r="P266" s="9"/>
      <c r="Q266" s="7">
        <v>0</v>
      </c>
      <c r="R266" s="8">
        <f>IFERROR(Q266/Q327, "NA")</f>
        <v>0</v>
      </c>
      <c r="S266" s="9"/>
      <c r="T266" s="7">
        <v>0</v>
      </c>
      <c r="U266" s="8">
        <f>IFERROR(T266/T327, "NA")</f>
        <v>0</v>
      </c>
      <c r="V266" s="9"/>
      <c r="W266" s="7">
        <v>0</v>
      </c>
      <c r="X266" s="8">
        <f>IFERROR(W266/W327, "NA")</f>
        <v>0</v>
      </c>
    </row>
    <row r="267" spans="1:24" ht="16.5" customHeight="1" x14ac:dyDescent="0.25">
      <c r="A267" s="6" t="s">
        <v>273</v>
      </c>
      <c r="B267" s="7">
        <v>0</v>
      </c>
      <c r="C267" s="8">
        <f>IFERROR(B267/B327, "NA")</f>
        <v>0</v>
      </c>
      <c r="D267" s="9"/>
      <c r="E267" s="7">
        <v>0</v>
      </c>
      <c r="F267" s="8">
        <f>IFERROR(E267/E327, "NA")</f>
        <v>0</v>
      </c>
      <c r="G267" s="9"/>
      <c r="H267" s="7">
        <v>0</v>
      </c>
      <c r="I267" s="8">
        <f>IFERROR(H267/H327, "NA")</f>
        <v>0</v>
      </c>
      <c r="J267" s="9"/>
      <c r="K267" s="7">
        <v>0</v>
      </c>
      <c r="L267" s="8">
        <f>IFERROR(K267/K327, "NA")</f>
        <v>0</v>
      </c>
      <c r="M267" s="9"/>
      <c r="N267" s="7">
        <v>0</v>
      </c>
      <c r="O267" s="8">
        <f>IFERROR(N267/N327, "NA")</f>
        <v>0</v>
      </c>
      <c r="P267" s="9"/>
      <c r="Q267" s="7">
        <v>0</v>
      </c>
      <c r="R267" s="8">
        <f>IFERROR(Q267/Q327, "NA")</f>
        <v>0</v>
      </c>
      <c r="S267" s="9"/>
      <c r="T267" s="7">
        <v>0</v>
      </c>
      <c r="U267" s="8">
        <f>IFERROR(T267/T327, "NA")</f>
        <v>0</v>
      </c>
      <c r="V267" s="9"/>
      <c r="W267" s="7">
        <v>0</v>
      </c>
      <c r="X267" s="8">
        <f>IFERROR(W267/W327, "NA")</f>
        <v>0</v>
      </c>
    </row>
    <row r="268" spans="1:24" ht="16.5" customHeight="1" x14ac:dyDescent="0.25">
      <c r="A268" s="6" t="s">
        <v>274</v>
      </c>
      <c r="B268" s="7">
        <v>-10.199999999999999</v>
      </c>
      <c r="C268" s="8">
        <f>IFERROR(B268/B327, "NA")</f>
        <v>-2.5590021216385528E-5</v>
      </c>
      <c r="D268" s="9"/>
      <c r="E268" s="7">
        <v>-10.11</v>
      </c>
      <c r="F268" s="8">
        <f>IFERROR(E268/E327, "NA")</f>
        <v>-4.9079328117105313E-5</v>
      </c>
      <c r="G268" s="9"/>
      <c r="H268" s="7">
        <v>0</v>
      </c>
      <c r="I268" s="8">
        <f>IFERROR(H268/H327, "NA")</f>
        <v>0</v>
      </c>
      <c r="J268" s="9"/>
      <c r="K268" s="7">
        <v>-3.6</v>
      </c>
      <c r="L268" s="8">
        <f>IFERROR(K268/K327, "NA")</f>
        <v>-1.5446930546867254E-5</v>
      </c>
      <c r="M268" s="9"/>
      <c r="N268" s="7">
        <v>-18.57</v>
      </c>
      <c r="O268" s="8">
        <f>IFERROR(N268/N327, "NA")</f>
        <v>-5.0038705221421676E-5</v>
      </c>
      <c r="P268" s="9"/>
      <c r="Q268" s="7">
        <v>-5423.43</v>
      </c>
      <c r="R268" s="8">
        <f>IFERROR(Q268/Q327, "NA")</f>
        <v>-3.114658350849385E-2</v>
      </c>
      <c r="S268" s="9"/>
      <c r="T268" s="7">
        <v>-4924.5</v>
      </c>
      <c r="U268" s="8">
        <f>IFERROR(T268/T327, "NA")</f>
        <v>-2.7850750067159643E-2</v>
      </c>
      <c r="V268" s="9"/>
      <c r="W268" s="7">
        <v>-3000</v>
      </c>
      <c r="X268" s="8">
        <f>IFERROR(W268/W327, "NA")</f>
        <v>-1.7760727479397557E-2</v>
      </c>
    </row>
    <row r="269" spans="1:24" ht="16.5" customHeight="1" x14ac:dyDescent="0.25">
      <c r="A269" s="6" t="s">
        <v>275</v>
      </c>
      <c r="B269" s="7">
        <v>0</v>
      </c>
      <c r="C269" s="8">
        <f>IFERROR(B269/B327, "NA")</f>
        <v>0</v>
      </c>
      <c r="D269" s="9"/>
      <c r="E269" s="7">
        <v>0</v>
      </c>
      <c r="F269" s="8">
        <f>IFERROR(E269/E327, "NA")</f>
        <v>0</v>
      </c>
      <c r="G269" s="9"/>
      <c r="H269" s="7">
        <v>0</v>
      </c>
      <c r="I269" s="8">
        <f>IFERROR(H269/H327, "NA")</f>
        <v>0</v>
      </c>
      <c r="J269" s="9"/>
      <c r="K269" s="7">
        <v>0</v>
      </c>
      <c r="L269" s="8">
        <f>IFERROR(K269/K327, "NA")</f>
        <v>0</v>
      </c>
      <c r="M269" s="9"/>
      <c r="N269" s="7">
        <v>0</v>
      </c>
      <c r="O269" s="8">
        <f>IFERROR(N269/N327, "NA")</f>
        <v>0</v>
      </c>
      <c r="P269" s="9"/>
      <c r="Q269" s="7">
        <v>0</v>
      </c>
      <c r="R269" s="8">
        <f>IFERROR(Q269/Q327, "NA")</f>
        <v>0</v>
      </c>
      <c r="S269" s="9"/>
      <c r="T269" s="7">
        <v>0</v>
      </c>
      <c r="U269" s="8">
        <f>IFERROR(T269/T327, "NA")</f>
        <v>0</v>
      </c>
      <c r="V269" s="9"/>
      <c r="W269" s="7">
        <v>0</v>
      </c>
      <c r="X269" s="8">
        <f>IFERROR(W269/W327, "NA")</f>
        <v>0</v>
      </c>
    </row>
    <row r="270" spans="1:24" ht="16.5" customHeight="1" x14ac:dyDescent="0.25">
      <c r="A270" s="6" t="s">
        <v>276</v>
      </c>
      <c r="B270" s="7">
        <v>0</v>
      </c>
      <c r="C270" s="8">
        <f>IFERROR(B270/B327, "NA")</f>
        <v>0</v>
      </c>
      <c r="D270" s="9"/>
      <c r="E270" s="7">
        <v>0</v>
      </c>
      <c r="F270" s="8">
        <f>IFERROR(E270/E327, "NA")</f>
        <v>0</v>
      </c>
      <c r="G270" s="9"/>
      <c r="H270" s="7">
        <v>0</v>
      </c>
      <c r="I270" s="8">
        <f>IFERROR(H270/H327, "NA")</f>
        <v>0</v>
      </c>
      <c r="J270" s="9"/>
      <c r="K270" s="7">
        <v>0</v>
      </c>
      <c r="L270" s="8">
        <f>IFERROR(K270/K327, "NA")</f>
        <v>0</v>
      </c>
      <c r="M270" s="9"/>
      <c r="N270" s="7">
        <v>0</v>
      </c>
      <c r="O270" s="8">
        <f>IFERROR(N270/N327, "NA")</f>
        <v>0</v>
      </c>
      <c r="P270" s="9"/>
      <c r="Q270" s="7">
        <v>0</v>
      </c>
      <c r="R270" s="8">
        <f>IFERROR(Q270/Q327, "NA")</f>
        <v>0</v>
      </c>
      <c r="S270" s="9"/>
      <c r="T270" s="7">
        <v>0</v>
      </c>
      <c r="U270" s="8">
        <f>IFERROR(T270/T327, "NA")</f>
        <v>0</v>
      </c>
      <c r="V270" s="9"/>
      <c r="W270" s="7">
        <v>0</v>
      </c>
      <c r="X270" s="8">
        <f>IFERROR(W270/W327, "NA")</f>
        <v>0</v>
      </c>
    </row>
    <row r="271" spans="1:24" ht="16.5" customHeight="1" x14ac:dyDescent="0.25">
      <c r="A271" s="6" t="s">
        <v>277</v>
      </c>
      <c r="B271" s="7">
        <v>0</v>
      </c>
      <c r="C271" s="8">
        <f>IFERROR(B271/B327, "NA")</f>
        <v>0</v>
      </c>
      <c r="D271" s="9"/>
      <c r="E271" s="7">
        <v>0</v>
      </c>
      <c r="F271" s="8">
        <f>IFERROR(E271/E327, "NA")</f>
        <v>0</v>
      </c>
      <c r="G271" s="9"/>
      <c r="H271" s="7">
        <v>0</v>
      </c>
      <c r="I271" s="8">
        <f>IFERROR(H271/H327, "NA")</f>
        <v>0</v>
      </c>
      <c r="J271" s="9"/>
      <c r="K271" s="7">
        <v>0</v>
      </c>
      <c r="L271" s="8">
        <f>IFERROR(K271/K327, "NA")</f>
        <v>0</v>
      </c>
      <c r="M271" s="9"/>
      <c r="N271" s="7">
        <v>0</v>
      </c>
      <c r="O271" s="8">
        <f>IFERROR(N271/N327, "NA")</f>
        <v>0</v>
      </c>
      <c r="P271" s="9"/>
      <c r="Q271" s="7">
        <v>0</v>
      </c>
      <c r="R271" s="8">
        <f>IFERROR(Q271/Q327, "NA")</f>
        <v>0</v>
      </c>
      <c r="S271" s="9"/>
      <c r="T271" s="7">
        <v>0</v>
      </c>
      <c r="U271" s="8">
        <f>IFERROR(T271/T327, "NA")</f>
        <v>0</v>
      </c>
      <c r="V271" s="9"/>
      <c r="W271" s="7">
        <v>0</v>
      </c>
      <c r="X271" s="8">
        <f>IFERROR(W271/W327, "NA")</f>
        <v>0</v>
      </c>
    </row>
    <row r="272" spans="1:24" ht="16.5" customHeight="1" x14ac:dyDescent="0.25">
      <c r="A272" s="6" t="s">
        <v>278</v>
      </c>
      <c r="B272" s="7">
        <v>0</v>
      </c>
      <c r="C272" s="8">
        <f>IFERROR(B272/B327, "NA")</f>
        <v>0</v>
      </c>
      <c r="D272" s="9"/>
      <c r="E272" s="7">
        <v>0</v>
      </c>
      <c r="F272" s="8">
        <f>IFERROR(E272/E327, "NA")</f>
        <v>0</v>
      </c>
      <c r="G272" s="9"/>
      <c r="H272" s="7">
        <v>0</v>
      </c>
      <c r="I272" s="8">
        <f>IFERROR(H272/H327, "NA")</f>
        <v>0</v>
      </c>
      <c r="J272" s="9"/>
      <c r="K272" s="7">
        <v>0</v>
      </c>
      <c r="L272" s="8">
        <f>IFERROR(K272/K327, "NA")</f>
        <v>0</v>
      </c>
      <c r="M272" s="9"/>
      <c r="N272" s="7">
        <v>0</v>
      </c>
      <c r="O272" s="8">
        <f>IFERROR(N272/N327, "NA")</f>
        <v>0</v>
      </c>
      <c r="P272" s="9"/>
      <c r="Q272" s="7">
        <v>0</v>
      </c>
      <c r="R272" s="8">
        <f>IFERROR(Q272/Q327, "NA")</f>
        <v>0</v>
      </c>
      <c r="S272" s="9"/>
      <c r="T272" s="7">
        <v>0</v>
      </c>
      <c r="U272" s="8">
        <f>IFERROR(T272/T327, "NA")</f>
        <v>0</v>
      </c>
      <c r="V272" s="9"/>
      <c r="W272" s="7">
        <v>0</v>
      </c>
      <c r="X272" s="8">
        <f>IFERROR(W272/W327, "NA")</f>
        <v>0</v>
      </c>
    </row>
    <row r="273" spans="1:24" ht="16.5" customHeight="1" x14ac:dyDescent="0.25">
      <c r="A273" s="6" t="s">
        <v>279</v>
      </c>
      <c r="B273" s="7">
        <v>0</v>
      </c>
      <c r="C273" s="8">
        <f>IFERROR(B273/B327, "NA")</f>
        <v>0</v>
      </c>
      <c r="D273" s="9"/>
      <c r="E273" s="7">
        <v>0</v>
      </c>
      <c r="F273" s="8">
        <f>IFERROR(E273/E327, "NA")</f>
        <v>0</v>
      </c>
      <c r="G273" s="9"/>
      <c r="H273" s="7">
        <v>0</v>
      </c>
      <c r="I273" s="8">
        <f>IFERROR(H273/H327, "NA")</f>
        <v>0</v>
      </c>
      <c r="J273" s="9"/>
      <c r="K273" s="7">
        <v>0</v>
      </c>
      <c r="L273" s="8">
        <f>IFERROR(K273/K327, "NA")</f>
        <v>0</v>
      </c>
      <c r="M273" s="9"/>
      <c r="N273" s="7">
        <v>0</v>
      </c>
      <c r="O273" s="8">
        <f>IFERROR(N273/N327, "NA")</f>
        <v>0</v>
      </c>
      <c r="P273" s="9"/>
      <c r="Q273" s="7">
        <v>0</v>
      </c>
      <c r="R273" s="8">
        <f>IFERROR(Q273/Q327, "NA")</f>
        <v>0</v>
      </c>
      <c r="S273" s="9"/>
      <c r="T273" s="7">
        <v>0</v>
      </c>
      <c r="U273" s="8">
        <f>IFERROR(T273/T327, "NA")</f>
        <v>0</v>
      </c>
      <c r="V273" s="9"/>
      <c r="W273" s="7">
        <v>0</v>
      </c>
      <c r="X273" s="8">
        <f>IFERROR(W273/W327, "NA")</f>
        <v>0</v>
      </c>
    </row>
    <row r="274" spans="1:24" ht="16.5" customHeight="1" x14ac:dyDescent="0.25">
      <c r="A274" s="6" t="s">
        <v>280</v>
      </c>
      <c r="B274" s="7">
        <v>0</v>
      </c>
      <c r="C274" s="8">
        <f>IFERROR(B274/B327, "NA")</f>
        <v>0</v>
      </c>
      <c r="D274" s="9"/>
      <c r="E274" s="7">
        <v>0</v>
      </c>
      <c r="F274" s="8">
        <f>IFERROR(E274/E327, "NA")</f>
        <v>0</v>
      </c>
      <c r="G274" s="9"/>
      <c r="H274" s="7">
        <v>0</v>
      </c>
      <c r="I274" s="8">
        <f>IFERROR(H274/H327, "NA")</f>
        <v>0</v>
      </c>
      <c r="J274" s="9"/>
      <c r="K274" s="7">
        <v>0</v>
      </c>
      <c r="L274" s="8">
        <f>IFERROR(K274/K327, "NA")</f>
        <v>0</v>
      </c>
      <c r="M274" s="9"/>
      <c r="N274" s="7">
        <v>0</v>
      </c>
      <c r="O274" s="8">
        <f>IFERROR(N274/N327, "NA")</f>
        <v>0</v>
      </c>
      <c r="P274" s="9"/>
      <c r="Q274" s="7">
        <v>0</v>
      </c>
      <c r="R274" s="8">
        <f>IFERROR(Q274/Q327, "NA")</f>
        <v>0</v>
      </c>
      <c r="S274" s="9"/>
      <c r="T274" s="7">
        <v>0</v>
      </c>
      <c r="U274" s="8">
        <f>IFERROR(T274/T327, "NA")</f>
        <v>0</v>
      </c>
      <c r="V274" s="9"/>
      <c r="W274" s="7">
        <v>0</v>
      </c>
      <c r="X274" s="8">
        <f>IFERROR(W274/W327, "NA")</f>
        <v>0</v>
      </c>
    </row>
    <row r="275" spans="1:24" ht="16.5" customHeight="1" x14ac:dyDescent="0.25">
      <c r="A275" s="6" t="s">
        <v>281</v>
      </c>
      <c r="B275" s="7">
        <v>0</v>
      </c>
      <c r="C275" s="8">
        <f>IFERROR(B275/B327, "NA")</f>
        <v>0</v>
      </c>
      <c r="D275" s="9"/>
      <c r="E275" s="7">
        <v>0</v>
      </c>
      <c r="F275" s="8">
        <f>IFERROR(E275/E327, "NA")</f>
        <v>0</v>
      </c>
      <c r="G275" s="9"/>
      <c r="H275" s="7">
        <v>0</v>
      </c>
      <c r="I275" s="8">
        <f>IFERROR(H275/H327, "NA")</f>
        <v>0</v>
      </c>
      <c r="J275" s="9"/>
      <c r="K275" s="7">
        <v>0</v>
      </c>
      <c r="L275" s="8">
        <f>IFERROR(K275/K327, "NA")</f>
        <v>0</v>
      </c>
      <c r="M275" s="9"/>
      <c r="N275" s="7">
        <v>0</v>
      </c>
      <c r="O275" s="8">
        <f>IFERROR(N275/N327, "NA")</f>
        <v>0</v>
      </c>
      <c r="P275" s="9"/>
      <c r="Q275" s="7">
        <v>0</v>
      </c>
      <c r="R275" s="8">
        <f>IFERROR(Q275/Q327, "NA")</f>
        <v>0</v>
      </c>
      <c r="S275" s="9"/>
      <c r="T275" s="7">
        <v>0</v>
      </c>
      <c r="U275" s="8">
        <f>IFERROR(T275/T327, "NA")</f>
        <v>0</v>
      </c>
      <c r="V275" s="9"/>
      <c r="W275" s="7">
        <v>0</v>
      </c>
      <c r="X275" s="8">
        <f>IFERROR(W275/W327, "NA")</f>
        <v>0</v>
      </c>
    </row>
    <row r="276" spans="1:24" ht="16.5" customHeight="1" x14ac:dyDescent="0.25">
      <c r="A276" s="6" t="s">
        <v>282</v>
      </c>
      <c r="B276" s="7">
        <v>0</v>
      </c>
      <c r="C276" s="8">
        <f>IFERROR(B276/B327, "NA")</f>
        <v>0</v>
      </c>
      <c r="D276" s="9"/>
      <c r="E276" s="7">
        <v>0</v>
      </c>
      <c r="F276" s="8">
        <f>IFERROR(E276/E327, "NA")</f>
        <v>0</v>
      </c>
      <c r="G276" s="9"/>
      <c r="H276" s="7">
        <v>0</v>
      </c>
      <c r="I276" s="8">
        <f>IFERROR(H276/H327, "NA")</f>
        <v>0</v>
      </c>
      <c r="J276" s="9"/>
      <c r="K276" s="7">
        <v>0</v>
      </c>
      <c r="L276" s="8">
        <f>IFERROR(K276/K327, "NA")</f>
        <v>0</v>
      </c>
      <c r="M276" s="9"/>
      <c r="N276" s="7">
        <v>0</v>
      </c>
      <c r="O276" s="8">
        <f>IFERROR(N276/N327, "NA")</f>
        <v>0</v>
      </c>
      <c r="P276" s="9"/>
      <c r="Q276" s="7">
        <v>0</v>
      </c>
      <c r="R276" s="8">
        <f>IFERROR(Q276/Q327, "NA")</f>
        <v>0</v>
      </c>
      <c r="S276" s="9"/>
      <c r="T276" s="7">
        <v>0</v>
      </c>
      <c r="U276" s="8">
        <f>IFERROR(T276/T327, "NA")</f>
        <v>0</v>
      </c>
      <c r="V276" s="9"/>
      <c r="W276" s="7">
        <v>0</v>
      </c>
      <c r="X276" s="8">
        <f>IFERROR(W276/W327, "NA")</f>
        <v>0</v>
      </c>
    </row>
    <row r="277" spans="1:24" ht="16.5" customHeight="1" x14ac:dyDescent="0.25">
      <c r="A277" s="6" t="s">
        <v>283</v>
      </c>
      <c r="B277" s="7">
        <v>0</v>
      </c>
      <c r="C277" s="8">
        <f>IFERROR(B277/B327, "NA")</f>
        <v>0</v>
      </c>
      <c r="D277" s="9"/>
      <c r="E277" s="7">
        <v>0</v>
      </c>
      <c r="F277" s="8">
        <f>IFERROR(E277/E327, "NA")</f>
        <v>0</v>
      </c>
      <c r="G277" s="9"/>
      <c r="H277" s="7">
        <v>0</v>
      </c>
      <c r="I277" s="8">
        <f>IFERROR(H277/H327, "NA")</f>
        <v>0</v>
      </c>
      <c r="J277" s="9"/>
      <c r="K277" s="7">
        <v>0</v>
      </c>
      <c r="L277" s="8">
        <f>IFERROR(K277/K327, "NA")</f>
        <v>0</v>
      </c>
      <c r="M277" s="9"/>
      <c r="N277" s="7">
        <v>0</v>
      </c>
      <c r="O277" s="8">
        <f>IFERROR(N277/N327, "NA")</f>
        <v>0</v>
      </c>
      <c r="P277" s="9"/>
      <c r="Q277" s="7">
        <v>0</v>
      </c>
      <c r="R277" s="8">
        <f>IFERROR(Q277/Q327, "NA")</f>
        <v>0</v>
      </c>
      <c r="S277" s="9"/>
      <c r="T277" s="7">
        <v>0</v>
      </c>
      <c r="U277" s="8">
        <f>IFERROR(T277/T327, "NA")</f>
        <v>0</v>
      </c>
      <c r="V277" s="9"/>
      <c r="W277" s="7">
        <v>0</v>
      </c>
      <c r="X277" s="8">
        <f>IFERROR(W277/W327, "NA")</f>
        <v>0</v>
      </c>
    </row>
    <row r="278" spans="1:24" ht="16.5" customHeight="1" x14ac:dyDescent="0.25">
      <c r="A278" s="6" t="s">
        <v>284</v>
      </c>
      <c r="B278" s="7">
        <v>-10934.83</v>
      </c>
      <c r="C278" s="8">
        <f>IFERROR(B278/B327, "NA")</f>
        <v>-2.7433581538977354E-2</v>
      </c>
      <c r="D278" s="9"/>
      <c r="E278" s="7">
        <v>-10285.58</v>
      </c>
      <c r="F278" s="8">
        <f>IFERROR(E278/E327, "NA")</f>
        <v>-4.993168701233789E-2</v>
      </c>
      <c r="G278" s="9"/>
      <c r="H278" s="7">
        <v>-11496.01</v>
      </c>
      <c r="I278" s="8">
        <f>IFERROR(H278/H327, "NA")</f>
        <v>-3.3983586143187069E-2</v>
      </c>
      <c r="J278" s="9"/>
      <c r="K278" s="7">
        <v>-11180.62</v>
      </c>
      <c r="L278" s="8">
        <f>IFERROR(K278/K327, "NA")</f>
        <v>-4.7973961280809711E-2</v>
      </c>
      <c r="M278" s="9"/>
      <c r="N278" s="7">
        <v>-8128.69</v>
      </c>
      <c r="O278" s="8">
        <f>IFERROR(N278/N327, "NA")</f>
        <v>-2.1903560729473245E-2</v>
      </c>
      <c r="P278" s="9"/>
      <c r="Q278" s="7">
        <v>-8532.86</v>
      </c>
      <c r="R278" s="8">
        <f>IFERROR(Q278/Q327, "NA")</f>
        <v>-4.9003939675866907E-2</v>
      </c>
      <c r="S278" s="9"/>
      <c r="T278" s="7">
        <v>-6014.09</v>
      </c>
      <c r="U278" s="8">
        <f>IFERROR(T278/T327, "NA")</f>
        <v>-3.4012979484496726E-2</v>
      </c>
      <c r="V278" s="9"/>
      <c r="W278" s="7">
        <v>-5716.43</v>
      </c>
      <c r="X278" s="8">
        <f>IFERROR(W278/W327, "NA")</f>
        <v>-3.3842651795017525E-2</v>
      </c>
    </row>
    <row r="279" spans="1:24" ht="16.5" customHeight="1" x14ac:dyDescent="0.25">
      <c r="A279" s="6" t="s">
        <v>285</v>
      </c>
      <c r="B279" s="7">
        <v>0</v>
      </c>
      <c r="C279" s="8">
        <f>IFERROR(B279/B327, "NA")</f>
        <v>0</v>
      </c>
      <c r="D279" s="9"/>
      <c r="E279" s="7">
        <v>0</v>
      </c>
      <c r="F279" s="8">
        <f>IFERROR(E279/E327, "NA")</f>
        <v>0</v>
      </c>
      <c r="G279" s="9"/>
      <c r="H279" s="7">
        <v>0</v>
      </c>
      <c r="I279" s="8">
        <f>IFERROR(H279/H327, "NA")</f>
        <v>0</v>
      </c>
      <c r="J279" s="9"/>
      <c r="K279" s="7">
        <v>0</v>
      </c>
      <c r="L279" s="8">
        <f>IFERROR(K279/K327, "NA")</f>
        <v>0</v>
      </c>
      <c r="M279" s="9"/>
      <c r="N279" s="7">
        <v>0</v>
      </c>
      <c r="O279" s="8">
        <f>IFERROR(N279/N327, "NA")</f>
        <v>0</v>
      </c>
      <c r="P279" s="9"/>
      <c r="Q279" s="7">
        <v>0</v>
      </c>
      <c r="R279" s="8">
        <f>IFERROR(Q279/Q327, "NA")</f>
        <v>0</v>
      </c>
      <c r="S279" s="9"/>
      <c r="T279" s="7">
        <v>0</v>
      </c>
      <c r="U279" s="8">
        <f>IFERROR(T279/T327, "NA")</f>
        <v>0</v>
      </c>
      <c r="V279" s="9"/>
      <c r="W279" s="7">
        <v>0</v>
      </c>
      <c r="X279" s="8">
        <f>IFERROR(W279/W327, "NA")</f>
        <v>0</v>
      </c>
    </row>
    <row r="280" spans="1:24" ht="16.5" customHeight="1" x14ac:dyDescent="0.25">
      <c r="A280" s="6" t="s">
        <v>286</v>
      </c>
      <c r="B280" s="7">
        <v>0</v>
      </c>
      <c r="C280" s="8">
        <f>IFERROR(B280/B327, "NA")</f>
        <v>0</v>
      </c>
      <c r="D280" s="9"/>
      <c r="E280" s="7">
        <v>0</v>
      </c>
      <c r="F280" s="8">
        <f>IFERROR(E280/E327, "NA")</f>
        <v>0</v>
      </c>
      <c r="G280" s="9"/>
      <c r="H280" s="7">
        <v>0</v>
      </c>
      <c r="I280" s="8">
        <f>IFERROR(H280/H327, "NA")</f>
        <v>0</v>
      </c>
      <c r="J280" s="9"/>
      <c r="K280" s="7">
        <v>0</v>
      </c>
      <c r="L280" s="8">
        <f>IFERROR(K280/K327, "NA")</f>
        <v>0</v>
      </c>
      <c r="M280" s="9"/>
      <c r="N280" s="7">
        <v>0</v>
      </c>
      <c r="O280" s="8">
        <f>IFERROR(N280/N327, "NA")</f>
        <v>0</v>
      </c>
      <c r="P280" s="9"/>
      <c r="Q280" s="7">
        <v>0</v>
      </c>
      <c r="R280" s="8">
        <f>IFERROR(Q280/Q327, "NA")</f>
        <v>0</v>
      </c>
      <c r="S280" s="9"/>
      <c r="T280" s="7">
        <v>0</v>
      </c>
      <c r="U280" s="8">
        <f>IFERROR(T280/T327, "NA")</f>
        <v>0</v>
      </c>
      <c r="V280" s="9"/>
      <c r="W280" s="7">
        <v>0</v>
      </c>
      <c r="X280" s="8">
        <f>IFERROR(W280/W327, "NA")</f>
        <v>0</v>
      </c>
    </row>
    <row r="281" spans="1:24" ht="16.5" customHeight="1" x14ac:dyDescent="0.25">
      <c r="A281" s="6" t="s">
        <v>287</v>
      </c>
      <c r="B281" s="7">
        <v>0</v>
      </c>
      <c r="C281" s="8">
        <f>IFERROR(B281/B327, "NA")</f>
        <v>0</v>
      </c>
      <c r="D281" s="9"/>
      <c r="E281" s="7">
        <v>0</v>
      </c>
      <c r="F281" s="8">
        <f>IFERROR(E281/E327, "NA")</f>
        <v>0</v>
      </c>
      <c r="G281" s="9"/>
      <c r="H281" s="7">
        <v>0</v>
      </c>
      <c r="I281" s="8">
        <f>IFERROR(H281/H327, "NA")</f>
        <v>0</v>
      </c>
      <c r="J281" s="9"/>
      <c r="K281" s="7">
        <v>0</v>
      </c>
      <c r="L281" s="8">
        <f>IFERROR(K281/K327, "NA")</f>
        <v>0</v>
      </c>
      <c r="M281" s="9"/>
      <c r="N281" s="7">
        <v>0</v>
      </c>
      <c r="O281" s="8">
        <f>IFERROR(N281/N327, "NA")</f>
        <v>0</v>
      </c>
      <c r="P281" s="9"/>
      <c r="Q281" s="7">
        <v>0</v>
      </c>
      <c r="R281" s="8">
        <f>IFERROR(Q281/Q327, "NA")</f>
        <v>0</v>
      </c>
      <c r="S281" s="9"/>
      <c r="T281" s="7">
        <v>0</v>
      </c>
      <c r="U281" s="8">
        <f>IFERROR(T281/T327, "NA")</f>
        <v>0</v>
      </c>
      <c r="V281" s="9"/>
      <c r="W281" s="7">
        <v>0</v>
      </c>
      <c r="X281" s="8">
        <f>IFERROR(W281/W327, "NA")</f>
        <v>0</v>
      </c>
    </row>
    <row r="282" spans="1:24" ht="16.5" customHeight="1" x14ac:dyDescent="0.25">
      <c r="A282" s="6" t="s">
        <v>288</v>
      </c>
      <c r="B282" s="7">
        <v>0</v>
      </c>
      <c r="C282" s="8">
        <f>IFERROR(B282/B327, "NA")</f>
        <v>0</v>
      </c>
      <c r="D282" s="9"/>
      <c r="E282" s="7">
        <v>0</v>
      </c>
      <c r="F282" s="8">
        <f>IFERROR(E282/E327, "NA")</f>
        <v>0</v>
      </c>
      <c r="G282" s="9"/>
      <c r="H282" s="7">
        <v>0</v>
      </c>
      <c r="I282" s="8">
        <f>IFERROR(H282/H327, "NA")</f>
        <v>0</v>
      </c>
      <c r="J282" s="9"/>
      <c r="K282" s="7">
        <v>0</v>
      </c>
      <c r="L282" s="8">
        <f>IFERROR(K282/K327, "NA")</f>
        <v>0</v>
      </c>
      <c r="M282" s="9"/>
      <c r="N282" s="7">
        <v>0</v>
      </c>
      <c r="O282" s="8">
        <f>IFERROR(N282/N327, "NA")</f>
        <v>0</v>
      </c>
      <c r="P282" s="9"/>
      <c r="Q282" s="7">
        <v>0</v>
      </c>
      <c r="R282" s="8">
        <f>IFERROR(Q282/Q327, "NA")</f>
        <v>0</v>
      </c>
      <c r="S282" s="9"/>
      <c r="T282" s="7">
        <v>0</v>
      </c>
      <c r="U282" s="8">
        <f>IFERROR(T282/T327, "NA")</f>
        <v>0</v>
      </c>
      <c r="V282" s="9"/>
      <c r="W282" s="7">
        <v>0</v>
      </c>
      <c r="X282" s="8">
        <f>IFERROR(W282/W327, "NA")</f>
        <v>0</v>
      </c>
    </row>
    <row r="283" spans="1:24" ht="16.5" customHeight="1" x14ac:dyDescent="0.25">
      <c r="A283" s="10" t="s">
        <v>289</v>
      </c>
      <c r="B283" s="11">
        <f>IFERROR(B265+B266+B267+B268+B269+B270+B271+B272+B273+B274+B275+B276+B277+B278+B279+B280+B281+B282, "NA")</f>
        <v>-10945.03</v>
      </c>
      <c r="C283" s="12">
        <f>IFERROR(B283/B327, "NA")</f>
        <v>-2.745917156019374E-2</v>
      </c>
      <c r="D283" s="2"/>
      <c r="E283" s="11">
        <f>IFERROR(E265+E266+E267+E268+E269+E270+E271+E272+E273+E274+E275+E276+E277+E278+E279+E280+E281+E282, "NA")</f>
        <v>-10295.69</v>
      </c>
      <c r="F283" s="12">
        <f>IFERROR(E283/E327, "NA")</f>
        <v>-4.9980766340455E-2</v>
      </c>
      <c r="G283" s="2"/>
      <c r="H283" s="11">
        <f>IFERROR(H265+H266+H267+H268+H269+H270+H271+H272+H273+H274+H275+H276+H277+H278+H279+H280+H281+H282, "NA")</f>
        <v>-11496.01</v>
      </c>
      <c r="I283" s="12">
        <f>IFERROR(H283/H327, "NA")</f>
        <v>-3.3983586143187069E-2</v>
      </c>
      <c r="J283" s="2"/>
      <c r="K283" s="11">
        <f>IFERROR(K265+K266+K267+K268+K269+K270+K271+K272+K273+K274+K275+K276+K277+K278+K279+K280+K281+K282, "NA")</f>
        <v>-11184.220000000001</v>
      </c>
      <c r="L283" s="12">
        <f>IFERROR(K283/K327, "NA")</f>
        <v>-4.7989408211356575E-2</v>
      </c>
      <c r="M283" s="2"/>
      <c r="N283" s="11">
        <f>IFERROR(N265+N266+N267+N268+N269+N270+N271+N272+N273+N274+N275+N276+N277+N278+N279+N280+N281+N282, "NA")</f>
        <v>-8147.2599999999993</v>
      </c>
      <c r="O283" s="12">
        <f>IFERROR(N283/N327, "NA")</f>
        <v>-2.1953599434694666E-2</v>
      </c>
      <c r="P283" s="2"/>
      <c r="Q283" s="11">
        <f>IFERROR(Q265+Q266+Q267+Q268+Q269+Q270+Q271+Q272+Q273+Q274+Q275+Q276+Q277+Q278+Q279+Q280+Q281+Q282, "NA")</f>
        <v>-13956.29</v>
      </c>
      <c r="R283" s="12">
        <f>IFERROR(Q283/Q327, "NA")</f>
        <v>-8.015052318436075E-2</v>
      </c>
      <c r="S283" s="2"/>
      <c r="T283" s="11">
        <f>IFERROR(T265+T266+T267+T268+T269+T270+T271+T272+T273+T274+T275+T276+T277+T278+T279+T280+T281+T282, "NA")</f>
        <v>-10938.59</v>
      </c>
      <c r="U283" s="12">
        <f>IFERROR(T283/T327, "NA")</f>
        <v>-6.1863729551656373E-2</v>
      </c>
      <c r="V283" s="2"/>
      <c r="W283" s="11">
        <f>IFERROR(W265+W266+W267+W268+W269+W270+W271+W272+W273+W274+W275+W276+W277+W278+W279+W280+W281+W282, "NA")</f>
        <v>-8716.43</v>
      </c>
      <c r="X283" s="12">
        <f>IFERROR(W283/W327, "NA")</f>
        <v>-5.1603379274415079E-2</v>
      </c>
    </row>
    <row r="284" spans="1:24" ht="16.5" customHeight="1" x14ac:dyDescent="0.25">
      <c r="A284" s="14" t="s">
        <v>290</v>
      </c>
      <c r="B284" s="11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  <v>128362.56999999996</v>
      </c>
      <c r="C284" s="12">
        <f>IFERROR(B284/B327, "NA")</f>
        <v>0.32203930291076194</v>
      </c>
      <c r="D284" s="2"/>
      <c r="E284" s="11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  <v>59401.969999999987</v>
      </c>
      <c r="F284" s="12">
        <f>IFERROR(E284/E327, "NA")</f>
        <v>0.28836882061646346</v>
      </c>
      <c r="G284" s="2"/>
      <c r="H284" s="11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  <v>-1265.3600000000006</v>
      </c>
      <c r="I284" s="12">
        <f>IFERROR(H284/H327, "NA")</f>
        <v>-3.7405561200923804E-3</v>
      </c>
      <c r="J284" s="2"/>
      <c r="K284" s="11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-2948.6400000000012</v>
      </c>
      <c r="L284" s="12">
        <f>IFERROR(K284/K327, "NA")</f>
        <v>-1.2652065913254077E-2</v>
      </c>
      <c r="M284" s="2"/>
      <c r="N284" s="11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119831.03999999999</v>
      </c>
      <c r="O284" s="12">
        <f>IFERROR(N284/N327, "NA")</f>
        <v>0.32289661211289122</v>
      </c>
      <c r="P284" s="2"/>
      <c r="Q284" s="11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24798.35</v>
      </c>
      <c r="R284" s="12">
        <f>IFERROR(Q284/Q327, "NA")</f>
        <v>0.14241612395621561</v>
      </c>
      <c r="S284" s="2"/>
      <c r="T284" s="11">
        <f>IFERROR(T214+T215+T216+T217+T218+T219+T220+T221+T222+T223+T224+T225+T226+T227+T228+T229+T230+T231+T232+T233+T234+T235+T236+T237+T238+T239+T240+T243+T244+T245+T246+T247+T248+T249+T250+T251+T254+T255+T256+T257+T258+T259+T260+T261+T262+T265+T266+T267+T268+T269+T270+T271+T272+T273+T274+T275+T276+T277+T278+T279+T280+T281+T282, "NA")</f>
        <v>39032.320000000007</v>
      </c>
      <c r="U284" s="12">
        <f>IFERROR(T284/T327, "NA")</f>
        <v>0.22074919054957801</v>
      </c>
      <c r="V284" s="2"/>
      <c r="W284" s="11">
        <f>IFERROR(W214+W215+W216+W217+W218+W219+W220+W221+W222+W223+W224+W225+W226+W227+W228+W229+W230+W231+W232+W233+W234+W235+W236+W237+W238+W239+W240+W243+W244+W245+W246+W247+W248+W249+W250+W251+W254+W255+W256+W257+W258+W259+W260+W261+W262+W265+W266+W267+W268+W269+W270+W271+W272+W273+W274+W275+W276+W277+W278+W279+W280+W281+W282, "NA")</f>
        <v>-1047.2700000000013</v>
      </c>
      <c r="X284" s="12">
        <f>IFERROR(W284/W327, "NA")</f>
        <v>-6.2000923557829005E-3</v>
      </c>
    </row>
    <row r="285" spans="1:24" ht="16.5" customHeight="1" x14ac:dyDescent="0.25">
      <c r="A285" s="1" t="s">
        <v>291</v>
      </c>
      <c r="B285" s="2"/>
      <c r="C285" s="3"/>
      <c r="D285" s="4"/>
      <c r="E285" s="2"/>
      <c r="F285" s="3"/>
      <c r="G285" s="4"/>
      <c r="H285" s="2"/>
      <c r="I285" s="3"/>
      <c r="J285" s="4"/>
      <c r="K285" s="2"/>
      <c r="L285" s="3"/>
      <c r="M285" s="4"/>
      <c r="N285" s="2"/>
      <c r="O285" s="3"/>
      <c r="P285" s="4"/>
      <c r="Q285" s="2"/>
      <c r="R285" s="3"/>
      <c r="S285" s="4"/>
      <c r="T285" s="2"/>
      <c r="U285" s="3"/>
      <c r="V285" s="4"/>
      <c r="W285" s="2"/>
      <c r="X285" s="3"/>
    </row>
    <row r="286" spans="1:24" ht="16.5" customHeight="1" x14ac:dyDescent="0.25">
      <c r="A286" s="5" t="s">
        <v>292</v>
      </c>
      <c r="B286" s="2"/>
      <c r="C286" s="3"/>
      <c r="D286" s="4"/>
      <c r="E286" s="2"/>
      <c r="F286" s="3"/>
      <c r="G286" s="4"/>
      <c r="H286" s="2"/>
      <c r="I286" s="3"/>
      <c r="J286" s="4"/>
      <c r="K286" s="2"/>
      <c r="L286" s="3"/>
      <c r="M286" s="4"/>
      <c r="N286" s="2"/>
      <c r="O286" s="3"/>
      <c r="P286" s="4"/>
      <c r="Q286" s="2"/>
      <c r="R286" s="3"/>
      <c r="S286" s="4"/>
      <c r="T286" s="2"/>
      <c r="U286" s="3"/>
      <c r="V286" s="4"/>
      <c r="W286" s="2"/>
      <c r="X286" s="3"/>
    </row>
    <row r="287" spans="1:24" ht="16.5" customHeight="1" x14ac:dyDescent="0.25">
      <c r="A287" s="6" t="s">
        <v>293</v>
      </c>
      <c r="B287" s="7">
        <v>0</v>
      </c>
      <c r="C287" s="8">
        <f>IFERROR(B287/B327, "NA")</f>
        <v>0</v>
      </c>
      <c r="D287" s="9"/>
      <c r="E287" s="7">
        <v>0</v>
      </c>
      <c r="F287" s="8">
        <f>IFERROR(E287/E327, "NA")</f>
        <v>0</v>
      </c>
      <c r="G287" s="9"/>
      <c r="H287" s="7">
        <v>0</v>
      </c>
      <c r="I287" s="8">
        <f>IFERROR(H287/H327, "NA")</f>
        <v>0</v>
      </c>
      <c r="J287" s="9"/>
      <c r="K287" s="7">
        <v>0</v>
      </c>
      <c r="L287" s="8">
        <f>IFERROR(K287/K327, "NA")</f>
        <v>0</v>
      </c>
      <c r="M287" s="9"/>
      <c r="N287" s="7">
        <v>0</v>
      </c>
      <c r="O287" s="8">
        <f>IFERROR(N287/N327, "NA")</f>
        <v>0</v>
      </c>
      <c r="P287" s="9"/>
      <c r="Q287" s="7">
        <v>0</v>
      </c>
      <c r="R287" s="8">
        <f>IFERROR(Q287/Q327, "NA")</f>
        <v>0</v>
      </c>
      <c r="S287" s="9"/>
      <c r="T287" s="7">
        <v>0</v>
      </c>
      <c r="U287" s="8">
        <f>IFERROR(T287/T327, "NA")</f>
        <v>0</v>
      </c>
      <c r="V287" s="9"/>
      <c r="W287" s="7">
        <v>0</v>
      </c>
      <c r="X287" s="8">
        <f>IFERROR(W287/W327, "NA")</f>
        <v>0</v>
      </c>
    </row>
    <row r="288" spans="1:24" ht="16.5" customHeight="1" x14ac:dyDescent="0.25">
      <c r="A288" s="6" t="s">
        <v>294</v>
      </c>
      <c r="B288" s="7">
        <v>0</v>
      </c>
      <c r="C288" s="8">
        <f>IFERROR(B288/B327, "NA")</f>
        <v>0</v>
      </c>
      <c r="D288" s="9"/>
      <c r="E288" s="7">
        <v>0</v>
      </c>
      <c r="F288" s="8">
        <f>IFERROR(E288/E327, "NA")</f>
        <v>0</v>
      </c>
      <c r="G288" s="9"/>
      <c r="H288" s="7">
        <v>0</v>
      </c>
      <c r="I288" s="8">
        <f>IFERROR(H288/H327, "NA")</f>
        <v>0</v>
      </c>
      <c r="J288" s="9"/>
      <c r="K288" s="7">
        <v>0</v>
      </c>
      <c r="L288" s="8">
        <f>IFERROR(K288/K327, "NA")</f>
        <v>0</v>
      </c>
      <c r="M288" s="9"/>
      <c r="N288" s="7">
        <v>0</v>
      </c>
      <c r="O288" s="8">
        <f>IFERROR(N288/N327, "NA")</f>
        <v>0</v>
      </c>
      <c r="P288" s="9"/>
      <c r="Q288" s="7">
        <v>0</v>
      </c>
      <c r="R288" s="8">
        <f>IFERROR(Q288/Q327, "NA")</f>
        <v>0</v>
      </c>
      <c r="S288" s="9"/>
      <c r="T288" s="7">
        <v>0</v>
      </c>
      <c r="U288" s="8">
        <f>IFERROR(T288/T327, "NA")</f>
        <v>0</v>
      </c>
      <c r="V288" s="9"/>
      <c r="W288" s="7">
        <v>0</v>
      </c>
      <c r="X288" s="8">
        <f>IFERROR(W288/W327, "NA")</f>
        <v>0</v>
      </c>
    </row>
    <row r="289" spans="1:24" ht="16.5" customHeight="1" x14ac:dyDescent="0.25">
      <c r="A289" s="6" t="s">
        <v>295</v>
      </c>
      <c r="B289" s="7">
        <v>0</v>
      </c>
      <c r="C289" s="8">
        <f>IFERROR(B289/B327, "NA")</f>
        <v>0</v>
      </c>
      <c r="D289" s="9"/>
      <c r="E289" s="7">
        <v>1498.22</v>
      </c>
      <c r="F289" s="8">
        <f>IFERROR(E289/E327, "NA")</f>
        <v>7.2731583552531672E-3</v>
      </c>
      <c r="G289" s="9"/>
      <c r="H289" s="7">
        <v>0</v>
      </c>
      <c r="I289" s="8">
        <f>IFERROR(H289/H327, "NA")</f>
        <v>0</v>
      </c>
      <c r="J289" s="9"/>
      <c r="K289" s="7">
        <v>0</v>
      </c>
      <c r="L289" s="8">
        <f>IFERROR(K289/K327, "NA")</f>
        <v>0</v>
      </c>
      <c r="M289" s="9"/>
      <c r="N289" s="7">
        <v>0</v>
      </c>
      <c r="O289" s="8">
        <f>IFERROR(N289/N327, "NA")</f>
        <v>0</v>
      </c>
      <c r="P289" s="9"/>
      <c r="Q289" s="7">
        <v>4500</v>
      </c>
      <c r="R289" s="8">
        <f>IFERROR(Q289/Q327, "NA")</f>
        <v>2.5843354812032666E-2</v>
      </c>
      <c r="S289" s="9"/>
      <c r="T289" s="7">
        <v>0</v>
      </c>
      <c r="U289" s="8">
        <f>IFERROR(T289/T327, "NA")</f>
        <v>0</v>
      </c>
      <c r="V289" s="9"/>
      <c r="W289" s="7">
        <v>0</v>
      </c>
      <c r="X289" s="8">
        <f>IFERROR(W289/W327, "NA")</f>
        <v>0</v>
      </c>
    </row>
    <row r="290" spans="1:24" ht="16.5" customHeight="1" x14ac:dyDescent="0.25">
      <c r="A290" s="6" t="s">
        <v>296</v>
      </c>
      <c r="B290" s="7">
        <v>20530.759999999998</v>
      </c>
      <c r="C290" s="8">
        <f>IFERROR(B290/B327, "NA")</f>
        <v>5.1508096469462687E-2</v>
      </c>
      <c r="D290" s="9"/>
      <c r="E290" s="7">
        <v>11154.34</v>
      </c>
      <c r="F290" s="8">
        <f>IFERROR(E290/E327, "NA")</f>
        <v>5.4149111057344462E-2</v>
      </c>
      <c r="G290" s="9"/>
      <c r="H290" s="7">
        <v>17377.04</v>
      </c>
      <c r="I290" s="8">
        <f>IFERROR(H290/H327, "NA")</f>
        <v>5.1368617090069284E-2</v>
      </c>
      <c r="J290" s="9"/>
      <c r="K290" s="7">
        <v>12271.2</v>
      </c>
      <c r="L290" s="8">
        <f>IFERROR(K290/K327, "NA")</f>
        <v>5.2653437257421512E-2</v>
      </c>
      <c r="M290" s="9"/>
      <c r="N290" s="7">
        <v>19218.23</v>
      </c>
      <c r="O290" s="8">
        <f>IFERROR(N290/N327, "NA")</f>
        <v>5.1785425193725511E-2</v>
      </c>
      <c r="P290" s="9"/>
      <c r="Q290" s="7">
        <v>9320</v>
      </c>
      <c r="R290" s="8">
        <f>IFERROR(Q290/Q327, "NA")</f>
        <v>5.3524459299587657E-2</v>
      </c>
      <c r="S290" s="9"/>
      <c r="T290" s="7">
        <v>9377.2800000000007</v>
      </c>
      <c r="U290" s="8">
        <f>IFERROR(T290/T327, "NA")</f>
        <v>5.303366465423389E-2</v>
      </c>
      <c r="V290" s="9"/>
      <c r="W290" s="7">
        <v>8925.35</v>
      </c>
      <c r="X290" s="8">
        <f>IFERROR(W290/W327, "NA")</f>
        <v>5.2840236336080329E-2</v>
      </c>
    </row>
    <row r="291" spans="1:24" ht="16.5" customHeight="1" x14ac:dyDescent="0.25">
      <c r="A291" s="6" t="s">
        <v>297</v>
      </c>
      <c r="B291" s="7">
        <v>0</v>
      </c>
      <c r="C291" s="8">
        <f>IFERROR(B291/B327, "NA")</f>
        <v>0</v>
      </c>
      <c r="D291" s="9"/>
      <c r="E291" s="7">
        <v>0</v>
      </c>
      <c r="F291" s="8">
        <f>IFERROR(E291/E327, "NA")</f>
        <v>0</v>
      </c>
      <c r="G291" s="9"/>
      <c r="H291" s="7">
        <v>0</v>
      </c>
      <c r="I291" s="8">
        <f>IFERROR(H291/H327, "NA")</f>
        <v>0</v>
      </c>
      <c r="J291" s="9"/>
      <c r="K291" s="7">
        <v>0</v>
      </c>
      <c r="L291" s="8">
        <f>IFERROR(K291/K327, "NA")</f>
        <v>0</v>
      </c>
      <c r="M291" s="9"/>
      <c r="N291" s="7">
        <v>0</v>
      </c>
      <c r="O291" s="8">
        <f>IFERROR(N291/N327, "NA")</f>
        <v>0</v>
      </c>
      <c r="P291" s="9"/>
      <c r="Q291" s="7">
        <v>0</v>
      </c>
      <c r="R291" s="8">
        <f>IFERROR(Q291/Q327, "NA")</f>
        <v>0</v>
      </c>
      <c r="S291" s="9"/>
      <c r="T291" s="7">
        <v>0</v>
      </c>
      <c r="U291" s="8">
        <f>IFERROR(T291/T327, "NA")</f>
        <v>0</v>
      </c>
      <c r="V291" s="9"/>
      <c r="W291" s="7">
        <v>0</v>
      </c>
      <c r="X291" s="8">
        <f>IFERROR(W291/W327, "NA")</f>
        <v>0</v>
      </c>
    </row>
    <row r="292" spans="1:24" ht="16.5" customHeight="1" x14ac:dyDescent="0.25">
      <c r="A292" s="6" t="s">
        <v>298</v>
      </c>
      <c r="B292" s="7">
        <v>2000</v>
      </c>
      <c r="C292" s="8">
        <f>IFERROR(B292/B327, "NA")</f>
        <v>5.0176512188991242E-3</v>
      </c>
      <c r="D292" s="9"/>
      <c r="E292" s="7">
        <v>-2000</v>
      </c>
      <c r="F292" s="8">
        <f>IFERROR(E292/E327, "NA")</f>
        <v>-9.7090658985371538E-3</v>
      </c>
      <c r="G292" s="9"/>
      <c r="H292" s="7">
        <v>0</v>
      </c>
      <c r="I292" s="8">
        <f>IFERROR(H292/H327, "NA")</f>
        <v>0</v>
      </c>
      <c r="J292" s="9"/>
      <c r="K292" s="7">
        <v>0</v>
      </c>
      <c r="L292" s="8">
        <f>IFERROR(K292/K327, "NA")</f>
        <v>0</v>
      </c>
      <c r="M292" s="9"/>
      <c r="N292" s="7">
        <v>0</v>
      </c>
      <c r="O292" s="8">
        <f>IFERROR(N292/N327, "NA")</f>
        <v>0</v>
      </c>
      <c r="P292" s="9"/>
      <c r="Q292" s="7">
        <v>0</v>
      </c>
      <c r="R292" s="8">
        <f>IFERROR(Q292/Q327, "NA")</f>
        <v>0</v>
      </c>
      <c r="S292" s="9"/>
      <c r="T292" s="7">
        <v>0</v>
      </c>
      <c r="U292" s="8">
        <f>IFERROR(T292/T327, "NA")</f>
        <v>0</v>
      </c>
      <c r="V292" s="9"/>
      <c r="W292" s="7">
        <v>0</v>
      </c>
      <c r="X292" s="8">
        <f>IFERROR(W292/W327, "NA")</f>
        <v>0</v>
      </c>
    </row>
    <row r="293" spans="1:24" ht="16.5" customHeight="1" x14ac:dyDescent="0.25">
      <c r="A293" s="6" t="s">
        <v>299</v>
      </c>
      <c r="B293" s="7">
        <v>0</v>
      </c>
      <c r="C293" s="8">
        <f>IFERROR(B293/B327, "NA")</f>
        <v>0</v>
      </c>
      <c r="D293" s="9"/>
      <c r="E293" s="7">
        <v>0</v>
      </c>
      <c r="F293" s="8">
        <f>IFERROR(E293/E327, "NA")</f>
        <v>0</v>
      </c>
      <c r="G293" s="9"/>
      <c r="H293" s="7">
        <v>0</v>
      </c>
      <c r="I293" s="8">
        <f>IFERROR(H293/H327, "NA")</f>
        <v>0</v>
      </c>
      <c r="J293" s="9"/>
      <c r="K293" s="7">
        <v>0</v>
      </c>
      <c r="L293" s="8">
        <f>IFERROR(K293/K327, "NA")</f>
        <v>0</v>
      </c>
      <c r="M293" s="9"/>
      <c r="N293" s="7">
        <v>0</v>
      </c>
      <c r="O293" s="8">
        <f>IFERROR(N293/N327, "NA")</f>
        <v>0</v>
      </c>
      <c r="P293" s="9"/>
      <c r="Q293" s="7">
        <v>0</v>
      </c>
      <c r="R293" s="8">
        <f>IFERROR(Q293/Q327, "NA")</f>
        <v>0</v>
      </c>
      <c r="S293" s="9"/>
      <c r="T293" s="7">
        <v>0</v>
      </c>
      <c r="U293" s="8">
        <f>IFERROR(T293/T327, "NA")</f>
        <v>0</v>
      </c>
      <c r="V293" s="9"/>
      <c r="W293" s="7">
        <v>0</v>
      </c>
      <c r="X293" s="8">
        <f>IFERROR(W293/W327, "NA")</f>
        <v>0</v>
      </c>
    </row>
    <row r="294" spans="1:24" ht="16.5" customHeight="1" x14ac:dyDescent="0.25">
      <c r="A294" s="6" t="s">
        <v>300</v>
      </c>
      <c r="B294" s="7">
        <v>588</v>
      </c>
      <c r="C294" s="8">
        <f>IFERROR(B294/B327, "NA")</f>
        <v>1.4751894583563425E-3</v>
      </c>
      <c r="D294" s="9"/>
      <c r="E294" s="7">
        <v>770.53</v>
      </c>
      <c r="F294" s="8">
        <f>IFERROR(E294/E327, "NA")</f>
        <v>3.7405632733999166E-3</v>
      </c>
      <c r="G294" s="9"/>
      <c r="H294" s="7">
        <v>0</v>
      </c>
      <c r="I294" s="8">
        <f>IFERROR(H294/H327, "NA")</f>
        <v>0</v>
      </c>
      <c r="J294" s="9"/>
      <c r="K294" s="7">
        <v>0</v>
      </c>
      <c r="L294" s="8">
        <f>IFERROR(K294/K327, "NA")</f>
        <v>0</v>
      </c>
      <c r="M294" s="9"/>
      <c r="N294" s="7">
        <v>700.77</v>
      </c>
      <c r="O294" s="8">
        <f>IFERROR(N294/N327, "NA")</f>
        <v>1.8882942088322924E-3</v>
      </c>
      <c r="P294" s="9"/>
      <c r="Q294" s="7">
        <v>1689.4</v>
      </c>
      <c r="R294" s="8">
        <f>IFERROR(Q294/Q327, "NA")</f>
        <v>9.7021696932106643E-3</v>
      </c>
      <c r="S294" s="9"/>
      <c r="T294" s="7">
        <v>0</v>
      </c>
      <c r="U294" s="8">
        <f>IFERROR(T294/T327, "NA")</f>
        <v>0</v>
      </c>
      <c r="V294" s="9"/>
      <c r="W294" s="7">
        <v>0</v>
      </c>
      <c r="X294" s="8">
        <f>IFERROR(W294/W327, "NA")</f>
        <v>0</v>
      </c>
    </row>
    <row r="295" spans="1:24" ht="16.5" customHeight="1" x14ac:dyDescent="0.25">
      <c r="A295" s="6" t="s">
        <v>301</v>
      </c>
      <c r="B295" s="7">
        <v>0</v>
      </c>
      <c r="C295" s="8">
        <f>IFERROR(B295/B327, "NA")</f>
        <v>0</v>
      </c>
      <c r="D295" s="9"/>
      <c r="E295" s="7">
        <v>0</v>
      </c>
      <c r="F295" s="8">
        <f>IFERROR(E295/E327, "NA")</f>
        <v>0</v>
      </c>
      <c r="G295" s="9"/>
      <c r="H295" s="7">
        <v>0</v>
      </c>
      <c r="I295" s="8">
        <f>IFERROR(H295/H327, "NA")</f>
        <v>0</v>
      </c>
      <c r="J295" s="9"/>
      <c r="K295" s="7">
        <v>0</v>
      </c>
      <c r="L295" s="8">
        <f>IFERROR(K295/K327, "NA")</f>
        <v>0</v>
      </c>
      <c r="M295" s="9"/>
      <c r="N295" s="7">
        <v>0</v>
      </c>
      <c r="O295" s="8">
        <f>IFERROR(N295/N327, "NA")</f>
        <v>0</v>
      </c>
      <c r="P295" s="9"/>
      <c r="Q295" s="7">
        <v>0</v>
      </c>
      <c r="R295" s="8">
        <f>IFERROR(Q295/Q327, "NA")</f>
        <v>0</v>
      </c>
      <c r="S295" s="9"/>
      <c r="T295" s="7">
        <v>0</v>
      </c>
      <c r="U295" s="8">
        <f>IFERROR(T295/T327, "NA")</f>
        <v>0</v>
      </c>
      <c r="V295" s="9"/>
      <c r="W295" s="7">
        <v>0</v>
      </c>
      <c r="X295" s="8">
        <f>IFERROR(W295/W327, "NA")</f>
        <v>0</v>
      </c>
    </row>
    <row r="296" spans="1:24" ht="16.5" customHeight="1" x14ac:dyDescent="0.25">
      <c r="A296" s="6" t="s">
        <v>302</v>
      </c>
      <c r="B296" s="7">
        <v>0</v>
      </c>
      <c r="C296" s="8">
        <f>IFERROR(B296/B327, "NA")</f>
        <v>0</v>
      </c>
      <c r="D296" s="9"/>
      <c r="E296" s="7">
        <v>0</v>
      </c>
      <c r="F296" s="8">
        <f>IFERROR(E296/E327, "NA")</f>
        <v>0</v>
      </c>
      <c r="G296" s="9"/>
      <c r="H296" s="7">
        <v>0</v>
      </c>
      <c r="I296" s="8">
        <f>IFERROR(H296/H327, "NA")</f>
        <v>0</v>
      </c>
      <c r="J296" s="9"/>
      <c r="K296" s="7">
        <v>0</v>
      </c>
      <c r="L296" s="8">
        <f>IFERROR(K296/K327, "NA")</f>
        <v>0</v>
      </c>
      <c r="M296" s="9"/>
      <c r="N296" s="7">
        <v>0</v>
      </c>
      <c r="O296" s="8">
        <f>IFERROR(N296/N327, "NA")</f>
        <v>0</v>
      </c>
      <c r="P296" s="9"/>
      <c r="Q296" s="7">
        <v>0</v>
      </c>
      <c r="R296" s="8">
        <f>IFERROR(Q296/Q327, "NA")</f>
        <v>0</v>
      </c>
      <c r="S296" s="9"/>
      <c r="T296" s="7">
        <v>0</v>
      </c>
      <c r="U296" s="8">
        <f>IFERROR(T296/T327, "NA")</f>
        <v>0</v>
      </c>
      <c r="V296" s="9"/>
      <c r="W296" s="7">
        <v>0</v>
      </c>
      <c r="X296" s="8">
        <f>IFERROR(W296/W327, "NA")</f>
        <v>0</v>
      </c>
    </row>
    <row r="297" spans="1:24" ht="16.5" customHeight="1" x14ac:dyDescent="0.25">
      <c r="A297" s="6" t="s">
        <v>303</v>
      </c>
      <c r="B297" s="7">
        <v>0</v>
      </c>
      <c r="C297" s="8">
        <f>IFERROR(B297/B327, "NA")</f>
        <v>0</v>
      </c>
      <c r="D297" s="9"/>
      <c r="E297" s="7">
        <v>0</v>
      </c>
      <c r="F297" s="8">
        <f>IFERROR(E297/E327, "NA")</f>
        <v>0</v>
      </c>
      <c r="G297" s="9"/>
      <c r="H297" s="7">
        <v>0</v>
      </c>
      <c r="I297" s="8">
        <f>IFERROR(H297/H327, "NA")</f>
        <v>0</v>
      </c>
      <c r="J297" s="9"/>
      <c r="K297" s="7">
        <v>0</v>
      </c>
      <c r="L297" s="8">
        <f>IFERROR(K297/K327, "NA")</f>
        <v>0</v>
      </c>
      <c r="M297" s="9"/>
      <c r="N297" s="7">
        <v>0</v>
      </c>
      <c r="O297" s="8">
        <f>IFERROR(N297/N327, "NA")</f>
        <v>0</v>
      </c>
      <c r="P297" s="9"/>
      <c r="Q297" s="7">
        <v>0</v>
      </c>
      <c r="R297" s="8">
        <f>IFERROR(Q297/Q327, "NA")</f>
        <v>0</v>
      </c>
      <c r="S297" s="9"/>
      <c r="T297" s="7">
        <v>0</v>
      </c>
      <c r="U297" s="8">
        <f>IFERROR(T297/T327, "NA")</f>
        <v>0</v>
      </c>
      <c r="V297" s="9"/>
      <c r="W297" s="7">
        <v>0</v>
      </c>
      <c r="X297" s="8">
        <f>IFERROR(W297/W327, "NA")</f>
        <v>0</v>
      </c>
    </row>
    <row r="298" spans="1:24" ht="16.5" customHeight="1" x14ac:dyDescent="0.25">
      <c r="A298" s="6" t="s">
        <v>304</v>
      </c>
      <c r="B298" s="7">
        <v>0</v>
      </c>
      <c r="C298" s="8">
        <f>IFERROR(B298/B327, "NA")</f>
        <v>0</v>
      </c>
      <c r="D298" s="9"/>
      <c r="E298" s="7">
        <v>0</v>
      </c>
      <c r="F298" s="8">
        <f>IFERROR(E298/E327, "NA")</f>
        <v>0</v>
      </c>
      <c r="G298" s="9"/>
      <c r="H298" s="7">
        <v>0</v>
      </c>
      <c r="I298" s="8">
        <f>IFERROR(H298/H327, "NA")</f>
        <v>0</v>
      </c>
      <c r="J298" s="9"/>
      <c r="K298" s="7">
        <v>0</v>
      </c>
      <c r="L298" s="8">
        <f>IFERROR(K298/K327, "NA")</f>
        <v>0</v>
      </c>
      <c r="M298" s="9"/>
      <c r="N298" s="7">
        <v>0</v>
      </c>
      <c r="O298" s="8">
        <f>IFERROR(N298/N327, "NA")</f>
        <v>0</v>
      </c>
      <c r="P298" s="9"/>
      <c r="Q298" s="7">
        <v>0</v>
      </c>
      <c r="R298" s="8">
        <f>IFERROR(Q298/Q327, "NA")</f>
        <v>0</v>
      </c>
      <c r="S298" s="9"/>
      <c r="T298" s="7">
        <v>0</v>
      </c>
      <c r="U298" s="8">
        <f>IFERROR(T298/T327, "NA")</f>
        <v>0</v>
      </c>
      <c r="V298" s="9"/>
      <c r="W298" s="7">
        <v>0</v>
      </c>
      <c r="X298" s="8">
        <f>IFERROR(W298/W327, "NA")</f>
        <v>0</v>
      </c>
    </row>
    <row r="299" spans="1:24" ht="16.5" customHeight="1" x14ac:dyDescent="0.25">
      <c r="A299" s="6" t="s">
        <v>305</v>
      </c>
      <c r="B299" s="7">
        <v>0</v>
      </c>
      <c r="C299" s="8">
        <f>IFERROR(B299/B327, "NA")</f>
        <v>0</v>
      </c>
      <c r="D299" s="9"/>
      <c r="E299" s="7">
        <v>0</v>
      </c>
      <c r="F299" s="8">
        <f>IFERROR(E299/E327, "NA")</f>
        <v>0</v>
      </c>
      <c r="G299" s="9"/>
      <c r="H299" s="7">
        <v>0</v>
      </c>
      <c r="I299" s="8">
        <f>IFERROR(H299/H327, "NA")</f>
        <v>0</v>
      </c>
      <c r="J299" s="9"/>
      <c r="K299" s="7">
        <v>0</v>
      </c>
      <c r="L299" s="8">
        <f>IFERROR(K299/K327, "NA")</f>
        <v>0</v>
      </c>
      <c r="M299" s="9"/>
      <c r="N299" s="7">
        <v>0</v>
      </c>
      <c r="O299" s="8">
        <f>IFERROR(N299/N327, "NA")</f>
        <v>0</v>
      </c>
      <c r="P299" s="9"/>
      <c r="Q299" s="7">
        <v>0</v>
      </c>
      <c r="R299" s="8">
        <f>IFERROR(Q299/Q327, "NA")</f>
        <v>0</v>
      </c>
      <c r="S299" s="9"/>
      <c r="T299" s="7">
        <v>0</v>
      </c>
      <c r="U299" s="8">
        <f>IFERROR(T299/T327, "NA")</f>
        <v>0</v>
      </c>
      <c r="V299" s="9"/>
      <c r="W299" s="7">
        <v>0</v>
      </c>
      <c r="X299" s="8">
        <f>IFERROR(W299/W327, "NA")</f>
        <v>0</v>
      </c>
    </row>
    <row r="300" spans="1:24" ht="16.5" customHeight="1" x14ac:dyDescent="0.25">
      <c r="A300" s="6" t="s">
        <v>306</v>
      </c>
      <c r="B300" s="7">
        <v>0</v>
      </c>
      <c r="C300" s="8">
        <f>IFERROR(B300/B327, "NA")</f>
        <v>0</v>
      </c>
      <c r="D300" s="9"/>
      <c r="E300" s="7">
        <v>0</v>
      </c>
      <c r="F300" s="8">
        <f>IFERROR(E300/E327, "NA")</f>
        <v>0</v>
      </c>
      <c r="G300" s="9"/>
      <c r="H300" s="7">
        <v>0</v>
      </c>
      <c r="I300" s="8">
        <f>IFERROR(H300/H327, "NA")</f>
        <v>0</v>
      </c>
      <c r="J300" s="9"/>
      <c r="K300" s="7">
        <v>0</v>
      </c>
      <c r="L300" s="8">
        <f>IFERROR(K300/K327, "NA")</f>
        <v>0</v>
      </c>
      <c r="M300" s="9"/>
      <c r="N300" s="7">
        <v>0</v>
      </c>
      <c r="O300" s="8">
        <f>IFERROR(N300/N327, "NA")</f>
        <v>0</v>
      </c>
      <c r="P300" s="9"/>
      <c r="Q300" s="7">
        <v>0</v>
      </c>
      <c r="R300" s="8">
        <f>IFERROR(Q300/Q327, "NA")</f>
        <v>0</v>
      </c>
      <c r="S300" s="9"/>
      <c r="T300" s="7">
        <v>0</v>
      </c>
      <c r="U300" s="8">
        <f>IFERROR(T300/T327, "NA")</f>
        <v>0</v>
      </c>
      <c r="V300" s="9"/>
      <c r="W300" s="7">
        <v>0</v>
      </c>
      <c r="X300" s="8">
        <f>IFERROR(W300/W327, "NA")</f>
        <v>0</v>
      </c>
    </row>
    <row r="301" spans="1:24" ht="16.5" customHeight="1" x14ac:dyDescent="0.25">
      <c r="A301" s="6" t="s">
        <v>307</v>
      </c>
      <c r="B301" s="7">
        <v>0</v>
      </c>
      <c r="C301" s="8">
        <f>IFERROR(B301/B327, "NA")</f>
        <v>0</v>
      </c>
      <c r="D301" s="9"/>
      <c r="E301" s="7">
        <v>0</v>
      </c>
      <c r="F301" s="8">
        <f>IFERROR(E301/E327, "NA")</f>
        <v>0</v>
      </c>
      <c r="G301" s="9"/>
      <c r="H301" s="7">
        <v>0</v>
      </c>
      <c r="I301" s="8">
        <f>IFERROR(H301/H327, "NA")</f>
        <v>0</v>
      </c>
      <c r="J301" s="9"/>
      <c r="K301" s="7">
        <v>0</v>
      </c>
      <c r="L301" s="8">
        <f>IFERROR(K301/K327, "NA")</f>
        <v>0</v>
      </c>
      <c r="M301" s="9"/>
      <c r="N301" s="7">
        <v>0</v>
      </c>
      <c r="O301" s="8">
        <f>IFERROR(N301/N327, "NA")</f>
        <v>0</v>
      </c>
      <c r="P301" s="9"/>
      <c r="Q301" s="7">
        <v>0</v>
      </c>
      <c r="R301" s="8">
        <f>IFERROR(Q301/Q327, "NA")</f>
        <v>0</v>
      </c>
      <c r="S301" s="9"/>
      <c r="T301" s="7">
        <v>0</v>
      </c>
      <c r="U301" s="8">
        <f>IFERROR(T301/T327, "NA")</f>
        <v>0</v>
      </c>
      <c r="V301" s="9"/>
      <c r="W301" s="7">
        <v>0</v>
      </c>
      <c r="X301" s="8">
        <f>IFERROR(W301/W327, "NA")</f>
        <v>0</v>
      </c>
    </row>
    <row r="302" spans="1:24" ht="16.5" customHeight="1" x14ac:dyDescent="0.25">
      <c r="A302" s="6" t="s">
        <v>308</v>
      </c>
      <c r="B302" s="7">
        <v>0</v>
      </c>
      <c r="C302" s="8">
        <f>IFERROR(B302/B327, "NA")</f>
        <v>0</v>
      </c>
      <c r="D302" s="9"/>
      <c r="E302" s="7">
        <v>0</v>
      </c>
      <c r="F302" s="8">
        <f>IFERROR(E302/E327, "NA")</f>
        <v>0</v>
      </c>
      <c r="G302" s="9"/>
      <c r="H302" s="7">
        <v>0</v>
      </c>
      <c r="I302" s="8">
        <f>IFERROR(H302/H327, "NA")</f>
        <v>0</v>
      </c>
      <c r="J302" s="9"/>
      <c r="K302" s="7">
        <v>0</v>
      </c>
      <c r="L302" s="8">
        <f>IFERROR(K302/K327, "NA")</f>
        <v>0</v>
      </c>
      <c r="M302" s="9"/>
      <c r="N302" s="7">
        <v>0</v>
      </c>
      <c r="O302" s="8">
        <f>IFERROR(N302/N327, "NA")</f>
        <v>0</v>
      </c>
      <c r="P302" s="9"/>
      <c r="Q302" s="7">
        <v>0</v>
      </c>
      <c r="R302" s="8">
        <f>IFERROR(Q302/Q327, "NA")</f>
        <v>0</v>
      </c>
      <c r="S302" s="9"/>
      <c r="T302" s="7">
        <v>0</v>
      </c>
      <c r="U302" s="8">
        <f>IFERROR(T302/T327, "NA")</f>
        <v>0</v>
      </c>
      <c r="V302" s="9"/>
      <c r="W302" s="7">
        <v>0</v>
      </c>
      <c r="X302" s="8">
        <f>IFERROR(W302/W327, "NA")</f>
        <v>0</v>
      </c>
    </row>
    <row r="303" spans="1:24" ht="16.5" customHeight="1" x14ac:dyDescent="0.25">
      <c r="A303" s="6" t="s">
        <v>309</v>
      </c>
      <c r="B303" s="7">
        <v>0</v>
      </c>
      <c r="C303" s="8">
        <f>IFERROR(B303/B327, "NA")</f>
        <v>0</v>
      </c>
      <c r="D303" s="9"/>
      <c r="E303" s="7">
        <v>0</v>
      </c>
      <c r="F303" s="8">
        <f>IFERROR(E303/E327, "NA")</f>
        <v>0</v>
      </c>
      <c r="G303" s="9"/>
      <c r="H303" s="7">
        <v>0</v>
      </c>
      <c r="I303" s="8">
        <f>IFERROR(H303/H327, "NA")</f>
        <v>0</v>
      </c>
      <c r="J303" s="9"/>
      <c r="K303" s="7">
        <v>0</v>
      </c>
      <c r="L303" s="8">
        <f>IFERROR(K303/K327, "NA")</f>
        <v>0</v>
      </c>
      <c r="M303" s="9"/>
      <c r="N303" s="7">
        <v>0</v>
      </c>
      <c r="O303" s="8">
        <f>IFERROR(N303/N327, "NA")</f>
        <v>0</v>
      </c>
      <c r="P303" s="9"/>
      <c r="Q303" s="7">
        <v>0</v>
      </c>
      <c r="R303" s="8">
        <f>IFERROR(Q303/Q327, "NA")</f>
        <v>0</v>
      </c>
      <c r="S303" s="9"/>
      <c r="T303" s="7">
        <v>0</v>
      </c>
      <c r="U303" s="8">
        <f>IFERROR(T303/T327, "NA")</f>
        <v>0</v>
      </c>
      <c r="V303" s="9"/>
      <c r="W303" s="7">
        <v>0</v>
      </c>
      <c r="X303" s="8">
        <f>IFERROR(W303/W327, "NA")</f>
        <v>0</v>
      </c>
    </row>
    <row r="304" spans="1:24" ht="16.5" customHeight="1" x14ac:dyDescent="0.25">
      <c r="A304" s="6" t="s">
        <v>310</v>
      </c>
      <c r="B304" s="7">
        <v>0</v>
      </c>
      <c r="C304" s="8">
        <f>IFERROR(B304/B327, "NA")</f>
        <v>0</v>
      </c>
      <c r="D304" s="9"/>
      <c r="E304" s="7">
        <v>0</v>
      </c>
      <c r="F304" s="8">
        <f>IFERROR(E304/E327, "NA")</f>
        <v>0</v>
      </c>
      <c r="G304" s="9"/>
      <c r="H304" s="7">
        <v>0</v>
      </c>
      <c r="I304" s="8">
        <f>IFERROR(H304/H327, "NA")</f>
        <v>0</v>
      </c>
      <c r="J304" s="9"/>
      <c r="K304" s="7">
        <v>0</v>
      </c>
      <c r="L304" s="8">
        <f>IFERROR(K304/K327, "NA")</f>
        <v>0</v>
      </c>
      <c r="M304" s="9"/>
      <c r="N304" s="7">
        <v>0</v>
      </c>
      <c r="O304" s="8">
        <f>IFERROR(N304/N327, "NA")</f>
        <v>0</v>
      </c>
      <c r="P304" s="9"/>
      <c r="Q304" s="7">
        <v>0</v>
      </c>
      <c r="R304" s="8">
        <f>IFERROR(Q304/Q327, "NA")</f>
        <v>0</v>
      </c>
      <c r="S304" s="9"/>
      <c r="T304" s="7">
        <v>0</v>
      </c>
      <c r="U304" s="8">
        <f>IFERROR(T304/T327, "NA")</f>
        <v>0</v>
      </c>
      <c r="V304" s="9"/>
      <c r="W304" s="7">
        <v>0</v>
      </c>
      <c r="X304" s="8">
        <f>IFERROR(W304/W327, "NA")</f>
        <v>0</v>
      </c>
    </row>
    <row r="305" spans="1:24" ht="16.5" customHeight="1" x14ac:dyDescent="0.25">
      <c r="A305" s="6" t="s">
        <v>311</v>
      </c>
      <c r="B305" s="7">
        <v>0</v>
      </c>
      <c r="C305" s="8">
        <f>IFERROR(B305/B327, "NA")</f>
        <v>0</v>
      </c>
      <c r="D305" s="9"/>
      <c r="E305" s="7">
        <v>0</v>
      </c>
      <c r="F305" s="8">
        <f>IFERROR(E305/E327, "NA")</f>
        <v>0</v>
      </c>
      <c r="G305" s="9"/>
      <c r="H305" s="7">
        <v>0</v>
      </c>
      <c r="I305" s="8">
        <f>IFERROR(H305/H327, "NA")</f>
        <v>0</v>
      </c>
      <c r="J305" s="9"/>
      <c r="K305" s="7">
        <v>0</v>
      </c>
      <c r="L305" s="8">
        <f>IFERROR(K305/K327, "NA")</f>
        <v>0</v>
      </c>
      <c r="M305" s="9"/>
      <c r="N305" s="7">
        <v>0</v>
      </c>
      <c r="O305" s="8">
        <f>IFERROR(N305/N327, "NA")</f>
        <v>0</v>
      </c>
      <c r="P305" s="9"/>
      <c r="Q305" s="7">
        <v>0</v>
      </c>
      <c r="R305" s="8">
        <f>IFERROR(Q305/Q327, "NA")</f>
        <v>0</v>
      </c>
      <c r="S305" s="9"/>
      <c r="T305" s="7">
        <v>0</v>
      </c>
      <c r="U305" s="8">
        <f>IFERROR(T305/T327, "NA")</f>
        <v>0</v>
      </c>
      <c r="V305" s="9"/>
      <c r="W305" s="7">
        <v>0</v>
      </c>
      <c r="X305" s="8">
        <f>IFERROR(W305/W327, "NA")</f>
        <v>0</v>
      </c>
    </row>
    <row r="306" spans="1:24" ht="16.5" customHeight="1" x14ac:dyDescent="0.25">
      <c r="A306" s="6" t="s">
        <v>312</v>
      </c>
      <c r="B306" s="7">
        <v>0</v>
      </c>
      <c r="C306" s="8">
        <f>IFERROR(B306/B327, "NA")</f>
        <v>0</v>
      </c>
      <c r="D306" s="9"/>
      <c r="E306" s="7">
        <v>0</v>
      </c>
      <c r="F306" s="8">
        <f>IFERROR(E306/E327, "NA")</f>
        <v>0</v>
      </c>
      <c r="G306" s="9"/>
      <c r="H306" s="7">
        <v>0</v>
      </c>
      <c r="I306" s="8">
        <f>IFERROR(H306/H327, "NA")</f>
        <v>0</v>
      </c>
      <c r="J306" s="9"/>
      <c r="K306" s="7">
        <v>0</v>
      </c>
      <c r="L306" s="8">
        <f>IFERROR(K306/K327, "NA")</f>
        <v>0</v>
      </c>
      <c r="M306" s="9"/>
      <c r="N306" s="7">
        <v>0</v>
      </c>
      <c r="O306" s="8">
        <f>IFERROR(N306/N327, "NA")</f>
        <v>0</v>
      </c>
      <c r="P306" s="9"/>
      <c r="Q306" s="7">
        <v>0</v>
      </c>
      <c r="R306" s="8">
        <f>IFERROR(Q306/Q327, "NA")</f>
        <v>0</v>
      </c>
      <c r="S306" s="9"/>
      <c r="T306" s="7">
        <v>0</v>
      </c>
      <c r="U306" s="8">
        <f>IFERROR(T306/T327, "NA")</f>
        <v>0</v>
      </c>
      <c r="V306" s="9"/>
      <c r="W306" s="7">
        <v>0</v>
      </c>
      <c r="X306" s="8">
        <f>IFERROR(W306/W327, "NA")</f>
        <v>0</v>
      </c>
    </row>
    <row r="307" spans="1:24" ht="16.5" customHeight="1" x14ac:dyDescent="0.25">
      <c r="A307" s="6" t="s">
        <v>313</v>
      </c>
      <c r="B307" s="7">
        <v>0</v>
      </c>
      <c r="C307" s="8">
        <f>IFERROR(B307/B327, "NA")</f>
        <v>0</v>
      </c>
      <c r="D307" s="9"/>
      <c r="E307" s="7">
        <v>0</v>
      </c>
      <c r="F307" s="8">
        <f>IFERROR(E307/E327, "NA")</f>
        <v>0</v>
      </c>
      <c r="G307" s="9"/>
      <c r="H307" s="7">
        <v>0</v>
      </c>
      <c r="I307" s="8">
        <f>IFERROR(H307/H327, "NA")</f>
        <v>0</v>
      </c>
      <c r="J307" s="9"/>
      <c r="K307" s="7">
        <v>0</v>
      </c>
      <c r="L307" s="8">
        <f>IFERROR(K307/K327, "NA")</f>
        <v>0</v>
      </c>
      <c r="M307" s="9"/>
      <c r="N307" s="7">
        <v>0</v>
      </c>
      <c r="O307" s="8">
        <f>IFERROR(N307/N327, "NA")</f>
        <v>0</v>
      </c>
      <c r="P307" s="9"/>
      <c r="Q307" s="7">
        <v>0</v>
      </c>
      <c r="R307" s="8">
        <f>IFERROR(Q307/Q327, "NA")</f>
        <v>0</v>
      </c>
      <c r="S307" s="9"/>
      <c r="T307" s="7">
        <v>0</v>
      </c>
      <c r="U307" s="8">
        <f>IFERROR(T307/T327, "NA")</f>
        <v>0</v>
      </c>
      <c r="V307" s="9"/>
      <c r="W307" s="7">
        <v>0</v>
      </c>
      <c r="X307" s="8">
        <f>IFERROR(W307/W327, "NA")</f>
        <v>0</v>
      </c>
    </row>
    <row r="308" spans="1:24" ht="16.5" customHeight="1" x14ac:dyDescent="0.25">
      <c r="A308" s="6" t="s">
        <v>314</v>
      </c>
      <c r="B308" s="7">
        <v>0</v>
      </c>
      <c r="C308" s="8">
        <f>IFERROR(B308/B327, "NA")</f>
        <v>0</v>
      </c>
      <c r="D308" s="9"/>
      <c r="E308" s="7">
        <v>0</v>
      </c>
      <c r="F308" s="8">
        <f>IFERROR(E308/E327, "NA")</f>
        <v>0</v>
      </c>
      <c r="G308" s="9"/>
      <c r="H308" s="7">
        <v>0</v>
      </c>
      <c r="I308" s="8">
        <f>IFERROR(H308/H327, "NA")</f>
        <v>0</v>
      </c>
      <c r="J308" s="9"/>
      <c r="K308" s="7">
        <v>0</v>
      </c>
      <c r="L308" s="8">
        <f>IFERROR(K308/K327, "NA")</f>
        <v>0</v>
      </c>
      <c r="M308" s="9"/>
      <c r="N308" s="7">
        <v>0</v>
      </c>
      <c r="O308" s="8">
        <f>IFERROR(N308/N327, "NA")</f>
        <v>0</v>
      </c>
      <c r="P308" s="9"/>
      <c r="Q308" s="7">
        <v>0</v>
      </c>
      <c r="R308" s="8">
        <f>IFERROR(Q308/Q327, "NA")</f>
        <v>0</v>
      </c>
      <c r="S308" s="9"/>
      <c r="T308" s="7">
        <v>0</v>
      </c>
      <c r="U308" s="8">
        <f>IFERROR(T308/T327, "NA")</f>
        <v>0</v>
      </c>
      <c r="V308" s="9"/>
      <c r="W308" s="7">
        <v>0</v>
      </c>
      <c r="X308" s="8">
        <f>IFERROR(W308/W327, "NA")</f>
        <v>0</v>
      </c>
    </row>
    <row r="309" spans="1:24" ht="16.5" customHeight="1" x14ac:dyDescent="0.25">
      <c r="A309" s="6" t="s">
        <v>315</v>
      </c>
      <c r="B309" s="7">
        <v>0</v>
      </c>
      <c r="C309" s="8">
        <f>IFERROR(B309/B327, "NA")</f>
        <v>0</v>
      </c>
      <c r="D309" s="9"/>
      <c r="E309" s="7">
        <v>0</v>
      </c>
      <c r="F309" s="8">
        <f>IFERROR(E309/E327, "NA")</f>
        <v>0</v>
      </c>
      <c r="G309" s="9"/>
      <c r="H309" s="7">
        <v>0</v>
      </c>
      <c r="I309" s="8">
        <f>IFERROR(H309/H327, "NA")</f>
        <v>0</v>
      </c>
      <c r="J309" s="9"/>
      <c r="K309" s="7">
        <v>0</v>
      </c>
      <c r="L309" s="8">
        <f>IFERROR(K309/K327, "NA")</f>
        <v>0</v>
      </c>
      <c r="M309" s="9"/>
      <c r="N309" s="7">
        <v>0</v>
      </c>
      <c r="O309" s="8">
        <f>IFERROR(N309/N327, "NA")</f>
        <v>0</v>
      </c>
      <c r="P309" s="9"/>
      <c r="Q309" s="7">
        <v>0</v>
      </c>
      <c r="R309" s="8">
        <f>IFERROR(Q309/Q327, "NA")</f>
        <v>0</v>
      </c>
      <c r="S309" s="9"/>
      <c r="T309" s="7">
        <v>0</v>
      </c>
      <c r="U309" s="8">
        <f>IFERROR(T309/T327, "NA")</f>
        <v>0</v>
      </c>
      <c r="V309" s="9"/>
      <c r="W309" s="7">
        <v>0</v>
      </c>
      <c r="X309" s="8">
        <f>IFERROR(W309/W327, "NA")</f>
        <v>0</v>
      </c>
    </row>
    <row r="310" spans="1:24" ht="16.5" customHeight="1" x14ac:dyDescent="0.25">
      <c r="A310" s="6" t="s">
        <v>316</v>
      </c>
      <c r="B310" s="7">
        <v>0</v>
      </c>
      <c r="C310" s="8">
        <f>IFERROR(B310/B327, "NA")</f>
        <v>0</v>
      </c>
      <c r="D310" s="9"/>
      <c r="E310" s="7">
        <v>0</v>
      </c>
      <c r="F310" s="8">
        <f>IFERROR(E310/E327, "NA")</f>
        <v>0</v>
      </c>
      <c r="G310" s="9"/>
      <c r="H310" s="7">
        <v>0</v>
      </c>
      <c r="I310" s="8">
        <f>IFERROR(H310/H327, "NA")</f>
        <v>0</v>
      </c>
      <c r="J310" s="9"/>
      <c r="K310" s="7">
        <v>0</v>
      </c>
      <c r="L310" s="8">
        <f>IFERROR(K310/K327, "NA")</f>
        <v>0</v>
      </c>
      <c r="M310" s="9"/>
      <c r="N310" s="7">
        <v>0</v>
      </c>
      <c r="O310" s="8">
        <f>IFERROR(N310/N327, "NA")</f>
        <v>0</v>
      </c>
      <c r="P310" s="9"/>
      <c r="Q310" s="7">
        <v>0</v>
      </c>
      <c r="R310" s="8">
        <f>IFERROR(Q310/Q327, "NA")</f>
        <v>0</v>
      </c>
      <c r="S310" s="9"/>
      <c r="T310" s="7">
        <v>0</v>
      </c>
      <c r="U310" s="8">
        <f>IFERROR(T310/T327, "NA")</f>
        <v>0</v>
      </c>
      <c r="V310" s="9"/>
      <c r="W310" s="7">
        <v>0</v>
      </c>
      <c r="X310" s="8">
        <f>IFERROR(W310/W327, "NA")</f>
        <v>0</v>
      </c>
    </row>
    <row r="311" spans="1:24" ht="16.5" customHeight="1" x14ac:dyDescent="0.25">
      <c r="A311" s="6" t="s">
        <v>317</v>
      </c>
      <c r="B311" s="7">
        <v>0</v>
      </c>
      <c r="C311" s="8">
        <f>IFERROR(B311/B327, "NA")</f>
        <v>0</v>
      </c>
      <c r="D311" s="9"/>
      <c r="E311" s="7">
        <v>0</v>
      </c>
      <c r="F311" s="8">
        <f>IFERROR(E311/E327, "NA")</f>
        <v>0</v>
      </c>
      <c r="G311" s="9"/>
      <c r="H311" s="7">
        <v>0</v>
      </c>
      <c r="I311" s="8">
        <f>IFERROR(H311/H327, "NA")</f>
        <v>0</v>
      </c>
      <c r="J311" s="9"/>
      <c r="K311" s="7">
        <v>0</v>
      </c>
      <c r="L311" s="8">
        <f>IFERROR(K311/K327, "NA")</f>
        <v>0</v>
      </c>
      <c r="M311" s="9"/>
      <c r="N311" s="7">
        <v>0</v>
      </c>
      <c r="O311" s="8">
        <f>IFERROR(N311/N327, "NA")</f>
        <v>0</v>
      </c>
      <c r="P311" s="9"/>
      <c r="Q311" s="7">
        <v>0</v>
      </c>
      <c r="R311" s="8">
        <f>IFERROR(Q311/Q327, "NA")</f>
        <v>0</v>
      </c>
      <c r="S311" s="9"/>
      <c r="T311" s="7">
        <v>0</v>
      </c>
      <c r="U311" s="8">
        <f>IFERROR(T311/T327, "NA")</f>
        <v>0</v>
      </c>
      <c r="V311" s="9"/>
      <c r="W311" s="7">
        <v>0</v>
      </c>
      <c r="X311" s="8">
        <f>IFERROR(W311/W327, "NA")</f>
        <v>0</v>
      </c>
    </row>
    <row r="312" spans="1:24" ht="16.5" customHeight="1" x14ac:dyDescent="0.25">
      <c r="A312" s="6" t="s">
        <v>318</v>
      </c>
      <c r="B312" s="7">
        <v>0</v>
      </c>
      <c r="C312" s="8">
        <f>IFERROR(B312/B327, "NA")</f>
        <v>0</v>
      </c>
      <c r="D312" s="9"/>
      <c r="E312" s="7">
        <v>0</v>
      </c>
      <c r="F312" s="8">
        <f>IFERROR(E312/E327, "NA")</f>
        <v>0</v>
      </c>
      <c r="G312" s="9"/>
      <c r="H312" s="7">
        <v>0</v>
      </c>
      <c r="I312" s="8">
        <f>IFERROR(H312/H327, "NA")</f>
        <v>0</v>
      </c>
      <c r="J312" s="9"/>
      <c r="K312" s="7">
        <v>0</v>
      </c>
      <c r="L312" s="8">
        <f>IFERROR(K312/K327, "NA")</f>
        <v>0</v>
      </c>
      <c r="M312" s="9"/>
      <c r="N312" s="7">
        <v>0</v>
      </c>
      <c r="O312" s="8">
        <f>IFERROR(N312/N327, "NA")</f>
        <v>0</v>
      </c>
      <c r="P312" s="9"/>
      <c r="Q312" s="7">
        <v>0</v>
      </c>
      <c r="R312" s="8">
        <f>IFERROR(Q312/Q327, "NA")</f>
        <v>0</v>
      </c>
      <c r="S312" s="9"/>
      <c r="T312" s="7">
        <v>0</v>
      </c>
      <c r="U312" s="8">
        <f>IFERROR(T312/T327, "NA")</f>
        <v>0</v>
      </c>
      <c r="V312" s="9"/>
      <c r="W312" s="7">
        <v>0</v>
      </c>
      <c r="X312" s="8">
        <f>IFERROR(W312/W327, "NA")</f>
        <v>0</v>
      </c>
    </row>
    <row r="313" spans="1:24" ht="16.5" customHeight="1" x14ac:dyDescent="0.25">
      <c r="A313" s="6" t="s">
        <v>319</v>
      </c>
      <c r="B313" s="7">
        <v>0</v>
      </c>
      <c r="C313" s="8">
        <f>IFERROR(B313/B327, "NA")</f>
        <v>0</v>
      </c>
      <c r="D313" s="9"/>
      <c r="E313" s="7">
        <v>0</v>
      </c>
      <c r="F313" s="8">
        <f>IFERROR(E313/E327, "NA")</f>
        <v>0</v>
      </c>
      <c r="G313" s="9"/>
      <c r="H313" s="7">
        <v>0</v>
      </c>
      <c r="I313" s="8">
        <f>IFERROR(H313/H327, "NA")</f>
        <v>0</v>
      </c>
      <c r="J313" s="9"/>
      <c r="K313" s="7">
        <v>0</v>
      </c>
      <c r="L313" s="8">
        <f>IFERROR(K313/K327, "NA")</f>
        <v>0</v>
      </c>
      <c r="M313" s="9"/>
      <c r="N313" s="7">
        <v>0</v>
      </c>
      <c r="O313" s="8">
        <f>IFERROR(N313/N327, "NA")</f>
        <v>0</v>
      </c>
      <c r="P313" s="9"/>
      <c r="Q313" s="7">
        <v>0</v>
      </c>
      <c r="R313" s="8">
        <f>IFERROR(Q313/Q327, "NA")</f>
        <v>0</v>
      </c>
      <c r="S313" s="9"/>
      <c r="T313" s="7">
        <v>0</v>
      </c>
      <c r="U313" s="8">
        <f>IFERROR(T313/T327, "NA")</f>
        <v>0</v>
      </c>
      <c r="V313" s="9"/>
      <c r="W313" s="7">
        <v>0</v>
      </c>
      <c r="X313" s="8">
        <f>IFERROR(W313/W327, "NA")</f>
        <v>0</v>
      </c>
    </row>
    <row r="314" spans="1:24" ht="16.5" customHeight="1" x14ac:dyDescent="0.25">
      <c r="A314" s="10" t="s">
        <v>320</v>
      </c>
      <c r="B314" s="11">
        <f>IFERROR(B287+B288+B289+B290+B291+B292+B293+B294+B295+B296+B297+B298+B299+B300+B301+B302+B303+B304+B305+B306+B307+B308+B309+B310+B311+B312+B313, "NA")</f>
        <v>23118.76</v>
      </c>
      <c r="C314" s="12">
        <f>IFERROR(B314/B327, "NA")</f>
        <v>5.8000937146718147E-2</v>
      </c>
      <c r="D314" s="2"/>
      <c r="E314" s="11">
        <f>IFERROR(E287+E288+E289+E290+E291+E292+E293+E294+E295+E296+E297+E298+E299+E300+E301+E302+E303+E304+E305+E306+E307+E308+E309+E310+E311+E312+E313, "NA")</f>
        <v>11423.09</v>
      </c>
      <c r="F314" s="12">
        <f>IFERROR(E314/E327, "NA")</f>
        <v>5.545376678746039E-2</v>
      </c>
      <c r="G314" s="2"/>
      <c r="H314" s="11">
        <f>IFERROR(H287+H288+H289+H290+H291+H292+H293+H294+H295+H296+H297+H298+H299+H300+H301+H302+H303+H304+H305+H306+H307+H308+H309+H310+H311+H312+H313, "NA")</f>
        <v>17377.04</v>
      </c>
      <c r="I314" s="12">
        <f>IFERROR(H314/H327, "NA")</f>
        <v>5.1368617090069284E-2</v>
      </c>
      <c r="J314" s="2"/>
      <c r="K314" s="11">
        <f>IFERROR(K287+K288+K289+K290+K291+K292+K293+K294+K295+K296+K297+K298+K299+K300+K301+K302+K303+K304+K305+K306+K307+K308+K309+K310+K311+K312+K313, "NA")</f>
        <v>12271.2</v>
      </c>
      <c r="L314" s="12">
        <f>IFERROR(K314/K327, "NA")</f>
        <v>5.2653437257421512E-2</v>
      </c>
      <c r="M314" s="2"/>
      <c r="N314" s="11">
        <f>IFERROR(N287+N288+N289+N290+N291+N292+N293+N294+N295+N296+N297+N298+N299+N300+N301+N302+N303+N304+N305+N306+N307+N308+N309+N310+N311+N312+N313, "NA")</f>
        <v>19919</v>
      </c>
      <c r="O314" s="12">
        <f>IFERROR(N314/N327, "NA")</f>
        <v>5.3673719402557801E-2</v>
      </c>
      <c r="P314" s="2"/>
      <c r="Q314" s="11">
        <f>IFERROR(Q287+Q288+Q289+Q290+Q291+Q292+Q293+Q294+Q295+Q296+Q297+Q298+Q299+Q300+Q301+Q302+Q303+Q304+Q305+Q306+Q307+Q308+Q309+Q310+Q311+Q312+Q313, "NA")</f>
        <v>15509.4</v>
      </c>
      <c r="R314" s="12">
        <f>IFERROR(Q314/Q327, "NA")</f>
        <v>8.9069983804830985E-2</v>
      </c>
      <c r="S314" s="2"/>
      <c r="T314" s="11">
        <f>IFERROR(T287+T288+T289+T290+T291+T292+T293+T294+T295+T296+T297+T298+T299+T300+T301+T302+T303+T304+T305+T306+T307+T308+T309+T310+T311+T312+T313, "NA")</f>
        <v>9377.2800000000007</v>
      </c>
      <c r="U314" s="12">
        <f>IFERROR(T314/T327, "NA")</f>
        <v>5.303366465423389E-2</v>
      </c>
      <c r="V314" s="2"/>
      <c r="W314" s="11">
        <f>IFERROR(W287+W288+W289+W290+W291+W292+W293+W294+W295+W296+W297+W298+W299+W300+W301+W302+W303+W304+W305+W306+W307+W308+W309+W310+W311+W312+W313, "NA")</f>
        <v>8925.35</v>
      </c>
      <c r="X314" s="12">
        <f>IFERROR(W314/W327, "NA")</f>
        <v>5.2840236336080329E-2</v>
      </c>
    </row>
    <row r="315" spans="1:24" ht="16.5" customHeight="1" x14ac:dyDescent="0.25">
      <c r="A315" s="5" t="s">
        <v>321</v>
      </c>
      <c r="B315" s="2"/>
      <c r="C315" s="3"/>
      <c r="D315" s="4"/>
      <c r="E315" s="2"/>
      <c r="F315" s="3"/>
      <c r="G315" s="4"/>
      <c r="H315" s="2"/>
      <c r="I315" s="3"/>
      <c r="J315" s="4"/>
      <c r="K315" s="2"/>
      <c r="L315" s="3"/>
      <c r="M315" s="4"/>
      <c r="N315" s="2"/>
      <c r="O315" s="3"/>
      <c r="P315" s="4"/>
      <c r="Q315" s="2"/>
      <c r="R315" s="3"/>
      <c r="S315" s="4"/>
      <c r="T315" s="2"/>
      <c r="U315" s="3"/>
      <c r="V315" s="4"/>
      <c r="W315" s="2"/>
      <c r="X315" s="3"/>
    </row>
    <row r="316" spans="1:24" ht="16.5" customHeight="1" x14ac:dyDescent="0.25">
      <c r="A316" s="6" t="s">
        <v>322</v>
      </c>
      <c r="B316" s="7">
        <v>0</v>
      </c>
      <c r="C316" s="8">
        <f>IFERROR(B316/B327, "NA")</f>
        <v>0</v>
      </c>
      <c r="D316" s="9"/>
      <c r="E316" s="7">
        <v>0</v>
      </c>
      <c r="F316" s="8">
        <f>IFERROR(E316/E327, "NA")</f>
        <v>0</v>
      </c>
      <c r="G316" s="9"/>
      <c r="H316" s="7">
        <v>0</v>
      </c>
      <c r="I316" s="8">
        <f>IFERROR(H316/H327, "NA")</f>
        <v>0</v>
      </c>
      <c r="J316" s="9"/>
      <c r="K316" s="7">
        <v>0</v>
      </c>
      <c r="L316" s="8">
        <f>IFERROR(K316/K327, "NA")</f>
        <v>0</v>
      </c>
      <c r="M316" s="9"/>
      <c r="N316" s="7">
        <v>0</v>
      </c>
      <c r="O316" s="8">
        <f>IFERROR(N316/N327, "NA")</f>
        <v>0</v>
      </c>
      <c r="P316" s="9"/>
      <c r="Q316" s="7">
        <v>0</v>
      </c>
      <c r="R316" s="8">
        <f>IFERROR(Q316/Q327, "NA")</f>
        <v>0</v>
      </c>
      <c r="S316" s="9"/>
      <c r="T316" s="7">
        <v>0</v>
      </c>
      <c r="U316" s="8">
        <f>IFERROR(T316/T327, "NA")</f>
        <v>0</v>
      </c>
      <c r="V316" s="9"/>
      <c r="W316" s="7">
        <v>0</v>
      </c>
      <c r="X316" s="8">
        <f>IFERROR(W316/W327, "NA")</f>
        <v>0</v>
      </c>
    </row>
    <row r="317" spans="1:24" ht="16.5" customHeight="1" x14ac:dyDescent="0.25">
      <c r="A317" s="6" t="s">
        <v>323</v>
      </c>
      <c r="B317" s="7">
        <v>0</v>
      </c>
      <c r="C317" s="8">
        <f>IFERROR(B317/B327, "NA")</f>
        <v>0</v>
      </c>
      <c r="D317" s="9"/>
      <c r="E317" s="7">
        <v>0</v>
      </c>
      <c r="F317" s="8">
        <f>IFERROR(E317/E327, "NA")</f>
        <v>0</v>
      </c>
      <c r="G317" s="9"/>
      <c r="H317" s="7">
        <v>0</v>
      </c>
      <c r="I317" s="8">
        <f>IFERROR(H317/H327, "NA")</f>
        <v>0</v>
      </c>
      <c r="J317" s="9"/>
      <c r="K317" s="7">
        <v>0</v>
      </c>
      <c r="L317" s="8">
        <f>IFERROR(K317/K327, "NA")</f>
        <v>0</v>
      </c>
      <c r="M317" s="9"/>
      <c r="N317" s="7">
        <v>0</v>
      </c>
      <c r="O317" s="8">
        <f>IFERROR(N317/N327, "NA")</f>
        <v>0</v>
      </c>
      <c r="P317" s="9"/>
      <c r="Q317" s="7">
        <v>0</v>
      </c>
      <c r="R317" s="8">
        <f>IFERROR(Q317/Q327, "NA")</f>
        <v>0</v>
      </c>
      <c r="S317" s="9"/>
      <c r="T317" s="7">
        <v>0</v>
      </c>
      <c r="U317" s="8">
        <f>IFERROR(T317/T327, "NA")</f>
        <v>0</v>
      </c>
      <c r="V317" s="9"/>
      <c r="W317" s="7">
        <v>0</v>
      </c>
      <c r="X317" s="8">
        <f>IFERROR(W317/W327, "NA")</f>
        <v>0</v>
      </c>
    </row>
    <row r="318" spans="1:24" ht="16.5" customHeight="1" x14ac:dyDescent="0.25">
      <c r="A318" s="6" t="s">
        <v>324</v>
      </c>
      <c r="B318" s="7">
        <v>0</v>
      </c>
      <c r="C318" s="8">
        <f>IFERROR(B318/B327, "NA")</f>
        <v>0</v>
      </c>
      <c r="D318" s="9"/>
      <c r="E318" s="7">
        <v>0</v>
      </c>
      <c r="F318" s="8">
        <f>IFERROR(E318/E327, "NA")</f>
        <v>0</v>
      </c>
      <c r="G318" s="9"/>
      <c r="H318" s="7">
        <v>0</v>
      </c>
      <c r="I318" s="8">
        <f>IFERROR(H318/H327, "NA")</f>
        <v>0</v>
      </c>
      <c r="J318" s="9"/>
      <c r="K318" s="7">
        <v>0</v>
      </c>
      <c r="L318" s="8">
        <f>IFERROR(K318/K327, "NA")</f>
        <v>0</v>
      </c>
      <c r="M318" s="9"/>
      <c r="N318" s="7">
        <v>0</v>
      </c>
      <c r="O318" s="8">
        <f>IFERROR(N318/N327, "NA")</f>
        <v>0</v>
      </c>
      <c r="P318" s="9"/>
      <c r="Q318" s="7">
        <v>0</v>
      </c>
      <c r="R318" s="8">
        <f>IFERROR(Q318/Q327, "NA")</f>
        <v>0</v>
      </c>
      <c r="S318" s="9"/>
      <c r="T318" s="7">
        <v>0</v>
      </c>
      <c r="U318" s="8">
        <f>IFERROR(T318/T327, "NA")</f>
        <v>0</v>
      </c>
      <c r="V318" s="9"/>
      <c r="W318" s="7">
        <v>0</v>
      </c>
      <c r="X318" s="8">
        <f>IFERROR(W318/W327, "NA")</f>
        <v>0</v>
      </c>
    </row>
    <row r="319" spans="1:24" ht="16.5" customHeight="1" x14ac:dyDescent="0.25">
      <c r="A319" s="6" t="s">
        <v>325</v>
      </c>
      <c r="B319" s="7">
        <v>0</v>
      </c>
      <c r="C319" s="8">
        <f>IFERROR(B319/B327, "NA")</f>
        <v>0</v>
      </c>
      <c r="D319" s="9"/>
      <c r="E319" s="7">
        <v>0</v>
      </c>
      <c r="F319" s="8">
        <f>IFERROR(E319/E327, "NA")</f>
        <v>0</v>
      </c>
      <c r="G319" s="9"/>
      <c r="H319" s="7">
        <v>0</v>
      </c>
      <c r="I319" s="8">
        <f>IFERROR(H319/H327, "NA")</f>
        <v>0</v>
      </c>
      <c r="J319" s="9"/>
      <c r="K319" s="7">
        <v>0</v>
      </c>
      <c r="L319" s="8">
        <f>IFERROR(K319/K327, "NA")</f>
        <v>0</v>
      </c>
      <c r="M319" s="9"/>
      <c r="N319" s="7">
        <v>0</v>
      </c>
      <c r="O319" s="8">
        <f>IFERROR(N319/N327, "NA")</f>
        <v>0</v>
      </c>
      <c r="P319" s="9"/>
      <c r="Q319" s="7">
        <v>0</v>
      </c>
      <c r="R319" s="8">
        <f>IFERROR(Q319/Q327, "NA")</f>
        <v>0</v>
      </c>
      <c r="S319" s="9"/>
      <c r="T319" s="7">
        <v>0</v>
      </c>
      <c r="U319" s="8">
        <f>IFERROR(T319/T327, "NA")</f>
        <v>0</v>
      </c>
      <c r="V319" s="9"/>
      <c r="W319" s="7">
        <v>0</v>
      </c>
      <c r="X319" s="8">
        <f>IFERROR(W319/W327, "NA")</f>
        <v>0</v>
      </c>
    </row>
    <row r="320" spans="1:24" ht="16.5" customHeight="1" x14ac:dyDescent="0.25">
      <c r="A320" s="6" t="s">
        <v>326</v>
      </c>
      <c r="B320" s="7">
        <v>0</v>
      </c>
      <c r="C320" s="8">
        <f>IFERROR(B320/B327, "NA")</f>
        <v>0</v>
      </c>
      <c r="D320" s="9"/>
      <c r="E320" s="7">
        <v>0</v>
      </c>
      <c r="F320" s="8">
        <f>IFERROR(E320/E327, "NA")</f>
        <v>0</v>
      </c>
      <c r="G320" s="9"/>
      <c r="H320" s="7">
        <v>0</v>
      </c>
      <c r="I320" s="8">
        <f>IFERROR(H320/H327, "NA")</f>
        <v>0</v>
      </c>
      <c r="J320" s="9"/>
      <c r="K320" s="7">
        <v>0</v>
      </c>
      <c r="L320" s="8">
        <f>IFERROR(K320/K327, "NA")</f>
        <v>0</v>
      </c>
      <c r="M320" s="9"/>
      <c r="N320" s="7">
        <v>0</v>
      </c>
      <c r="O320" s="8">
        <f>IFERROR(N320/N327, "NA")</f>
        <v>0</v>
      </c>
      <c r="P320" s="9"/>
      <c r="Q320" s="7">
        <v>0</v>
      </c>
      <c r="R320" s="8">
        <f>IFERROR(Q320/Q327, "NA")</f>
        <v>0</v>
      </c>
      <c r="S320" s="9"/>
      <c r="T320" s="7">
        <v>0</v>
      </c>
      <c r="U320" s="8">
        <f>IFERROR(T320/T327, "NA")</f>
        <v>0</v>
      </c>
      <c r="V320" s="9"/>
      <c r="W320" s="7">
        <v>0</v>
      </c>
      <c r="X320" s="8">
        <f>IFERROR(W320/W327, "NA")</f>
        <v>0</v>
      </c>
    </row>
    <row r="321" spans="1:24" ht="16.5" customHeight="1" x14ac:dyDescent="0.25">
      <c r="A321" s="6" t="s">
        <v>327</v>
      </c>
      <c r="B321" s="7">
        <v>0</v>
      </c>
      <c r="C321" s="8">
        <f>IFERROR(B321/B327, "NA")</f>
        <v>0</v>
      </c>
      <c r="D321" s="9"/>
      <c r="E321" s="7">
        <v>0</v>
      </c>
      <c r="F321" s="8">
        <f>IFERROR(E321/E327, "NA")</f>
        <v>0</v>
      </c>
      <c r="G321" s="9"/>
      <c r="H321" s="7">
        <v>0</v>
      </c>
      <c r="I321" s="8">
        <f>IFERROR(H321/H327, "NA")</f>
        <v>0</v>
      </c>
      <c r="J321" s="9"/>
      <c r="K321" s="7">
        <v>0</v>
      </c>
      <c r="L321" s="8">
        <f>IFERROR(K321/K327, "NA")</f>
        <v>0</v>
      </c>
      <c r="M321" s="9"/>
      <c r="N321" s="7">
        <v>0</v>
      </c>
      <c r="O321" s="8">
        <f>IFERROR(N321/N327, "NA")</f>
        <v>0</v>
      </c>
      <c r="P321" s="9"/>
      <c r="Q321" s="7">
        <v>0</v>
      </c>
      <c r="R321" s="8">
        <f>IFERROR(Q321/Q327, "NA")</f>
        <v>0</v>
      </c>
      <c r="S321" s="9"/>
      <c r="T321" s="7">
        <v>0</v>
      </c>
      <c r="U321" s="8">
        <f>IFERROR(T321/T327, "NA")</f>
        <v>0</v>
      </c>
      <c r="V321" s="9"/>
      <c r="W321" s="7">
        <v>0</v>
      </c>
      <c r="X321" s="8">
        <f>IFERROR(W321/W327, "NA")</f>
        <v>0</v>
      </c>
    </row>
    <row r="322" spans="1:24" ht="16.5" customHeight="1" x14ac:dyDescent="0.25">
      <c r="A322" s="6" t="s">
        <v>328</v>
      </c>
      <c r="B322" s="7">
        <v>0</v>
      </c>
      <c r="C322" s="8">
        <f>IFERROR(B322/B327, "NA")</f>
        <v>0</v>
      </c>
      <c r="D322" s="9"/>
      <c r="E322" s="7">
        <v>0</v>
      </c>
      <c r="F322" s="8">
        <f>IFERROR(E322/E327, "NA")</f>
        <v>0</v>
      </c>
      <c r="G322" s="9"/>
      <c r="H322" s="7">
        <v>0</v>
      </c>
      <c r="I322" s="8">
        <f>IFERROR(H322/H327, "NA")</f>
        <v>0</v>
      </c>
      <c r="J322" s="9"/>
      <c r="K322" s="7">
        <v>0</v>
      </c>
      <c r="L322" s="8">
        <f>IFERROR(K322/K327, "NA")</f>
        <v>0</v>
      </c>
      <c r="M322" s="9"/>
      <c r="N322" s="7">
        <v>0</v>
      </c>
      <c r="O322" s="8">
        <f>IFERROR(N322/N327, "NA")</f>
        <v>0</v>
      </c>
      <c r="P322" s="9"/>
      <c r="Q322" s="7">
        <v>0</v>
      </c>
      <c r="R322" s="8">
        <f>IFERROR(Q322/Q327, "NA")</f>
        <v>0</v>
      </c>
      <c r="S322" s="9"/>
      <c r="T322" s="7">
        <v>0</v>
      </c>
      <c r="U322" s="8">
        <f>IFERROR(T322/T327, "NA")</f>
        <v>0</v>
      </c>
      <c r="V322" s="9"/>
      <c r="W322" s="7">
        <v>0</v>
      </c>
      <c r="X322" s="8">
        <f>IFERROR(W322/W327, "NA")</f>
        <v>0</v>
      </c>
    </row>
    <row r="323" spans="1:24" ht="16.5" customHeight="1" x14ac:dyDescent="0.25">
      <c r="A323" s="6" t="s">
        <v>329</v>
      </c>
      <c r="B323" s="7">
        <v>0</v>
      </c>
      <c r="C323" s="8">
        <f>IFERROR(B323/B327, "NA")</f>
        <v>0</v>
      </c>
      <c r="D323" s="9"/>
      <c r="E323" s="7">
        <v>0</v>
      </c>
      <c r="F323" s="8">
        <f>IFERROR(E323/E327, "NA")</f>
        <v>0</v>
      </c>
      <c r="G323" s="9"/>
      <c r="H323" s="7">
        <v>0</v>
      </c>
      <c r="I323" s="8">
        <f>IFERROR(H323/H327, "NA")</f>
        <v>0</v>
      </c>
      <c r="J323" s="9"/>
      <c r="K323" s="7">
        <v>0</v>
      </c>
      <c r="L323" s="8">
        <f>IFERROR(K323/K327, "NA")</f>
        <v>0</v>
      </c>
      <c r="M323" s="9"/>
      <c r="N323" s="7">
        <v>0</v>
      </c>
      <c r="O323" s="8">
        <f>IFERROR(N323/N327, "NA")</f>
        <v>0</v>
      </c>
      <c r="P323" s="9"/>
      <c r="Q323" s="7">
        <v>0</v>
      </c>
      <c r="R323" s="8">
        <f>IFERROR(Q323/Q327, "NA")</f>
        <v>0</v>
      </c>
      <c r="S323" s="9"/>
      <c r="T323" s="7">
        <v>0</v>
      </c>
      <c r="U323" s="8">
        <f>IFERROR(T323/T327, "NA")</f>
        <v>0</v>
      </c>
      <c r="V323" s="9"/>
      <c r="W323" s="7">
        <v>0</v>
      </c>
      <c r="X323" s="8">
        <f>IFERROR(W323/W327, "NA")</f>
        <v>0</v>
      </c>
    </row>
    <row r="324" spans="1:24" ht="16.5" customHeight="1" x14ac:dyDescent="0.25">
      <c r="A324" s="10" t="s">
        <v>330</v>
      </c>
      <c r="B324" s="11">
        <f>IFERROR(B316+B317+B318+B319+B320+B321+B322+B323, "NA")</f>
        <v>0</v>
      </c>
      <c r="C324" s="12">
        <f>IFERROR(B324/B327, "NA")</f>
        <v>0</v>
      </c>
      <c r="D324" s="2"/>
      <c r="E324" s="11">
        <f>IFERROR(E316+E317+E318+E319+E320+E321+E322+E323, "NA")</f>
        <v>0</v>
      </c>
      <c r="F324" s="12">
        <f>IFERROR(E324/E327, "NA")</f>
        <v>0</v>
      </c>
      <c r="G324" s="2"/>
      <c r="H324" s="11">
        <f>IFERROR(H316+H317+H318+H319+H320+H321+H322+H323, "NA")</f>
        <v>0</v>
      </c>
      <c r="I324" s="12">
        <f>IFERROR(H324/H327, "NA")</f>
        <v>0</v>
      </c>
      <c r="J324" s="2"/>
      <c r="K324" s="11">
        <f>IFERROR(K316+K317+K318+K319+K320+K321+K322+K323, "NA")</f>
        <v>0</v>
      </c>
      <c r="L324" s="12">
        <f>IFERROR(K324/K327, "NA")</f>
        <v>0</v>
      </c>
      <c r="M324" s="2"/>
      <c r="N324" s="11">
        <f>IFERROR(N316+N317+N318+N319+N320+N321+N322+N323, "NA")</f>
        <v>0</v>
      </c>
      <c r="O324" s="12">
        <f>IFERROR(N324/N327, "NA")</f>
        <v>0</v>
      </c>
      <c r="P324" s="2"/>
      <c r="Q324" s="11">
        <f>IFERROR(Q316+Q317+Q318+Q319+Q320+Q321+Q322+Q323, "NA")</f>
        <v>0</v>
      </c>
      <c r="R324" s="12">
        <f>IFERROR(Q324/Q327, "NA")</f>
        <v>0</v>
      </c>
      <c r="S324" s="2"/>
      <c r="T324" s="11">
        <f>IFERROR(T316+T317+T318+T319+T320+T321+T322+T323, "NA")</f>
        <v>0</v>
      </c>
      <c r="U324" s="12">
        <f>IFERROR(T324/T327, "NA")</f>
        <v>0</v>
      </c>
      <c r="V324" s="2"/>
      <c r="W324" s="11">
        <f>IFERROR(W316+W317+W318+W319+W320+W321+W322+W323, "NA")</f>
        <v>0</v>
      </c>
      <c r="X324" s="12">
        <f>IFERROR(W324/W327, "NA")</f>
        <v>0</v>
      </c>
    </row>
    <row r="325" spans="1:24" ht="16.5" customHeight="1" x14ac:dyDescent="0.25">
      <c r="A325" s="14" t="s">
        <v>331</v>
      </c>
      <c r="B325" s="11">
        <f>IFERROR(B287+B288+B289+B290+B291+B292+B293+B294+B295+B296+B297+B298+B299+B300+B301+B302+B303+B304+B305+B306+B307+B308+B309+B310+B311+B312+B313+B316+B317+B318+B319+B320+B321+B322+B323, "NA")</f>
        <v>23118.76</v>
      </c>
      <c r="C325" s="12">
        <f>IFERROR(B325/B327, "NA")</f>
        <v>5.8000937146718147E-2</v>
      </c>
      <c r="D325" s="2"/>
      <c r="E325" s="11">
        <f>IFERROR(E287+E288+E289+E290+E291+E292+E293+E294+E295+E296+E297+E298+E299+E300+E301+E302+E303+E304+E305+E306+E307+E308+E309+E310+E311+E312+E313+E316+E317+E318+E319+E320+E321+E322+E323, "NA")</f>
        <v>11423.09</v>
      </c>
      <c r="F325" s="12">
        <f>IFERROR(E325/E327, "NA")</f>
        <v>5.545376678746039E-2</v>
      </c>
      <c r="G325" s="2"/>
      <c r="H325" s="11">
        <f>IFERROR(H287+H288+H289+H290+H291+H292+H293+H294+H295+H296+H297+H298+H299+H300+H301+H302+H303+H304+H305+H306+H307+H308+H309+H310+H311+H312+H313+H316+H317+H318+H319+H320+H321+H322+H323, "NA")</f>
        <v>17377.04</v>
      </c>
      <c r="I325" s="12">
        <f>IFERROR(H325/H327, "NA")</f>
        <v>5.1368617090069284E-2</v>
      </c>
      <c r="J325" s="2"/>
      <c r="K325" s="11">
        <f>IFERROR(K287+K288+K289+K290+K291+K292+K293+K294+K295+K296+K297+K298+K299+K300+K301+K302+K303+K304+K305+K306+K307+K308+K309+K310+K311+K312+K313+K316+K317+K318+K319+K320+K321+K322+K323, "NA")</f>
        <v>12271.2</v>
      </c>
      <c r="L325" s="12">
        <f>IFERROR(K325/K327, "NA")</f>
        <v>5.2653437257421512E-2</v>
      </c>
      <c r="M325" s="2"/>
      <c r="N325" s="11">
        <f>IFERROR(N287+N288+N289+N290+N291+N292+N293+N294+N295+N296+N297+N298+N299+N300+N301+N302+N303+N304+N305+N306+N307+N308+N309+N310+N311+N312+N313+N316+N317+N318+N319+N320+N321+N322+N323, "NA")</f>
        <v>19919</v>
      </c>
      <c r="O325" s="12">
        <f>IFERROR(N325/N327, "NA")</f>
        <v>5.3673719402557801E-2</v>
      </c>
      <c r="P325" s="2"/>
      <c r="Q325" s="11">
        <f>IFERROR(Q287+Q288+Q289+Q290+Q291+Q292+Q293+Q294+Q295+Q296+Q297+Q298+Q299+Q300+Q301+Q302+Q303+Q304+Q305+Q306+Q307+Q308+Q309+Q310+Q311+Q312+Q313+Q316+Q317+Q318+Q319+Q320+Q321+Q322+Q323, "NA")</f>
        <v>15509.4</v>
      </c>
      <c r="R325" s="12">
        <f>IFERROR(Q325/Q327, "NA")</f>
        <v>8.9069983804830985E-2</v>
      </c>
      <c r="S325" s="2"/>
      <c r="T325" s="11">
        <f>IFERROR(T287+T288+T289+T290+T291+T292+T293+T294+T295+T296+T297+T298+T299+T300+T301+T302+T303+T304+T305+T306+T307+T308+T309+T310+T311+T312+T313+T316+T317+T318+T319+T320+T321+T322+T323, "NA")</f>
        <v>9377.2800000000007</v>
      </c>
      <c r="U325" s="12">
        <f>IFERROR(T325/T327, "NA")</f>
        <v>5.303366465423389E-2</v>
      </c>
      <c r="V325" s="2"/>
      <c r="W325" s="11">
        <f>IFERROR(W287+W288+W289+W290+W291+W292+W293+W294+W295+W296+W297+W298+W299+W300+W301+W302+W303+W304+W305+W306+W307+W308+W309+W310+W311+W312+W313+W316+W317+W318+W319+W320+W321+W322+W323, "NA")</f>
        <v>8925.35</v>
      </c>
      <c r="X325" s="12">
        <f>IFERROR(W325/W327, "NA")</f>
        <v>5.2840236336080329E-2</v>
      </c>
    </row>
    <row r="326" spans="1:24" ht="16.5" customHeight="1" x14ac:dyDescent="0.25">
      <c r="A326" s="14" t="s">
        <v>332</v>
      </c>
      <c r="B326" s="11">
        <f>IFERROR(+B52-B157-B211-B284-B325, "NA")</f>
        <v>25292.920000000096</v>
      </c>
      <c r="C326" s="12">
        <f>IFERROR(B326/B327, "NA")</f>
        <v>6.3455525433759249E-2</v>
      </c>
      <c r="D326" s="2"/>
      <c r="E326" s="11">
        <f>IFERROR(+E52-E157-E211-E284-E325, "NA")</f>
        <v>-887.37999999999374</v>
      </c>
      <c r="F326" s="12">
        <f>IFERROR(E326/E327, "NA")</f>
        <v>-4.3078154485219197E-3</v>
      </c>
      <c r="G326" s="2"/>
      <c r="H326" s="11">
        <f>IFERROR(+H52-H157-H211-H284-H325, "NA")</f>
        <v>188392.24000000002</v>
      </c>
      <c r="I326" s="12">
        <f>IFERROR(H326/H327, "NA")</f>
        <v>0.55691008591224023</v>
      </c>
      <c r="J326" s="2"/>
      <c r="K326" s="11">
        <f>IFERROR(+K52-K157-K211-K284-K325, "NA")</f>
        <v>79994.720000000001</v>
      </c>
      <c r="L326" s="12">
        <f>IFERROR(K326/K327, "NA")</f>
        <v>0.34324246776558132</v>
      </c>
      <c r="M326" s="2"/>
      <c r="N326" s="11">
        <f>IFERROR(+N52-N157-N211-N284-N325, "NA")</f>
        <v>38742.180000000008</v>
      </c>
      <c r="O326" s="12">
        <f>IFERROR(N326/N327, "NA")</f>
        <v>0.10439464322322342</v>
      </c>
      <c r="P326" s="2"/>
      <c r="Q326" s="11">
        <f>IFERROR(+Q52-Q157-Q211-Q284-Q325, "NA")</f>
        <v>17382.039999999986</v>
      </c>
      <c r="R326" s="12">
        <f>IFERROR(Q326/Q327, "NA")</f>
        <v>9.9824494905987535E-2</v>
      </c>
      <c r="S326" s="2"/>
      <c r="T326" s="11">
        <f>IFERROR(+T52-T157-T211-T284-T325, "NA")</f>
        <v>-446.24000000000706</v>
      </c>
      <c r="U326" s="12">
        <f>IFERROR(T326/T327, "NA")</f>
        <v>-2.5237320966533688E-3</v>
      </c>
      <c r="V326" s="2"/>
      <c r="W326" s="11">
        <f>IFERROR(+W52-W157-W211-W284-W325, "NA")</f>
        <v>132106.50999999998</v>
      </c>
      <c r="X326" s="12">
        <f>IFERROR(W326/W327, "NA")</f>
        <v>0.78210257412143591</v>
      </c>
    </row>
    <row r="327" spans="1:24" ht="15.75" hidden="1" x14ac:dyDescent="0.25">
      <c r="A327" s="18" t="s">
        <v>58</v>
      </c>
      <c r="B327" s="7">
        <v>398592.87</v>
      </c>
      <c r="C327" s="19"/>
      <c r="D327" s="9"/>
      <c r="E327" s="7">
        <v>205993.04</v>
      </c>
      <c r="F327" s="19"/>
      <c r="G327" s="9"/>
      <c r="H327" s="7">
        <v>338281.25</v>
      </c>
      <c r="I327" s="19"/>
      <c r="J327" s="9"/>
      <c r="K327" s="7">
        <v>233056.01</v>
      </c>
      <c r="L327" s="19"/>
      <c r="M327" s="9"/>
      <c r="N327" s="7">
        <v>371112.72</v>
      </c>
      <c r="O327" s="19"/>
      <c r="P327" s="9"/>
      <c r="Q327" s="7">
        <v>174126</v>
      </c>
      <c r="R327" s="19"/>
      <c r="S327" s="9"/>
      <c r="T327" s="7">
        <v>176817.5</v>
      </c>
      <c r="U327" s="19"/>
      <c r="V327" s="9"/>
      <c r="W327" s="7">
        <v>168912</v>
      </c>
      <c r="X327" s="19"/>
    </row>
    <row r="330" spans="1:24" ht="15.75" x14ac:dyDescent="0.25">
      <c r="A330" s="20" t="s">
        <v>333</v>
      </c>
    </row>
    <row r="331" spans="1:24" ht="15.75" x14ac:dyDescent="0.25">
      <c r="A331" s="20" t="s">
        <v>334</v>
      </c>
    </row>
    <row r="332" spans="1:24" ht="15.75" x14ac:dyDescent="0.25">
      <c r="A332" s="20" t="s">
        <v>335</v>
      </c>
    </row>
  </sheetData>
  <mergeCells count="19">
    <mergeCell ref="T5:U5"/>
    <mergeCell ref="V5"/>
    <mergeCell ref="W5:X5"/>
    <mergeCell ref="A1:X1"/>
    <mergeCell ref="A2:X2"/>
    <mergeCell ref="A3:X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X3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4 - Casa Neos</vt:lpstr>
      <vt:lpstr>11 - CN Lounge Rooftop</vt:lpstr>
      <vt:lpstr>10 - Mila II MM Club</vt:lpstr>
      <vt:lpstr>'10 - Mila II MM Club'!Print_Titles</vt:lpstr>
      <vt:lpstr>'11 - CN Lounge Rooftop'!Print_Titles</vt:lpstr>
      <vt:lpstr>'4 - Casa Neos'!Print_Titles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2026-08-20T14:02:01Z</dcterms:created>
  <dcterms:modified xsi:type="dcterms:W3CDTF">2026-08-20T14:03:12Z</dcterms:modified>
</cp:coreProperties>
</file>