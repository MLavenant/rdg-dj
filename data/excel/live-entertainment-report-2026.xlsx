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tthiasLavenant\Downloads\"/>
    </mc:Choice>
  </mc:AlternateContent>
  <xr:revisionPtr revIDLastSave="0" documentId="8_{7B929702-57F0-419B-8555-352C8B2E6D49}" xr6:coauthVersionLast="47" xr6:coauthVersionMax="47" xr10:uidLastSave="{00000000-0000-0000-0000-000000000000}"/>
  <bookViews>
    <workbookView xWindow="-28920" yWindow="855" windowWidth="29040" windowHeight="15720" xr2:uid="{00000000-000D-0000-FFFF-FFFF00000000}"/>
  </bookViews>
  <sheets>
    <sheet name="4 - Casa Neos" sheetId="1" r:id="rId1"/>
    <sheet name="11 - CN Lounge Rooftop" sheetId="2" r:id="rId2"/>
    <sheet name="10 - Mila II MM Club" sheetId="5" r:id="rId3"/>
  </sheets>
  <definedNames>
    <definedName name="_xlnm.Print_Titles" localSheetId="2">'10 - Mila II MM Club'!#REF!</definedName>
    <definedName name="_xlnm.Print_Titles" localSheetId="1">'11 - CN Lounge Rooftop'!#REF!</definedName>
    <definedName name="_xlnm.Print_Titles" localSheetId="0">'4 - Casa Neos'!#REF!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5" l="1"/>
  <c r="L2" i="5"/>
  <c r="I2" i="5"/>
  <c r="F2" i="5"/>
  <c r="C2" i="5"/>
  <c r="N1" i="5"/>
  <c r="O1" i="5" s="1"/>
  <c r="K1" i="5"/>
  <c r="L1" i="5" s="1"/>
  <c r="I1" i="5"/>
  <c r="H1" i="5"/>
  <c r="E1" i="5"/>
  <c r="F1" i="5" s="1"/>
  <c r="B1" i="5"/>
  <c r="C1" i="5" s="1"/>
  <c r="O2" i="2"/>
  <c r="L2" i="2"/>
  <c r="I2" i="2"/>
  <c r="F2" i="2"/>
  <c r="C2" i="2"/>
  <c r="N1" i="2"/>
  <c r="O1" i="2" s="1"/>
  <c r="K1" i="2"/>
  <c r="L1" i="2" s="1"/>
  <c r="H1" i="2"/>
  <c r="E1" i="2"/>
  <c r="F1" i="2" s="1"/>
  <c r="B1" i="2"/>
  <c r="C1" i="2" s="1"/>
  <c r="O2" i="1"/>
  <c r="L2" i="1"/>
  <c r="I2" i="1"/>
  <c r="F2" i="1"/>
  <c r="C2" i="1"/>
  <c r="N1" i="1"/>
  <c r="O1" i="1" s="1"/>
  <c r="K1" i="1"/>
  <c r="L1" i="1" s="1"/>
  <c r="H1" i="1"/>
  <c r="I1" i="1" s="1"/>
  <c r="E1" i="1"/>
  <c r="B1" i="1"/>
  <c r="C1" i="1" s="1"/>
  <c r="I1" i="2" l="1"/>
  <c r="F1" i="1"/>
</calcChain>
</file>

<file path=xl/sharedStrings.xml><?xml version="1.0" encoding="utf-8"?>
<sst xmlns="http://schemas.openxmlformats.org/spreadsheetml/2006/main" count="18" uniqueCount="5">
  <si>
    <t>Total Sales</t>
  </si>
  <si>
    <t>6750 - Live Entertainment</t>
  </si>
  <si>
    <t>Powered by Restaurant365</t>
  </si>
  <si>
    <t>1</t>
  </si>
  <si>
    <t>10/05/2026 06:57 AM PDT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</si>
</sst>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%"/>
    <numFmt numFmtId="165" formatCode="#,##0.0"/>
  </numFmts>
  <fonts count="5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name val="Calibri"/>
      <family val="2"/>
      <scheme val="minor"/>
    </font>
    <font>
      <i/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" fontId="2" fillId="0" borderId="0" xfId="0" applyNumberFormat="1" applyFont="1" applyAlignment="1">
      <alignment vertical="center"/>
    </xf>
    <xf numFmtId="0" fontId="1" fillId="0" borderId="0" xfId="0" applyFont="1" applyAlignment="1">
      <alignment horizontal="left" vertical="center" wrapText="1" indent="2"/>
    </xf>
    <xf numFmtId="4" fontId="1" fillId="0" borderId="0" xfId="0" applyNumberFormat="1" applyFont="1" applyAlignment="1">
      <alignment vertical="center"/>
    </xf>
    <xf numFmtId="164" fontId="4" fillId="0" borderId="0" xfId="0" applyNumberFormat="1" applyFont="1" applyAlignment="1">
      <alignment horizontal="right" vertical="center"/>
    </xf>
    <xf numFmtId="0" fontId="1" fillId="0" borderId="0" xfId="0" applyFont="1" applyAlignment="1">
      <alignment vertical="center"/>
    </xf>
    <xf numFmtId="4" fontId="2" fillId="0" borderId="0" xfId="0" applyNumberFormat="1" applyFont="1" applyAlignment="1">
      <alignment horizontal="right" vertical="center"/>
    </xf>
    <xf numFmtId="164" fontId="3" fillId="0" borderId="0" xfId="0" applyNumberFormat="1" applyFont="1" applyAlignment="1">
      <alignment horizontal="right" vertical="center"/>
    </xf>
    <xf numFmtId="4" fontId="2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5" fontId="4" fillId="0" borderId="0" xfId="0" applyNumberFormat="1" applyFont="1" applyAlignment="1">
      <alignment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O8"/>
  <sheetViews>
    <sheetView showGridLines="0" tabSelected="1" workbookViewId="0">
      <pane xSplit="1" ySplit="1" topLeftCell="B2" activePane="bottomRight" state="frozen"/>
      <selection activeCell="A2" sqref="A2:O2"/>
      <selection pane="topRight" activeCell="A2" sqref="A2:O2"/>
      <selection pane="bottomLeft" activeCell="A2" sqref="A2:O2"/>
      <selection pane="bottomRight" activeCell="B26" sqref="B24:B26"/>
    </sheetView>
  </sheetViews>
  <sheetFormatPr defaultRowHeight="15" x14ac:dyDescent="0.25"/>
  <cols>
    <col min="1" max="1" width="42.85546875" customWidth="1"/>
    <col min="2" max="2" width="17.140625" customWidth="1"/>
    <col min="3" max="3" width="9.42578125" customWidth="1"/>
    <col min="4" max="4" width="1.42578125" customWidth="1"/>
    <col min="5" max="5" width="17.140625" customWidth="1"/>
    <col min="6" max="6" width="9.42578125" customWidth="1"/>
    <col min="7" max="7" width="1.42578125" customWidth="1"/>
    <col min="8" max="8" width="17.140625" customWidth="1"/>
    <col min="9" max="9" width="9.42578125" customWidth="1"/>
    <col min="10" max="10" width="1.42578125" customWidth="1"/>
    <col min="11" max="11" width="17.140625" customWidth="1"/>
    <col min="12" max="12" width="9.42578125" customWidth="1"/>
    <col min="13" max="13" width="1.42578125" customWidth="1"/>
    <col min="14" max="14" width="17.140625" customWidth="1"/>
    <col min="15" max="15" width="9.42578125" customWidth="1"/>
  </cols>
  <sheetData>
    <row r="1" spans="1:15" ht="16.5" customHeight="1" x14ac:dyDescent="0.25">
      <c r="A1" s="8" t="s">
        <v>0</v>
      </c>
      <c r="B1" s="6" t="str">
        <f>IFERROR(#REF!+#REF!+#REF!+#REF!+#REF!+#REF!+#REF!+#REF!+#REF!+#REF!+#REF!+#REF!+#REF!+#REF!+#REF!+#REF!+#REF!+#REF!+#REF!+#REF!+#REF!+#REF!+#REF!+#REF!+#REF!+#REF!+#REF!+#REF!+#REF!+#REF!+#REF!+#REF!+#REF!+#REF!+#REF!, "NA")</f>
        <v>NA</v>
      </c>
      <c r="C1" s="7" t="str">
        <f>IFERROR(B1/B3, "NA")</f>
        <v>NA</v>
      </c>
      <c r="D1" s="1"/>
      <c r="E1" s="6" t="str">
        <f>IFERROR(#REF!+#REF!+#REF!+#REF!+#REF!+#REF!+#REF!+#REF!+#REF!+#REF!+#REF!+#REF!+#REF!+#REF!+#REF!+#REF!+#REF!+#REF!+#REF!+#REF!+#REF!+#REF!+#REF!+#REF!+#REF!+#REF!+#REF!+#REF!+#REF!+#REF!+#REF!+#REF!+#REF!+#REF!+#REF!, "NA")</f>
        <v>NA</v>
      </c>
      <c r="F1" s="7" t="str">
        <f>IFERROR(E1/E3, "NA")</f>
        <v>NA</v>
      </c>
      <c r="G1" s="1"/>
      <c r="H1" s="6" t="str">
        <f>IFERROR(#REF!+#REF!+#REF!+#REF!+#REF!+#REF!+#REF!+#REF!+#REF!+#REF!+#REF!+#REF!+#REF!+#REF!+#REF!+#REF!+#REF!+#REF!+#REF!+#REF!+#REF!+#REF!+#REF!+#REF!+#REF!+#REF!+#REF!+#REF!+#REF!+#REF!+#REF!+#REF!+#REF!+#REF!+#REF!, "NA")</f>
        <v>NA</v>
      </c>
      <c r="I1" s="7" t="str">
        <f>IFERROR(H1/H3, "NA")</f>
        <v>NA</v>
      </c>
      <c r="J1" s="1"/>
      <c r="K1" s="6" t="str">
        <f>IFERROR(#REF!+#REF!+#REF!+#REF!+#REF!+#REF!+#REF!+#REF!+#REF!+#REF!+#REF!+#REF!+#REF!+#REF!+#REF!+#REF!+#REF!+#REF!+#REF!+#REF!+#REF!+#REF!+#REF!+#REF!+#REF!+#REF!+#REF!+#REF!+#REF!+#REF!+#REF!+#REF!+#REF!+#REF!+#REF!, "NA")</f>
        <v>NA</v>
      </c>
      <c r="L1" s="7" t="str">
        <f>IFERROR(K1/K3, "NA")</f>
        <v>NA</v>
      </c>
      <c r="M1" s="1"/>
      <c r="N1" s="6" t="str">
        <f>IFERROR(#REF!+#REF!+#REF!+#REF!+#REF!+#REF!+#REF!+#REF!+#REF!+#REF!+#REF!+#REF!+#REF!+#REF!+#REF!+#REF!+#REF!+#REF!+#REF!+#REF!+#REF!+#REF!+#REF!+#REF!+#REF!+#REF!+#REF!+#REF!+#REF!+#REF!+#REF!+#REF!+#REF!+#REF!+#REF!, "NA")</f>
        <v>NA</v>
      </c>
      <c r="O1" s="7" t="str">
        <f>IFERROR(N1/N3, "NA")</f>
        <v>NA</v>
      </c>
    </row>
    <row r="2" spans="1:15" ht="16.5" customHeight="1" x14ac:dyDescent="0.25">
      <c r="A2" s="2" t="s">
        <v>1</v>
      </c>
      <c r="B2" s="3">
        <v>11373.34</v>
      </c>
      <c r="C2" s="4">
        <f>IFERROR(B2/B3, "NA")</f>
        <v>3.0178388934019355E-2</v>
      </c>
      <c r="D2" s="5"/>
      <c r="E2" s="3">
        <v>32365.34</v>
      </c>
      <c r="F2" s="4">
        <f>IFERROR(E2/E3, "NA")</f>
        <v>7.7864306397746816E-2</v>
      </c>
      <c r="G2" s="5"/>
      <c r="H2" s="3">
        <v>22364.13</v>
      </c>
      <c r="I2" s="4">
        <f>IFERROR(H2/H3, "NA")</f>
        <v>5.4990071649945328E-2</v>
      </c>
      <c r="J2" s="5"/>
      <c r="K2" s="3">
        <v>10395.56</v>
      </c>
      <c r="L2" s="4">
        <f>IFERROR(K2/K3, "NA")</f>
        <v>2.2719367222669276E-2</v>
      </c>
      <c r="M2" s="5"/>
      <c r="N2" s="3">
        <v>13700</v>
      </c>
      <c r="O2" s="4">
        <f>IFERROR(N2/N3, "NA")</f>
        <v>3.0014498098000972E-2</v>
      </c>
    </row>
    <row r="3" spans="1:15" ht="15.75" hidden="1" x14ac:dyDescent="0.25">
      <c r="A3" s="9" t="s">
        <v>0</v>
      </c>
      <c r="B3" s="3">
        <v>376870.35</v>
      </c>
      <c r="C3" s="10"/>
      <c r="D3" s="5"/>
      <c r="E3" s="3">
        <v>415663.37</v>
      </c>
      <c r="F3" s="10"/>
      <c r="G3" s="5"/>
      <c r="H3" s="3">
        <v>406693.96</v>
      </c>
      <c r="I3" s="10"/>
      <c r="J3" s="5"/>
      <c r="K3" s="3">
        <v>457563.8</v>
      </c>
      <c r="L3" s="10"/>
      <c r="M3" s="5"/>
      <c r="N3" s="3">
        <v>456446.08</v>
      </c>
      <c r="O3" s="10"/>
    </row>
    <row r="6" spans="1:15" ht="15.75" x14ac:dyDescent="0.25">
      <c r="A6" s="11" t="s">
        <v>2</v>
      </c>
    </row>
    <row r="7" spans="1:15" ht="15.75" x14ac:dyDescent="0.25">
      <c r="A7" s="11" t="s">
        <v>3</v>
      </c>
    </row>
    <row r="8" spans="1:15" ht="15.75" x14ac:dyDescent="0.25">
      <c r="A8" s="11" t="s">
        <v>4</v>
      </c>
    </row>
  </sheetData>
  <pageMargins left="0.7" right="0.7" top="0.75" bottom="0.75" header="0.3" footer="0.3"/>
  <ignoredErrors>
    <ignoredError sqref="A1:O1 A3:O8 A2:O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O8"/>
  <sheetViews>
    <sheetView showGridLines="0" workbookViewId="0">
      <pane xSplit="1" ySplit="1" topLeftCell="B2" activePane="bottomRight" state="frozen"/>
      <selection activeCell="C24" sqref="C24"/>
      <selection pane="topRight" activeCell="C24" sqref="C24"/>
      <selection pane="bottomLeft" activeCell="C24" sqref="C24"/>
      <selection pane="bottomRight" activeCell="C24" sqref="C24"/>
    </sheetView>
  </sheetViews>
  <sheetFormatPr defaultRowHeight="15" x14ac:dyDescent="0.25"/>
  <cols>
    <col min="1" max="1" width="42.85546875" customWidth="1"/>
    <col min="2" max="2" width="17.140625" customWidth="1"/>
    <col min="3" max="3" width="9.42578125" customWidth="1"/>
    <col min="4" max="4" width="1.42578125" customWidth="1"/>
    <col min="5" max="5" width="17.140625" customWidth="1"/>
    <col min="6" max="6" width="9.42578125" customWidth="1"/>
    <col min="7" max="7" width="1.42578125" customWidth="1"/>
    <col min="8" max="8" width="17.140625" customWidth="1"/>
    <col min="9" max="9" width="9.42578125" customWidth="1"/>
    <col min="10" max="10" width="1.42578125" customWidth="1"/>
    <col min="11" max="11" width="17.140625" customWidth="1"/>
    <col min="12" max="12" width="9.42578125" customWidth="1"/>
    <col min="13" max="13" width="1.42578125" customWidth="1"/>
    <col min="14" max="14" width="17.140625" customWidth="1"/>
    <col min="15" max="15" width="9.42578125" customWidth="1"/>
  </cols>
  <sheetData>
    <row r="1" spans="1:15" ht="16.5" customHeight="1" x14ac:dyDescent="0.25">
      <c r="A1" s="8" t="s">
        <v>0</v>
      </c>
      <c r="B1" s="6" t="str">
        <f>IFERROR(#REF!+#REF!+#REF!+#REF!+#REF!+#REF!+#REF!+#REF!+#REF!+#REF!+#REF!+#REF!+#REF!+#REF!+#REF!+#REF!+#REF!+#REF!+#REF!+#REF!+#REF!+#REF!+#REF!+#REF!+#REF!+#REF!+#REF!+#REF!+#REF!+#REF!+#REF!+#REF!+#REF!+#REF!+#REF!, "NA")</f>
        <v>NA</v>
      </c>
      <c r="C1" s="7" t="str">
        <f>IFERROR(B1/B3, "NA")</f>
        <v>NA</v>
      </c>
      <c r="D1" s="1"/>
      <c r="E1" s="6" t="str">
        <f>IFERROR(#REF!+#REF!+#REF!+#REF!+#REF!+#REF!+#REF!+#REF!+#REF!+#REF!+#REF!+#REF!+#REF!+#REF!+#REF!+#REF!+#REF!+#REF!+#REF!+#REF!+#REF!+#REF!+#REF!+#REF!+#REF!+#REF!+#REF!+#REF!+#REF!+#REF!+#REF!+#REF!+#REF!+#REF!+#REF!, "NA")</f>
        <v>NA</v>
      </c>
      <c r="F1" s="7" t="str">
        <f>IFERROR(E1/E3, "NA")</f>
        <v>NA</v>
      </c>
      <c r="G1" s="1"/>
      <c r="H1" s="6" t="str">
        <f>IFERROR(#REF!+#REF!+#REF!+#REF!+#REF!+#REF!+#REF!+#REF!+#REF!+#REF!+#REF!+#REF!+#REF!+#REF!+#REF!+#REF!+#REF!+#REF!+#REF!+#REF!+#REF!+#REF!+#REF!+#REF!+#REF!+#REF!+#REF!+#REF!+#REF!+#REF!+#REF!+#REF!+#REF!+#REF!+#REF!, "NA")</f>
        <v>NA</v>
      </c>
      <c r="I1" s="7" t="str">
        <f>IFERROR(H1/H3, "NA")</f>
        <v>NA</v>
      </c>
      <c r="J1" s="1"/>
      <c r="K1" s="6" t="str">
        <f>IFERROR(#REF!+#REF!+#REF!+#REF!+#REF!+#REF!+#REF!+#REF!+#REF!+#REF!+#REF!+#REF!+#REF!+#REF!+#REF!+#REF!+#REF!+#REF!+#REF!+#REF!+#REF!+#REF!+#REF!+#REF!+#REF!+#REF!+#REF!+#REF!+#REF!+#REF!+#REF!+#REF!+#REF!+#REF!+#REF!, "NA")</f>
        <v>NA</v>
      </c>
      <c r="L1" s="7" t="str">
        <f>IFERROR(K1/K3, "NA")</f>
        <v>NA</v>
      </c>
      <c r="M1" s="1"/>
      <c r="N1" s="6" t="str">
        <f>IFERROR(#REF!+#REF!+#REF!+#REF!+#REF!+#REF!+#REF!+#REF!+#REF!+#REF!+#REF!+#REF!+#REF!+#REF!+#REF!+#REF!+#REF!+#REF!+#REF!+#REF!+#REF!+#REF!+#REF!+#REF!+#REF!+#REF!+#REF!+#REF!+#REF!+#REF!+#REF!+#REF!+#REF!+#REF!+#REF!, "NA")</f>
        <v>NA</v>
      </c>
      <c r="O1" s="7" t="str">
        <f>IFERROR(N1/N3, "NA")</f>
        <v>NA</v>
      </c>
    </row>
    <row r="2" spans="1:15" ht="16.5" customHeight="1" x14ac:dyDescent="0.25">
      <c r="A2" s="2" t="s">
        <v>1</v>
      </c>
      <c r="B2" s="3">
        <v>6519.12</v>
      </c>
      <c r="C2" s="4">
        <f>IFERROR(B2/B3, "NA")</f>
        <v>4.2555641505184719E-2</v>
      </c>
      <c r="D2" s="5"/>
      <c r="E2" s="3">
        <v>22015</v>
      </c>
      <c r="F2" s="4">
        <f>IFERROR(E2/E3, "NA")</f>
        <v>0.2023363111650307</v>
      </c>
      <c r="G2" s="5"/>
      <c r="H2" s="3">
        <v>600</v>
      </c>
      <c r="I2" s="4">
        <f>IFERROR(H2/H3, "NA")</f>
        <v>1.6771019677996421E-2</v>
      </c>
      <c r="J2" s="5"/>
      <c r="K2" s="3">
        <v>5400</v>
      </c>
      <c r="L2" s="4">
        <f>IFERROR(K2/K3, "NA")</f>
        <v>4.1167877802760579E-2</v>
      </c>
      <c r="M2" s="5"/>
      <c r="N2" s="3">
        <v>25100</v>
      </c>
      <c r="O2" s="4">
        <f>IFERROR(N2/N3, "NA")</f>
        <v>0.18988718356076295</v>
      </c>
    </row>
    <row r="3" spans="1:15" ht="15.75" hidden="1" x14ac:dyDescent="0.25">
      <c r="A3" s="9" t="s">
        <v>0</v>
      </c>
      <c r="B3" s="3">
        <v>153190.5</v>
      </c>
      <c r="C3" s="10"/>
      <c r="D3" s="5"/>
      <c r="E3" s="3">
        <v>108804</v>
      </c>
      <c r="F3" s="10"/>
      <c r="G3" s="5"/>
      <c r="H3" s="3">
        <v>35776</v>
      </c>
      <c r="I3" s="10"/>
      <c r="J3" s="5"/>
      <c r="K3" s="3">
        <v>131170.23000000001</v>
      </c>
      <c r="L3" s="10"/>
      <c r="M3" s="5"/>
      <c r="N3" s="3">
        <v>132183.75</v>
      </c>
      <c r="O3" s="10"/>
    </row>
    <row r="6" spans="1:15" ht="15.75" x14ac:dyDescent="0.25">
      <c r="A6" s="11" t="s">
        <v>2</v>
      </c>
    </row>
    <row r="7" spans="1:15" ht="15.75" x14ac:dyDescent="0.25">
      <c r="A7" s="11" t="s">
        <v>3</v>
      </c>
    </row>
    <row r="8" spans="1:15" ht="15.75" x14ac:dyDescent="0.25">
      <c r="A8" s="11" t="s">
        <v>4</v>
      </c>
    </row>
  </sheetData>
  <pageMargins left="0.7" right="0.7" top="0.75" bottom="0.75" header="0.3" footer="0.3"/>
  <ignoredErrors>
    <ignoredError sqref="A1:O1 A3:O8 A2:O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O8"/>
  <sheetViews>
    <sheetView showGridLines="0" workbookViewId="0">
      <pane xSplit="1" ySplit="1" topLeftCell="B2" activePane="bottomRight" state="frozen"/>
      <selection activeCell="C24" sqref="C24"/>
      <selection pane="topRight" activeCell="C24" sqref="C24"/>
      <selection pane="bottomLeft" activeCell="C24" sqref="C24"/>
      <selection pane="bottomRight" activeCell="C24" sqref="C24"/>
    </sheetView>
  </sheetViews>
  <sheetFormatPr defaultRowHeight="15" x14ac:dyDescent="0.25"/>
  <cols>
    <col min="1" max="1" width="42.85546875" customWidth="1"/>
    <col min="2" max="2" width="17.140625" customWidth="1"/>
    <col min="3" max="3" width="9.42578125" customWidth="1"/>
    <col min="4" max="4" width="1.42578125" customWidth="1"/>
    <col min="5" max="5" width="17.140625" customWidth="1"/>
    <col min="6" max="6" width="9.42578125" customWidth="1"/>
    <col min="7" max="7" width="1.42578125" customWidth="1"/>
    <col min="8" max="8" width="17.140625" customWidth="1"/>
    <col min="9" max="9" width="9.42578125" customWidth="1"/>
    <col min="10" max="10" width="1.42578125" customWidth="1"/>
    <col min="11" max="11" width="17.140625" customWidth="1"/>
    <col min="12" max="12" width="9.42578125" customWidth="1"/>
    <col min="13" max="13" width="1.42578125" customWidth="1"/>
    <col min="14" max="14" width="17.140625" customWidth="1"/>
    <col min="15" max="15" width="9.42578125" customWidth="1"/>
  </cols>
  <sheetData>
    <row r="1" spans="1:15" ht="16.5" customHeight="1" x14ac:dyDescent="0.25">
      <c r="A1" s="8" t="s">
        <v>0</v>
      </c>
      <c r="B1" s="6" t="str">
        <f>IFERROR(#REF!+#REF!+#REF!+#REF!+#REF!+#REF!+#REF!+#REF!+#REF!+#REF!+#REF!+#REF!+#REF!+#REF!+#REF!+#REF!+#REF!+#REF!+#REF!+#REF!+#REF!+#REF!+#REF!+#REF!+#REF!+#REF!+#REF!+#REF!+#REF!+#REF!+#REF!+#REF!+#REF!+#REF!+#REF!, "NA")</f>
        <v>NA</v>
      </c>
      <c r="C1" s="7" t="str">
        <f>IFERROR(B1/B3, "NA")</f>
        <v>NA</v>
      </c>
      <c r="D1" s="1"/>
      <c r="E1" s="6" t="str">
        <f>IFERROR(#REF!+#REF!+#REF!+#REF!+#REF!+#REF!+#REF!+#REF!+#REF!+#REF!+#REF!+#REF!+#REF!+#REF!+#REF!+#REF!+#REF!+#REF!+#REF!+#REF!+#REF!+#REF!+#REF!+#REF!+#REF!+#REF!+#REF!+#REF!+#REF!+#REF!+#REF!+#REF!+#REF!+#REF!+#REF!, "NA")</f>
        <v>NA</v>
      </c>
      <c r="F1" s="7" t="str">
        <f>IFERROR(E1/E3, "NA")</f>
        <v>NA</v>
      </c>
      <c r="G1" s="1"/>
      <c r="H1" s="6" t="str">
        <f>IFERROR(#REF!+#REF!+#REF!+#REF!+#REF!+#REF!+#REF!+#REF!+#REF!+#REF!+#REF!+#REF!+#REF!+#REF!+#REF!+#REF!+#REF!+#REF!+#REF!+#REF!+#REF!+#REF!+#REF!+#REF!+#REF!+#REF!+#REF!+#REF!+#REF!+#REF!+#REF!+#REF!+#REF!+#REF!+#REF!, "NA")</f>
        <v>NA</v>
      </c>
      <c r="I1" s="7" t="str">
        <f>IFERROR(H1/H3, "NA")</f>
        <v>NA</v>
      </c>
      <c r="J1" s="1"/>
      <c r="K1" s="6" t="str">
        <f>IFERROR(#REF!+#REF!+#REF!+#REF!+#REF!+#REF!+#REF!+#REF!+#REF!+#REF!+#REF!+#REF!+#REF!+#REF!+#REF!+#REF!+#REF!+#REF!+#REF!+#REF!+#REF!+#REF!+#REF!+#REF!+#REF!+#REF!+#REF!+#REF!+#REF!+#REF!+#REF!+#REF!+#REF!+#REF!+#REF!, "NA")</f>
        <v>NA</v>
      </c>
      <c r="L1" s="7" t="str">
        <f>IFERROR(K1/K3, "NA")</f>
        <v>NA</v>
      </c>
      <c r="M1" s="1"/>
      <c r="N1" s="6" t="str">
        <f>IFERROR(#REF!+#REF!+#REF!+#REF!+#REF!+#REF!+#REF!+#REF!+#REF!+#REF!+#REF!+#REF!+#REF!+#REF!+#REF!+#REF!+#REF!+#REF!+#REF!+#REF!+#REF!+#REF!+#REF!+#REF!+#REF!+#REF!+#REF!+#REF!+#REF!+#REF!+#REF!+#REF!+#REF!+#REF!+#REF!, "NA")</f>
        <v>NA</v>
      </c>
      <c r="O1" s="7" t="str">
        <f>IFERROR(N1/N3, "NA")</f>
        <v>NA</v>
      </c>
    </row>
    <row r="2" spans="1:15" ht="16.5" customHeight="1" x14ac:dyDescent="0.25">
      <c r="A2" s="2" t="s">
        <v>1</v>
      </c>
      <c r="B2" s="3">
        <v>25000</v>
      </c>
      <c r="C2" s="4">
        <f>IFERROR(B2/B3, "NA")</f>
        <v>8.6138855766584643E-2</v>
      </c>
      <c r="D2" s="5"/>
      <c r="E2" s="3">
        <v>19440.04</v>
      </c>
      <c r="F2" s="4">
        <f>IFERROR(E2/E3, "NA")</f>
        <v>0.12059949987291793</v>
      </c>
      <c r="G2" s="5"/>
      <c r="H2" s="3">
        <v>17678.25</v>
      </c>
      <c r="I2" s="4">
        <f>IFERROR(H2/H3, "NA")</f>
        <v>6.3434295228321474E-2</v>
      </c>
      <c r="J2" s="5"/>
      <c r="K2" s="3">
        <v>13299.18</v>
      </c>
      <c r="L2" s="4">
        <f>IFERROR(K2/K3, "NA")</f>
        <v>4.9701399498321266E-2</v>
      </c>
      <c r="M2" s="5"/>
      <c r="N2" s="3">
        <v>8100</v>
      </c>
      <c r="O2" s="4">
        <f>IFERROR(N2/N3, "NA")</f>
        <v>2.4190493506375598E-2</v>
      </c>
    </row>
    <row r="3" spans="1:15" ht="15.75" hidden="1" x14ac:dyDescent="0.25">
      <c r="A3" s="9" t="s">
        <v>0</v>
      </c>
      <c r="B3" s="3">
        <v>290229.07</v>
      </c>
      <c r="C3" s="10"/>
      <c r="D3" s="5"/>
      <c r="E3" s="3">
        <v>161195.03</v>
      </c>
      <c r="F3" s="10"/>
      <c r="G3" s="5"/>
      <c r="H3" s="3">
        <v>278686</v>
      </c>
      <c r="I3" s="10"/>
      <c r="J3" s="5"/>
      <c r="K3" s="3">
        <v>267581.59999999998</v>
      </c>
      <c r="L3" s="10"/>
      <c r="M3" s="5"/>
      <c r="N3" s="3">
        <v>334842.28000000003</v>
      </c>
      <c r="O3" s="10"/>
    </row>
    <row r="6" spans="1:15" ht="15.75" x14ac:dyDescent="0.25">
      <c r="A6" s="11" t="s">
        <v>2</v>
      </c>
    </row>
    <row r="7" spans="1:15" ht="15.75" x14ac:dyDescent="0.25">
      <c r="A7" s="11" t="s">
        <v>3</v>
      </c>
    </row>
    <row r="8" spans="1:15" ht="15.75" x14ac:dyDescent="0.25">
      <c r="A8" s="11" t="s">
        <v>4</v>
      </c>
    </row>
  </sheetData>
  <pageMargins left="0.7" right="0.7" top="0.75" bottom="0.75" header="0.3" footer="0.3"/>
  <ignoredErrors>
    <ignoredError sqref="A1:O1 A3:O8 A2:O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4 - Casa Neos</vt:lpstr>
      <vt:lpstr>11 - CN Lounge Rooftop</vt:lpstr>
      <vt:lpstr>10 - Mila II MM Club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Lavenant</dc:creator>
  <cp:lastModifiedBy>Matthias Lavenant</cp:lastModifiedBy>
  <dcterms:created xsi:type="dcterms:W3CDTF">2026-10-05T13:57:44Z</dcterms:created>
  <dcterms:modified xsi:type="dcterms:W3CDTF">2026-10-05T14:00:29Z</dcterms:modified>
</cp:coreProperties>
</file>