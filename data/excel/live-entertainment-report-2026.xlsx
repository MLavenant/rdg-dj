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4 - Casa Neos" sheetId="1" r:id="rId1"/>
    <sheet name="11 - CN Lounge Rooftop" sheetId="2" r:id="rId2"/>
    <sheet name="2 - MILA Miami, LLC" sheetId="3" r:id="rId3"/>
    <sheet name="10 - Mila II MM Club" sheetId="4" r:id="rId4"/>
  </sheets>
  <definedNames>
    <definedName name="_xlnm.Print_Titles" localSheetId="0">'4 - Casa Neos'!$1:$5</definedName>
    <definedName name="_xlnm.Print_Titles" localSheetId="1">'11 - CN Lounge Rooftop'!$1:$5</definedName>
    <definedName name="_xlnm.Print_Titles" localSheetId="2">'2 - MILA Miami, LLC'!$1:$5</definedName>
    <definedName name="_xlnm.Print_Titles" localSheetId="3">'10 - Mila II MM Club'!$1:$5</definedName>
  </definedNames>
  <calcPr fullCalcOnLoad="1"/>
</workbook>
</file>

<file path=xl/sharedStrings.xml><?xml version="1.0" encoding="utf-8"?>
<sst xmlns="http://schemas.openxmlformats.org/spreadsheetml/2006/main">
  <si>
    <t>P&amp;L - Custom by Week</t>
  </si>
  <si>
    <t>09/01/2026 - 10/11/2026</t>
  </si>
  <si>
    <t>4 - Casa Neos</t>
  </si>
  <si>
    <t/>
  </si>
  <si>
    <t>Week 36</t>
  </si>
  <si>
    <t>Week 37</t>
  </si>
  <si>
    <t>Week 38</t>
  </si>
  <si>
    <t>Week 39</t>
  </si>
  <si>
    <t>Week 40</t>
  </si>
  <si>
    <t>Week 41</t>
  </si>
  <si>
    <t>Sales</t>
  </si>
  <si>
    <t>Food Sales</t>
  </si>
  <si>
    <t>4010 - Food Sales</t>
  </si>
  <si>
    <t>4015 - Commissary sales</t>
  </si>
  <si>
    <t>Total Food Sales</t>
  </si>
  <si>
    <t>4020 - N/A Beverage Sales</t>
  </si>
  <si>
    <t>LBW Sales</t>
  </si>
  <si>
    <t>4100 - LBW Sales</t>
  </si>
  <si>
    <t>4105 - Liquor Sales</t>
  </si>
  <si>
    <t>4165 - Beer Sales</t>
  </si>
  <si>
    <t>4180 - Wine Sales</t>
  </si>
  <si>
    <t>4181 - Wine BTG Sales</t>
  </si>
  <si>
    <t>4182 - Wine Reserve Sales</t>
  </si>
  <si>
    <t>Total LBW Sales</t>
  </si>
  <si>
    <t>Other Sales</t>
  </si>
  <si>
    <t>4209 - Other Sales</t>
  </si>
  <si>
    <t>4210 - Retail Sales</t>
  </si>
  <si>
    <t>4211 - No show / Min not met</t>
  </si>
  <si>
    <t>4215 - Yacht sales</t>
  </si>
  <si>
    <t>4216 - Docking fees Revenue</t>
  </si>
  <si>
    <t>4220 - Membership Revenue</t>
  </si>
  <si>
    <t>4221 - Application Fee Revenue</t>
  </si>
  <si>
    <t>4230 - Retained Service Charge</t>
  </si>
  <si>
    <t>4250 - Service Sales</t>
  </si>
  <si>
    <t>Total Other Sales</t>
  </si>
  <si>
    <t>Hotel Sales</t>
  </si>
  <si>
    <t>4399 - Hotel Sales</t>
  </si>
  <si>
    <t>4301 - Accommodation</t>
  </si>
  <si>
    <t>4310 - Mini Bar</t>
  </si>
  <si>
    <t>4320 - Destination Fee</t>
  </si>
  <si>
    <t>4340 - Other Accommodation</t>
  </si>
  <si>
    <t>Total Hotel Sales</t>
  </si>
  <si>
    <t>Comps &amp; Promotions</t>
  </si>
  <si>
    <t>4900 - Comps &amp; Promotions</t>
  </si>
  <si>
    <t>4910 - Employee Discount</t>
  </si>
  <si>
    <t>4915 - Manager Meal</t>
  </si>
  <si>
    <t>4920 - Positive Comp</t>
  </si>
  <si>
    <t>4924 - Marketing/Promotions</t>
  </si>
  <si>
    <t>4925 - Customer Discounts</t>
  </si>
  <si>
    <t>4926 - Promo G/C</t>
  </si>
  <si>
    <t>4927 - Entertainment staff meal</t>
  </si>
  <si>
    <t>4930 - Negative Comp</t>
  </si>
  <si>
    <t>4933 - Training &amp; Tasting</t>
  </si>
  <si>
    <t>4934 - Corporate Comp</t>
  </si>
  <si>
    <t>4935 - Exec Comp</t>
  </si>
  <si>
    <t>Total Comps &amp; Promotions</t>
  </si>
  <si>
    <t>Total Sales</t>
  </si>
  <si>
    <t>Prime Cost</t>
  </si>
  <si>
    <t>Food Cost</t>
  </si>
  <si>
    <t>5009 - Food Cost</t>
  </si>
  <si>
    <t>5010 - Purchase Produce</t>
  </si>
  <si>
    <t>5020 - Purchase Dairy</t>
  </si>
  <si>
    <t>5030 - Purchase Meat</t>
  </si>
  <si>
    <t>5033 - Purchase Poultry</t>
  </si>
  <si>
    <t>5040 - Purchase Seafood</t>
  </si>
  <si>
    <t>5050 - Purchase Dry Goods</t>
  </si>
  <si>
    <t>5060 - Purchase Bread</t>
  </si>
  <si>
    <t>5070 - Purchase Food Commissary</t>
  </si>
  <si>
    <t>5090 - Purchase Family Meal DNU old</t>
  </si>
  <si>
    <t>Total Food Cost</t>
  </si>
  <si>
    <t>5080 - Purchase N/A Beverages</t>
  </si>
  <si>
    <t>LBW Cost</t>
  </si>
  <si>
    <t>5110 - LBW Cost</t>
  </si>
  <si>
    <t>5120 - Purchase Beer</t>
  </si>
  <si>
    <t>5130 - Purchase Wine BTG</t>
  </si>
  <si>
    <t>5131 - Purchase Wine</t>
  </si>
  <si>
    <t>5132 - Purchase Wine Reserve</t>
  </si>
  <si>
    <t>5170 - Purchase Liquor</t>
  </si>
  <si>
    <t>5174 - Purchase Beverage Commissary</t>
  </si>
  <si>
    <t>5175 - Purchase Bar Consumables</t>
  </si>
  <si>
    <t>Total LBW Cost</t>
  </si>
  <si>
    <t>Purchase Retail</t>
  </si>
  <si>
    <t>5200 - Purchase Retail</t>
  </si>
  <si>
    <t>5210 - Purchase Mini Bar</t>
  </si>
  <si>
    <t>Total Purchase Retail</t>
  </si>
  <si>
    <t>Payroll Expenses</t>
  </si>
  <si>
    <t>5400 - Payroll Expenses</t>
  </si>
  <si>
    <t>Houlry Labor</t>
  </si>
  <si>
    <t>5445 - Houlry Labor</t>
  </si>
  <si>
    <t>5430 - Line Cook</t>
  </si>
  <si>
    <t>5431 - Prep Cook</t>
  </si>
  <si>
    <t>5432 - Pastry Cook</t>
  </si>
  <si>
    <t>5433 - Sushi Cook</t>
  </si>
  <si>
    <t>5435 - Chef de Partie</t>
  </si>
  <si>
    <t>5436 - Butcher</t>
  </si>
  <si>
    <t>5439 - Food EXPO BOH</t>
  </si>
  <si>
    <t>5440 - Dishwashers</t>
  </si>
  <si>
    <t>5447 - Receiver</t>
  </si>
  <si>
    <t>5449 - BOH Contract Labor</t>
  </si>
  <si>
    <t>5450 - Bonus BOH Hourly</t>
  </si>
  <si>
    <t>5451 - Vacation BOH</t>
  </si>
  <si>
    <t>5455 - Host</t>
  </si>
  <si>
    <t>5456 - Reservationist</t>
  </si>
  <si>
    <t>5457 - Receptionnist</t>
  </si>
  <si>
    <t>5460 - Servers</t>
  </si>
  <si>
    <t>5463 - Captain</t>
  </si>
  <si>
    <t>5464 - Sommelier</t>
  </si>
  <si>
    <t>5480 - Server Assistant</t>
  </si>
  <si>
    <t>5481 - Expo FOH</t>
  </si>
  <si>
    <t>5482 - Runner</t>
  </si>
  <si>
    <t>5483 - Bartender</t>
  </si>
  <si>
    <t>5484 - Polisher</t>
  </si>
  <si>
    <t>5485 - Barback</t>
  </si>
  <si>
    <t>5486 - Barista</t>
  </si>
  <si>
    <t>5487 - Maitre d'</t>
  </si>
  <si>
    <t>5488 - Door Person</t>
  </si>
  <si>
    <t>5489 - Bathroom Attendant</t>
  </si>
  <si>
    <t>5492 - Bar Prep</t>
  </si>
  <si>
    <t>5495 - FOH Training</t>
  </si>
  <si>
    <t>5499 - FOH Contract Labor</t>
  </si>
  <si>
    <t>5600 - Dock Master</t>
  </si>
  <si>
    <t>5690 - Commissary Rebilling Labor</t>
  </si>
  <si>
    <t>5700 - 7i make up</t>
  </si>
  <si>
    <t>Total Houlry Labor</t>
  </si>
  <si>
    <t>Total Payroll Expenses</t>
  </si>
  <si>
    <t>Salaries and Wages</t>
  </si>
  <si>
    <t>5800 - Salaries and Wages</t>
  </si>
  <si>
    <t>5810 - FOH Wages</t>
  </si>
  <si>
    <t>5811 - BOH Wages</t>
  </si>
  <si>
    <t>5820 - Reservation and Guest Relations Wages</t>
  </si>
  <si>
    <t>5821 - Marketing and Events Wages</t>
  </si>
  <si>
    <t>5822 - Finance Wages</t>
  </si>
  <si>
    <t>5823 - HR Wages</t>
  </si>
  <si>
    <t>5824 - Membership Wages</t>
  </si>
  <si>
    <t>5825 - OPS Multi-Unit Wages</t>
  </si>
  <si>
    <t xml:space="preserve">5826 - Construction  Wages</t>
  </si>
  <si>
    <t>5827 - F&amp;B dept Wages</t>
  </si>
  <si>
    <t>5828 - IT dept Wages</t>
  </si>
  <si>
    <t>5829 - Asset Management Wages</t>
  </si>
  <si>
    <t>5830 - Executive Wages</t>
  </si>
  <si>
    <t>5831 - RDG Founders Fees</t>
  </si>
  <si>
    <t>5835 - Vacation/PTO/Sick</t>
  </si>
  <si>
    <t>5837 - Severance Pay</t>
  </si>
  <si>
    <t>5840 - RDG Rebilling Management</t>
  </si>
  <si>
    <t>5845 - Contract Labor</t>
  </si>
  <si>
    <t>5850 - Multi-Floor Management</t>
  </si>
  <si>
    <t>5860 - Bonus Management</t>
  </si>
  <si>
    <t>Total Salaries and Wages</t>
  </si>
  <si>
    <t>Payroll Taxes</t>
  </si>
  <si>
    <t>5950 - Payroll Taxes</t>
  </si>
  <si>
    <t>5951 - Payroll Tax Expense</t>
  </si>
  <si>
    <t>5952 - Unemployment Taxes</t>
  </si>
  <si>
    <t>5955 - Retirement plan 401K</t>
  </si>
  <si>
    <t>5960 - Workers Compensation</t>
  </si>
  <si>
    <t>5980 - Rebill Payroll Taxes &amp; Other</t>
  </si>
  <si>
    <t>Total Payroll Taxes</t>
  </si>
  <si>
    <t>5965 - Fringe Benefit - Moving Expense</t>
  </si>
  <si>
    <t>5970 - Group Health Insurance</t>
  </si>
  <si>
    <t>5971 - Group Dental Insurance</t>
  </si>
  <si>
    <t>5972 - Group Vision Insurance</t>
  </si>
  <si>
    <t>5975 - Group Life and other Insurance</t>
  </si>
  <si>
    <t>Total Prime Cost</t>
  </si>
  <si>
    <t>Operating Expense</t>
  </si>
  <si>
    <t>Direct Operating Expenses</t>
  </si>
  <si>
    <t>6100 - Direct Operating Expenses</t>
  </si>
  <si>
    <t>6105 - Automobile</t>
  </si>
  <si>
    <t>6110 - China</t>
  </si>
  <si>
    <t>6120 - Glass</t>
  </si>
  <si>
    <t>6130 - Silverware</t>
  </si>
  <si>
    <t>6200 - Bar Supplies</t>
  </si>
  <si>
    <t>6201 - Ice Expense</t>
  </si>
  <si>
    <t>6210 - Cleaning Supplies</t>
  </si>
  <si>
    <t>6230 - Kitchen Supplies</t>
  </si>
  <si>
    <t>6235 - Kitchen Equipment - Ops</t>
  </si>
  <si>
    <t>6240 - Restaurant Supplies</t>
  </si>
  <si>
    <t>6245 - Restaurant Equipment</t>
  </si>
  <si>
    <t>6246 - Hotel Amenities</t>
  </si>
  <si>
    <t>6247 - Hotel Equipment</t>
  </si>
  <si>
    <t>6250 - Menu supplies</t>
  </si>
  <si>
    <t>6260 - Chemicals/Dish Machine</t>
  </si>
  <si>
    <t>6270 - Disposable Paper Products</t>
  </si>
  <si>
    <t>6280 - Linen</t>
  </si>
  <si>
    <t>6285 - Uniforms</t>
  </si>
  <si>
    <t>6290 - Decorations &amp; Flowers</t>
  </si>
  <si>
    <t>6300 - Commission third party</t>
  </si>
  <si>
    <t>6301 - Commission on Membership</t>
  </si>
  <si>
    <t>6310 - Employee incentive</t>
  </si>
  <si>
    <t>6320 - Family Meal</t>
  </si>
  <si>
    <t>6330 - Menu Research</t>
  </si>
  <si>
    <t>6350 - Buy Out - Event Expenses</t>
  </si>
  <si>
    <t>6500 - Facility Maintenance</t>
  </si>
  <si>
    <t>6505 - Sales incentives</t>
  </si>
  <si>
    <t>6520 - Repairs - Kitchen</t>
  </si>
  <si>
    <t>6530 - Repairs - Facility</t>
  </si>
  <si>
    <t>6532 - Repair - Electrical</t>
  </si>
  <si>
    <t>6534 - Repair - HVAC</t>
  </si>
  <si>
    <t>6540 - Maintenance Contracts</t>
  </si>
  <si>
    <t>6550 - Janitorial</t>
  </si>
  <si>
    <t>6600 - Commissary Direct Opex</t>
  </si>
  <si>
    <t>6610 - License &amp; Permits</t>
  </si>
  <si>
    <t>6750 - Live Entertainment</t>
  </si>
  <si>
    <t>6755 - Members Entertainment</t>
  </si>
  <si>
    <t>6760 - MM at Sea</t>
  </si>
  <si>
    <t>6761 - Docking fees expenses</t>
  </si>
  <si>
    <t>6762 - Operating Yachting Cost</t>
  </si>
  <si>
    <t>6770 - Printing Expense</t>
  </si>
  <si>
    <t>6780 - AVA Coconut Grove</t>
  </si>
  <si>
    <t>6781 - E11even</t>
  </si>
  <si>
    <t>6782 - Vanquish CN</t>
  </si>
  <si>
    <t>6783 - Mila Cannes</t>
  </si>
  <si>
    <t>6784 - GP (Casa Neos)</t>
  </si>
  <si>
    <t>6785 - AVA research and Development</t>
  </si>
  <si>
    <t>6800 - COVID Expenses</t>
  </si>
  <si>
    <t>Total Direct Operating Expenses</t>
  </si>
  <si>
    <t>7205 - 7205(deleted)</t>
  </si>
  <si>
    <t>Total Operating Expense</t>
  </si>
  <si>
    <t>Non Controllable Expense</t>
  </si>
  <si>
    <t>General and Administrative</t>
  </si>
  <si>
    <t>7000 - General and Administrative</t>
  </si>
  <si>
    <t>7010 - Credit Card Fees</t>
  </si>
  <si>
    <t>7015 - Open Table Fees</t>
  </si>
  <si>
    <t>7020 - Dues and Subscriptions</t>
  </si>
  <si>
    <t>7040 - Payroll Processing Fees</t>
  </si>
  <si>
    <t>7050 - Fire &amp; Security</t>
  </si>
  <si>
    <t>7060 - Postage &amp; Delivery</t>
  </si>
  <si>
    <t>7070 - Storage facility</t>
  </si>
  <si>
    <t>7080 - Office Supplies</t>
  </si>
  <si>
    <t>7090 - Computer Supplies</t>
  </si>
  <si>
    <t>7091 - IT Support</t>
  </si>
  <si>
    <t>7092 - IT AI solutions</t>
  </si>
  <si>
    <t>7100 - Cash Short (Over)</t>
  </si>
  <si>
    <t>7110 - Bank Fees</t>
  </si>
  <si>
    <t>7120 - Bad Debts</t>
  </si>
  <si>
    <t>7130 - Business Taxes</t>
  </si>
  <si>
    <t>7140 - Personnel &amp; Recruiting Expenses</t>
  </si>
  <si>
    <t>7145 - Employee settlement</t>
  </si>
  <si>
    <t>7146 - Guest Settlement/Dispute</t>
  </si>
  <si>
    <t>7150 - Training &amp; Seminars</t>
  </si>
  <si>
    <t>7160 - Travel</t>
  </si>
  <si>
    <t>7170 - Meals</t>
  </si>
  <si>
    <t>7175 - General Liability Insurance</t>
  </si>
  <si>
    <t>7176 - Equipment Rental</t>
  </si>
  <si>
    <t>7177 - Parking - Team</t>
  </si>
  <si>
    <t>7178 - Parking - Customer</t>
  </si>
  <si>
    <t>7180 - Commissary General Administrative</t>
  </si>
  <si>
    <t>Total General and Administrative</t>
  </si>
  <si>
    <t>Utilities</t>
  </si>
  <si>
    <t>7500 - Utilities</t>
  </si>
  <si>
    <t>7510 - Telephone</t>
  </si>
  <si>
    <t>7520 - Internet</t>
  </si>
  <si>
    <t>7530 - Cable &amp; Music</t>
  </si>
  <si>
    <t>7540 - Electricity</t>
  </si>
  <si>
    <t>7550 - Gas</t>
  </si>
  <si>
    <t>7570 - Garbage/Recycle</t>
  </si>
  <si>
    <t>7580 - Water &amp; Sewer</t>
  </si>
  <si>
    <t>7700 - Commissary Utilities</t>
  </si>
  <si>
    <t>Total Utilities</t>
  </si>
  <si>
    <t>Occupancy</t>
  </si>
  <si>
    <t>7900 - Occupancy</t>
  </si>
  <si>
    <t>7910 - Rent</t>
  </si>
  <si>
    <t>7911 - Percentage Rent</t>
  </si>
  <si>
    <t>7912 - Prior Year Rent Exp</t>
  </si>
  <si>
    <t>7920 - CAM Charges</t>
  </si>
  <si>
    <t>7930 - Commissary Occupancy</t>
  </si>
  <si>
    <t>7940 - Property Tax</t>
  </si>
  <si>
    <t>9212 - Depreciation ROU</t>
  </si>
  <si>
    <t>9213 - Interest ROU</t>
  </si>
  <si>
    <t>Total Occupancy</t>
  </si>
  <si>
    <t>Other (Income) Expenses</t>
  </si>
  <si>
    <t>8000 - Other (Income) Expenses</t>
  </si>
  <si>
    <t>8010 - Interest Income</t>
  </si>
  <si>
    <t>8020 - Net Rental Real Estate Income/(Loss)</t>
  </si>
  <si>
    <t>8030 - Miscellaneous Income</t>
  </si>
  <si>
    <t>8051 - Mgmt Fee Income - MILA</t>
  </si>
  <si>
    <t>8052 - Mgmt Fee Income - MILA II</t>
  </si>
  <si>
    <t>8053 - Mgmt Fee Income - AVA</t>
  </si>
  <si>
    <t>8054 - Mgmt Fee Income - Baoli</t>
  </si>
  <si>
    <t>8055 - Mgmt Fee Income - CASA NEOS</t>
  </si>
  <si>
    <t>8056 - Mgmt Fee Income - CLAUDIE</t>
  </si>
  <si>
    <t>8057 - Mgmt Fee Income - MMembers</t>
  </si>
  <si>
    <t>8058 - Mgmt Fee Income - AVA CG</t>
  </si>
  <si>
    <t>8059 - Mgmt Fee Income - CN LOUNGE</t>
  </si>
  <si>
    <t>8090 - Service Charge Retained</t>
  </si>
  <si>
    <t>8094 - Private Event Income</t>
  </si>
  <si>
    <t>8095 - Private Event COMM Paid (Wages)</t>
  </si>
  <si>
    <t>8098 - Auto Gratuity Received</t>
  </si>
  <si>
    <t>8099 - Auto Gratuity Wages</t>
  </si>
  <si>
    <t>Total Other (Income) Expenses</t>
  </si>
  <si>
    <t>Total Non Controllable Expense</t>
  </si>
  <si>
    <t>Corporate Overhead &amp; Other</t>
  </si>
  <si>
    <t>Corporate Overhead</t>
  </si>
  <si>
    <t>9000 - Corporate Overhead</t>
  </si>
  <si>
    <t>9010 - Interest Expense</t>
  </si>
  <si>
    <t>9020 - Professional Fees</t>
  </si>
  <si>
    <t>9021 - RDG Tran</t>
  </si>
  <si>
    <t>9030 - Management Fee Expense</t>
  </si>
  <si>
    <t>9045 - Donation</t>
  </si>
  <si>
    <t>9050 - Public Relations</t>
  </si>
  <si>
    <t>9055 - Advertising</t>
  </si>
  <si>
    <t>9060 - Marketing</t>
  </si>
  <si>
    <t>9061 - Promotion Branded Items</t>
  </si>
  <si>
    <t>9062 - New Market Development</t>
  </si>
  <si>
    <t>9065 - Accounting Fees</t>
  </si>
  <si>
    <t>9070 - Executive Bonus</t>
  </si>
  <si>
    <t>9071 - Stock Options Compensation</t>
  </si>
  <si>
    <t>9075 - Federal Tax Expense</t>
  </si>
  <si>
    <t>9080 - Royalty fees</t>
  </si>
  <si>
    <t>9100 - Loan Fees - RDG</t>
  </si>
  <si>
    <t>9205 - Depreciation Expense</t>
  </si>
  <si>
    <t>9206 - Loan Origination Fees Amortization Expense</t>
  </si>
  <si>
    <t>9210 - (Gain)/Loss on Asset Disposal</t>
  </si>
  <si>
    <t>9211 - Deferred Rent Expense (GAAP)</t>
  </si>
  <si>
    <t>9221 - Guaranteed Payments</t>
  </si>
  <si>
    <t>9222 - GP - Medical</t>
  </si>
  <si>
    <t>9225 - Tax Expense State</t>
  </si>
  <si>
    <t>9312 - Executive Salary G&amp;A</t>
  </si>
  <si>
    <t>9345 - Life Insurance</t>
  </si>
  <si>
    <t>9346 - Penalties and fines</t>
  </si>
  <si>
    <t>9500 - Equity in Earnings of Subs</t>
  </si>
  <si>
    <t>9501 - Income Tax Expense (GAAP)</t>
  </si>
  <si>
    <t>Total Corporate Overhead</t>
  </si>
  <si>
    <t>New Location</t>
  </si>
  <si>
    <t>9400 - New Location</t>
  </si>
  <si>
    <t>9410 - New Location COGS</t>
  </si>
  <si>
    <t>9420 - New Location Labor</t>
  </si>
  <si>
    <t>9430 - New Location Operating Cost</t>
  </si>
  <si>
    <t>9440 - New Location Marketing</t>
  </si>
  <si>
    <t>9450 - New Location G&amp;A</t>
  </si>
  <si>
    <t>9460 - New Location Other Expenses</t>
  </si>
  <si>
    <t>9470 - New Location Revenue</t>
  </si>
  <si>
    <t>Total New Location</t>
  </si>
  <si>
    <t>Total Corporate Overhead &amp; Other</t>
  </si>
  <si>
    <t>Net Profit</t>
  </si>
  <si>
    <t>Powered by Restaurant365</t>
  </si>
  <si>
    <t>1</t>
  </si>
  <si>
    <t>10/12/2026 07:12 AM PDT</t>
  </si>
  <si>
    <t>11 - CN Lounge Rooftop</t>
  </si>
  <si>
    <t>2 - MILA Miami, LLC</t>
  </si>
  <si>
    <t>10 - Mila II MM Club</t>
  </si>
</sst>
</file>

<file path=xl/styles.xml><?xml version="1.0" encoding="utf-8"?>
<styleSheet xmlns="http://schemas.openxmlformats.org/spreadsheetml/2006/main">
  <numFmts count="2">
    <numFmt numFmtId="164" formatCode="#,##0.0%"/>
    <numFmt numFmtId="165" formatCode="#,##0.0"/>
  </numFmts>
  <fonts count="9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Alignment="1">
      <alignment horizontal="left" vertical="center" wrapText="1"/>
    </xf>
    <xf numFmtId="4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2"/>
    </xf>
    <xf numFmtId="4" fontId="4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vertical="center"/>
    </xf>
    <xf numFmtId="4" fontId="6" fillId="0" borderId="0" xfId="0" applyNumberFormat="1" applyFont="1" applyAlignment="1">
      <alignment horizontal="left" vertical="center" wrapText="1" indent="1"/>
    </xf>
    <xf numFmtId="4" fontId="6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horizontal="left" vertical="center" wrapText="1" indent="1"/>
    </xf>
    <xf numFmtId="4" fontId="6" fillId="0" borderId="0" xfId="0" applyNumberFormat="1" applyFont="1" applyAlignment="1">
      <alignment horizontal="left" vertical="center" wrapText="1"/>
    </xf>
    <xf numFmtId="0" fontId="6" fillId="0" borderId="0" xfId="0" applyNumberFormat="1" applyFont="1" applyAlignment="1">
      <alignment horizontal="left" vertical="center" wrapText="1" indent="2"/>
    </xf>
    <xf numFmtId="0" fontId="4" fillId="0" borderId="0" xfId="0" applyNumberFormat="1" applyFont="1" applyAlignment="1">
      <alignment horizontal="left" vertical="center" wrapText="1" indent="3"/>
    </xf>
    <xf numFmtId="4" fontId="6" fillId="0" borderId="0" xfId="0" applyNumberFormat="1" applyFont="1" applyAlignment="1">
      <alignment horizontal="left" vertical="center" wrapText="1" indent="2"/>
    </xf>
    <xf numFmtId="0" fontId="4" fillId="0" borderId="0" xfId="0" applyNumberFormat="1" applyFont="1" applyAlignment="1">
      <alignment horizontal="left" vertical="center" wrapText="1"/>
    </xf>
    <xf numFmtId="165" fontId="8" fillId="0" borderId="0" xfId="0" applyNumberFormat="1" applyFont="1" applyAlignment="1">
      <alignment vertical="center"/>
    </xf>
    <xf numFmtId="0" fontId="4" fillId="0" borderId="0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</row>
    <row r="3">
      <c t="s" r="A3" s="3">
        <v>2</v>
      </c>
      <c t="s" r="B3" s="3">
        <v>2</v>
      </c>
      <c t="s" r="C3" s="3">
        <v>2</v>
      </c>
      <c t="s" r="D3" s="3">
        <v>2</v>
      </c>
      <c t="s" r="E3" s="3">
        <v>2</v>
      </c>
      <c t="s" r="F3" s="3">
        <v>2</v>
      </c>
      <c t="s" r="G3" s="3">
        <v>2</v>
      </c>
      <c t="s" r="H3" s="3">
        <v>2</v>
      </c>
      <c t="s" r="I3" s="3">
        <v>2</v>
      </c>
      <c t="s" r="J3" s="3">
        <v>2</v>
      </c>
      <c t="s" r="K3" s="3">
        <v>2</v>
      </c>
      <c t="s" r="L3" s="3">
        <v>2</v>
      </c>
      <c t="s" r="M3" s="3">
        <v>2</v>
      </c>
      <c t="s" r="N3" s="3">
        <v>2</v>
      </c>
      <c t="s" r="O3" s="3">
        <v>2</v>
      </c>
      <c t="s" r="P3" s="3">
        <v>2</v>
      </c>
      <c t="s" r="Q3" s="3">
        <v>2</v>
      </c>
      <c t="s" r="R3" s="3">
        <v>2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8</v>
      </c>
      <c t="s" r="O5" s="6">
        <v>3</v>
      </c>
      <c t="s" r="P5" s="4">
        <v>3</v>
      </c>
      <c t="s" r="Q5" s="5">
        <v>9</v>
      </c>
      <c t="s" r="R5" s="6">
        <v>3</v>
      </c>
    </row>
    <row r="6" ht="16.5" customHeight="1">
      <c t="s" r="A6" s="7">
        <v>10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</row>
    <row r="8" ht="16.5" customHeight="1">
      <c t="s" r="A8" s="12">
        <v>12</v>
      </c>
      <c r="B8" s="13">
        <v>182927</v>
      </c>
      <c r="C8" s="14">
        <f>IFERROR(B8/B329, "NA")</f>
      </c>
      <c r="D8" s="15"/>
      <c r="E8" s="13">
        <v>199434</v>
      </c>
      <c r="F8" s="14">
        <f>IFERROR(E8/E329, "NA")</f>
      </c>
      <c r="G8" s="15"/>
      <c r="H8" s="13">
        <v>192645</v>
      </c>
      <c r="I8" s="14">
        <f>IFERROR(H8/H329, "NA")</f>
      </c>
      <c r="J8" s="15"/>
      <c r="K8" s="13">
        <v>251238</v>
      </c>
      <c r="L8" s="14">
        <f>IFERROR(K8/K329, "NA")</f>
      </c>
      <c r="M8" s="15"/>
      <c r="N8" s="13">
        <v>211864</v>
      </c>
      <c r="O8" s="14">
        <f>IFERROR(N8/N329, "NA")</f>
      </c>
      <c r="P8" s="15"/>
      <c r="Q8" s="13">
        <v>219439.5</v>
      </c>
      <c r="R8" s="14">
        <f>IFERROR(Q8/Q329, "NA")</f>
      </c>
    </row>
    <row r="9" ht="16.5" customHeight="1">
      <c t="s" r="A9" s="12">
        <v>13</v>
      </c>
      <c r="B9" s="13">
        <v>0</v>
      </c>
      <c r="C9" s="14">
        <f>IFERROR(B9/B329, "NA")</f>
      </c>
      <c r="D9" s="15"/>
      <c r="E9" s="13">
        <v>0</v>
      </c>
      <c r="F9" s="14">
        <f>IFERROR(E9/E329, "NA")</f>
      </c>
      <c r="G9" s="15"/>
      <c r="H9" s="13">
        <v>0</v>
      </c>
      <c r="I9" s="14">
        <f>IFERROR(H9/H329, "NA")</f>
      </c>
      <c r="J9" s="15"/>
      <c r="K9" s="13">
        <v>0</v>
      </c>
      <c r="L9" s="14">
        <f>IFERROR(K9/K329, "NA")</f>
      </c>
      <c r="M9" s="15"/>
      <c r="N9" s="13">
        <v>0</v>
      </c>
      <c r="O9" s="14">
        <f>IFERROR(N9/N329, "NA")</f>
      </c>
      <c r="P9" s="15"/>
      <c r="Q9" s="13">
        <v>0</v>
      </c>
      <c r="R9" s="14">
        <f>IFERROR(Q9/Q329, "NA")</f>
      </c>
    </row>
    <row r="10" ht="16.5" customHeight="1">
      <c t="s" r="A10" s="16">
        <v>14</v>
      </c>
      <c r="B10" s="17">
        <f>IFERROR(B8+B9, "NA")</f>
      </c>
      <c r="C10" s="18">
        <f>IFERROR(B10/B329, "NA")</f>
      </c>
      <c r="D10" s="8"/>
      <c r="E10" s="17">
        <f>IFERROR(E8+E9, "NA")</f>
      </c>
      <c r="F10" s="18">
        <f>IFERROR(E10/E329, "NA")</f>
      </c>
      <c r="G10" s="8"/>
      <c r="H10" s="17">
        <f>IFERROR(H8+H9, "NA")</f>
      </c>
      <c r="I10" s="18">
        <f>IFERROR(H10/H329, "NA")</f>
      </c>
      <c r="J10" s="8"/>
      <c r="K10" s="17">
        <f>IFERROR(K8+K9, "NA")</f>
      </c>
      <c r="L10" s="18">
        <f>IFERROR(K10/K329, "NA")</f>
      </c>
      <c r="M10" s="8"/>
      <c r="N10" s="17">
        <f>IFERROR(N8+N9, "NA")</f>
      </c>
      <c r="O10" s="18">
        <f>IFERROR(N10/N329, "NA")</f>
      </c>
      <c r="P10" s="8"/>
      <c r="Q10" s="17">
        <f>IFERROR(Q8+Q9, "NA")</f>
      </c>
      <c r="R10" s="18">
        <f>IFERROR(Q10/Q329, "NA")</f>
      </c>
    </row>
    <row r="11" ht="16.5" customHeight="1">
      <c t="s" r="A11" s="19">
        <v>15</v>
      </c>
      <c r="B11" s="13">
        <v>18769</v>
      </c>
      <c r="C11" s="14">
        <f>IFERROR(B11/B329, "NA")</f>
      </c>
      <c r="D11" s="15"/>
      <c r="E11" s="13">
        <v>20402.990000000002</v>
      </c>
      <c r="F11" s="14">
        <f>IFERROR(E11/E329, "NA")</f>
      </c>
      <c r="G11" s="15"/>
      <c r="H11" s="13">
        <v>20455</v>
      </c>
      <c r="I11" s="14">
        <f>IFERROR(H11/H329, "NA")</f>
      </c>
      <c r="J11" s="15"/>
      <c r="K11" s="13">
        <v>22851</v>
      </c>
      <c r="L11" s="14">
        <f>IFERROR(K11/K329, "NA")</f>
      </c>
      <c r="M11" s="15"/>
      <c r="N11" s="13">
        <v>22603</v>
      </c>
      <c r="O11" s="14">
        <f>IFERROR(N11/N329, "NA")</f>
      </c>
      <c r="P11" s="15"/>
      <c r="Q11" s="13">
        <v>28219</v>
      </c>
      <c r="R11" s="14">
        <f>IFERROR(Q11/Q329, "NA")</f>
      </c>
    </row>
    <row r="12" ht="16.5" customHeight="1">
      <c t="s" r="A12" s="11">
        <v>16</v>
      </c>
      <c r="B12" s="8"/>
      <c r="C12" s="9"/>
      <c r="D12" s="10"/>
      <c r="E12" s="8"/>
      <c r="F12" s="9"/>
      <c r="G12" s="10"/>
      <c r="H12" s="8"/>
      <c r="I12" s="9"/>
      <c r="J12" s="10"/>
      <c r="K12" s="8"/>
      <c r="L12" s="9"/>
      <c r="M12" s="10"/>
      <c r="N12" s="8"/>
      <c r="O12" s="9"/>
      <c r="P12" s="10"/>
      <c r="Q12" s="8"/>
      <c r="R12" s="9"/>
    </row>
    <row r="13" ht="16.5" customHeight="1">
      <c t="s" r="A13" s="12">
        <v>17</v>
      </c>
      <c r="B13" s="13">
        <v>0</v>
      </c>
      <c r="C13" s="14">
        <f>IFERROR(B13/B329, "NA")</f>
      </c>
      <c r="D13" s="15"/>
      <c r="E13" s="13">
        <v>0</v>
      </c>
      <c r="F13" s="14">
        <f>IFERROR(E13/E329, "NA")</f>
      </c>
      <c r="G13" s="15"/>
      <c r="H13" s="13">
        <v>0</v>
      </c>
      <c r="I13" s="14">
        <f>IFERROR(H13/H329, "NA")</f>
      </c>
      <c r="J13" s="15"/>
      <c r="K13" s="13">
        <v>0</v>
      </c>
      <c r="L13" s="14">
        <f>IFERROR(K13/K329, "NA")</f>
      </c>
      <c r="M13" s="15"/>
      <c r="N13" s="13">
        <v>0</v>
      </c>
      <c r="O13" s="14">
        <f>IFERROR(N13/N329, "NA")</f>
      </c>
      <c r="P13" s="15"/>
      <c r="Q13" s="13">
        <v>0</v>
      </c>
      <c r="R13" s="14">
        <f>IFERROR(Q13/Q329, "NA")</f>
      </c>
    </row>
    <row r="14" ht="16.5" customHeight="1">
      <c t="s" r="A14" s="12">
        <v>18</v>
      </c>
      <c r="B14" s="13">
        <v>144065.10000000001</v>
      </c>
      <c r="C14" s="14">
        <f>IFERROR(B14/B329, "NA")</f>
      </c>
      <c r="D14" s="15"/>
      <c r="E14" s="13">
        <v>142389</v>
      </c>
      <c r="F14" s="14">
        <f>IFERROR(E14/E329, "NA")</f>
      </c>
      <c r="G14" s="15"/>
      <c r="H14" s="13">
        <v>154403</v>
      </c>
      <c r="I14" s="14">
        <f>IFERROR(H14/H329, "NA")</f>
      </c>
      <c r="J14" s="15"/>
      <c r="K14" s="13">
        <v>126350</v>
      </c>
      <c r="L14" s="14">
        <f>IFERROR(K14/K329, "NA")</f>
      </c>
      <c r="M14" s="15"/>
      <c r="N14" s="13">
        <v>177697</v>
      </c>
      <c r="O14" s="14">
        <f>IFERROR(N14/N329, "NA")</f>
      </c>
      <c r="P14" s="15"/>
      <c r="Q14" s="13">
        <v>251842</v>
      </c>
      <c r="R14" s="14">
        <f>IFERROR(Q14/Q329, "NA")</f>
      </c>
    </row>
    <row r="15" ht="16.5" customHeight="1">
      <c t="s" r="A15" s="12">
        <v>19</v>
      </c>
      <c r="B15" s="13">
        <v>2268</v>
      </c>
      <c r="C15" s="14">
        <f>IFERROR(B15/B329, "NA")</f>
      </c>
      <c r="D15" s="15"/>
      <c r="E15" s="13">
        <v>1788</v>
      </c>
      <c r="F15" s="14">
        <f>IFERROR(E15/E329, "NA")</f>
      </c>
      <c r="G15" s="15"/>
      <c r="H15" s="13">
        <v>1584</v>
      </c>
      <c r="I15" s="14">
        <f>IFERROR(H15/H329, "NA")</f>
      </c>
      <c r="J15" s="15"/>
      <c r="K15" s="13">
        <v>2676</v>
      </c>
      <c r="L15" s="14">
        <f>IFERROR(K15/K329, "NA")</f>
      </c>
      <c r="M15" s="15"/>
      <c r="N15" s="13">
        <v>2487</v>
      </c>
      <c r="O15" s="14">
        <f>IFERROR(N15/N329, "NA")</f>
      </c>
      <c r="P15" s="15"/>
      <c r="Q15" s="13">
        <v>3140</v>
      </c>
      <c r="R15" s="14">
        <f>IFERROR(Q15/Q329, "NA")</f>
      </c>
    </row>
    <row r="16" ht="16.5" customHeight="1">
      <c t="s" r="A16" s="12">
        <v>20</v>
      </c>
      <c r="B16" s="13">
        <v>34140</v>
      </c>
      <c r="C16" s="14">
        <f>IFERROR(B16/B329, "NA")</f>
      </c>
      <c r="D16" s="15"/>
      <c r="E16" s="13">
        <v>55050</v>
      </c>
      <c r="F16" s="14">
        <f>IFERROR(E16/E329, "NA")</f>
      </c>
      <c r="G16" s="15"/>
      <c r="H16" s="13">
        <v>41780</v>
      </c>
      <c r="I16" s="14">
        <f>IFERROR(H16/H329, "NA")</f>
      </c>
      <c r="J16" s="15"/>
      <c r="K16" s="13">
        <v>56085</v>
      </c>
      <c r="L16" s="14">
        <f>IFERROR(K16/K329, "NA")</f>
      </c>
      <c r="M16" s="15"/>
      <c r="N16" s="13">
        <v>53615</v>
      </c>
      <c r="O16" s="14">
        <f>IFERROR(N16/N329, "NA")</f>
      </c>
      <c r="P16" s="15"/>
      <c r="Q16" s="13">
        <v>107975</v>
      </c>
      <c r="R16" s="14">
        <f>IFERROR(Q16/Q329, "NA")</f>
      </c>
    </row>
    <row r="17" ht="16.5" customHeight="1">
      <c t="s" r="A17" s="12">
        <v>21</v>
      </c>
      <c r="B17" s="13">
        <v>12154</v>
      </c>
      <c r="C17" s="14">
        <f>IFERROR(B17/B329, "NA")</f>
      </c>
      <c r="D17" s="15"/>
      <c r="E17" s="13">
        <v>12789</v>
      </c>
      <c r="F17" s="14">
        <f>IFERROR(E17/E329, "NA")</f>
      </c>
      <c r="G17" s="15"/>
      <c r="H17" s="13">
        <v>11681</v>
      </c>
      <c r="I17" s="14">
        <f>IFERROR(H17/H329, "NA")</f>
      </c>
      <c r="J17" s="15"/>
      <c r="K17" s="13">
        <v>14829</v>
      </c>
      <c r="L17" s="14">
        <f>IFERROR(K17/K329, "NA")</f>
      </c>
      <c r="M17" s="15"/>
      <c r="N17" s="13">
        <v>12677</v>
      </c>
      <c r="O17" s="14">
        <f>IFERROR(N17/N329, "NA")</f>
      </c>
      <c r="P17" s="15"/>
      <c r="Q17" s="13">
        <v>12259</v>
      </c>
      <c r="R17" s="14">
        <f>IFERROR(Q17/Q329, "NA")</f>
      </c>
    </row>
    <row r="18" ht="16.5" customHeight="1">
      <c t="s" r="A18" s="12">
        <v>22</v>
      </c>
      <c r="B18" s="13">
        <v>0</v>
      </c>
      <c r="C18" s="14">
        <f>IFERROR(B18/B329, "NA")</f>
      </c>
      <c r="D18" s="15"/>
      <c r="E18" s="13">
        <v>0</v>
      </c>
      <c r="F18" s="14">
        <f>IFERROR(E18/E329, "NA")</f>
      </c>
      <c r="G18" s="15"/>
      <c r="H18" s="13">
        <v>0</v>
      </c>
      <c r="I18" s="14">
        <f>IFERROR(H18/H329, "NA")</f>
      </c>
      <c r="J18" s="15"/>
      <c r="K18" s="13">
        <v>0</v>
      </c>
      <c r="L18" s="14">
        <f>IFERROR(K18/K329, "NA")</f>
      </c>
      <c r="M18" s="15"/>
      <c r="N18" s="13">
        <v>0</v>
      </c>
      <c r="O18" s="14">
        <f>IFERROR(N18/N329, "NA")</f>
      </c>
      <c r="P18" s="15"/>
      <c r="Q18" s="13">
        <v>0</v>
      </c>
      <c r="R18" s="14">
        <f>IFERROR(Q18/Q329, "NA")</f>
      </c>
    </row>
    <row r="19" ht="16.5" customHeight="1">
      <c t="s" r="A19" s="16">
        <v>23</v>
      </c>
      <c r="B19" s="17">
        <f>IFERROR(B13+B14+B15+B16+B17+B18, "NA")</f>
      </c>
      <c r="C19" s="18">
        <f>IFERROR(B19/B329, "NA")</f>
      </c>
      <c r="D19" s="8"/>
      <c r="E19" s="17">
        <f>IFERROR(E13+E14+E15+E16+E17+E18, "NA")</f>
      </c>
      <c r="F19" s="18">
        <f>IFERROR(E19/E329, "NA")</f>
      </c>
      <c r="G19" s="8"/>
      <c r="H19" s="17">
        <f>IFERROR(H13+H14+H15+H16+H17+H18, "NA")</f>
      </c>
      <c r="I19" s="18">
        <f>IFERROR(H19/H329, "NA")</f>
      </c>
      <c r="J19" s="8"/>
      <c r="K19" s="17">
        <f>IFERROR(K13+K14+K15+K16+K17+K18, "NA")</f>
      </c>
      <c r="L19" s="18">
        <f>IFERROR(K19/K329, "NA")</f>
      </c>
      <c r="M19" s="8"/>
      <c r="N19" s="17">
        <f>IFERROR(N13+N14+N15+N16+N17+N18, "NA")</f>
      </c>
      <c r="O19" s="18">
        <f>IFERROR(N19/N329, "NA")</f>
      </c>
      <c r="P19" s="8"/>
      <c r="Q19" s="17">
        <f>IFERROR(Q13+Q14+Q15+Q16+Q17+Q18, "NA")</f>
      </c>
      <c r="R19" s="18">
        <f>IFERROR(Q19/Q329, "NA")</f>
      </c>
    </row>
    <row r="20" ht="16.5" customHeight="1">
      <c t="s" r="A20" s="11">
        <v>24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</row>
    <row r="21" ht="16.5" customHeight="1">
      <c t="s" r="A21" s="12">
        <v>25</v>
      </c>
      <c r="B21" s="13">
        <v>0</v>
      </c>
      <c r="C21" s="14">
        <f>IFERROR(B21/B329, "NA")</f>
      </c>
      <c r="D21" s="15"/>
      <c r="E21" s="13">
        <v>0</v>
      </c>
      <c r="F21" s="14">
        <f>IFERROR(E21/E329, "NA")</f>
      </c>
      <c r="G21" s="15"/>
      <c r="H21" s="13">
        <v>0</v>
      </c>
      <c r="I21" s="14">
        <f>IFERROR(H21/H329, "NA")</f>
      </c>
      <c r="J21" s="15"/>
      <c r="K21" s="13">
        <v>0</v>
      </c>
      <c r="L21" s="14">
        <f>IFERROR(K21/K329, "NA")</f>
      </c>
      <c r="M21" s="15"/>
      <c r="N21" s="13">
        <v>0</v>
      </c>
      <c r="O21" s="14">
        <f>IFERROR(N21/N329, "NA")</f>
      </c>
      <c r="P21" s="15"/>
      <c r="Q21" s="13">
        <v>0</v>
      </c>
      <c r="R21" s="14">
        <f>IFERROR(Q21/Q329, "NA")</f>
      </c>
    </row>
    <row r="22" ht="16.5" customHeight="1">
      <c t="s" r="A22" s="12">
        <v>26</v>
      </c>
      <c r="B22" s="13">
        <v>360</v>
      </c>
      <c r="C22" s="14">
        <f>IFERROR(B22/B329, "NA")</f>
      </c>
      <c r="D22" s="15"/>
      <c r="E22" s="13">
        <v>170</v>
      </c>
      <c r="F22" s="14">
        <f>IFERROR(E22/E329, "NA")</f>
      </c>
      <c r="G22" s="15"/>
      <c r="H22" s="13">
        <v>122</v>
      </c>
      <c r="I22" s="14">
        <f>IFERROR(H22/H329, "NA")</f>
      </c>
      <c r="J22" s="15"/>
      <c r="K22" s="13">
        <v>0</v>
      </c>
      <c r="L22" s="14">
        <f>IFERROR(K22/K329, "NA")</f>
      </c>
      <c r="M22" s="15"/>
      <c r="N22" s="13">
        <v>1157</v>
      </c>
      <c r="O22" s="14">
        <f>IFERROR(N22/N329, "NA")</f>
      </c>
      <c r="P22" s="15"/>
      <c r="Q22" s="13">
        <v>6051.5699999999997</v>
      </c>
      <c r="R22" s="14">
        <f>IFERROR(Q22/Q329, "NA")</f>
      </c>
    </row>
    <row r="23" ht="16.5" customHeight="1">
      <c t="s" r="A23" s="12">
        <v>27</v>
      </c>
      <c r="B23" s="13">
        <v>0</v>
      </c>
      <c r="C23" s="14">
        <f>IFERROR(B23/B329, "NA")</f>
      </c>
      <c r="D23" s="15"/>
      <c r="E23" s="13">
        <v>4652.1300000000001</v>
      </c>
      <c r="F23" s="14">
        <f>IFERROR(E23/E329, "NA")</f>
      </c>
      <c r="G23" s="15"/>
      <c r="H23" s="13">
        <v>1240.5599999999999</v>
      </c>
      <c r="I23" s="14">
        <f>IFERROR(H23/H329, "NA")</f>
      </c>
      <c r="J23" s="15"/>
      <c r="K23" s="13">
        <v>-1874.7</v>
      </c>
      <c r="L23" s="14">
        <f>IFERROR(K23/K329, "NA")</f>
      </c>
      <c r="M23" s="15"/>
      <c r="N23" s="13">
        <v>934.58000000000004</v>
      </c>
      <c r="O23" s="14">
        <f>IFERROR(N23/N329, "NA")</f>
      </c>
      <c r="P23" s="15"/>
      <c r="Q23" s="13">
        <v>-2297.0799999999999</v>
      </c>
      <c r="R23" s="14">
        <f>IFERROR(Q23/Q329, "NA")</f>
      </c>
    </row>
    <row r="24" ht="16.5" customHeight="1">
      <c t="s" r="A24" s="12">
        <v>28</v>
      </c>
      <c r="B24" s="13">
        <v>0</v>
      </c>
      <c r="C24" s="14">
        <f>IFERROR(B24/B329, "NA")</f>
      </c>
      <c r="D24" s="15"/>
      <c r="E24" s="13">
        <v>0</v>
      </c>
      <c r="F24" s="14">
        <f>IFERROR(E24/E329, "NA")</f>
      </c>
      <c r="G24" s="15"/>
      <c r="H24" s="13">
        <v>0</v>
      </c>
      <c r="I24" s="14">
        <f>IFERROR(H24/H329, "NA")</f>
      </c>
      <c r="J24" s="15"/>
      <c r="K24" s="13">
        <v>0</v>
      </c>
      <c r="L24" s="14">
        <f>IFERROR(K24/K329, "NA")</f>
      </c>
      <c r="M24" s="15"/>
      <c r="N24" s="13">
        <v>0</v>
      </c>
      <c r="O24" s="14">
        <f>IFERROR(N24/N329, "NA")</f>
      </c>
      <c r="P24" s="15"/>
      <c r="Q24" s="13">
        <v>0</v>
      </c>
      <c r="R24" s="14">
        <f>IFERROR(Q24/Q329, "NA")</f>
      </c>
    </row>
    <row r="25" ht="16.5" customHeight="1">
      <c t="s" r="A25" s="12">
        <v>29</v>
      </c>
      <c r="B25" s="13">
        <v>0</v>
      </c>
      <c r="C25" s="14">
        <f>IFERROR(B25/B329, "NA")</f>
      </c>
      <c r="D25" s="15"/>
      <c r="E25" s="13">
        <v>0</v>
      </c>
      <c r="F25" s="14">
        <f>IFERROR(E25/E329, "NA")</f>
      </c>
      <c r="G25" s="15"/>
      <c r="H25" s="13">
        <v>0</v>
      </c>
      <c r="I25" s="14">
        <f>IFERROR(H25/H329, "NA")</f>
      </c>
      <c r="J25" s="15"/>
      <c r="K25" s="13">
        <v>0</v>
      </c>
      <c r="L25" s="14">
        <f>IFERROR(K25/K329, "NA")</f>
      </c>
      <c r="M25" s="15"/>
      <c r="N25" s="13">
        <v>0</v>
      </c>
      <c r="O25" s="14">
        <f>IFERROR(N25/N329, "NA")</f>
      </c>
      <c r="P25" s="15"/>
      <c r="Q25" s="13">
        <v>320</v>
      </c>
      <c r="R25" s="14">
        <f>IFERROR(Q25/Q329, "NA")</f>
      </c>
    </row>
    <row r="26" ht="16.5" customHeight="1">
      <c t="s" r="A26" s="12">
        <v>30</v>
      </c>
      <c r="B26" s="13">
        <v>0</v>
      </c>
      <c r="C26" s="14">
        <f>IFERROR(B26/B329, "NA")</f>
      </c>
      <c r="D26" s="15"/>
      <c r="E26" s="13">
        <v>0</v>
      </c>
      <c r="F26" s="14">
        <f>IFERROR(E26/E329, "NA")</f>
      </c>
      <c r="G26" s="15"/>
      <c r="H26" s="13">
        <v>0</v>
      </c>
      <c r="I26" s="14">
        <f>IFERROR(H26/H329, "NA")</f>
      </c>
      <c r="J26" s="15"/>
      <c r="K26" s="13">
        <v>0</v>
      </c>
      <c r="L26" s="14">
        <f>IFERROR(K26/K329, "NA")</f>
      </c>
      <c r="M26" s="15"/>
      <c r="N26" s="13">
        <v>0</v>
      </c>
      <c r="O26" s="14">
        <f>IFERROR(N26/N329, "NA")</f>
      </c>
      <c r="P26" s="15"/>
      <c r="Q26" s="13">
        <v>0</v>
      </c>
      <c r="R26" s="14">
        <f>IFERROR(Q26/Q329, "NA")</f>
      </c>
    </row>
    <row r="27" ht="16.5" customHeight="1">
      <c t="s" r="A27" s="12">
        <v>31</v>
      </c>
      <c r="B27" s="13">
        <v>0</v>
      </c>
      <c r="C27" s="14">
        <f>IFERROR(B27/B329, "NA")</f>
      </c>
      <c r="D27" s="15"/>
      <c r="E27" s="13">
        <v>0</v>
      </c>
      <c r="F27" s="14">
        <f>IFERROR(E27/E329, "NA")</f>
      </c>
      <c r="G27" s="15"/>
      <c r="H27" s="13">
        <v>0</v>
      </c>
      <c r="I27" s="14">
        <f>IFERROR(H27/H329, "NA")</f>
      </c>
      <c r="J27" s="15"/>
      <c r="K27" s="13">
        <v>0</v>
      </c>
      <c r="L27" s="14">
        <f>IFERROR(K27/K329, "NA")</f>
      </c>
      <c r="M27" s="15"/>
      <c r="N27" s="13">
        <v>0</v>
      </c>
      <c r="O27" s="14">
        <f>IFERROR(N27/N329, "NA")</f>
      </c>
      <c r="P27" s="15"/>
      <c r="Q27" s="13">
        <v>0</v>
      </c>
      <c r="R27" s="14">
        <f>IFERROR(Q27/Q329, "NA")</f>
      </c>
    </row>
    <row r="28" ht="16.5" customHeight="1">
      <c t="s" r="A28" s="12">
        <v>32</v>
      </c>
      <c r="B28" s="13">
        <v>0</v>
      </c>
      <c r="C28" s="14">
        <f>IFERROR(B28/B329, "NA")</f>
      </c>
      <c r="D28" s="15"/>
      <c r="E28" s="13">
        <v>0</v>
      </c>
      <c r="F28" s="14">
        <f>IFERROR(E28/E329, "NA")</f>
      </c>
      <c r="G28" s="15"/>
      <c r="H28" s="13">
        <v>0</v>
      </c>
      <c r="I28" s="14">
        <f>IFERROR(H28/H329, "NA")</f>
      </c>
      <c r="J28" s="15"/>
      <c r="K28" s="13">
        <v>0</v>
      </c>
      <c r="L28" s="14">
        <f>IFERROR(K28/K329, "NA")</f>
      </c>
      <c r="M28" s="15"/>
      <c r="N28" s="13">
        <v>0</v>
      </c>
      <c r="O28" s="14">
        <f>IFERROR(N28/N329, "NA")</f>
      </c>
      <c r="P28" s="15"/>
      <c r="Q28" s="13">
        <v>0</v>
      </c>
      <c r="R28" s="14">
        <f>IFERROR(Q28/Q329, "NA")</f>
      </c>
    </row>
    <row r="29" ht="16.5" customHeight="1">
      <c t="s" r="A29" s="12">
        <v>33</v>
      </c>
      <c r="B29" s="13">
        <v>0</v>
      </c>
      <c r="C29" s="14">
        <f>IFERROR(B29/B329, "NA")</f>
      </c>
      <c r="D29" s="15"/>
      <c r="E29" s="13">
        <v>0</v>
      </c>
      <c r="F29" s="14">
        <f>IFERROR(E29/E329, "NA")</f>
      </c>
      <c r="G29" s="15"/>
      <c r="H29" s="13">
        <v>0</v>
      </c>
      <c r="I29" s="14">
        <f>IFERROR(H29/H329, "NA")</f>
      </c>
      <c r="J29" s="15"/>
      <c r="K29" s="13">
        <v>0</v>
      </c>
      <c r="L29" s="14">
        <f>IFERROR(K29/K329, "NA")</f>
      </c>
      <c r="M29" s="15"/>
      <c r="N29" s="13">
        <v>0</v>
      </c>
      <c r="O29" s="14">
        <f>IFERROR(N29/N329, "NA")</f>
      </c>
      <c r="P29" s="15"/>
      <c r="Q29" s="13">
        <v>0</v>
      </c>
      <c r="R29" s="14">
        <f>IFERROR(Q29/Q329, "NA")</f>
      </c>
    </row>
    <row r="30" ht="16.5" customHeight="1">
      <c t="s" r="A30" s="16">
        <v>34</v>
      </c>
      <c r="B30" s="17">
        <f>IFERROR(B21+B22+B23+B24+B25+B26+B27+B28+B29, "NA")</f>
      </c>
      <c r="C30" s="18">
        <f>IFERROR(B30/B329, "NA")</f>
      </c>
      <c r="D30" s="8"/>
      <c r="E30" s="17">
        <f>IFERROR(E21+E22+E23+E24+E25+E26+E27+E28+E29, "NA")</f>
      </c>
      <c r="F30" s="18">
        <f>IFERROR(E30/E329, "NA")</f>
      </c>
      <c r="G30" s="8"/>
      <c r="H30" s="17">
        <f>IFERROR(H21+H22+H23+H24+H25+H26+H27+H28+H29, "NA")</f>
      </c>
      <c r="I30" s="18">
        <f>IFERROR(H30/H329, "NA")</f>
      </c>
      <c r="J30" s="8"/>
      <c r="K30" s="17">
        <f>IFERROR(K21+K22+K23+K24+K25+K26+K27+K28+K29, "NA")</f>
      </c>
      <c r="L30" s="18">
        <f>IFERROR(K30/K329, "NA")</f>
      </c>
      <c r="M30" s="8"/>
      <c r="N30" s="17">
        <f>IFERROR(N21+N22+N23+N24+N25+N26+N27+N28+N29, "NA")</f>
      </c>
      <c r="O30" s="18">
        <f>IFERROR(N30/N329, "NA")</f>
      </c>
      <c r="P30" s="8"/>
      <c r="Q30" s="17">
        <f>IFERROR(Q21+Q22+Q23+Q24+Q25+Q26+Q27+Q28+Q29, "NA")</f>
      </c>
      <c r="R30" s="18">
        <f>IFERROR(Q30/Q329, "NA")</f>
      </c>
    </row>
    <row r="31" ht="16.5" customHeight="1">
      <c t="s" r="A31" s="11">
        <v>35</v>
      </c>
      <c r="B31" s="8"/>
      <c r="C31" s="9"/>
      <c r="D31" s="10"/>
      <c r="E31" s="8"/>
      <c r="F31" s="9"/>
      <c r="G31" s="10"/>
      <c r="H31" s="8"/>
      <c r="I31" s="9"/>
      <c r="J31" s="10"/>
      <c r="K31" s="8"/>
      <c r="L31" s="9"/>
      <c r="M31" s="10"/>
      <c r="N31" s="8"/>
      <c r="O31" s="9"/>
      <c r="P31" s="10"/>
      <c r="Q31" s="8"/>
      <c r="R31" s="9"/>
    </row>
    <row r="32" ht="16.5" customHeight="1">
      <c t="s" r="A32" s="12">
        <v>36</v>
      </c>
      <c r="B32" s="13">
        <v>0</v>
      </c>
      <c r="C32" s="14">
        <f>IFERROR(B32/B329, "NA")</f>
      </c>
      <c r="D32" s="15"/>
      <c r="E32" s="13">
        <v>0</v>
      </c>
      <c r="F32" s="14">
        <f>IFERROR(E32/E329, "NA")</f>
      </c>
      <c r="G32" s="15"/>
      <c r="H32" s="13">
        <v>0</v>
      </c>
      <c r="I32" s="14">
        <f>IFERROR(H32/H329, "NA")</f>
      </c>
      <c r="J32" s="15"/>
      <c r="K32" s="13">
        <v>0</v>
      </c>
      <c r="L32" s="14">
        <f>IFERROR(K32/K329, "NA")</f>
      </c>
      <c r="M32" s="15"/>
      <c r="N32" s="13">
        <v>0</v>
      </c>
      <c r="O32" s="14">
        <f>IFERROR(N32/N329, "NA")</f>
      </c>
      <c r="P32" s="15"/>
      <c r="Q32" s="13">
        <v>0</v>
      </c>
      <c r="R32" s="14">
        <f>IFERROR(Q32/Q329, "NA")</f>
      </c>
    </row>
    <row r="33" ht="16.5" customHeight="1">
      <c t="s" r="A33" s="12">
        <v>37</v>
      </c>
      <c r="B33" s="13">
        <v>0</v>
      </c>
      <c r="C33" s="14">
        <f>IFERROR(B33/B329, "NA")</f>
      </c>
      <c r="D33" s="15"/>
      <c r="E33" s="13">
        <v>0</v>
      </c>
      <c r="F33" s="14">
        <f>IFERROR(E33/E329, "NA")</f>
      </c>
      <c r="G33" s="15"/>
      <c r="H33" s="13">
        <v>0</v>
      </c>
      <c r="I33" s="14">
        <f>IFERROR(H33/H329, "NA")</f>
      </c>
      <c r="J33" s="15"/>
      <c r="K33" s="13">
        <v>0</v>
      </c>
      <c r="L33" s="14">
        <f>IFERROR(K33/K329, "NA")</f>
      </c>
      <c r="M33" s="15"/>
      <c r="N33" s="13">
        <v>0</v>
      </c>
      <c r="O33" s="14">
        <f>IFERROR(N33/N329, "NA")</f>
      </c>
      <c r="P33" s="15"/>
      <c r="Q33" s="13">
        <v>0</v>
      </c>
      <c r="R33" s="14">
        <f>IFERROR(Q33/Q329, "NA")</f>
      </c>
    </row>
    <row r="34" ht="16.5" customHeight="1">
      <c t="s" r="A34" s="12">
        <v>38</v>
      </c>
      <c r="B34" s="13">
        <v>0</v>
      </c>
      <c r="C34" s="14">
        <f>IFERROR(B34/B329, "NA")</f>
      </c>
      <c r="D34" s="15"/>
      <c r="E34" s="13">
        <v>0</v>
      </c>
      <c r="F34" s="14">
        <f>IFERROR(E34/E329, "NA")</f>
      </c>
      <c r="G34" s="15"/>
      <c r="H34" s="13">
        <v>0</v>
      </c>
      <c r="I34" s="14">
        <f>IFERROR(H34/H329, "NA")</f>
      </c>
      <c r="J34" s="15"/>
      <c r="K34" s="13">
        <v>0</v>
      </c>
      <c r="L34" s="14">
        <f>IFERROR(K34/K329, "NA")</f>
      </c>
      <c r="M34" s="15"/>
      <c r="N34" s="13">
        <v>0</v>
      </c>
      <c r="O34" s="14">
        <f>IFERROR(N34/N329, "NA")</f>
      </c>
      <c r="P34" s="15"/>
      <c r="Q34" s="13">
        <v>0</v>
      </c>
      <c r="R34" s="14">
        <f>IFERROR(Q34/Q329, "NA")</f>
      </c>
    </row>
    <row r="35" ht="16.5" customHeight="1">
      <c t="s" r="A35" s="12">
        <v>39</v>
      </c>
      <c r="B35" s="13">
        <v>0</v>
      </c>
      <c r="C35" s="14">
        <f>IFERROR(B35/B329, "NA")</f>
      </c>
      <c r="D35" s="15"/>
      <c r="E35" s="13">
        <v>0</v>
      </c>
      <c r="F35" s="14">
        <f>IFERROR(E35/E329, "NA")</f>
      </c>
      <c r="G35" s="15"/>
      <c r="H35" s="13">
        <v>0</v>
      </c>
      <c r="I35" s="14">
        <f>IFERROR(H35/H329, "NA")</f>
      </c>
      <c r="J35" s="15"/>
      <c r="K35" s="13">
        <v>0</v>
      </c>
      <c r="L35" s="14">
        <f>IFERROR(K35/K329, "NA")</f>
      </c>
      <c r="M35" s="15"/>
      <c r="N35" s="13">
        <v>0</v>
      </c>
      <c r="O35" s="14">
        <f>IFERROR(N35/N329, "NA")</f>
      </c>
      <c r="P35" s="15"/>
      <c r="Q35" s="13">
        <v>0</v>
      </c>
      <c r="R35" s="14">
        <f>IFERROR(Q35/Q329, "NA")</f>
      </c>
    </row>
    <row r="36" ht="16.5" customHeight="1">
      <c t="s" r="A36" s="12">
        <v>40</v>
      </c>
      <c r="B36" s="13">
        <v>0</v>
      </c>
      <c r="C36" s="14">
        <f>IFERROR(B36/B329, "NA")</f>
      </c>
      <c r="D36" s="15"/>
      <c r="E36" s="13">
        <v>0</v>
      </c>
      <c r="F36" s="14">
        <f>IFERROR(E36/E329, "NA")</f>
      </c>
      <c r="G36" s="15"/>
      <c r="H36" s="13">
        <v>0</v>
      </c>
      <c r="I36" s="14">
        <f>IFERROR(H36/H329, "NA")</f>
      </c>
      <c r="J36" s="15"/>
      <c r="K36" s="13">
        <v>0</v>
      </c>
      <c r="L36" s="14">
        <f>IFERROR(K36/K329, "NA")</f>
      </c>
      <c r="M36" s="15"/>
      <c r="N36" s="13">
        <v>0</v>
      </c>
      <c r="O36" s="14">
        <f>IFERROR(N36/N329, "NA")</f>
      </c>
      <c r="P36" s="15"/>
      <c r="Q36" s="13">
        <v>0</v>
      </c>
      <c r="R36" s="14">
        <f>IFERROR(Q36/Q329, "NA")</f>
      </c>
    </row>
    <row r="37" ht="16.5" customHeight="1">
      <c t="s" r="A37" s="16">
        <v>41</v>
      </c>
      <c r="B37" s="17">
        <f>IFERROR(B32+B33+B34+B35+B36, "NA")</f>
      </c>
      <c r="C37" s="18">
        <f>IFERROR(B37/B329, "NA")</f>
      </c>
      <c r="D37" s="8"/>
      <c r="E37" s="17">
        <f>IFERROR(E32+E33+E34+E35+E36, "NA")</f>
      </c>
      <c r="F37" s="18">
        <f>IFERROR(E37/E329, "NA")</f>
      </c>
      <c r="G37" s="8"/>
      <c r="H37" s="17">
        <f>IFERROR(H32+H33+H34+H35+H36, "NA")</f>
      </c>
      <c r="I37" s="18">
        <f>IFERROR(H37/H329, "NA")</f>
      </c>
      <c r="J37" s="8"/>
      <c r="K37" s="17">
        <f>IFERROR(K32+K33+K34+K35+K36, "NA")</f>
      </c>
      <c r="L37" s="18">
        <f>IFERROR(K37/K329, "NA")</f>
      </c>
      <c r="M37" s="8"/>
      <c r="N37" s="17">
        <f>IFERROR(N32+N33+N34+N35+N36, "NA")</f>
      </c>
      <c r="O37" s="18">
        <f>IFERROR(N37/N329, "NA")</f>
      </c>
      <c r="P37" s="8"/>
      <c r="Q37" s="17">
        <f>IFERROR(Q32+Q33+Q34+Q35+Q36, "NA")</f>
      </c>
      <c r="R37" s="18">
        <f>IFERROR(Q37/Q329, "NA")</f>
      </c>
    </row>
    <row r="38" ht="16.5" customHeight="1">
      <c t="s" r="A38" s="11">
        <v>42</v>
      </c>
      <c r="B38" s="8"/>
      <c r="C38" s="9"/>
      <c r="D38" s="10"/>
      <c r="E38" s="8"/>
      <c r="F38" s="9"/>
      <c r="G38" s="10"/>
      <c r="H38" s="8"/>
      <c r="I38" s="9"/>
      <c r="J38" s="10"/>
      <c r="K38" s="8"/>
      <c r="L38" s="9"/>
      <c r="M38" s="10"/>
      <c r="N38" s="8"/>
      <c r="O38" s="9"/>
      <c r="P38" s="10"/>
      <c r="Q38" s="8"/>
      <c r="R38" s="9"/>
    </row>
    <row r="39" ht="16.5" customHeight="1">
      <c t="s" r="A39" s="12">
        <v>43</v>
      </c>
      <c r="B39" s="13">
        <v>0</v>
      </c>
      <c r="C39" s="14">
        <f>IFERROR(B39/B329, "NA")</f>
      </c>
      <c r="D39" s="15"/>
      <c r="E39" s="13">
        <v>0</v>
      </c>
      <c r="F39" s="14">
        <f>IFERROR(E39/E329, "NA")</f>
      </c>
      <c r="G39" s="15"/>
      <c r="H39" s="13">
        <v>0</v>
      </c>
      <c r="I39" s="14">
        <f>IFERROR(H39/H329, "NA")</f>
      </c>
      <c r="J39" s="15"/>
      <c r="K39" s="13">
        <v>0</v>
      </c>
      <c r="L39" s="14">
        <f>IFERROR(K39/K329, "NA")</f>
      </c>
      <c r="M39" s="15"/>
      <c r="N39" s="13">
        <v>0</v>
      </c>
      <c r="O39" s="14">
        <f>IFERROR(N39/N329, "NA")</f>
      </c>
      <c r="P39" s="15"/>
      <c r="Q39" s="13">
        <v>0</v>
      </c>
      <c r="R39" s="14">
        <f>IFERROR(Q39/Q329, "NA")</f>
      </c>
    </row>
    <row r="40" ht="16.5" customHeight="1">
      <c t="s" r="A40" s="12">
        <v>44</v>
      </c>
      <c r="B40" s="13">
        <v>-83.75</v>
      </c>
      <c r="C40" s="14">
        <f>IFERROR(B40/B329, "NA")</f>
      </c>
      <c r="D40" s="15"/>
      <c r="E40" s="13">
        <v>-46.75</v>
      </c>
      <c r="F40" s="14">
        <f>IFERROR(E40/E329, "NA")</f>
      </c>
      <c r="G40" s="15"/>
      <c r="H40" s="13">
        <v>-109</v>
      </c>
      <c r="I40" s="14">
        <f>IFERROR(H40/H329, "NA")</f>
      </c>
      <c r="J40" s="15"/>
      <c r="K40" s="13">
        <v>-62.5</v>
      </c>
      <c r="L40" s="14">
        <f>IFERROR(K40/K329, "NA")</f>
      </c>
      <c r="M40" s="15"/>
      <c r="N40" s="13">
        <v>-216.5</v>
      </c>
      <c r="O40" s="14">
        <f>IFERROR(N40/N329, "NA")</f>
      </c>
      <c r="P40" s="15"/>
      <c r="Q40" s="13">
        <v>-22.5</v>
      </c>
      <c r="R40" s="14">
        <f>IFERROR(Q40/Q329, "NA")</f>
      </c>
    </row>
    <row r="41" ht="16.5" customHeight="1">
      <c t="s" r="A41" s="12">
        <v>45</v>
      </c>
      <c r="B41" s="13">
        <v>-1826</v>
      </c>
      <c r="C41" s="14">
        <f>IFERROR(B41/B329, "NA")</f>
      </c>
      <c r="D41" s="15"/>
      <c r="E41" s="13">
        <v>-1408</v>
      </c>
      <c r="F41" s="14">
        <f>IFERROR(E41/E329, "NA")</f>
      </c>
      <c r="G41" s="15"/>
      <c r="H41" s="13">
        <v>-1330</v>
      </c>
      <c r="I41" s="14">
        <f>IFERROR(H41/H329, "NA")</f>
      </c>
      <c r="J41" s="15"/>
      <c r="K41" s="13">
        <v>-1594</v>
      </c>
      <c r="L41" s="14">
        <f>IFERROR(K41/K329, "NA")</f>
      </c>
      <c r="M41" s="15"/>
      <c r="N41" s="13">
        <v>-1896</v>
      </c>
      <c r="O41" s="14">
        <f>IFERROR(N41/N329, "NA")</f>
      </c>
      <c r="P41" s="15"/>
      <c r="Q41" s="13">
        <v>-1499</v>
      </c>
      <c r="R41" s="14">
        <f>IFERROR(Q41/Q329, "NA")</f>
      </c>
    </row>
    <row r="42" ht="16.5" customHeight="1">
      <c t="s" r="A42" s="12">
        <v>46</v>
      </c>
      <c r="B42" s="13">
        <v>-2204</v>
      </c>
      <c r="C42" s="14">
        <f>IFERROR(B42/B329, "NA")</f>
      </c>
      <c r="D42" s="15"/>
      <c r="E42" s="13">
        <v>-1230</v>
      </c>
      <c r="F42" s="14">
        <f>IFERROR(E42/E329, "NA")</f>
      </c>
      <c r="G42" s="15"/>
      <c r="H42" s="13">
        <v>-1594</v>
      </c>
      <c r="I42" s="14">
        <f>IFERROR(H42/H329, "NA")</f>
      </c>
      <c r="J42" s="15"/>
      <c r="K42" s="13">
        <v>-1973</v>
      </c>
      <c r="L42" s="14">
        <f>IFERROR(K42/K329, "NA")</f>
      </c>
      <c r="M42" s="15"/>
      <c r="N42" s="13">
        <v>-3120</v>
      </c>
      <c r="O42" s="14">
        <f>IFERROR(N42/N329, "NA")</f>
      </c>
      <c r="P42" s="15"/>
      <c r="Q42" s="13">
        <v>-2568</v>
      </c>
      <c r="R42" s="14">
        <f>IFERROR(Q42/Q329, "NA")</f>
      </c>
    </row>
    <row r="43" ht="16.5" customHeight="1">
      <c t="s" r="A43" s="12">
        <v>47</v>
      </c>
      <c r="B43" s="13">
        <v>-5760</v>
      </c>
      <c r="C43" s="14">
        <f>IFERROR(B43/B329, "NA")</f>
      </c>
      <c r="D43" s="15"/>
      <c r="E43" s="13">
        <v>-9236</v>
      </c>
      <c r="F43" s="14">
        <f>IFERROR(E43/E329, "NA")</f>
      </c>
      <c r="G43" s="15"/>
      <c r="H43" s="13">
        <v>-6941</v>
      </c>
      <c r="I43" s="14">
        <f>IFERROR(H43/H329, "NA")</f>
      </c>
      <c r="J43" s="15"/>
      <c r="K43" s="13">
        <v>-1784</v>
      </c>
      <c r="L43" s="14">
        <f>IFERROR(K43/K329, "NA")</f>
      </c>
      <c r="M43" s="15"/>
      <c r="N43" s="13">
        <v>-8519</v>
      </c>
      <c r="O43" s="14">
        <f>IFERROR(N43/N329, "NA")</f>
      </c>
      <c r="P43" s="15"/>
      <c r="Q43" s="13">
        <v>-12354</v>
      </c>
      <c r="R43" s="14">
        <f>IFERROR(Q43/Q329, "NA")</f>
      </c>
    </row>
    <row r="44" ht="16.5" customHeight="1">
      <c t="s" r="A44" s="12">
        <v>48</v>
      </c>
      <c r="B44" s="13">
        <v>0</v>
      </c>
      <c r="C44" s="14">
        <f>IFERROR(B44/B329, "NA")</f>
      </c>
      <c r="D44" s="15"/>
      <c r="E44" s="13">
        <v>-409</v>
      </c>
      <c r="F44" s="14">
        <f>IFERROR(E44/E329, "NA")</f>
      </c>
      <c r="G44" s="15"/>
      <c r="H44" s="13">
        <v>-73.599999999999994</v>
      </c>
      <c r="I44" s="14">
        <f>IFERROR(H44/H329, "NA")</f>
      </c>
      <c r="J44" s="15"/>
      <c r="K44" s="13">
        <v>-213</v>
      </c>
      <c r="L44" s="14">
        <f>IFERROR(K44/K329, "NA")</f>
      </c>
      <c r="M44" s="15"/>
      <c r="N44" s="13">
        <v>-600</v>
      </c>
      <c r="O44" s="14">
        <f>IFERROR(N44/N329, "NA")</f>
      </c>
      <c r="P44" s="15"/>
      <c r="Q44" s="13">
        <v>-345</v>
      </c>
      <c r="R44" s="14">
        <f>IFERROR(Q44/Q329, "NA")</f>
      </c>
    </row>
    <row r="45" ht="16.5" customHeight="1">
      <c t="s" r="A45" s="12">
        <v>49</v>
      </c>
      <c r="B45" s="13">
        <v>0</v>
      </c>
      <c r="C45" s="14">
        <f>IFERROR(B45/B329, "NA")</f>
      </c>
      <c r="D45" s="15"/>
      <c r="E45" s="13">
        <v>0</v>
      </c>
      <c r="F45" s="14">
        <f>IFERROR(E45/E329, "NA")</f>
      </c>
      <c r="G45" s="15"/>
      <c r="H45" s="13">
        <v>0</v>
      </c>
      <c r="I45" s="14">
        <f>IFERROR(H45/H329, "NA")</f>
      </c>
      <c r="J45" s="15"/>
      <c r="K45" s="13">
        <v>0</v>
      </c>
      <c r="L45" s="14">
        <f>IFERROR(K45/K329, "NA")</f>
      </c>
      <c r="M45" s="15"/>
      <c r="N45" s="13">
        <v>0</v>
      </c>
      <c r="O45" s="14">
        <f>IFERROR(N45/N329, "NA")</f>
      </c>
      <c r="P45" s="15"/>
      <c r="Q45" s="13">
        <v>0</v>
      </c>
      <c r="R45" s="14">
        <f>IFERROR(Q45/Q329, "NA")</f>
      </c>
    </row>
    <row r="46" ht="16.5" customHeight="1">
      <c t="s" r="A46" s="12">
        <v>50</v>
      </c>
      <c r="B46" s="13">
        <v>-1450</v>
      </c>
      <c r="C46" s="14">
        <f>IFERROR(B46/B329, "NA")</f>
      </c>
      <c r="D46" s="15"/>
      <c r="E46" s="13">
        <v>-2377</v>
      </c>
      <c r="F46" s="14">
        <f>IFERROR(E46/E329, "NA")</f>
      </c>
      <c r="G46" s="15"/>
      <c r="H46" s="13">
        <v>-2674</v>
      </c>
      <c r="I46" s="14">
        <f>IFERROR(H46/H329, "NA")</f>
      </c>
      <c r="J46" s="15"/>
      <c r="K46" s="13">
        <v>-815</v>
      </c>
      <c r="L46" s="14">
        <f>IFERROR(K46/K329, "NA")</f>
      </c>
      <c r="M46" s="15"/>
      <c r="N46" s="13">
        <v>-3711</v>
      </c>
      <c r="O46" s="14">
        <f>IFERROR(N46/N329, "NA")</f>
      </c>
      <c r="P46" s="15"/>
      <c r="Q46" s="13">
        <v>-3269</v>
      </c>
      <c r="R46" s="14">
        <f>IFERROR(Q46/Q329, "NA")</f>
      </c>
    </row>
    <row r="47" ht="16.5" customHeight="1">
      <c t="s" r="A47" s="12">
        <v>51</v>
      </c>
      <c r="B47" s="13">
        <v>-5547</v>
      </c>
      <c r="C47" s="14">
        <f>IFERROR(B47/B329, "NA")</f>
      </c>
      <c r="D47" s="15"/>
      <c r="E47" s="13">
        <v>-3534</v>
      </c>
      <c r="F47" s="14">
        <f>IFERROR(E47/E329, "NA")</f>
      </c>
      <c r="G47" s="15"/>
      <c r="H47" s="13">
        <v>-2871</v>
      </c>
      <c r="I47" s="14">
        <f>IFERROR(H47/H329, "NA")</f>
      </c>
      <c r="J47" s="15"/>
      <c r="K47" s="13">
        <v>-5897</v>
      </c>
      <c r="L47" s="14">
        <f>IFERROR(K47/K329, "NA")</f>
      </c>
      <c r="M47" s="15"/>
      <c r="N47" s="13">
        <v>-5866</v>
      </c>
      <c r="O47" s="14">
        <f>IFERROR(N47/N329, "NA")</f>
      </c>
      <c r="P47" s="15"/>
      <c r="Q47" s="13">
        <v>-4654</v>
      </c>
      <c r="R47" s="14">
        <f>IFERROR(Q47/Q329, "NA")</f>
      </c>
    </row>
    <row r="48" ht="16.5" customHeight="1">
      <c t="s" r="A48" s="12">
        <v>52</v>
      </c>
      <c r="B48" s="13">
        <v>-942</v>
      </c>
      <c r="C48" s="14">
        <f>IFERROR(B48/B329, "NA")</f>
      </c>
      <c r="D48" s="15"/>
      <c r="E48" s="13">
        <v>-1646</v>
      </c>
      <c r="F48" s="14">
        <f>IFERROR(E48/E329, "NA")</f>
      </c>
      <c r="G48" s="15"/>
      <c r="H48" s="13">
        <v>-1624</v>
      </c>
      <c r="I48" s="14">
        <f>IFERROR(H48/H329, "NA")</f>
      </c>
      <c r="J48" s="15"/>
      <c r="K48" s="13">
        <v>-1928</v>
      </c>
      <c r="L48" s="14">
        <f>IFERROR(K48/K329, "NA")</f>
      </c>
      <c r="M48" s="15"/>
      <c r="N48" s="13">
        <v>-1422</v>
      </c>
      <c r="O48" s="14">
        <f>IFERROR(N48/N329, "NA")</f>
      </c>
      <c r="P48" s="15"/>
      <c r="Q48" s="13">
        <v>-1203</v>
      </c>
      <c r="R48" s="14">
        <f>IFERROR(Q48/Q329, "NA")</f>
      </c>
    </row>
    <row r="49" ht="16.5" customHeight="1">
      <c t="s" r="A49" s="12">
        <v>53</v>
      </c>
      <c r="B49" s="13">
        <v>0</v>
      </c>
      <c r="C49" s="14">
        <f>IFERROR(B49/B329, "NA")</f>
      </c>
      <c r="D49" s="15"/>
      <c r="E49" s="13">
        <v>0</v>
      </c>
      <c r="F49" s="14">
        <f>IFERROR(E49/E329, "NA")</f>
      </c>
      <c r="G49" s="15"/>
      <c r="H49" s="13">
        <v>0</v>
      </c>
      <c r="I49" s="14">
        <f>IFERROR(H49/H329, "NA")</f>
      </c>
      <c r="J49" s="15"/>
      <c r="K49" s="13">
        <v>0</v>
      </c>
      <c r="L49" s="14">
        <f>IFERROR(K49/K329, "NA")</f>
      </c>
      <c r="M49" s="15"/>
      <c r="N49" s="13">
        <v>0</v>
      </c>
      <c r="O49" s="14">
        <f>IFERROR(N49/N329, "NA")</f>
      </c>
      <c r="P49" s="15"/>
      <c r="Q49" s="13">
        <v>0</v>
      </c>
      <c r="R49" s="14">
        <f>IFERROR(Q49/Q329, "NA")</f>
      </c>
    </row>
    <row r="50" ht="16.5" customHeight="1">
      <c t="s" r="A50" s="12">
        <v>54</v>
      </c>
      <c r="B50" s="13">
        <v>0</v>
      </c>
      <c r="C50" s="14">
        <f>IFERROR(B50/B329, "NA")</f>
      </c>
      <c r="D50" s="15"/>
      <c r="E50" s="13">
        <v>-1125</v>
      </c>
      <c r="F50" s="14">
        <f>IFERROR(E50/E329, "NA")</f>
      </c>
      <c r="G50" s="15"/>
      <c r="H50" s="13">
        <v>0</v>
      </c>
      <c r="I50" s="14">
        <f>IFERROR(H50/H329, "NA")</f>
      </c>
      <c r="J50" s="15"/>
      <c r="K50" s="13">
        <v>-324</v>
      </c>
      <c r="L50" s="14">
        <f>IFERROR(K50/K329, "NA")</f>
      </c>
      <c r="M50" s="15"/>
      <c r="N50" s="13">
        <v>-1238</v>
      </c>
      <c r="O50" s="14">
        <f>IFERROR(N50/N329, "NA")</f>
      </c>
      <c r="P50" s="15"/>
      <c r="Q50" s="13">
        <v>-2808</v>
      </c>
      <c r="R50" s="14">
        <f>IFERROR(Q50/Q329, "NA")</f>
      </c>
    </row>
    <row r="51" ht="16.5" customHeight="1">
      <c t="s" r="A51" s="16">
        <v>55</v>
      </c>
      <c r="B51" s="17">
        <f>IFERROR(B39+B40+B41+B42+B43+B44+B45+B46+B47+B48+B49+B50, "NA")</f>
      </c>
      <c r="C51" s="18">
        <f>IFERROR(B51/B329, "NA")</f>
      </c>
      <c r="D51" s="8"/>
      <c r="E51" s="17">
        <f>IFERROR(E39+E40+E41+E42+E43+E44+E45+E46+E47+E48+E49+E50, "NA")</f>
      </c>
      <c r="F51" s="18">
        <f>IFERROR(E51/E329, "NA")</f>
      </c>
      <c r="G51" s="8"/>
      <c r="H51" s="17">
        <f>IFERROR(H39+H40+H41+H42+H43+H44+H45+H46+H47+H48+H49+H50, "NA")</f>
      </c>
      <c r="I51" s="18">
        <f>IFERROR(H51/H329, "NA")</f>
      </c>
      <c r="J51" s="8"/>
      <c r="K51" s="17">
        <f>IFERROR(K39+K40+K41+K42+K43+K44+K45+K46+K47+K48+K49+K50, "NA")</f>
      </c>
      <c r="L51" s="18">
        <f>IFERROR(K51/K329, "NA")</f>
      </c>
      <c r="M51" s="8"/>
      <c r="N51" s="17">
        <f>IFERROR(N39+N40+N41+N42+N43+N44+N45+N46+N47+N48+N49+N50, "NA")</f>
      </c>
      <c r="O51" s="18">
        <f>IFERROR(N51/N329, "NA")</f>
      </c>
      <c r="P51" s="8"/>
      <c r="Q51" s="17">
        <f>IFERROR(Q39+Q40+Q41+Q42+Q43+Q44+Q45+Q46+Q47+Q48+Q49+Q50, "NA")</f>
      </c>
      <c r="R51" s="18">
        <f>IFERROR(Q51/Q329, "NA")</f>
      </c>
    </row>
    <row r="52" ht="16.5" customHeight="1">
      <c t="s" r="A52" s="20">
        <v>56</v>
      </c>
      <c r="B52" s="17">
        <f>IFERROR(B8+B9+B11+B13+B14+B15+B16+B17+B18+B21+B22+B23+B24+B25+B26+B27+B28+B29+B32+B33+B34+B35+B36+B39+B40+B41+B42+B43+B44+B45+B46+B47+B48+B49+B50, "NA")</f>
      </c>
      <c r="C52" s="18">
        <f>IFERROR(B52/B329, "NA")</f>
      </c>
      <c r="D52" s="8"/>
      <c r="E52" s="17">
        <f>IFERROR(E8+E9+E11+E13+E14+E15+E16+E17+E18+E21+E22+E23+E24+E25+E26+E27+E28+E29+E32+E33+E34+E35+E36+E39+E40+E41+E42+E43+E44+E45+E46+E47+E48+E49+E50, "NA")</f>
      </c>
      <c r="F52" s="18">
        <f>IFERROR(E52/E329, "NA")</f>
      </c>
      <c r="G52" s="8"/>
      <c r="H52" s="17">
        <f>IFERROR(H8+H9+H11+H13+H14+H15+H16+H17+H18+H21+H22+H23+H24+H25+H26+H27+H28+H29+H32+H33+H34+H35+H36+H39+H40+H41+H42+H43+H44+H45+H46+H47+H48+H49+H50, "NA")</f>
      </c>
      <c r="I52" s="18">
        <f>IFERROR(H52/H329, "NA")</f>
      </c>
      <c r="J52" s="8"/>
      <c r="K52" s="17">
        <f>IFERROR(K8+K9+K11+K13+K14+K15+K16+K17+K18+K21+K22+K23+K24+K25+K26+K27+K28+K29+K32+K33+K34+K35+K36+K39+K40+K41+K42+K43+K44+K45+K46+K47+K48+K49+K50, "NA")</f>
      </c>
      <c r="L52" s="18">
        <f>IFERROR(K52/K329, "NA")</f>
      </c>
      <c r="M52" s="8"/>
      <c r="N52" s="17">
        <f>IFERROR(N8+N9+N11+N13+N14+N15+N16+N17+N18+N21+N22+N23+N24+N25+N26+N27+N28+N29+N32+N33+N34+N35+N36+N39+N40+N41+N42+N43+N44+N45+N46+N47+N48+N49+N50, "NA")</f>
      </c>
      <c r="O52" s="18">
        <f>IFERROR(N52/N329, "NA")</f>
      </c>
      <c r="P52" s="8"/>
      <c r="Q52" s="17">
        <f>IFERROR(Q8+Q9+Q11+Q13+Q14+Q15+Q16+Q17+Q18+Q21+Q22+Q23+Q24+Q25+Q26+Q27+Q28+Q29+Q32+Q33+Q34+Q35+Q36+Q39+Q40+Q41+Q42+Q43+Q44+Q45+Q46+Q47+Q48+Q49+Q50, "NA")</f>
      </c>
      <c r="R52" s="18">
        <f>IFERROR(Q52/Q329, "NA")</f>
      </c>
    </row>
    <row r="53" ht="16.5" customHeight="1">
      <c t="s" r="A53" s="7">
        <v>57</v>
      </c>
      <c r="B53" s="8"/>
      <c r="C53" s="9"/>
      <c r="D53" s="10"/>
      <c r="E53" s="8"/>
      <c r="F53" s="9"/>
      <c r="G53" s="10"/>
      <c r="H53" s="8"/>
      <c r="I53" s="9"/>
      <c r="J53" s="10"/>
      <c r="K53" s="8"/>
      <c r="L53" s="9"/>
      <c r="M53" s="10"/>
      <c r="N53" s="8"/>
      <c r="O53" s="9"/>
      <c r="P53" s="10"/>
      <c r="Q53" s="8"/>
      <c r="R53" s="9"/>
    </row>
    <row r="54" ht="16.5" customHeight="1">
      <c t="s" r="A54" s="11">
        <v>58</v>
      </c>
      <c r="B54" s="8"/>
      <c r="C54" s="9"/>
      <c r="D54" s="10"/>
      <c r="E54" s="8"/>
      <c r="F54" s="9"/>
      <c r="G54" s="10"/>
      <c r="H54" s="8"/>
      <c r="I54" s="9"/>
      <c r="J54" s="10"/>
      <c r="K54" s="8"/>
      <c r="L54" s="9"/>
      <c r="M54" s="10"/>
      <c r="N54" s="8"/>
      <c r="O54" s="9"/>
      <c r="P54" s="10"/>
      <c r="Q54" s="8"/>
      <c r="R54" s="9"/>
    </row>
    <row r="55" ht="16.5" customHeight="1">
      <c t="s" r="A55" s="12">
        <v>59</v>
      </c>
      <c r="B55" s="13">
        <v>0</v>
      </c>
      <c r="C55" s="14">
        <f>IFERROR(B55/B329, "NA")</f>
      </c>
      <c r="D55" s="15"/>
      <c r="E55" s="13">
        <v>0</v>
      </c>
      <c r="F55" s="14">
        <f>IFERROR(E55/E329, "NA")</f>
      </c>
      <c r="G55" s="15"/>
      <c r="H55" s="13">
        <v>0</v>
      </c>
      <c r="I55" s="14">
        <f>IFERROR(H55/H329, "NA")</f>
      </c>
      <c r="J55" s="15"/>
      <c r="K55" s="13">
        <v>0</v>
      </c>
      <c r="L55" s="14">
        <f>IFERROR(K55/K329, "NA")</f>
      </c>
      <c r="M55" s="15"/>
      <c r="N55" s="13">
        <v>0</v>
      </c>
      <c r="O55" s="14">
        <f>IFERROR(N55/N329, "NA")</f>
      </c>
      <c r="P55" s="15"/>
      <c r="Q55" s="13">
        <v>0</v>
      </c>
      <c r="R55" s="14">
        <f>IFERROR(Q55/Q329, "NA")</f>
      </c>
    </row>
    <row r="56" ht="16.5" customHeight="1">
      <c t="s" r="A56" s="12">
        <v>60</v>
      </c>
      <c r="B56" s="13">
        <v>6453.4499999999998</v>
      </c>
      <c r="C56" s="14">
        <f>IFERROR(B56/B329, "NA")</f>
      </c>
      <c r="D56" s="15"/>
      <c r="E56" s="13">
        <v>8233.2299999999996</v>
      </c>
      <c r="F56" s="14">
        <f>IFERROR(E56/E329, "NA")</f>
      </c>
      <c r="G56" s="15"/>
      <c r="H56" s="13">
        <v>6722.9700000000003</v>
      </c>
      <c r="I56" s="14">
        <f>IFERROR(H56/H329, "NA")</f>
      </c>
      <c r="J56" s="15"/>
      <c r="K56" s="13">
        <v>5482.1400000000003</v>
      </c>
      <c r="L56" s="14">
        <f>IFERROR(K56/K329, "NA")</f>
      </c>
      <c r="M56" s="15"/>
      <c r="N56" s="13">
        <v>7535.7700000000004</v>
      </c>
      <c r="O56" s="14">
        <f>IFERROR(N56/N329, "NA")</f>
      </c>
      <c r="P56" s="15"/>
      <c r="Q56" s="13">
        <v>12344.559999999999</v>
      </c>
      <c r="R56" s="14">
        <f>IFERROR(Q56/Q329, "NA")</f>
      </c>
    </row>
    <row r="57" ht="16.5" customHeight="1">
      <c t="s" r="A57" s="12">
        <v>61</v>
      </c>
      <c r="B57" s="13">
        <v>1418</v>
      </c>
      <c r="C57" s="14">
        <f>IFERROR(B57/B329, "NA")</f>
      </c>
      <c r="D57" s="15"/>
      <c r="E57" s="13">
        <v>3394.6700000000001</v>
      </c>
      <c r="F57" s="14">
        <f>IFERROR(E57/E329, "NA")</f>
      </c>
      <c r="G57" s="15"/>
      <c r="H57" s="13">
        <v>2509.7800000000002</v>
      </c>
      <c r="I57" s="14">
        <f>IFERROR(H57/H329, "NA")</f>
      </c>
      <c r="J57" s="15"/>
      <c r="K57" s="13">
        <v>2791.98</v>
      </c>
      <c r="L57" s="14">
        <f>IFERROR(K57/K329, "NA")</f>
      </c>
      <c r="M57" s="15"/>
      <c r="N57" s="13">
        <v>2803.4299999999998</v>
      </c>
      <c r="O57" s="14">
        <f>IFERROR(N57/N329, "NA")</f>
      </c>
      <c r="P57" s="15"/>
      <c r="Q57" s="13">
        <v>3854.9499999999998</v>
      </c>
      <c r="R57" s="14">
        <f>IFERROR(Q57/Q329, "NA")</f>
      </c>
    </row>
    <row r="58" ht="16.5" customHeight="1">
      <c t="s" r="A58" s="12">
        <v>62</v>
      </c>
      <c r="B58" s="13">
        <v>9774.9899999999998</v>
      </c>
      <c r="C58" s="14">
        <f>IFERROR(B58/B329, "NA")</f>
      </c>
      <c r="D58" s="15"/>
      <c r="E58" s="13">
        <v>9980.25</v>
      </c>
      <c r="F58" s="14">
        <f>IFERROR(E58/E329, "NA")</f>
      </c>
      <c r="G58" s="15"/>
      <c r="H58" s="13">
        <v>9395.2600000000002</v>
      </c>
      <c r="I58" s="14">
        <f>IFERROR(H58/H329, "NA")</f>
      </c>
      <c r="J58" s="15"/>
      <c r="K58" s="13">
        <v>12842.719999999999</v>
      </c>
      <c r="L58" s="14">
        <f>IFERROR(K58/K329, "NA")</f>
      </c>
      <c r="M58" s="15"/>
      <c r="N58" s="13">
        <v>12246.690000000001</v>
      </c>
      <c r="O58" s="14">
        <f>IFERROR(N58/N329, "NA")</f>
      </c>
      <c r="P58" s="15"/>
      <c r="Q58" s="13">
        <v>20082.82</v>
      </c>
      <c r="R58" s="14">
        <f>IFERROR(Q58/Q329, "NA")</f>
      </c>
    </row>
    <row r="59" ht="16.5" customHeight="1">
      <c t="s" r="A59" s="12">
        <v>63</v>
      </c>
      <c r="B59" s="13">
        <v>673.25</v>
      </c>
      <c r="C59" s="14">
        <f>IFERROR(B59/B329, "NA")</f>
      </c>
      <c r="D59" s="15"/>
      <c r="E59" s="13">
        <v>1153.2</v>
      </c>
      <c r="F59" s="14">
        <f>IFERROR(E59/E329, "NA")</f>
      </c>
      <c r="G59" s="15"/>
      <c r="H59" s="13">
        <v>1152.04</v>
      </c>
      <c r="I59" s="14">
        <f>IFERROR(H59/H329, "NA")</f>
      </c>
      <c r="J59" s="15"/>
      <c r="K59" s="13">
        <v>664.78999999999996</v>
      </c>
      <c r="L59" s="14">
        <f>IFERROR(K59/K329, "NA")</f>
      </c>
      <c r="M59" s="15"/>
      <c r="N59" s="13">
        <v>765.88</v>
      </c>
      <c r="O59" s="14">
        <f>IFERROR(N59/N329, "NA")</f>
      </c>
      <c r="P59" s="15"/>
      <c r="Q59" s="13">
        <v>1425.3399999999999</v>
      </c>
      <c r="R59" s="14">
        <f>IFERROR(Q59/Q329, "NA")</f>
      </c>
    </row>
    <row r="60" ht="16.5" customHeight="1">
      <c t="s" r="A60" s="12">
        <v>64</v>
      </c>
      <c r="B60" s="13">
        <v>13954.530000000001</v>
      </c>
      <c r="C60" s="14">
        <f>IFERROR(B60/B329, "NA")</f>
      </c>
      <c r="D60" s="15"/>
      <c r="E60" s="13">
        <v>17827.529999999999</v>
      </c>
      <c r="F60" s="14">
        <f>IFERROR(E60/E329, "NA")</f>
      </c>
      <c r="G60" s="15"/>
      <c r="H60" s="13">
        <v>17301.599999999999</v>
      </c>
      <c r="I60" s="14">
        <f>IFERROR(H60/H329, "NA")</f>
      </c>
      <c r="J60" s="15"/>
      <c r="K60" s="13">
        <v>27863.09</v>
      </c>
      <c r="L60" s="14">
        <f>IFERROR(K60/K329, "NA")</f>
      </c>
      <c r="M60" s="15"/>
      <c r="N60" s="13">
        <v>12549.57</v>
      </c>
      <c r="O60" s="14">
        <f>IFERROR(N60/N329, "NA")</f>
      </c>
      <c r="P60" s="15"/>
      <c r="Q60" s="13">
        <v>45380.269999999997</v>
      </c>
      <c r="R60" s="14">
        <f>IFERROR(Q60/Q329, "NA")</f>
      </c>
    </row>
    <row r="61" ht="16.5" customHeight="1">
      <c t="s" r="A61" s="12">
        <v>65</v>
      </c>
      <c r="B61" s="13">
        <v>7981.8299999999999</v>
      </c>
      <c r="C61" s="14">
        <f>IFERROR(B61/B329, "NA")</f>
      </c>
      <c r="D61" s="15"/>
      <c r="E61" s="13">
        <v>7787.21</v>
      </c>
      <c r="F61" s="14">
        <f>IFERROR(E61/E329, "NA")</f>
      </c>
      <c r="G61" s="15"/>
      <c r="H61" s="13">
        <v>9628.8099999999995</v>
      </c>
      <c r="I61" s="14">
        <f>IFERROR(H61/H329, "NA")</f>
      </c>
      <c r="J61" s="15"/>
      <c r="K61" s="13">
        <v>9178.5400000000009</v>
      </c>
      <c r="L61" s="14">
        <f>IFERROR(K61/K329, "NA")</f>
      </c>
      <c r="M61" s="15"/>
      <c r="N61" s="13">
        <v>10119.73</v>
      </c>
      <c r="O61" s="14">
        <f>IFERROR(N61/N329, "NA")</f>
      </c>
      <c r="P61" s="15"/>
      <c r="Q61" s="13">
        <v>45568.93</v>
      </c>
      <c r="R61" s="14">
        <f>IFERROR(Q61/Q329, "NA")</f>
      </c>
    </row>
    <row r="62" ht="16.5" customHeight="1">
      <c t="s" r="A62" s="12">
        <v>66</v>
      </c>
      <c r="B62" s="13">
        <v>1759.74</v>
      </c>
      <c r="C62" s="14">
        <f>IFERROR(B62/B329, "NA")</f>
      </c>
      <c r="D62" s="15"/>
      <c r="E62" s="13">
        <v>2085.4200000000001</v>
      </c>
      <c r="F62" s="14">
        <f>IFERROR(E62/E329, "NA")</f>
      </c>
      <c r="G62" s="15"/>
      <c r="H62" s="13">
        <v>2087.8699999999999</v>
      </c>
      <c r="I62" s="14">
        <f>IFERROR(H62/H329, "NA")</f>
      </c>
      <c r="J62" s="15"/>
      <c r="K62" s="13">
        <v>1954.8399999999999</v>
      </c>
      <c r="L62" s="14">
        <f>IFERROR(K62/K329, "NA")</f>
      </c>
      <c r="M62" s="15"/>
      <c r="N62" s="13">
        <v>1563.9100000000001</v>
      </c>
      <c r="O62" s="14">
        <f>IFERROR(N62/N329, "NA")</f>
      </c>
      <c r="P62" s="15"/>
      <c r="Q62" s="13">
        <v>1857.8800000000001</v>
      </c>
      <c r="R62" s="14">
        <f>IFERROR(Q62/Q329, "NA")</f>
      </c>
    </row>
    <row r="63" ht="16.5" customHeight="1">
      <c t="s" r="A63" s="12">
        <v>67</v>
      </c>
      <c r="B63" s="13">
        <v>1968.74</v>
      </c>
      <c r="C63" s="14">
        <f>IFERROR(B63/B329, "NA")</f>
      </c>
      <c r="D63" s="15"/>
      <c r="E63" s="13">
        <v>2005.3399999999999</v>
      </c>
      <c r="F63" s="14">
        <f>IFERROR(E63/E329, "NA")</f>
      </c>
      <c r="G63" s="15"/>
      <c r="H63" s="13">
        <v>2083.27</v>
      </c>
      <c r="I63" s="14">
        <f>IFERROR(H63/H329, "NA")</f>
      </c>
      <c r="J63" s="15"/>
      <c r="K63" s="13">
        <v>2418.9299999999998</v>
      </c>
      <c r="L63" s="14">
        <f>IFERROR(K63/K329, "NA")</f>
      </c>
      <c r="M63" s="15"/>
      <c r="N63" s="13">
        <v>2919.9400000000001</v>
      </c>
      <c r="O63" s="14">
        <f>IFERROR(N63/N329, "NA")</f>
      </c>
      <c r="P63" s="15"/>
      <c r="Q63" s="13">
        <v>2624.6700000000001</v>
      </c>
      <c r="R63" s="14">
        <f>IFERROR(Q63/Q329, "NA")</f>
      </c>
    </row>
    <row r="64" ht="16.5" customHeight="1">
      <c t="s" r="A64" s="12">
        <v>68</v>
      </c>
      <c r="B64" s="13">
        <v>0</v>
      </c>
      <c r="C64" s="14">
        <f>IFERROR(B64/B329, "NA")</f>
      </c>
      <c r="D64" s="15"/>
      <c r="E64" s="13">
        <v>0</v>
      </c>
      <c r="F64" s="14">
        <f>IFERROR(E64/E329, "NA")</f>
      </c>
      <c r="G64" s="15"/>
      <c r="H64" s="13">
        <v>0</v>
      </c>
      <c r="I64" s="14">
        <f>IFERROR(H64/H329, "NA")</f>
      </c>
      <c r="J64" s="15"/>
      <c r="K64" s="13">
        <v>0</v>
      </c>
      <c r="L64" s="14">
        <f>IFERROR(K64/K329, "NA")</f>
      </c>
      <c r="M64" s="15"/>
      <c r="N64" s="13">
        <v>0</v>
      </c>
      <c r="O64" s="14">
        <f>IFERROR(N64/N329, "NA")</f>
      </c>
      <c r="P64" s="15"/>
      <c r="Q64" s="13">
        <v>0</v>
      </c>
      <c r="R64" s="14">
        <f>IFERROR(Q64/Q329, "NA")</f>
      </c>
    </row>
    <row r="65" ht="16.5" customHeight="1">
      <c t="s" r="A65" s="16">
        <v>69</v>
      </c>
      <c r="B65" s="17">
        <f>IFERROR(B55+B56+B57+B58+B59+B60+B61+B62+B63+B64, "NA")</f>
      </c>
      <c r="C65" s="18">
        <f>IFERROR(B65/B329, "NA")</f>
      </c>
      <c r="D65" s="8"/>
      <c r="E65" s="17">
        <f>IFERROR(E55+E56+E57+E58+E59+E60+E61+E62+E63+E64, "NA")</f>
      </c>
      <c r="F65" s="18">
        <f>IFERROR(E65/E329, "NA")</f>
      </c>
      <c r="G65" s="8"/>
      <c r="H65" s="17">
        <f>IFERROR(H55+H56+H57+H58+H59+H60+H61+H62+H63+H64, "NA")</f>
      </c>
      <c r="I65" s="18">
        <f>IFERROR(H65/H329, "NA")</f>
      </c>
      <c r="J65" s="8"/>
      <c r="K65" s="17">
        <f>IFERROR(K55+K56+K57+K58+K59+K60+K61+K62+K63+K64, "NA")</f>
      </c>
      <c r="L65" s="18">
        <f>IFERROR(K65/K329, "NA")</f>
      </c>
      <c r="M65" s="8"/>
      <c r="N65" s="17">
        <f>IFERROR(N55+N56+N57+N58+N59+N60+N61+N62+N63+N64, "NA")</f>
      </c>
      <c r="O65" s="18">
        <f>IFERROR(N65/N329, "NA")</f>
      </c>
      <c r="P65" s="8"/>
      <c r="Q65" s="17">
        <f>IFERROR(Q55+Q56+Q57+Q58+Q59+Q60+Q61+Q62+Q63+Q64, "NA")</f>
      </c>
      <c r="R65" s="18">
        <f>IFERROR(Q65/Q329, "NA")</f>
      </c>
    </row>
    <row r="66" ht="16.5" customHeight="1">
      <c t="s" r="A66" s="19">
        <v>70</v>
      </c>
      <c r="B66" s="13">
        <v>5664.3699999999999</v>
      </c>
      <c r="C66" s="14">
        <f>IFERROR(B66/B329, "NA")</f>
      </c>
      <c r="D66" s="15"/>
      <c r="E66" s="13">
        <v>3887.23</v>
      </c>
      <c r="F66" s="14">
        <f>IFERROR(E66/E329, "NA")</f>
      </c>
      <c r="G66" s="15"/>
      <c r="H66" s="13">
        <v>4235.2799999999997</v>
      </c>
      <c r="I66" s="14">
        <f>IFERROR(H66/H329, "NA")</f>
      </c>
      <c r="J66" s="15"/>
      <c r="K66" s="13">
        <v>3783.77</v>
      </c>
      <c r="L66" s="14">
        <f>IFERROR(K66/K329, "NA")</f>
      </c>
      <c r="M66" s="15"/>
      <c r="N66" s="13">
        <v>3631.6700000000001</v>
      </c>
      <c r="O66" s="14">
        <f>IFERROR(N66/N329, "NA")</f>
      </c>
      <c r="P66" s="15"/>
      <c r="Q66" s="13">
        <v>1615.25</v>
      </c>
      <c r="R66" s="14">
        <f>IFERROR(Q66/Q329, "NA")</f>
      </c>
    </row>
    <row r="67" ht="16.5" customHeight="1">
      <c t="s" r="A67" s="11">
        <v>71</v>
      </c>
      <c r="B67" s="8"/>
      <c r="C67" s="9"/>
      <c r="D67" s="10"/>
      <c r="E67" s="8"/>
      <c r="F67" s="9"/>
      <c r="G67" s="10"/>
      <c r="H67" s="8"/>
      <c r="I67" s="9"/>
      <c r="J67" s="10"/>
      <c r="K67" s="8"/>
      <c r="L67" s="9"/>
      <c r="M67" s="10"/>
      <c r="N67" s="8"/>
      <c r="O67" s="9"/>
      <c r="P67" s="10"/>
      <c r="Q67" s="8"/>
      <c r="R67" s="9"/>
    </row>
    <row r="68" ht="16.5" customHeight="1">
      <c t="s" r="A68" s="12">
        <v>72</v>
      </c>
      <c r="B68" s="13">
        <v>0</v>
      </c>
      <c r="C68" s="14">
        <f>IFERROR(B68/B329, "NA")</f>
      </c>
      <c r="D68" s="15"/>
      <c r="E68" s="13">
        <v>0</v>
      </c>
      <c r="F68" s="14">
        <f>IFERROR(E68/E329, "NA")</f>
      </c>
      <c r="G68" s="15"/>
      <c r="H68" s="13">
        <v>0</v>
      </c>
      <c r="I68" s="14">
        <f>IFERROR(H68/H329, "NA")</f>
      </c>
      <c r="J68" s="15"/>
      <c r="K68" s="13">
        <v>0</v>
      </c>
      <c r="L68" s="14">
        <f>IFERROR(K68/K329, "NA")</f>
      </c>
      <c r="M68" s="15"/>
      <c r="N68" s="13">
        <v>0</v>
      </c>
      <c r="O68" s="14">
        <f>IFERROR(N68/N329, "NA")</f>
      </c>
      <c r="P68" s="15"/>
      <c r="Q68" s="13">
        <v>0</v>
      </c>
      <c r="R68" s="14">
        <f>IFERROR(Q68/Q329, "NA")</f>
      </c>
    </row>
    <row r="69" ht="16.5" customHeight="1">
      <c t="s" r="A69" s="12">
        <v>73</v>
      </c>
      <c r="B69" s="13">
        <v>350.67000000000002</v>
      </c>
      <c r="C69" s="14">
        <f>IFERROR(B69/B329, "NA")</f>
      </c>
      <c r="D69" s="15"/>
      <c r="E69" s="13">
        <v>269.63</v>
      </c>
      <c r="F69" s="14">
        <f>IFERROR(E69/E329, "NA")</f>
      </c>
      <c r="G69" s="15"/>
      <c r="H69" s="13">
        <v>228.55000000000001</v>
      </c>
      <c r="I69" s="14">
        <f>IFERROR(H69/H329, "NA")</f>
      </c>
      <c r="J69" s="15"/>
      <c r="K69" s="13">
        <v>392.31999999999999</v>
      </c>
      <c r="L69" s="14">
        <f>IFERROR(K69/K329, "NA")</f>
      </c>
      <c r="M69" s="15"/>
      <c r="N69" s="13">
        <v>397.19</v>
      </c>
      <c r="O69" s="14">
        <f>IFERROR(N69/N329, "NA")</f>
      </c>
      <c r="P69" s="15"/>
      <c r="Q69" s="13">
        <v>168</v>
      </c>
      <c r="R69" s="14">
        <f>IFERROR(Q69/Q329, "NA")</f>
      </c>
    </row>
    <row r="70" ht="16.5" customHeight="1">
      <c t="s" r="A70" s="12">
        <v>74</v>
      </c>
      <c r="B70" s="13">
        <v>0</v>
      </c>
      <c r="C70" s="14">
        <f>IFERROR(B70/B329, "NA")</f>
      </c>
      <c r="D70" s="15"/>
      <c r="E70" s="13">
        <v>0</v>
      </c>
      <c r="F70" s="14">
        <f>IFERROR(E70/E329, "NA")</f>
      </c>
      <c r="G70" s="15"/>
      <c r="H70" s="13">
        <v>0</v>
      </c>
      <c r="I70" s="14">
        <f>IFERROR(H70/H329, "NA")</f>
      </c>
      <c r="J70" s="15"/>
      <c r="K70" s="13">
        <v>3513.9000000000001</v>
      </c>
      <c r="L70" s="14">
        <f>IFERROR(K70/K329, "NA")</f>
      </c>
      <c r="M70" s="15"/>
      <c r="N70" s="13">
        <v>0</v>
      </c>
      <c r="O70" s="14">
        <f>IFERROR(N70/N329, "NA")</f>
      </c>
      <c r="P70" s="15"/>
      <c r="Q70" s="13">
        <v>0</v>
      </c>
      <c r="R70" s="14">
        <f>IFERROR(Q70/Q329, "NA")</f>
      </c>
    </row>
    <row r="71" ht="16.5" customHeight="1">
      <c t="s" r="A71" s="12">
        <v>75</v>
      </c>
      <c r="B71" s="13">
        <v>7427.3599999999997</v>
      </c>
      <c r="C71" s="14">
        <f>IFERROR(B71/B329, "NA")</f>
      </c>
      <c r="D71" s="15"/>
      <c r="E71" s="13">
        <v>12860.610000000001</v>
      </c>
      <c r="F71" s="14">
        <f>IFERROR(E71/E329, "NA")</f>
      </c>
      <c r="G71" s="15"/>
      <c r="H71" s="13">
        <v>9728.2999999999993</v>
      </c>
      <c r="I71" s="14">
        <f>IFERROR(H71/H329, "NA")</f>
      </c>
      <c r="J71" s="15"/>
      <c r="K71" s="13">
        <v>17169.540000000001</v>
      </c>
      <c r="L71" s="14">
        <f>IFERROR(K71/K329, "NA")</f>
      </c>
      <c r="M71" s="15"/>
      <c r="N71" s="13">
        <v>8876.1000000000004</v>
      </c>
      <c r="O71" s="14">
        <f>IFERROR(N71/N329, "NA")</f>
      </c>
      <c r="P71" s="15"/>
      <c r="Q71" s="13">
        <v>3837</v>
      </c>
      <c r="R71" s="14">
        <f>IFERROR(Q71/Q329, "NA")</f>
      </c>
    </row>
    <row r="72" ht="16.5" customHeight="1">
      <c t="s" r="A72" s="12">
        <v>76</v>
      </c>
      <c r="B72" s="13">
        <v>0</v>
      </c>
      <c r="C72" s="14">
        <f>IFERROR(B72/B329, "NA")</f>
      </c>
      <c r="D72" s="15"/>
      <c r="E72" s="13">
        <v>0</v>
      </c>
      <c r="F72" s="14">
        <f>IFERROR(E72/E329, "NA")</f>
      </c>
      <c r="G72" s="15"/>
      <c r="H72" s="13">
        <v>0</v>
      </c>
      <c r="I72" s="14">
        <f>IFERROR(H72/H329, "NA")</f>
      </c>
      <c r="J72" s="15"/>
      <c r="K72" s="13">
        <v>0</v>
      </c>
      <c r="L72" s="14">
        <f>IFERROR(K72/K329, "NA")</f>
      </c>
      <c r="M72" s="15"/>
      <c r="N72" s="13">
        <v>0</v>
      </c>
      <c r="O72" s="14">
        <f>IFERROR(N72/N329, "NA")</f>
      </c>
      <c r="P72" s="15"/>
      <c r="Q72" s="13">
        <v>0</v>
      </c>
      <c r="R72" s="14">
        <f>IFERROR(Q72/Q329, "NA")</f>
      </c>
    </row>
    <row r="73" ht="16.5" customHeight="1">
      <c t="s" r="A73" s="12">
        <v>77</v>
      </c>
      <c r="B73" s="13">
        <v>6030.2399999999998</v>
      </c>
      <c r="C73" s="14">
        <f>IFERROR(B73/B329, "NA")</f>
      </c>
      <c r="D73" s="15"/>
      <c r="E73" s="13">
        <v>6206.1199999999999</v>
      </c>
      <c r="F73" s="14">
        <f>IFERROR(E73/E329, "NA")</f>
      </c>
      <c r="G73" s="15"/>
      <c r="H73" s="13">
        <v>13636.93</v>
      </c>
      <c r="I73" s="14">
        <f>IFERROR(H73/H329, "NA")</f>
      </c>
      <c r="J73" s="15"/>
      <c r="K73" s="13">
        <v>6935.6499999999996</v>
      </c>
      <c r="L73" s="14">
        <f>IFERROR(K73/K329, "NA")</f>
      </c>
      <c r="M73" s="15"/>
      <c r="N73" s="13">
        <v>8630.3099999999995</v>
      </c>
      <c r="O73" s="14">
        <f>IFERROR(N73/N329, "NA")</f>
      </c>
      <c r="P73" s="15"/>
      <c r="Q73" s="13">
        <v>8898.0499999999993</v>
      </c>
      <c r="R73" s="14">
        <f>IFERROR(Q73/Q329, "NA")</f>
      </c>
    </row>
    <row r="74" ht="16.5" customHeight="1">
      <c t="s" r="A74" s="12">
        <v>78</v>
      </c>
      <c r="B74" s="13">
        <v>5978.8000000000002</v>
      </c>
      <c r="C74" s="14">
        <f>IFERROR(B74/B329, "NA")</f>
      </c>
      <c r="D74" s="15"/>
      <c r="E74" s="13">
        <v>5171.1400000000003</v>
      </c>
      <c r="F74" s="14">
        <f>IFERROR(E74/E329, "NA")</f>
      </c>
      <c r="G74" s="15"/>
      <c r="H74" s="13">
        <v>3614.4099999999999</v>
      </c>
      <c r="I74" s="14">
        <f>IFERROR(H74/H329, "NA")</f>
      </c>
      <c r="J74" s="15"/>
      <c r="K74" s="13">
        <v>4259</v>
      </c>
      <c r="L74" s="14">
        <f>IFERROR(K74/K329, "NA")</f>
      </c>
      <c r="M74" s="15"/>
      <c r="N74" s="13">
        <v>3523.8899999999999</v>
      </c>
      <c r="O74" s="14">
        <f>IFERROR(N74/N329, "NA")</f>
      </c>
      <c r="P74" s="15"/>
      <c r="Q74" s="13">
        <v>5356.3500000000004</v>
      </c>
      <c r="R74" s="14">
        <f>IFERROR(Q74/Q329, "NA")</f>
      </c>
    </row>
    <row r="75" ht="16.5" customHeight="1">
      <c t="s" r="A75" s="12">
        <v>79</v>
      </c>
      <c r="B75" s="13">
        <v>2460.9000000000001</v>
      </c>
      <c r="C75" s="14">
        <f>IFERROR(B75/B329, "NA")</f>
      </c>
      <c r="D75" s="15"/>
      <c r="E75" s="13">
        <v>2307.8000000000002</v>
      </c>
      <c r="F75" s="14">
        <f>IFERROR(E75/E329, "NA")</f>
      </c>
      <c r="G75" s="15"/>
      <c r="H75" s="13">
        <v>2261.0100000000002</v>
      </c>
      <c r="I75" s="14">
        <f>IFERROR(H75/H329, "NA")</f>
      </c>
      <c r="J75" s="15"/>
      <c r="K75" s="13">
        <v>918.30999999999995</v>
      </c>
      <c r="L75" s="14">
        <f>IFERROR(K75/K329, "NA")</f>
      </c>
      <c r="M75" s="15"/>
      <c r="N75" s="13">
        <v>1501.24</v>
      </c>
      <c r="O75" s="14">
        <f>IFERROR(N75/N329, "NA")</f>
      </c>
      <c r="P75" s="15"/>
      <c r="Q75" s="13">
        <v>1158.77</v>
      </c>
      <c r="R75" s="14">
        <f>IFERROR(Q75/Q329, "NA")</f>
      </c>
    </row>
    <row r="76" ht="16.5" customHeight="1">
      <c t="s" r="A76" s="16">
        <v>80</v>
      </c>
      <c r="B76" s="17">
        <f>IFERROR(B68+B69+B70+B71+B72+B73+B74+B75, "NA")</f>
      </c>
      <c r="C76" s="18">
        <f>IFERROR(B76/B329, "NA")</f>
      </c>
      <c r="D76" s="8"/>
      <c r="E76" s="17">
        <f>IFERROR(E68+E69+E70+E71+E72+E73+E74+E75, "NA")</f>
      </c>
      <c r="F76" s="18">
        <f>IFERROR(E76/E329, "NA")</f>
      </c>
      <c r="G76" s="8"/>
      <c r="H76" s="17">
        <f>IFERROR(H68+H69+H70+H71+H72+H73+H74+H75, "NA")</f>
      </c>
      <c r="I76" s="18">
        <f>IFERROR(H76/H329, "NA")</f>
      </c>
      <c r="J76" s="8"/>
      <c r="K76" s="17">
        <f>IFERROR(K68+K69+K70+K71+K72+K73+K74+K75, "NA")</f>
      </c>
      <c r="L76" s="18">
        <f>IFERROR(K76/K329, "NA")</f>
      </c>
      <c r="M76" s="8"/>
      <c r="N76" s="17">
        <f>IFERROR(N68+N69+N70+N71+N72+N73+N74+N75, "NA")</f>
      </c>
      <c r="O76" s="18">
        <f>IFERROR(N76/N329, "NA")</f>
      </c>
      <c r="P76" s="8"/>
      <c r="Q76" s="17">
        <f>IFERROR(Q68+Q69+Q70+Q71+Q72+Q73+Q74+Q75, "NA")</f>
      </c>
      <c r="R76" s="18">
        <f>IFERROR(Q76/Q329, "NA")</f>
      </c>
    </row>
    <row r="77" ht="16.5" customHeight="1">
      <c t="s" r="A77" s="11">
        <v>81</v>
      </c>
      <c r="B77" s="8"/>
      <c r="C77" s="9"/>
      <c r="D77" s="10"/>
      <c r="E77" s="8"/>
      <c r="F77" s="9"/>
      <c r="G77" s="10"/>
      <c r="H77" s="8"/>
      <c r="I77" s="9"/>
      <c r="J77" s="10"/>
      <c r="K77" s="8"/>
      <c r="L77" s="9"/>
      <c r="M77" s="10"/>
      <c r="N77" s="8"/>
      <c r="O77" s="9"/>
      <c r="P77" s="10"/>
      <c r="Q77" s="8"/>
      <c r="R77" s="9"/>
    </row>
    <row r="78" ht="16.5" customHeight="1">
      <c t="s" r="A78" s="12">
        <v>82</v>
      </c>
      <c r="B78" s="13">
        <v>0</v>
      </c>
      <c r="C78" s="14">
        <f>IFERROR(B78/B329, "NA")</f>
      </c>
      <c r="D78" s="15"/>
      <c r="E78" s="13">
        <v>0</v>
      </c>
      <c r="F78" s="14">
        <f>IFERROR(E78/E329, "NA")</f>
      </c>
      <c r="G78" s="15"/>
      <c r="H78" s="13">
        <v>0</v>
      </c>
      <c r="I78" s="14">
        <f>IFERROR(H78/H329, "NA")</f>
      </c>
      <c r="J78" s="15"/>
      <c r="K78" s="13">
        <v>0</v>
      </c>
      <c r="L78" s="14">
        <f>IFERROR(K78/K329, "NA")</f>
      </c>
      <c r="M78" s="15"/>
      <c r="N78" s="13">
        <v>0</v>
      </c>
      <c r="O78" s="14">
        <f>IFERROR(N78/N329, "NA")</f>
      </c>
      <c r="P78" s="15"/>
      <c r="Q78" s="13">
        <v>4869</v>
      </c>
      <c r="R78" s="14">
        <f>IFERROR(Q78/Q329, "NA")</f>
      </c>
    </row>
    <row r="79" ht="16.5" customHeight="1">
      <c t="s" r="A79" s="12">
        <v>83</v>
      </c>
      <c r="B79" s="13">
        <v>0</v>
      </c>
      <c r="C79" s="14">
        <f>IFERROR(B79/B329, "NA")</f>
      </c>
      <c r="D79" s="15"/>
      <c r="E79" s="13">
        <v>0</v>
      </c>
      <c r="F79" s="14">
        <f>IFERROR(E79/E329, "NA")</f>
      </c>
      <c r="G79" s="15"/>
      <c r="H79" s="13">
        <v>0</v>
      </c>
      <c r="I79" s="14">
        <f>IFERROR(H79/H329, "NA")</f>
      </c>
      <c r="J79" s="15"/>
      <c r="K79" s="13">
        <v>0</v>
      </c>
      <c r="L79" s="14">
        <f>IFERROR(K79/K329, "NA")</f>
      </c>
      <c r="M79" s="15"/>
      <c r="N79" s="13">
        <v>0</v>
      </c>
      <c r="O79" s="14">
        <f>IFERROR(N79/N329, "NA")</f>
      </c>
      <c r="P79" s="15"/>
      <c r="Q79" s="13">
        <v>0</v>
      </c>
      <c r="R79" s="14">
        <f>IFERROR(Q79/Q329, "NA")</f>
      </c>
    </row>
    <row r="80" ht="16.5" customHeight="1">
      <c t="s" r="A80" s="16">
        <v>84</v>
      </c>
      <c r="B80" s="17">
        <f>IFERROR(B78+B79, "NA")</f>
      </c>
      <c r="C80" s="18">
        <f>IFERROR(B80/B329, "NA")</f>
      </c>
      <c r="D80" s="8"/>
      <c r="E80" s="17">
        <f>IFERROR(E78+E79, "NA")</f>
      </c>
      <c r="F80" s="18">
        <f>IFERROR(E80/E329, "NA")</f>
      </c>
      <c r="G80" s="8"/>
      <c r="H80" s="17">
        <f>IFERROR(H78+H79, "NA")</f>
      </c>
      <c r="I80" s="18">
        <f>IFERROR(H80/H329, "NA")</f>
      </c>
      <c r="J80" s="8"/>
      <c r="K80" s="17">
        <f>IFERROR(K78+K79, "NA")</f>
      </c>
      <c r="L80" s="18">
        <f>IFERROR(K80/K329, "NA")</f>
      </c>
      <c r="M80" s="8"/>
      <c r="N80" s="17">
        <f>IFERROR(N78+N79, "NA")</f>
      </c>
      <c r="O80" s="18">
        <f>IFERROR(N80/N329, "NA")</f>
      </c>
      <c r="P80" s="8"/>
      <c r="Q80" s="17">
        <f>IFERROR(Q78+Q79, "NA")</f>
      </c>
      <c r="R80" s="18">
        <f>IFERROR(Q80/Q329, "NA")</f>
      </c>
    </row>
    <row r="81" ht="16.5" customHeight="1">
      <c t="s" r="A81" s="11">
        <v>85</v>
      </c>
      <c r="B81" s="8"/>
      <c r="C81" s="9"/>
      <c r="D81" s="10"/>
      <c r="E81" s="8"/>
      <c r="F81" s="9"/>
      <c r="G81" s="10"/>
      <c r="H81" s="8"/>
      <c r="I81" s="9"/>
      <c r="J81" s="10"/>
      <c r="K81" s="8"/>
      <c r="L81" s="9"/>
      <c r="M81" s="10"/>
      <c r="N81" s="8"/>
      <c r="O81" s="9"/>
      <c r="P81" s="10"/>
      <c r="Q81" s="8"/>
      <c r="R81" s="9"/>
    </row>
    <row r="82" ht="16.5" customHeight="1">
      <c t="s" r="A82" s="12">
        <v>86</v>
      </c>
      <c r="B82" s="13">
        <v>0</v>
      </c>
      <c r="C82" s="14">
        <f>IFERROR(B82/B329, "NA")</f>
      </c>
      <c r="D82" s="15"/>
      <c r="E82" s="13">
        <v>0</v>
      </c>
      <c r="F82" s="14">
        <f>IFERROR(E82/E329, "NA")</f>
      </c>
      <c r="G82" s="15"/>
      <c r="H82" s="13">
        <v>0</v>
      </c>
      <c r="I82" s="14">
        <f>IFERROR(H82/H329, "NA")</f>
      </c>
      <c r="J82" s="15"/>
      <c r="K82" s="13">
        <v>0</v>
      </c>
      <c r="L82" s="14">
        <f>IFERROR(K82/K329, "NA")</f>
      </c>
      <c r="M82" s="15"/>
      <c r="N82" s="13">
        <v>0</v>
      </c>
      <c r="O82" s="14">
        <f>IFERROR(N82/N329, "NA")</f>
      </c>
      <c r="P82" s="15"/>
      <c r="Q82" s="13">
        <v>0</v>
      </c>
      <c r="R82" s="14">
        <f>IFERROR(Q82/Q329, "NA")</f>
      </c>
    </row>
    <row r="83" ht="16.5" customHeight="1">
      <c t="s" r="A83" s="21">
        <v>87</v>
      </c>
      <c r="B83" s="8"/>
      <c r="C83" s="9"/>
      <c r="D83" s="10"/>
      <c r="E83" s="8"/>
      <c r="F83" s="9"/>
      <c r="G83" s="10"/>
      <c r="H83" s="8"/>
      <c r="I83" s="9"/>
      <c r="J83" s="10"/>
      <c r="K83" s="8"/>
      <c r="L83" s="9"/>
      <c r="M83" s="10"/>
      <c r="N83" s="8"/>
      <c r="O83" s="9"/>
      <c r="P83" s="10"/>
      <c r="Q83" s="8"/>
      <c r="R83" s="9"/>
    </row>
    <row r="84" ht="16.5" customHeight="1">
      <c t="s" r="A84" s="22">
        <v>88</v>
      </c>
      <c r="B84" s="13">
        <v>0</v>
      </c>
      <c r="C84" s="14">
        <f>IFERROR(B84/B329, "NA")</f>
      </c>
      <c r="D84" s="15"/>
      <c r="E84" s="13">
        <v>0</v>
      </c>
      <c r="F84" s="14">
        <f>IFERROR(E84/E329, "NA")</f>
      </c>
      <c r="G84" s="15"/>
      <c r="H84" s="13">
        <v>0</v>
      </c>
      <c r="I84" s="14">
        <f>IFERROR(H84/H329, "NA")</f>
      </c>
      <c r="J84" s="15"/>
      <c r="K84" s="13">
        <v>0</v>
      </c>
      <c r="L84" s="14">
        <f>IFERROR(K84/K329, "NA")</f>
      </c>
      <c r="M84" s="15"/>
      <c r="N84" s="13">
        <v>0</v>
      </c>
      <c r="O84" s="14">
        <f>IFERROR(N84/N329, "NA")</f>
      </c>
      <c r="P84" s="15"/>
      <c r="Q84" s="13">
        <v>0</v>
      </c>
      <c r="R84" s="14">
        <f>IFERROR(Q84/Q329, "NA")</f>
      </c>
    </row>
    <row r="85" ht="16.5" customHeight="1">
      <c t="s" r="A85" s="22">
        <v>89</v>
      </c>
      <c r="B85" s="13">
        <v>6368.54</v>
      </c>
      <c r="C85" s="14">
        <f>IFERROR(B85/B329, "NA")</f>
      </c>
      <c r="D85" s="15"/>
      <c r="E85" s="13">
        <v>41582.400000000001</v>
      </c>
      <c r="F85" s="14">
        <f>IFERROR(E85/E329, "NA")</f>
      </c>
      <c r="G85" s="15"/>
      <c r="H85" s="13">
        <v>26333.279999999999</v>
      </c>
      <c r="I85" s="14">
        <f>IFERROR(H85/H329, "NA")</f>
      </c>
      <c r="J85" s="15"/>
      <c r="K85" s="13">
        <v>18760.040000000001</v>
      </c>
      <c r="L85" s="14">
        <f>IFERROR(K85/K329, "NA")</f>
      </c>
      <c r="M85" s="15"/>
      <c r="N85" s="13">
        <v>27247.27</v>
      </c>
      <c r="O85" s="14">
        <f>IFERROR(N85/N329, "NA")</f>
      </c>
      <c r="P85" s="15"/>
      <c r="Q85" s="13">
        <v>26121.77</v>
      </c>
      <c r="R85" s="14">
        <f>IFERROR(Q85/Q329, "NA")</f>
      </c>
    </row>
    <row r="86" ht="16.5" customHeight="1">
      <c t="s" r="A86" s="22">
        <v>90</v>
      </c>
      <c r="B86" s="13">
        <v>1603.52</v>
      </c>
      <c r="C86" s="14">
        <f>IFERROR(B86/B329, "NA")</f>
      </c>
      <c r="D86" s="15"/>
      <c r="E86" s="13">
        <v>13704.959999999999</v>
      </c>
      <c r="F86" s="14">
        <f>IFERROR(E86/E329, "NA")</f>
      </c>
      <c r="G86" s="15"/>
      <c r="H86" s="13">
        <v>6253.1800000000003</v>
      </c>
      <c r="I86" s="14">
        <f>IFERROR(H86/H329, "NA")</f>
      </c>
      <c r="J86" s="15"/>
      <c r="K86" s="13">
        <v>7706.5900000000001</v>
      </c>
      <c r="L86" s="14">
        <f>IFERROR(K86/K329, "NA")</f>
      </c>
      <c r="M86" s="15"/>
      <c r="N86" s="13">
        <v>6270.9200000000001</v>
      </c>
      <c r="O86" s="14">
        <f>IFERROR(N86/N329, "NA")</f>
      </c>
      <c r="P86" s="15"/>
      <c r="Q86" s="13">
        <v>5861.6199999999999</v>
      </c>
      <c r="R86" s="14">
        <f>IFERROR(Q86/Q329, "NA")</f>
      </c>
    </row>
    <row r="87" ht="16.5" customHeight="1">
      <c t="s" r="A87" s="22">
        <v>91</v>
      </c>
      <c r="B87" s="13">
        <v>503.13999999999999</v>
      </c>
      <c r="C87" s="14">
        <f>IFERROR(B87/B329, "NA")</f>
      </c>
      <c r="D87" s="15"/>
      <c r="E87" s="13">
        <v>8670.0200000000004</v>
      </c>
      <c r="F87" s="14">
        <f>IFERROR(E87/E329, "NA")</f>
      </c>
      <c r="G87" s="15"/>
      <c r="H87" s="13">
        <v>1743.3399999999999</v>
      </c>
      <c r="I87" s="14">
        <f>IFERROR(H87/H329, "NA")</f>
      </c>
      <c r="J87" s="15"/>
      <c r="K87" s="13">
        <v>6145.8000000000002</v>
      </c>
      <c r="L87" s="14">
        <f>IFERROR(K87/K329, "NA")</f>
      </c>
      <c r="M87" s="15"/>
      <c r="N87" s="13">
        <v>1608.8</v>
      </c>
      <c r="O87" s="14">
        <f>IFERROR(N87/N329, "NA")</f>
      </c>
      <c r="P87" s="15"/>
      <c r="Q87" s="13">
        <v>1693.5999999999999</v>
      </c>
      <c r="R87" s="14">
        <f>IFERROR(Q87/Q329, "NA")</f>
      </c>
    </row>
    <row r="88" ht="16.5" customHeight="1">
      <c t="s" r="A88" s="22">
        <v>92</v>
      </c>
      <c r="B88" s="13">
        <v>1774.21</v>
      </c>
      <c r="C88" s="14">
        <f>IFERROR(B88/B329, "NA")</f>
      </c>
      <c r="D88" s="15"/>
      <c r="E88" s="13">
        <v>11320.74</v>
      </c>
      <c r="F88" s="14">
        <f>IFERROR(E88/E329, "NA")</f>
      </c>
      <c r="G88" s="15"/>
      <c r="H88" s="13">
        <v>5104.96</v>
      </c>
      <c r="I88" s="14">
        <f>IFERROR(H88/H329, "NA")</f>
      </c>
      <c r="J88" s="15"/>
      <c r="K88" s="13">
        <v>4795.0500000000002</v>
      </c>
      <c r="L88" s="14">
        <f>IFERROR(K88/K329, "NA")</f>
      </c>
      <c r="M88" s="15"/>
      <c r="N88" s="13">
        <v>4455.9300000000003</v>
      </c>
      <c r="O88" s="14">
        <f>IFERROR(N88/N329, "NA")</f>
      </c>
      <c r="P88" s="15"/>
      <c r="Q88" s="13">
        <v>5614.0500000000002</v>
      </c>
      <c r="R88" s="14">
        <f>IFERROR(Q88/Q329, "NA")</f>
      </c>
    </row>
    <row r="89" ht="16.5" customHeight="1">
      <c t="s" r="A89" s="22">
        <v>93</v>
      </c>
      <c r="B89" s="13">
        <v>1976.1700000000001</v>
      </c>
      <c r="C89" s="14">
        <f>IFERROR(B89/B329, "NA")</f>
      </c>
      <c r="D89" s="15"/>
      <c r="E89" s="13">
        <v>10414.559999999999</v>
      </c>
      <c r="F89" s="14">
        <f>IFERROR(E89/E329, "NA")</f>
      </c>
      <c r="G89" s="15"/>
      <c r="H89" s="13">
        <v>6853.6300000000001</v>
      </c>
      <c r="I89" s="14">
        <f>IFERROR(H89/H329, "NA")</f>
      </c>
      <c r="J89" s="15"/>
      <c r="K89" s="13">
        <v>6543.3900000000003</v>
      </c>
      <c r="L89" s="14">
        <f>IFERROR(K89/K329, "NA")</f>
      </c>
      <c r="M89" s="15"/>
      <c r="N89" s="13">
        <v>6354.3299999999999</v>
      </c>
      <c r="O89" s="14">
        <f>IFERROR(N89/N329, "NA")</f>
      </c>
      <c r="P89" s="15"/>
      <c r="Q89" s="13">
        <v>6176.8400000000001</v>
      </c>
      <c r="R89" s="14">
        <f>IFERROR(Q89/Q329, "NA")</f>
      </c>
    </row>
    <row r="90" ht="16.5" customHeight="1">
      <c t="s" r="A90" s="22">
        <v>94</v>
      </c>
      <c r="B90" s="13">
        <v>307.93000000000001</v>
      </c>
      <c r="C90" s="14">
        <f>IFERROR(B90/B329, "NA")</f>
      </c>
      <c r="D90" s="15"/>
      <c r="E90" s="13">
        <v>2346.6900000000001</v>
      </c>
      <c r="F90" s="14">
        <f>IFERROR(E90/E329, "NA")</f>
      </c>
      <c r="G90" s="15"/>
      <c r="H90" s="13">
        <v>1207.55</v>
      </c>
      <c r="I90" s="14">
        <f>IFERROR(H90/H329, "NA")</f>
      </c>
      <c r="J90" s="15"/>
      <c r="K90" s="13">
        <v>1340.8800000000001</v>
      </c>
      <c r="L90" s="14">
        <f>IFERROR(K90/K329, "NA")</f>
      </c>
      <c r="M90" s="15"/>
      <c r="N90" s="13">
        <v>1456.8399999999999</v>
      </c>
      <c r="O90" s="14">
        <f>IFERROR(N90/N329, "NA")</f>
      </c>
      <c r="P90" s="15"/>
      <c r="Q90" s="13">
        <v>1181.3</v>
      </c>
      <c r="R90" s="14">
        <f>IFERROR(Q90/Q329, "NA")</f>
      </c>
    </row>
    <row r="91" ht="16.5" customHeight="1">
      <c t="s" r="A91" s="22">
        <v>95</v>
      </c>
      <c r="B91" s="13">
        <v>608.38999999999999</v>
      </c>
      <c r="C91" s="14">
        <f>IFERROR(B91/B329, "NA")</f>
      </c>
      <c r="D91" s="15"/>
      <c r="E91" s="13">
        <v>2844.6100000000001</v>
      </c>
      <c r="F91" s="14">
        <f>IFERROR(E91/E329, "NA")</f>
      </c>
      <c r="G91" s="15"/>
      <c r="H91" s="13">
        <v>718.74000000000001</v>
      </c>
      <c r="I91" s="14">
        <f>IFERROR(H91/H329, "NA")</f>
      </c>
      <c r="J91" s="15"/>
      <c r="K91" s="13">
        <v>1554.5799999999999</v>
      </c>
      <c r="L91" s="14">
        <f>IFERROR(K91/K329, "NA")</f>
      </c>
      <c r="M91" s="15"/>
      <c r="N91" s="13">
        <v>1577.4200000000001</v>
      </c>
      <c r="O91" s="14">
        <f>IFERROR(N91/N329, "NA")</f>
      </c>
      <c r="P91" s="15"/>
      <c r="Q91" s="13">
        <v>1821.73</v>
      </c>
      <c r="R91" s="14">
        <f>IFERROR(Q91/Q329, "NA")</f>
      </c>
    </row>
    <row r="92" ht="16.5" customHeight="1">
      <c t="s" r="A92" s="22">
        <v>96</v>
      </c>
      <c r="B92" s="13">
        <v>2186.0700000000002</v>
      </c>
      <c r="C92" s="14">
        <f>IFERROR(B92/B329, "NA")</f>
      </c>
      <c r="D92" s="15"/>
      <c r="E92" s="13">
        <v>17702.419999999998</v>
      </c>
      <c r="F92" s="14">
        <f>IFERROR(E92/E329, "NA")</f>
      </c>
      <c r="G92" s="15"/>
      <c r="H92" s="13">
        <v>8742.7900000000009</v>
      </c>
      <c r="I92" s="14">
        <f>IFERROR(H92/H329, "NA")</f>
      </c>
      <c r="J92" s="15"/>
      <c r="K92" s="13">
        <v>8316.8199999999997</v>
      </c>
      <c r="L92" s="14">
        <f>IFERROR(K92/K329, "NA")</f>
      </c>
      <c r="M92" s="15"/>
      <c r="N92" s="13">
        <v>8924.6499999999996</v>
      </c>
      <c r="O92" s="14">
        <f>IFERROR(N92/N329, "NA")</f>
      </c>
      <c r="P92" s="15"/>
      <c r="Q92" s="13">
        <v>9102.8799999999992</v>
      </c>
      <c r="R92" s="14">
        <f>IFERROR(Q92/Q329, "NA")</f>
      </c>
    </row>
    <row r="93" ht="16.5" customHeight="1">
      <c t="s" r="A93" s="22">
        <v>97</v>
      </c>
      <c r="B93" s="13">
        <v>496.61000000000001</v>
      </c>
      <c r="C93" s="14">
        <f>IFERROR(B93/B329, "NA")</f>
      </c>
      <c r="D93" s="15"/>
      <c r="E93" s="13">
        <v>4998.1099999999997</v>
      </c>
      <c r="F93" s="14">
        <f>IFERROR(E93/E329, "NA")</f>
      </c>
      <c r="G93" s="15"/>
      <c r="H93" s="13">
        <v>2927.96</v>
      </c>
      <c r="I93" s="14">
        <f>IFERROR(H93/H329, "NA")</f>
      </c>
      <c r="J93" s="15"/>
      <c r="K93" s="13">
        <v>2912.6700000000001</v>
      </c>
      <c r="L93" s="14">
        <f>IFERROR(K93/K329, "NA")</f>
      </c>
      <c r="M93" s="15"/>
      <c r="N93" s="13">
        <v>3008.21</v>
      </c>
      <c r="O93" s="14">
        <f>IFERROR(N93/N329, "NA")</f>
      </c>
      <c r="P93" s="15"/>
      <c r="Q93" s="13">
        <v>2879.9299999999998</v>
      </c>
      <c r="R93" s="14">
        <f>IFERROR(Q93/Q329, "NA")</f>
      </c>
    </row>
    <row r="94" ht="16.5" customHeight="1">
      <c t="s" r="A94" s="22">
        <v>98</v>
      </c>
      <c r="B94" s="13">
        <v>340.67000000000002</v>
      </c>
      <c r="C94" s="14">
        <f>IFERROR(B94/B329, "NA")</f>
      </c>
      <c r="D94" s="15"/>
      <c r="E94" s="13">
        <v>340.29000000000002</v>
      </c>
      <c r="F94" s="14">
        <f>IFERROR(E94/E329, "NA")</f>
      </c>
      <c r="G94" s="15"/>
      <c r="H94" s="13">
        <v>2278.0799999999999</v>
      </c>
      <c r="I94" s="14">
        <f>IFERROR(H94/H329, "NA")</f>
      </c>
      <c r="J94" s="15"/>
      <c r="K94" s="13">
        <v>-599.20000000000005</v>
      </c>
      <c r="L94" s="14">
        <f>IFERROR(K94/K329, "NA")</f>
      </c>
      <c r="M94" s="15"/>
      <c r="N94" s="13">
        <v>1302.28</v>
      </c>
      <c r="O94" s="14">
        <f>IFERROR(N94/N329, "NA")</f>
      </c>
      <c r="P94" s="15"/>
      <c r="Q94" s="13">
        <v>1200.26</v>
      </c>
      <c r="R94" s="14">
        <f>IFERROR(Q94/Q329, "NA")</f>
      </c>
    </row>
    <row r="95" ht="16.5" customHeight="1">
      <c t="s" r="A95" s="22">
        <v>99</v>
      </c>
      <c r="B95" s="13">
        <v>0</v>
      </c>
      <c r="C95" s="14">
        <f>IFERROR(B95/B329, "NA")</f>
      </c>
      <c r="D95" s="15"/>
      <c r="E95" s="13">
        <v>0</v>
      </c>
      <c r="F95" s="14">
        <f>IFERROR(E95/E329, "NA")</f>
      </c>
      <c r="G95" s="15"/>
      <c r="H95" s="13">
        <v>0</v>
      </c>
      <c r="I95" s="14">
        <f>IFERROR(H95/H329, "NA")</f>
      </c>
      <c r="J95" s="15"/>
      <c r="K95" s="13">
        <v>0</v>
      </c>
      <c r="L95" s="14">
        <f>IFERROR(K95/K329, "NA")</f>
      </c>
      <c r="M95" s="15"/>
      <c r="N95" s="13">
        <v>0</v>
      </c>
      <c r="O95" s="14">
        <f>IFERROR(N95/N329, "NA")</f>
      </c>
      <c r="P95" s="15"/>
      <c r="Q95" s="13">
        <v>0</v>
      </c>
      <c r="R95" s="14">
        <f>IFERROR(Q95/Q329, "NA")</f>
      </c>
    </row>
    <row r="96" ht="16.5" customHeight="1">
      <c t="s" r="A96" s="22">
        <v>100</v>
      </c>
      <c r="B96" s="13">
        <v>0</v>
      </c>
      <c r="C96" s="14">
        <f>IFERROR(B96/B329, "NA")</f>
      </c>
      <c r="D96" s="15"/>
      <c r="E96" s="13">
        <v>0</v>
      </c>
      <c r="F96" s="14">
        <f>IFERROR(E96/E329, "NA")</f>
      </c>
      <c r="G96" s="15"/>
      <c r="H96" s="13">
        <v>0</v>
      </c>
      <c r="I96" s="14">
        <f>IFERROR(H96/H329, "NA")</f>
      </c>
      <c r="J96" s="15"/>
      <c r="K96" s="13">
        <v>12140</v>
      </c>
      <c r="L96" s="14">
        <f>IFERROR(K96/K329, "NA")</f>
      </c>
      <c r="M96" s="15"/>
      <c r="N96" s="13">
        <v>0</v>
      </c>
      <c r="O96" s="14">
        <f>IFERROR(N96/N329, "NA")</f>
      </c>
      <c r="P96" s="15"/>
      <c r="Q96" s="13">
        <v>0</v>
      </c>
      <c r="R96" s="14">
        <f>IFERROR(Q96/Q329, "NA")</f>
      </c>
    </row>
    <row r="97" ht="16.5" customHeight="1">
      <c t="s" r="A97" s="22">
        <v>101</v>
      </c>
      <c r="B97" s="13">
        <v>2156.5700000000002</v>
      </c>
      <c r="C97" s="14">
        <f>IFERROR(B97/B329, "NA")</f>
      </c>
      <c r="D97" s="15"/>
      <c r="E97" s="13">
        <v>11701.440000000001</v>
      </c>
      <c r="F97" s="14">
        <f>IFERROR(E97/E329, "NA")</f>
      </c>
      <c r="G97" s="15"/>
      <c r="H97" s="13">
        <v>7358.1000000000004</v>
      </c>
      <c r="I97" s="14">
        <f>IFERROR(H97/H329, "NA")</f>
      </c>
      <c r="J97" s="15"/>
      <c r="K97" s="13">
        <v>6554.3299999999999</v>
      </c>
      <c r="L97" s="14">
        <f>IFERROR(K97/K329, "NA")</f>
      </c>
      <c r="M97" s="15"/>
      <c r="N97" s="13">
        <v>6067.4099999999999</v>
      </c>
      <c r="O97" s="14">
        <f>IFERROR(N97/N329, "NA")</f>
      </c>
      <c r="P97" s="15"/>
      <c r="Q97" s="13">
        <v>7329.8299999999999</v>
      </c>
      <c r="R97" s="14">
        <f>IFERROR(Q97/Q329, "NA")</f>
      </c>
    </row>
    <row r="98" ht="16.5" customHeight="1">
      <c t="s" r="A98" s="22">
        <v>102</v>
      </c>
      <c r="B98" s="13">
        <v>1918</v>
      </c>
      <c r="C98" s="14">
        <f>IFERROR(B98/B329, "NA")</f>
      </c>
      <c r="D98" s="15"/>
      <c r="E98" s="13">
        <v>2831</v>
      </c>
      <c r="F98" s="14">
        <f>IFERROR(E98/E329, "NA")</f>
      </c>
      <c r="G98" s="15"/>
      <c r="H98" s="13">
        <v>2465</v>
      </c>
      <c r="I98" s="14">
        <f>IFERROR(H98/H329, "NA")</f>
      </c>
      <c r="J98" s="15"/>
      <c r="K98" s="13">
        <v>2489</v>
      </c>
      <c r="L98" s="14">
        <f>IFERROR(K98/K329, "NA")</f>
      </c>
      <c r="M98" s="15"/>
      <c r="N98" s="13">
        <v>2403</v>
      </c>
      <c r="O98" s="14">
        <f>IFERROR(N98/N329, "NA")</f>
      </c>
      <c r="P98" s="15"/>
      <c r="Q98" s="13">
        <v>0</v>
      </c>
      <c r="R98" s="14">
        <f>IFERROR(Q98/Q329, "NA")</f>
      </c>
    </row>
    <row r="99" ht="16.5" customHeight="1">
      <c t="s" r="A99" s="22">
        <v>103</v>
      </c>
      <c r="B99" s="13">
        <v>0</v>
      </c>
      <c r="C99" s="14">
        <f>IFERROR(B99/B329, "NA")</f>
      </c>
      <c r="D99" s="15"/>
      <c r="E99" s="13">
        <v>0</v>
      </c>
      <c r="F99" s="14">
        <f>IFERROR(E99/E329, "NA")</f>
      </c>
      <c r="G99" s="15"/>
      <c r="H99" s="13">
        <v>0</v>
      </c>
      <c r="I99" s="14">
        <f>IFERROR(H99/H329, "NA")</f>
      </c>
      <c r="J99" s="15"/>
      <c r="K99" s="13">
        <v>0</v>
      </c>
      <c r="L99" s="14">
        <f>IFERROR(K99/K329, "NA")</f>
      </c>
      <c r="M99" s="15"/>
      <c r="N99" s="13">
        <v>0</v>
      </c>
      <c r="O99" s="14">
        <f>IFERROR(N99/N329, "NA")</f>
      </c>
      <c r="P99" s="15"/>
      <c r="Q99" s="13">
        <v>0</v>
      </c>
      <c r="R99" s="14">
        <f>IFERROR(Q99/Q329, "NA")</f>
      </c>
    </row>
    <row r="100" ht="16.5" customHeight="1">
      <c t="s" r="A100" s="22">
        <v>104</v>
      </c>
      <c r="B100" s="13">
        <v>17.010000000000002</v>
      </c>
      <c r="C100" s="14">
        <f>IFERROR(B100/B329, "NA")</f>
      </c>
      <c r="D100" s="15"/>
      <c r="E100" s="13">
        <v>-17.010000000000002</v>
      </c>
      <c r="F100" s="14">
        <f>IFERROR(E100/E329, "NA")</f>
      </c>
      <c r="G100" s="15"/>
      <c r="H100" s="13">
        <v>107.94</v>
      </c>
      <c r="I100" s="14">
        <f>IFERROR(H100/H329, "NA")</f>
      </c>
      <c r="J100" s="15"/>
      <c r="K100" s="13">
        <v>-107.93000000000001</v>
      </c>
      <c r="L100" s="14">
        <f>IFERROR(K100/K329, "NA")</f>
      </c>
      <c r="M100" s="15"/>
      <c r="N100" s="13">
        <v>23.100000000000001</v>
      </c>
      <c r="O100" s="14">
        <f>IFERROR(N100/N329, "NA")</f>
      </c>
      <c r="P100" s="15"/>
      <c r="Q100" s="13">
        <v>174.15000000000001</v>
      </c>
      <c r="R100" s="14">
        <f>IFERROR(Q100/Q329, "NA")</f>
      </c>
    </row>
    <row r="101" ht="16.5" customHeight="1">
      <c t="s" r="A101" s="22">
        <v>105</v>
      </c>
      <c r="B101" s="13">
        <v>0</v>
      </c>
      <c r="C101" s="14">
        <f>IFERROR(B101/B329, "NA")</f>
      </c>
      <c r="D101" s="15"/>
      <c r="E101" s="13">
        <v>0</v>
      </c>
      <c r="F101" s="14">
        <f>IFERROR(E101/E329, "NA")</f>
      </c>
      <c r="G101" s="15"/>
      <c r="H101" s="13">
        <v>0</v>
      </c>
      <c r="I101" s="14">
        <f>IFERROR(H101/H329, "NA")</f>
      </c>
      <c r="J101" s="15"/>
      <c r="K101" s="13">
        <v>0</v>
      </c>
      <c r="L101" s="14">
        <f>IFERROR(K101/K329, "NA")</f>
      </c>
      <c r="M101" s="15"/>
      <c r="N101" s="13">
        <v>0</v>
      </c>
      <c r="O101" s="14">
        <f>IFERROR(N101/N329, "NA")</f>
      </c>
      <c r="P101" s="15"/>
      <c r="Q101" s="13">
        <v>0</v>
      </c>
      <c r="R101" s="14">
        <f>IFERROR(Q101/Q329, "NA")</f>
      </c>
    </row>
    <row r="102" ht="16.5" customHeight="1">
      <c t="s" r="A102" s="22">
        <v>106</v>
      </c>
      <c r="B102" s="13">
        <v>0</v>
      </c>
      <c r="C102" s="14">
        <f>IFERROR(B102/B329, "NA")</f>
      </c>
      <c r="D102" s="15"/>
      <c r="E102" s="13">
        <v>0</v>
      </c>
      <c r="F102" s="14">
        <f>IFERROR(E102/E329, "NA")</f>
      </c>
      <c r="G102" s="15"/>
      <c r="H102" s="13">
        <v>0</v>
      </c>
      <c r="I102" s="14">
        <f>IFERROR(H102/H329, "NA")</f>
      </c>
      <c r="J102" s="15"/>
      <c r="K102" s="13">
        <v>0</v>
      </c>
      <c r="L102" s="14">
        <f>IFERROR(K102/K329, "NA")</f>
      </c>
      <c r="M102" s="15"/>
      <c r="N102" s="13">
        <v>0</v>
      </c>
      <c r="O102" s="14">
        <f>IFERROR(N102/N329, "NA")</f>
      </c>
      <c r="P102" s="15"/>
      <c r="Q102" s="13">
        <v>0</v>
      </c>
      <c r="R102" s="14">
        <f>IFERROR(Q102/Q329, "NA")</f>
      </c>
    </row>
    <row r="103" ht="16.5" customHeight="1">
      <c t="s" r="A103" s="22">
        <v>107</v>
      </c>
      <c r="B103" s="13">
        <v>75.060000000000002</v>
      </c>
      <c r="C103" s="14">
        <f>IFERROR(B103/B329, "NA")</f>
      </c>
      <c r="D103" s="15"/>
      <c r="E103" s="13">
        <v>-75.049999999999997</v>
      </c>
      <c r="F103" s="14">
        <f>IFERROR(E103/E329, "NA")</f>
      </c>
      <c r="G103" s="15"/>
      <c r="H103" s="13">
        <v>0</v>
      </c>
      <c r="I103" s="14">
        <f>IFERROR(H103/H329, "NA")</f>
      </c>
      <c r="J103" s="15"/>
      <c r="K103" s="13">
        <v>0</v>
      </c>
      <c r="L103" s="14">
        <f>IFERROR(K103/K329, "NA")</f>
      </c>
      <c r="M103" s="15"/>
      <c r="N103" s="13">
        <v>212.94</v>
      </c>
      <c r="O103" s="14">
        <f>IFERROR(N103/N329, "NA")</f>
      </c>
      <c r="P103" s="15"/>
      <c r="Q103" s="13">
        <v>285.64999999999998</v>
      </c>
      <c r="R103" s="14">
        <f>IFERROR(Q103/Q329, "NA")</f>
      </c>
    </row>
    <row r="104" ht="16.5" customHeight="1">
      <c t="s" r="A104" s="22">
        <v>108</v>
      </c>
      <c r="B104" s="13">
        <v>0</v>
      </c>
      <c r="C104" s="14">
        <f>IFERROR(B104/B329, "NA")</f>
      </c>
      <c r="D104" s="15"/>
      <c r="E104" s="13">
        <v>0</v>
      </c>
      <c r="F104" s="14">
        <f>IFERROR(E104/E329, "NA")</f>
      </c>
      <c r="G104" s="15"/>
      <c r="H104" s="13">
        <v>0</v>
      </c>
      <c r="I104" s="14">
        <f>IFERROR(H104/H329, "NA")</f>
      </c>
      <c r="J104" s="15"/>
      <c r="K104" s="13">
        <v>0</v>
      </c>
      <c r="L104" s="14">
        <f>IFERROR(K104/K329, "NA")</f>
      </c>
      <c r="M104" s="15"/>
      <c r="N104" s="13">
        <v>0</v>
      </c>
      <c r="O104" s="14">
        <f>IFERROR(N104/N329, "NA")</f>
      </c>
      <c r="P104" s="15"/>
      <c r="Q104" s="13">
        <v>0</v>
      </c>
      <c r="R104" s="14">
        <f>IFERROR(Q104/Q329, "NA")</f>
      </c>
    </row>
    <row r="105" ht="16.5" customHeight="1">
      <c t="s" r="A105" s="22">
        <v>109</v>
      </c>
      <c r="B105" s="13">
        <v>0</v>
      </c>
      <c r="C105" s="14">
        <f>IFERROR(B105/B329, "NA")</f>
      </c>
      <c r="D105" s="15"/>
      <c r="E105" s="13">
        <v>0</v>
      </c>
      <c r="F105" s="14">
        <f>IFERROR(E105/E329, "NA")</f>
      </c>
      <c r="G105" s="15"/>
      <c r="H105" s="13">
        <v>145.05000000000001</v>
      </c>
      <c r="I105" s="14">
        <f>IFERROR(H105/H329, "NA")</f>
      </c>
      <c r="J105" s="15"/>
      <c r="K105" s="13">
        <v>-145.05000000000001</v>
      </c>
      <c r="L105" s="14">
        <f>IFERROR(K105/K329, "NA")</f>
      </c>
      <c r="M105" s="15"/>
      <c r="N105" s="13">
        <v>230.90000000000001</v>
      </c>
      <c r="O105" s="14">
        <f>IFERROR(N105/N329, "NA")</f>
      </c>
      <c r="P105" s="15"/>
      <c r="Q105" s="13">
        <v>126.53</v>
      </c>
      <c r="R105" s="14">
        <f>IFERROR(Q105/Q329, "NA")</f>
      </c>
    </row>
    <row r="106" ht="16.5" customHeight="1">
      <c t="s" r="A106" s="22">
        <v>110</v>
      </c>
      <c r="B106" s="13">
        <v>0</v>
      </c>
      <c r="C106" s="14">
        <f>IFERROR(B106/B329, "NA")</f>
      </c>
      <c r="D106" s="15"/>
      <c r="E106" s="13">
        <v>0</v>
      </c>
      <c r="F106" s="14">
        <f>IFERROR(E106/E329, "NA")</f>
      </c>
      <c r="G106" s="15"/>
      <c r="H106" s="13">
        <v>0</v>
      </c>
      <c r="I106" s="14">
        <f>IFERROR(H106/H329, "NA")</f>
      </c>
      <c r="J106" s="15"/>
      <c r="K106" s="13">
        <v>0</v>
      </c>
      <c r="L106" s="14">
        <f>IFERROR(K106/K329, "NA")</f>
      </c>
      <c r="M106" s="15"/>
      <c r="N106" s="13">
        <v>0</v>
      </c>
      <c r="O106" s="14">
        <f>IFERROR(N106/N329, "NA")</f>
      </c>
      <c r="P106" s="15"/>
      <c r="Q106" s="13">
        <v>87.5</v>
      </c>
      <c r="R106" s="14">
        <f>IFERROR(Q106/Q329, "NA")</f>
      </c>
    </row>
    <row r="107" ht="16.5" customHeight="1">
      <c t="s" r="A107" s="22">
        <v>111</v>
      </c>
      <c r="B107" s="13">
        <v>0</v>
      </c>
      <c r="C107" s="14">
        <f>IFERROR(B107/B329, "NA")</f>
      </c>
      <c r="D107" s="15"/>
      <c r="E107" s="13">
        <v>0</v>
      </c>
      <c r="F107" s="14">
        <f>IFERROR(E107/E329, "NA")</f>
      </c>
      <c r="G107" s="15"/>
      <c r="H107" s="13">
        <v>0</v>
      </c>
      <c r="I107" s="14">
        <f>IFERROR(H107/H329, "NA")</f>
      </c>
      <c r="J107" s="15"/>
      <c r="K107" s="13">
        <v>0</v>
      </c>
      <c r="L107" s="14">
        <f>IFERROR(K107/K329, "NA")</f>
      </c>
      <c r="M107" s="15"/>
      <c r="N107" s="13">
        <v>0</v>
      </c>
      <c r="O107" s="14">
        <f>IFERROR(N107/N329, "NA")</f>
      </c>
      <c r="P107" s="15"/>
      <c r="Q107" s="13">
        <v>0</v>
      </c>
      <c r="R107" s="14">
        <f>IFERROR(Q107/Q329, "NA")</f>
      </c>
    </row>
    <row r="108" ht="16.5" customHeight="1">
      <c t="s" r="A108" s="22">
        <v>112</v>
      </c>
      <c r="B108" s="13">
        <v>0</v>
      </c>
      <c r="C108" s="14">
        <f>IFERROR(B108/B329, "NA")</f>
      </c>
      <c r="D108" s="15"/>
      <c r="E108" s="13">
        <v>0</v>
      </c>
      <c r="F108" s="14">
        <f>IFERROR(E108/E329, "NA")</f>
      </c>
      <c r="G108" s="15"/>
      <c r="H108" s="13">
        <v>0</v>
      </c>
      <c r="I108" s="14">
        <f>IFERROR(H108/H329, "NA")</f>
      </c>
      <c r="J108" s="15"/>
      <c r="K108" s="13">
        <v>0</v>
      </c>
      <c r="L108" s="14">
        <f>IFERROR(K108/K329, "NA")</f>
      </c>
      <c r="M108" s="15"/>
      <c r="N108" s="13">
        <v>55.740000000000002</v>
      </c>
      <c r="O108" s="14">
        <f>IFERROR(N108/N329, "NA")</f>
      </c>
      <c r="P108" s="15"/>
      <c r="Q108" s="13">
        <v>83.849999999999994</v>
      </c>
      <c r="R108" s="14">
        <f>IFERROR(Q108/Q329, "NA")</f>
      </c>
    </row>
    <row r="109" ht="16.5" customHeight="1">
      <c t="s" r="A109" s="22">
        <v>113</v>
      </c>
      <c r="B109" s="13">
        <v>0</v>
      </c>
      <c r="C109" s="14">
        <f>IFERROR(B109/B329, "NA")</f>
      </c>
      <c r="D109" s="15"/>
      <c r="E109" s="13">
        <v>0</v>
      </c>
      <c r="F109" s="14">
        <f>IFERROR(E109/E329, "NA")</f>
      </c>
      <c r="G109" s="15"/>
      <c r="H109" s="13">
        <v>0</v>
      </c>
      <c r="I109" s="14">
        <f>IFERROR(H109/H329, "NA")</f>
      </c>
      <c r="J109" s="15"/>
      <c r="K109" s="13">
        <v>0</v>
      </c>
      <c r="L109" s="14">
        <f>IFERROR(K109/K329, "NA")</f>
      </c>
      <c r="M109" s="15"/>
      <c r="N109" s="13">
        <v>0</v>
      </c>
      <c r="O109" s="14">
        <f>IFERROR(N109/N329, "NA")</f>
      </c>
      <c r="P109" s="15"/>
      <c r="Q109" s="13">
        <v>0</v>
      </c>
      <c r="R109" s="14">
        <f>IFERROR(Q109/Q329, "NA")</f>
      </c>
    </row>
    <row r="110" ht="16.5" customHeight="1">
      <c t="s" r="A110" s="22">
        <v>114</v>
      </c>
      <c r="B110" s="13">
        <v>490.93000000000001</v>
      </c>
      <c r="C110" s="14">
        <f>IFERROR(B110/B329, "NA")</f>
      </c>
      <c r="D110" s="15"/>
      <c r="E110" s="13">
        <v>3792.4699999999998</v>
      </c>
      <c r="F110" s="14">
        <f>IFERROR(E110/E329, "NA")</f>
      </c>
      <c r="G110" s="15"/>
      <c r="H110" s="13">
        <v>1863</v>
      </c>
      <c r="I110" s="14">
        <f>IFERROR(H110/H329, "NA")</f>
      </c>
      <c r="J110" s="15"/>
      <c r="K110" s="13">
        <v>2299.9499999999998</v>
      </c>
      <c r="L110" s="14">
        <f>IFERROR(K110/K329, "NA")</f>
      </c>
      <c r="M110" s="15"/>
      <c r="N110" s="13">
        <v>2108</v>
      </c>
      <c r="O110" s="14">
        <f>IFERROR(N110/N329, "NA")</f>
      </c>
      <c r="P110" s="15"/>
      <c r="Q110" s="13">
        <v>2471.1300000000001</v>
      </c>
      <c r="R110" s="14">
        <f>IFERROR(Q110/Q329, "NA")</f>
      </c>
    </row>
    <row r="111" ht="16.5" customHeight="1">
      <c t="s" r="A111" s="22">
        <v>115</v>
      </c>
      <c r="B111" s="13">
        <v>352.30000000000001</v>
      </c>
      <c r="C111" s="14">
        <f>IFERROR(B111/B329, "NA")</f>
      </c>
      <c r="D111" s="15"/>
      <c r="E111" s="13">
        <v>5393.1800000000003</v>
      </c>
      <c r="F111" s="14">
        <f>IFERROR(E111/E329, "NA")</f>
      </c>
      <c r="G111" s="15"/>
      <c r="H111" s="13">
        <v>1208.3499999999999</v>
      </c>
      <c r="I111" s="14">
        <f>IFERROR(H111/H329, "NA")</f>
      </c>
      <c r="J111" s="15"/>
      <c r="K111" s="13">
        <v>6481.2399999999998</v>
      </c>
      <c r="L111" s="14">
        <f>IFERROR(K111/K329, "NA")</f>
      </c>
      <c r="M111" s="15"/>
      <c r="N111" s="13">
        <v>0</v>
      </c>
      <c r="O111" s="14">
        <f>IFERROR(N111/N329, "NA")</f>
      </c>
      <c r="P111" s="15"/>
      <c r="Q111" s="13">
        <v>0</v>
      </c>
      <c r="R111" s="14">
        <f>IFERROR(Q111/Q329, "NA")</f>
      </c>
    </row>
    <row r="112" ht="16.5" customHeight="1">
      <c t="s" r="A112" s="22">
        <v>116</v>
      </c>
      <c r="B112" s="13">
        <v>727.32000000000005</v>
      </c>
      <c r="C112" s="14">
        <f>IFERROR(B112/B329, "NA")</f>
      </c>
      <c r="D112" s="15"/>
      <c r="E112" s="13">
        <v>3923.1999999999998</v>
      </c>
      <c r="F112" s="14">
        <f>IFERROR(E112/E329, "NA")</f>
      </c>
      <c r="G112" s="15"/>
      <c r="H112" s="13">
        <v>1945.9300000000001</v>
      </c>
      <c r="I112" s="14">
        <f>IFERROR(H112/H329, "NA")</f>
      </c>
      <c r="J112" s="15"/>
      <c r="K112" s="13">
        <v>1968.1500000000001</v>
      </c>
      <c r="L112" s="14">
        <f>IFERROR(K112/K329, "NA")</f>
      </c>
      <c r="M112" s="15"/>
      <c r="N112" s="13">
        <v>2067.29</v>
      </c>
      <c r="O112" s="14">
        <f>IFERROR(N112/N329, "NA")</f>
      </c>
      <c r="P112" s="15"/>
      <c r="Q112" s="13">
        <v>2222.7199999999998</v>
      </c>
      <c r="R112" s="14">
        <f>IFERROR(Q112/Q329, "NA")</f>
      </c>
    </row>
    <row r="113" ht="16.5" customHeight="1">
      <c t="s" r="A113" s="22">
        <v>117</v>
      </c>
      <c r="B113" s="13">
        <v>92.909999999999997</v>
      </c>
      <c r="C113" s="14">
        <f>IFERROR(B113/B329, "NA")</f>
      </c>
      <c r="D113" s="15"/>
      <c r="E113" s="13">
        <v>-92.920000000000002</v>
      </c>
      <c r="F113" s="14">
        <f>IFERROR(E113/E329, "NA")</f>
      </c>
      <c r="G113" s="15"/>
      <c r="H113" s="13">
        <v>80.430000000000007</v>
      </c>
      <c r="I113" s="14">
        <f>IFERROR(H113/H329, "NA")</f>
      </c>
      <c r="J113" s="15"/>
      <c r="K113" s="13">
        <v>-80.430000000000007</v>
      </c>
      <c r="L113" s="14">
        <f>IFERROR(K113/K329, "NA")</f>
      </c>
      <c r="M113" s="15"/>
      <c r="N113" s="13">
        <v>114.42</v>
      </c>
      <c r="O113" s="14">
        <f>IFERROR(N113/N329, "NA")</f>
      </c>
      <c r="P113" s="15"/>
      <c r="Q113" s="13">
        <v>101.95999999999999</v>
      </c>
      <c r="R113" s="14">
        <f>IFERROR(Q113/Q329, "NA")</f>
      </c>
    </row>
    <row r="114" ht="16.5" customHeight="1">
      <c t="s" r="A114" s="22">
        <v>118</v>
      </c>
      <c r="B114" s="13">
        <v>0</v>
      </c>
      <c r="C114" s="14">
        <f>IFERROR(B114/B329, "NA")</f>
      </c>
      <c r="D114" s="15"/>
      <c r="E114" s="13">
        <v>492.42000000000002</v>
      </c>
      <c r="F114" s="14">
        <f>IFERROR(E114/E329, "NA")</f>
      </c>
      <c r="G114" s="15"/>
      <c r="H114" s="13">
        <v>1086.29</v>
      </c>
      <c r="I114" s="14">
        <f>IFERROR(H114/H329, "NA")</f>
      </c>
      <c r="J114" s="15"/>
      <c r="K114" s="13">
        <v>4527.0200000000004</v>
      </c>
      <c r="L114" s="14">
        <f>IFERROR(K114/K329, "NA")</f>
      </c>
      <c r="M114" s="15"/>
      <c r="N114" s="13">
        <v>1552.75</v>
      </c>
      <c r="O114" s="14">
        <f>IFERROR(N114/N329, "NA")</f>
      </c>
      <c r="P114" s="15"/>
      <c r="Q114" s="13">
        <v>1592.0599999999999</v>
      </c>
      <c r="R114" s="14">
        <f>IFERROR(Q114/Q329, "NA")</f>
      </c>
    </row>
    <row r="115" ht="16.5" customHeight="1">
      <c t="s" r="A115" s="22">
        <v>119</v>
      </c>
      <c r="B115" s="13">
        <v>0</v>
      </c>
      <c r="C115" s="14">
        <f>IFERROR(B115/B329, "NA")</f>
      </c>
      <c r="D115" s="15"/>
      <c r="E115" s="13">
        <v>0</v>
      </c>
      <c r="F115" s="14">
        <f>IFERROR(E115/E329, "NA")</f>
      </c>
      <c r="G115" s="15"/>
      <c r="H115" s="13">
        <v>0</v>
      </c>
      <c r="I115" s="14">
        <f>IFERROR(H115/H329, "NA")</f>
      </c>
      <c r="J115" s="15"/>
      <c r="K115" s="13">
        <v>0</v>
      </c>
      <c r="L115" s="14">
        <f>IFERROR(K115/K329, "NA")</f>
      </c>
      <c r="M115" s="15"/>
      <c r="N115" s="13">
        <v>0</v>
      </c>
      <c r="O115" s="14">
        <f>IFERROR(N115/N329, "NA")</f>
      </c>
      <c r="P115" s="15"/>
      <c r="Q115" s="13">
        <v>0</v>
      </c>
      <c r="R115" s="14">
        <f>IFERROR(Q115/Q329, "NA")</f>
      </c>
    </row>
    <row r="116" ht="16.5" customHeight="1">
      <c t="s" r="A116" s="22">
        <v>120</v>
      </c>
      <c r="B116" s="13">
        <v>0</v>
      </c>
      <c r="C116" s="14">
        <f>IFERROR(B116/B329, "NA")</f>
      </c>
      <c r="D116" s="15"/>
      <c r="E116" s="13">
        <v>0</v>
      </c>
      <c r="F116" s="14">
        <f>IFERROR(E116/E329, "NA")</f>
      </c>
      <c r="G116" s="15"/>
      <c r="H116" s="13">
        <v>0</v>
      </c>
      <c r="I116" s="14">
        <f>IFERROR(H116/H329, "NA")</f>
      </c>
      <c r="J116" s="15"/>
      <c r="K116" s="13">
        <v>0</v>
      </c>
      <c r="L116" s="14">
        <f>IFERROR(K116/K329, "NA")</f>
      </c>
      <c r="M116" s="15"/>
      <c r="N116" s="13">
        <v>0</v>
      </c>
      <c r="O116" s="14">
        <f>IFERROR(N116/N329, "NA")</f>
      </c>
      <c r="P116" s="15"/>
      <c r="Q116" s="13">
        <v>0</v>
      </c>
      <c r="R116" s="14">
        <f>IFERROR(Q116/Q329, "NA")</f>
      </c>
    </row>
    <row r="117" ht="16.5" customHeight="1">
      <c t="s" r="A117" s="22">
        <v>121</v>
      </c>
      <c r="B117" s="13">
        <v>0</v>
      </c>
      <c r="C117" s="14">
        <f>IFERROR(B117/B329, "NA")</f>
      </c>
      <c r="D117" s="15"/>
      <c r="E117" s="13">
        <v>0</v>
      </c>
      <c r="F117" s="14">
        <f>IFERROR(E117/E329, "NA")</f>
      </c>
      <c r="G117" s="15"/>
      <c r="H117" s="13">
        <v>0</v>
      </c>
      <c r="I117" s="14">
        <f>IFERROR(H117/H329, "NA")</f>
      </c>
      <c r="J117" s="15"/>
      <c r="K117" s="13">
        <v>0</v>
      </c>
      <c r="L117" s="14">
        <f>IFERROR(K117/K329, "NA")</f>
      </c>
      <c r="M117" s="15"/>
      <c r="N117" s="13">
        <v>0</v>
      </c>
      <c r="O117" s="14">
        <f>IFERROR(N117/N329, "NA")</f>
      </c>
      <c r="P117" s="15"/>
      <c r="Q117" s="13">
        <v>0</v>
      </c>
      <c r="R117" s="14">
        <f>IFERROR(Q117/Q329, "NA")</f>
      </c>
    </row>
    <row r="118" ht="16.5" customHeight="1">
      <c t="s" r="A118" s="22">
        <v>122</v>
      </c>
      <c r="B118" s="13">
        <v>0</v>
      </c>
      <c r="C118" s="14">
        <f>IFERROR(B118/B329, "NA")</f>
      </c>
      <c r="D118" s="15"/>
      <c r="E118" s="13">
        <v>26079.389999999999</v>
      </c>
      <c r="F118" s="14">
        <f>IFERROR(E118/E329, "NA")</f>
      </c>
      <c r="G118" s="15"/>
      <c r="H118" s="13">
        <v>0</v>
      </c>
      <c r="I118" s="14">
        <f>IFERROR(H118/H329, "NA")</f>
      </c>
      <c r="J118" s="15"/>
      <c r="K118" s="13">
        <v>18484.09</v>
      </c>
      <c r="L118" s="14">
        <f>IFERROR(K118/K329, "NA")</f>
      </c>
      <c r="M118" s="15"/>
      <c r="N118" s="13">
        <v>0</v>
      </c>
      <c r="O118" s="14">
        <f>IFERROR(N118/N329, "NA")</f>
      </c>
      <c r="P118" s="15"/>
      <c r="Q118" s="13">
        <v>0</v>
      </c>
      <c r="R118" s="14">
        <f>IFERROR(Q118/Q329, "NA")</f>
      </c>
    </row>
    <row r="119" ht="16.5" customHeight="1">
      <c t="s" r="A119" s="23">
        <v>123</v>
      </c>
      <c r="B119" s="17">
        <f>IFERROR(B84+B85+B86+B87+B88+B89+B90+B91+B92+B93+B94+B95+B96+B97+B98+B99+B100+B101+B102+B103+B104+B105+B106+B107+B108+B109+B110+B111+B112+B113+B114+B115+B116+B117+B118, "NA")</f>
      </c>
      <c r="C119" s="18">
        <f>IFERROR(B119/B329, "NA")</f>
      </c>
      <c r="D119" s="8"/>
      <c r="E119" s="17">
        <f>IFERROR(E84+E85+E86+E87+E88+E89+E90+E91+E92+E93+E94+E95+E96+E97+E98+E99+E100+E101+E102+E103+E104+E105+E106+E107+E108+E109+E110+E111+E112+E113+E114+E115+E116+E117+E118, "NA")</f>
      </c>
      <c r="F119" s="18">
        <f>IFERROR(E119/E329, "NA")</f>
      </c>
      <c r="G119" s="8"/>
      <c r="H119" s="17">
        <f>IFERROR(H84+H85+H86+H87+H88+H89+H90+H91+H92+H93+H94+H95+H96+H97+H98+H99+H100+H101+H102+H103+H104+H105+H106+H107+H108+H109+H110+H111+H112+H113+H114+H115+H116+H117+H118, "NA")</f>
      </c>
      <c r="I119" s="18">
        <f>IFERROR(H119/H329, "NA")</f>
      </c>
      <c r="J119" s="8"/>
      <c r="K119" s="17">
        <f>IFERROR(K84+K85+K86+K87+K88+K89+K90+K91+K92+K93+K94+K95+K96+K97+K98+K99+K100+K101+K102+K103+K104+K105+K106+K107+K108+K109+K110+K111+K112+K113+K114+K115+K116+K117+K118, "NA")</f>
      </c>
      <c r="L119" s="18">
        <f>IFERROR(K119/K329, "NA")</f>
      </c>
      <c r="M119" s="8"/>
      <c r="N119" s="17">
        <f>IFERROR(N84+N85+N86+N87+N88+N89+N90+N91+N92+N93+N94+N95+N96+N97+N98+N99+N100+N101+N102+N103+N104+N105+N106+N107+N108+N109+N110+N111+N112+N113+N114+N115+N116+N117+N118, "NA")</f>
      </c>
      <c r="O119" s="18">
        <f>IFERROR(N119/N329, "NA")</f>
      </c>
      <c r="P119" s="8"/>
      <c r="Q119" s="17">
        <f>IFERROR(Q84+Q85+Q86+Q87+Q88+Q89+Q90+Q91+Q92+Q93+Q94+Q95+Q96+Q97+Q98+Q99+Q100+Q101+Q102+Q103+Q104+Q105+Q106+Q107+Q108+Q109+Q110+Q111+Q112+Q113+Q114+Q115+Q116+Q117+Q118, "NA")</f>
      </c>
      <c r="R119" s="18">
        <f>IFERROR(Q119/Q329, "NA")</f>
      </c>
    </row>
    <row r="120" ht="16.5" customHeight="1">
      <c t="s" r="A120" s="16">
        <v>124</v>
      </c>
      <c r="B120" s="17">
        <f>IFERROR(B82+B84+B85+B86+B87+B88+B89+B90+B91+B92+B93+B94+B95+B96+B97+B98+B99+B100+B101+B102+B103+B104+B105+B106+B107+B108+B109+B110+B111+B112+B113+B114+B115+B116+B117+B118, "NA")</f>
      </c>
      <c r="C120" s="18">
        <f>IFERROR(B120/B329, "NA")</f>
      </c>
      <c r="D120" s="8"/>
      <c r="E120" s="17">
        <f>IFERROR(E82+E84+E85+E86+E87+E88+E89+E90+E91+E92+E93+E94+E95+E96+E97+E98+E99+E100+E101+E102+E103+E104+E105+E106+E107+E108+E109+E110+E111+E112+E113+E114+E115+E116+E117+E118, "NA")</f>
      </c>
      <c r="F120" s="18">
        <f>IFERROR(E120/E329, "NA")</f>
      </c>
      <c r="G120" s="8"/>
      <c r="H120" s="17">
        <f>IFERROR(H82+H84+H85+H86+H87+H88+H89+H90+H91+H92+H93+H94+H95+H96+H97+H98+H99+H100+H101+H102+H103+H104+H105+H106+H107+H108+H109+H110+H111+H112+H113+H114+H115+H116+H117+H118, "NA")</f>
      </c>
      <c r="I120" s="18">
        <f>IFERROR(H120/H329, "NA")</f>
      </c>
      <c r="J120" s="8"/>
      <c r="K120" s="17">
        <f>IFERROR(K82+K84+K85+K86+K87+K88+K89+K90+K91+K92+K93+K94+K95+K96+K97+K98+K99+K100+K101+K102+K103+K104+K105+K106+K107+K108+K109+K110+K111+K112+K113+K114+K115+K116+K117+K118, "NA")</f>
      </c>
      <c r="L120" s="18">
        <f>IFERROR(K120/K329, "NA")</f>
      </c>
      <c r="M120" s="8"/>
      <c r="N120" s="17">
        <f>IFERROR(N82+N84+N85+N86+N87+N88+N89+N90+N91+N92+N93+N94+N95+N96+N97+N98+N99+N100+N101+N102+N103+N104+N105+N106+N107+N108+N109+N110+N111+N112+N113+N114+N115+N116+N117+N118, "NA")</f>
      </c>
      <c r="O120" s="18">
        <f>IFERROR(N120/N329, "NA")</f>
      </c>
      <c r="P120" s="8"/>
      <c r="Q120" s="17">
        <f>IFERROR(Q82+Q84+Q85+Q86+Q87+Q88+Q89+Q90+Q91+Q92+Q93+Q94+Q95+Q96+Q97+Q98+Q99+Q100+Q101+Q102+Q103+Q104+Q105+Q106+Q107+Q108+Q109+Q110+Q111+Q112+Q113+Q114+Q115+Q116+Q117+Q118, "NA")</f>
      </c>
      <c r="R120" s="18">
        <f>IFERROR(Q120/Q329, "NA")</f>
      </c>
    </row>
    <row r="121" ht="16.5" customHeight="1">
      <c t="s" r="A121" s="11">
        <v>125</v>
      </c>
      <c r="B121" s="8"/>
      <c r="C121" s="9"/>
      <c r="D121" s="10"/>
      <c r="E121" s="8"/>
      <c r="F121" s="9"/>
      <c r="G121" s="10"/>
      <c r="H121" s="8"/>
      <c r="I121" s="9"/>
      <c r="J121" s="10"/>
      <c r="K121" s="8"/>
      <c r="L121" s="9"/>
      <c r="M121" s="10"/>
      <c r="N121" s="8"/>
      <c r="O121" s="9"/>
      <c r="P121" s="10"/>
      <c r="Q121" s="8"/>
      <c r="R121" s="9"/>
    </row>
    <row r="122" ht="16.5" customHeight="1">
      <c t="s" r="A122" s="12">
        <v>126</v>
      </c>
      <c r="B122" s="13">
        <v>0</v>
      </c>
      <c r="C122" s="14">
        <f>IFERROR(B122/B329, "NA")</f>
      </c>
      <c r="D122" s="15"/>
      <c r="E122" s="13">
        <v>0</v>
      </c>
      <c r="F122" s="14">
        <f>IFERROR(E122/E329, "NA")</f>
      </c>
      <c r="G122" s="15"/>
      <c r="H122" s="13">
        <v>0</v>
      </c>
      <c r="I122" s="14">
        <f>IFERROR(H122/H329, "NA")</f>
      </c>
      <c r="J122" s="15"/>
      <c r="K122" s="13">
        <v>0</v>
      </c>
      <c r="L122" s="14">
        <f>IFERROR(K122/K329, "NA")</f>
      </c>
      <c r="M122" s="15"/>
      <c r="N122" s="13">
        <v>0</v>
      </c>
      <c r="O122" s="14">
        <f>IFERROR(N122/N329, "NA")</f>
      </c>
      <c r="P122" s="15"/>
      <c r="Q122" s="13">
        <v>0</v>
      </c>
      <c r="R122" s="14">
        <f>IFERROR(Q122/Q329, "NA")</f>
      </c>
    </row>
    <row r="123" ht="16.5" customHeight="1">
      <c t="s" r="A123" s="12">
        <v>127</v>
      </c>
      <c r="B123" s="13">
        <v>9903.8500000000004</v>
      </c>
      <c r="C123" s="14">
        <f>IFERROR(B123/B329, "NA")</f>
      </c>
      <c r="D123" s="15"/>
      <c r="E123" s="13">
        <v>7403.8599999999997</v>
      </c>
      <c r="F123" s="14">
        <f>IFERROR(E123/E329, "NA")</f>
      </c>
      <c r="G123" s="15"/>
      <c r="H123" s="13">
        <v>12115.379999999999</v>
      </c>
      <c r="I123" s="14">
        <f>IFERROR(H123/H329, "NA")</f>
      </c>
      <c r="J123" s="15"/>
      <c r="K123" s="13">
        <v>5420.3299999999999</v>
      </c>
      <c r="L123" s="14">
        <f>IFERROR(K123/K329, "NA")</f>
      </c>
      <c r="M123" s="15"/>
      <c r="N123" s="13">
        <v>12115.379999999999</v>
      </c>
      <c r="O123" s="14">
        <f>IFERROR(N123/N329, "NA")</f>
      </c>
      <c r="P123" s="15"/>
      <c r="Q123" s="13">
        <v>-12115.379999999999</v>
      </c>
      <c r="R123" s="14">
        <f>IFERROR(Q123/Q329, "NA")</f>
      </c>
    </row>
    <row r="124" ht="16.5" customHeight="1">
      <c t="s" r="A124" s="12">
        <v>128</v>
      </c>
      <c r="B124" s="13">
        <v>16484.630000000001</v>
      </c>
      <c r="C124" s="14">
        <f>IFERROR(B124/B329, "NA")</f>
      </c>
      <c r="D124" s="15"/>
      <c r="E124" s="13">
        <v>17340.41</v>
      </c>
      <c r="F124" s="14">
        <f>IFERROR(E124/E329, "NA")</f>
      </c>
      <c r="G124" s="15"/>
      <c r="H124" s="13">
        <v>7951.9300000000003</v>
      </c>
      <c r="I124" s="14">
        <f>IFERROR(H124/H329, "NA")</f>
      </c>
      <c r="J124" s="15"/>
      <c r="K124" s="13">
        <v>13336.559999999999</v>
      </c>
      <c r="L124" s="14">
        <f>IFERROR(K124/K329, "NA")</f>
      </c>
      <c r="M124" s="15"/>
      <c r="N124" s="13">
        <v>7951.9300000000003</v>
      </c>
      <c r="O124" s="14">
        <f>IFERROR(N124/N329, "NA")</f>
      </c>
      <c r="P124" s="15"/>
      <c r="Q124" s="13">
        <v>-4038.46</v>
      </c>
      <c r="R124" s="14">
        <f>IFERROR(Q124/Q329, "NA")</f>
      </c>
    </row>
    <row r="125" ht="30.75" customHeight="1">
      <c t="s" r="A125" s="12">
        <v>129</v>
      </c>
      <c r="B125" s="13">
        <v>0</v>
      </c>
      <c r="C125" s="14">
        <f>IFERROR(B125/B329, "NA")</f>
      </c>
      <c r="D125" s="15"/>
      <c r="E125" s="13">
        <v>0</v>
      </c>
      <c r="F125" s="14">
        <f>IFERROR(E125/E329, "NA")</f>
      </c>
      <c r="G125" s="15"/>
      <c r="H125" s="13">
        <v>0</v>
      </c>
      <c r="I125" s="14">
        <f>IFERROR(H125/H329, "NA")</f>
      </c>
      <c r="J125" s="15"/>
      <c r="K125" s="13">
        <v>0</v>
      </c>
      <c r="L125" s="14">
        <f>IFERROR(K125/K329, "NA")</f>
      </c>
      <c r="M125" s="15"/>
      <c r="N125" s="13">
        <v>0</v>
      </c>
      <c r="O125" s="14">
        <f>IFERROR(N125/N329, "NA")</f>
      </c>
      <c r="P125" s="15"/>
      <c r="Q125" s="13">
        <v>0</v>
      </c>
      <c r="R125" s="14">
        <f>IFERROR(Q125/Q329, "NA")</f>
      </c>
    </row>
    <row r="126" ht="16.5" customHeight="1">
      <c t="s" r="A126" s="12">
        <v>130</v>
      </c>
      <c r="B126" s="13">
        <v>0</v>
      </c>
      <c r="C126" s="14">
        <f>IFERROR(B126/B329, "NA")</f>
      </c>
      <c r="D126" s="15"/>
      <c r="E126" s="13">
        <v>0</v>
      </c>
      <c r="F126" s="14">
        <f>IFERROR(E126/E329, "NA")</f>
      </c>
      <c r="G126" s="15"/>
      <c r="H126" s="13">
        <v>0</v>
      </c>
      <c r="I126" s="14">
        <f>IFERROR(H126/H329, "NA")</f>
      </c>
      <c r="J126" s="15"/>
      <c r="K126" s="13">
        <v>0</v>
      </c>
      <c r="L126" s="14">
        <f>IFERROR(K126/K329, "NA")</f>
      </c>
      <c r="M126" s="15"/>
      <c r="N126" s="13">
        <v>0</v>
      </c>
      <c r="O126" s="14">
        <f>IFERROR(N126/N329, "NA")</f>
      </c>
      <c r="P126" s="15"/>
      <c r="Q126" s="13">
        <v>0</v>
      </c>
      <c r="R126" s="14">
        <f>IFERROR(Q126/Q329, "NA")</f>
      </c>
    </row>
    <row r="127" ht="16.5" customHeight="1">
      <c t="s" r="A127" s="12">
        <v>131</v>
      </c>
      <c r="B127" s="13">
        <v>0</v>
      </c>
      <c r="C127" s="14">
        <f>IFERROR(B127/B329, "NA")</f>
      </c>
      <c r="D127" s="15"/>
      <c r="E127" s="13">
        <v>0</v>
      </c>
      <c r="F127" s="14">
        <f>IFERROR(E127/E329, "NA")</f>
      </c>
      <c r="G127" s="15"/>
      <c r="H127" s="13">
        <v>0</v>
      </c>
      <c r="I127" s="14">
        <f>IFERROR(H127/H329, "NA")</f>
      </c>
      <c r="J127" s="15"/>
      <c r="K127" s="13">
        <v>0</v>
      </c>
      <c r="L127" s="14">
        <f>IFERROR(K127/K329, "NA")</f>
      </c>
      <c r="M127" s="15"/>
      <c r="N127" s="13">
        <v>0</v>
      </c>
      <c r="O127" s="14">
        <f>IFERROR(N127/N329, "NA")</f>
      </c>
      <c r="P127" s="15"/>
      <c r="Q127" s="13">
        <v>0</v>
      </c>
      <c r="R127" s="14">
        <f>IFERROR(Q127/Q329, "NA")</f>
      </c>
    </row>
    <row r="128" ht="16.5" customHeight="1">
      <c t="s" r="A128" s="12">
        <v>132</v>
      </c>
      <c r="B128" s="13">
        <v>0</v>
      </c>
      <c r="C128" s="14">
        <f>IFERROR(B128/B329, "NA")</f>
      </c>
      <c r="D128" s="15"/>
      <c r="E128" s="13">
        <v>0</v>
      </c>
      <c r="F128" s="14">
        <f>IFERROR(E128/E329, "NA")</f>
      </c>
      <c r="G128" s="15"/>
      <c r="H128" s="13">
        <v>0</v>
      </c>
      <c r="I128" s="14">
        <f>IFERROR(H128/H329, "NA")</f>
      </c>
      <c r="J128" s="15"/>
      <c r="K128" s="13">
        <v>0</v>
      </c>
      <c r="L128" s="14">
        <f>IFERROR(K128/K329, "NA")</f>
      </c>
      <c r="M128" s="15"/>
      <c r="N128" s="13">
        <v>0</v>
      </c>
      <c r="O128" s="14">
        <f>IFERROR(N128/N329, "NA")</f>
      </c>
      <c r="P128" s="15"/>
      <c r="Q128" s="13">
        <v>0</v>
      </c>
      <c r="R128" s="14">
        <f>IFERROR(Q128/Q329, "NA")</f>
      </c>
    </row>
    <row r="129" ht="16.5" customHeight="1">
      <c t="s" r="A129" s="12">
        <v>133</v>
      </c>
      <c r="B129" s="13">
        <v>0</v>
      </c>
      <c r="C129" s="14">
        <f>IFERROR(B129/B329, "NA")</f>
      </c>
      <c r="D129" s="15"/>
      <c r="E129" s="13">
        <v>0</v>
      </c>
      <c r="F129" s="14">
        <f>IFERROR(E129/E329, "NA")</f>
      </c>
      <c r="G129" s="15"/>
      <c r="H129" s="13">
        <v>0</v>
      </c>
      <c r="I129" s="14">
        <f>IFERROR(H129/H329, "NA")</f>
      </c>
      <c r="J129" s="15"/>
      <c r="K129" s="13">
        <v>0</v>
      </c>
      <c r="L129" s="14">
        <f>IFERROR(K129/K329, "NA")</f>
      </c>
      <c r="M129" s="15"/>
      <c r="N129" s="13">
        <v>0</v>
      </c>
      <c r="O129" s="14">
        <f>IFERROR(N129/N329, "NA")</f>
      </c>
      <c r="P129" s="15"/>
      <c r="Q129" s="13">
        <v>0</v>
      </c>
      <c r="R129" s="14">
        <f>IFERROR(Q129/Q329, "NA")</f>
      </c>
    </row>
    <row r="130" ht="16.5" customHeight="1">
      <c t="s" r="A130" s="12">
        <v>134</v>
      </c>
      <c r="B130" s="13">
        <v>0</v>
      </c>
      <c r="C130" s="14">
        <f>IFERROR(B130/B329, "NA")</f>
      </c>
      <c r="D130" s="15"/>
      <c r="E130" s="13">
        <v>0</v>
      </c>
      <c r="F130" s="14">
        <f>IFERROR(E130/E329, "NA")</f>
      </c>
      <c r="G130" s="15"/>
      <c r="H130" s="13">
        <v>1148.9100000000001</v>
      </c>
      <c r="I130" s="14">
        <f>IFERROR(H130/H329, "NA")</f>
      </c>
      <c r="J130" s="15"/>
      <c r="K130" s="13">
        <v>-1148.9100000000001</v>
      </c>
      <c r="L130" s="14">
        <f>IFERROR(K130/K329, "NA")</f>
      </c>
      <c r="M130" s="15"/>
      <c r="N130" s="13">
        <v>0</v>
      </c>
      <c r="O130" s="14">
        <f>IFERROR(N130/N329, "NA")</f>
      </c>
      <c r="P130" s="15"/>
      <c r="Q130" s="13">
        <v>0</v>
      </c>
      <c r="R130" s="14">
        <f>IFERROR(Q130/Q329, "NA")</f>
      </c>
    </row>
    <row r="131" ht="16.5" customHeight="1">
      <c t="s" r="A131" s="12">
        <v>135</v>
      </c>
      <c r="B131" s="13">
        <v>0</v>
      </c>
      <c r="C131" s="14">
        <f>IFERROR(B131/B329, "NA")</f>
      </c>
      <c r="D131" s="15"/>
      <c r="E131" s="13">
        <v>0</v>
      </c>
      <c r="F131" s="14">
        <f>IFERROR(E131/E329, "NA")</f>
      </c>
      <c r="G131" s="15"/>
      <c r="H131" s="13">
        <v>0</v>
      </c>
      <c r="I131" s="14">
        <f>IFERROR(H131/H329, "NA")</f>
      </c>
      <c r="J131" s="15"/>
      <c r="K131" s="13">
        <v>0</v>
      </c>
      <c r="L131" s="14">
        <f>IFERROR(K131/K329, "NA")</f>
      </c>
      <c r="M131" s="15"/>
      <c r="N131" s="13">
        <v>0</v>
      </c>
      <c r="O131" s="14">
        <f>IFERROR(N131/N329, "NA")</f>
      </c>
      <c r="P131" s="15"/>
      <c r="Q131" s="13">
        <v>0</v>
      </c>
      <c r="R131" s="14">
        <f>IFERROR(Q131/Q329, "NA")</f>
      </c>
    </row>
    <row r="132" ht="16.5" customHeight="1">
      <c t="s" r="A132" s="12">
        <v>136</v>
      </c>
      <c r="B132" s="13">
        <v>0</v>
      </c>
      <c r="C132" s="14">
        <f>IFERROR(B132/B329, "NA")</f>
      </c>
      <c r="D132" s="15"/>
      <c r="E132" s="13">
        <v>0</v>
      </c>
      <c r="F132" s="14">
        <f>IFERROR(E132/E329, "NA")</f>
      </c>
      <c r="G132" s="15"/>
      <c r="H132" s="13">
        <v>0</v>
      </c>
      <c r="I132" s="14">
        <f>IFERROR(H132/H329, "NA")</f>
      </c>
      <c r="J132" s="15"/>
      <c r="K132" s="13">
        <v>0</v>
      </c>
      <c r="L132" s="14">
        <f>IFERROR(K132/K329, "NA")</f>
      </c>
      <c r="M132" s="15"/>
      <c r="N132" s="13">
        <v>0</v>
      </c>
      <c r="O132" s="14">
        <f>IFERROR(N132/N329, "NA")</f>
      </c>
      <c r="P132" s="15"/>
      <c r="Q132" s="13">
        <v>0</v>
      </c>
      <c r="R132" s="14">
        <f>IFERROR(Q132/Q329, "NA")</f>
      </c>
    </row>
    <row r="133" ht="16.5" customHeight="1">
      <c t="s" r="A133" s="12">
        <v>137</v>
      </c>
      <c r="B133" s="13">
        <v>0</v>
      </c>
      <c r="C133" s="14">
        <f>IFERROR(B133/B329, "NA")</f>
      </c>
      <c r="D133" s="15"/>
      <c r="E133" s="13">
        <v>0</v>
      </c>
      <c r="F133" s="14">
        <f>IFERROR(E133/E329, "NA")</f>
      </c>
      <c r="G133" s="15"/>
      <c r="H133" s="13">
        <v>0</v>
      </c>
      <c r="I133" s="14">
        <f>IFERROR(H133/H329, "NA")</f>
      </c>
      <c r="J133" s="15"/>
      <c r="K133" s="13">
        <v>0</v>
      </c>
      <c r="L133" s="14">
        <f>IFERROR(K133/K329, "NA")</f>
      </c>
      <c r="M133" s="15"/>
      <c r="N133" s="13">
        <v>0</v>
      </c>
      <c r="O133" s="14">
        <f>IFERROR(N133/N329, "NA")</f>
      </c>
      <c r="P133" s="15"/>
      <c r="Q133" s="13">
        <v>0</v>
      </c>
      <c r="R133" s="14">
        <f>IFERROR(Q133/Q329, "NA")</f>
      </c>
    </row>
    <row r="134" ht="16.5" customHeight="1">
      <c t="s" r="A134" s="12">
        <v>138</v>
      </c>
      <c r="B134" s="13">
        <v>0</v>
      </c>
      <c r="C134" s="14">
        <f>IFERROR(B134/B329, "NA")</f>
      </c>
      <c r="D134" s="15"/>
      <c r="E134" s="13">
        <v>0</v>
      </c>
      <c r="F134" s="14">
        <f>IFERROR(E134/E329, "NA")</f>
      </c>
      <c r="G134" s="15"/>
      <c r="H134" s="13">
        <v>0</v>
      </c>
      <c r="I134" s="14">
        <f>IFERROR(H134/H329, "NA")</f>
      </c>
      <c r="J134" s="15"/>
      <c r="K134" s="13">
        <v>0</v>
      </c>
      <c r="L134" s="14">
        <f>IFERROR(K134/K329, "NA")</f>
      </c>
      <c r="M134" s="15"/>
      <c r="N134" s="13">
        <v>0</v>
      </c>
      <c r="O134" s="14">
        <f>IFERROR(N134/N329, "NA")</f>
      </c>
      <c r="P134" s="15"/>
      <c r="Q134" s="13">
        <v>0</v>
      </c>
      <c r="R134" s="14">
        <f>IFERROR(Q134/Q329, "NA")</f>
      </c>
    </row>
    <row r="135" ht="16.5" customHeight="1">
      <c t="s" r="A135" s="12">
        <v>139</v>
      </c>
      <c r="B135" s="13">
        <v>0</v>
      </c>
      <c r="C135" s="14">
        <f>IFERROR(B135/B329, "NA")</f>
      </c>
      <c r="D135" s="15"/>
      <c r="E135" s="13">
        <v>0</v>
      </c>
      <c r="F135" s="14">
        <f>IFERROR(E135/E329, "NA")</f>
      </c>
      <c r="G135" s="15"/>
      <c r="H135" s="13">
        <v>0</v>
      </c>
      <c r="I135" s="14">
        <f>IFERROR(H135/H329, "NA")</f>
      </c>
      <c r="J135" s="15"/>
      <c r="K135" s="13">
        <v>0</v>
      </c>
      <c r="L135" s="14">
        <f>IFERROR(K135/K329, "NA")</f>
      </c>
      <c r="M135" s="15"/>
      <c r="N135" s="13">
        <v>0</v>
      </c>
      <c r="O135" s="14">
        <f>IFERROR(N135/N329, "NA")</f>
      </c>
      <c r="P135" s="15"/>
      <c r="Q135" s="13">
        <v>0</v>
      </c>
      <c r="R135" s="14">
        <f>IFERROR(Q135/Q329, "NA")</f>
      </c>
    </row>
    <row r="136" ht="16.5" customHeight="1">
      <c t="s" r="A136" s="12">
        <v>140</v>
      </c>
      <c r="B136" s="13">
        <v>0</v>
      </c>
      <c r="C136" s="14">
        <f>IFERROR(B136/B329, "NA")</f>
      </c>
      <c r="D136" s="15"/>
      <c r="E136" s="13">
        <v>0</v>
      </c>
      <c r="F136" s="14">
        <f>IFERROR(E136/E329, "NA")</f>
      </c>
      <c r="G136" s="15"/>
      <c r="H136" s="13">
        <v>0</v>
      </c>
      <c r="I136" s="14">
        <f>IFERROR(H136/H329, "NA")</f>
      </c>
      <c r="J136" s="15"/>
      <c r="K136" s="13">
        <v>0</v>
      </c>
      <c r="L136" s="14">
        <f>IFERROR(K136/K329, "NA")</f>
      </c>
      <c r="M136" s="15"/>
      <c r="N136" s="13">
        <v>0</v>
      </c>
      <c r="O136" s="14">
        <f>IFERROR(N136/N329, "NA")</f>
      </c>
      <c r="P136" s="15"/>
      <c r="Q136" s="13">
        <v>0</v>
      </c>
      <c r="R136" s="14">
        <f>IFERROR(Q136/Q329, "NA")</f>
      </c>
    </row>
    <row r="137" ht="16.5" customHeight="1">
      <c t="s" r="A137" s="12">
        <v>141</v>
      </c>
      <c r="B137" s="13">
        <v>0</v>
      </c>
      <c r="C137" s="14">
        <f>IFERROR(B137/B329, "NA")</f>
      </c>
      <c r="D137" s="15"/>
      <c r="E137" s="13">
        <v>0</v>
      </c>
      <c r="F137" s="14">
        <f>IFERROR(E137/E329, "NA")</f>
      </c>
      <c r="G137" s="15"/>
      <c r="H137" s="13">
        <v>0</v>
      </c>
      <c r="I137" s="14">
        <f>IFERROR(H137/H329, "NA")</f>
      </c>
      <c r="J137" s="15"/>
      <c r="K137" s="13">
        <v>0</v>
      </c>
      <c r="L137" s="14">
        <f>IFERROR(K137/K329, "NA")</f>
      </c>
      <c r="M137" s="15"/>
      <c r="N137" s="13">
        <v>0</v>
      </c>
      <c r="O137" s="14">
        <f>IFERROR(N137/N329, "NA")</f>
      </c>
      <c r="P137" s="15"/>
      <c r="Q137" s="13">
        <v>0</v>
      </c>
      <c r="R137" s="14">
        <f>IFERROR(Q137/Q329, "NA")</f>
      </c>
    </row>
    <row r="138" ht="16.5" customHeight="1">
      <c t="s" r="A138" s="12">
        <v>142</v>
      </c>
      <c r="B138" s="13">
        <v>0</v>
      </c>
      <c r="C138" s="14">
        <f>IFERROR(B138/B329, "NA")</f>
      </c>
      <c r="D138" s="15"/>
      <c r="E138" s="13">
        <v>0</v>
      </c>
      <c r="F138" s="14">
        <f>IFERROR(E138/E329, "NA")</f>
      </c>
      <c r="G138" s="15"/>
      <c r="H138" s="13">
        <v>0</v>
      </c>
      <c r="I138" s="14">
        <f>IFERROR(H138/H329, "NA")</f>
      </c>
      <c r="J138" s="15"/>
      <c r="K138" s="13">
        <v>0</v>
      </c>
      <c r="L138" s="14">
        <f>IFERROR(K138/K329, "NA")</f>
      </c>
      <c r="M138" s="15"/>
      <c r="N138" s="13">
        <v>0</v>
      </c>
      <c r="O138" s="14">
        <f>IFERROR(N138/N329, "NA")</f>
      </c>
      <c r="P138" s="15"/>
      <c r="Q138" s="13">
        <v>0</v>
      </c>
      <c r="R138" s="14">
        <f>IFERROR(Q138/Q329, "NA")</f>
      </c>
    </row>
    <row r="139" ht="16.5" customHeight="1">
      <c t="s" r="A139" s="12">
        <v>143</v>
      </c>
      <c r="B139" s="13">
        <v>21740.02</v>
      </c>
      <c r="C139" s="14">
        <f>IFERROR(B139/B329, "NA")</f>
      </c>
      <c r="D139" s="15"/>
      <c r="E139" s="13">
        <v>21740.02</v>
      </c>
      <c r="F139" s="14">
        <f>IFERROR(E139/E329, "NA")</f>
      </c>
      <c r="G139" s="15"/>
      <c r="H139" s="13">
        <v>21740.02</v>
      </c>
      <c r="I139" s="14">
        <f>IFERROR(H139/H329, "NA")</f>
      </c>
      <c r="J139" s="15"/>
      <c r="K139" s="13">
        <v>21740.02</v>
      </c>
      <c r="L139" s="14">
        <f>IFERROR(K139/K329, "NA")</f>
      </c>
      <c r="M139" s="15"/>
      <c r="N139" s="13">
        <v>22011.139999999999</v>
      </c>
      <c r="O139" s="14">
        <f>IFERROR(N139/N329, "NA")</f>
      </c>
      <c r="P139" s="15"/>
      <c r="Q139" s="13">
        <v>22011.139999999999</v>
      </c>
      <c r="R139" s="14">
        <f>IFERROR(Q139/Q329, "NA")</f>
      </c>
    </row>
    <row r="140" ht="16.5" customHeight="1">
      <c t="s" r="A140" s="12">
        <v>144</v>
      </c>
      <c r="B140" s="13">
        <v>0</v>
      </c>
      <c r="C140" s="14">
        <f>IFERROR(B140/B329, "NA")</f>
      </c>
      <c r="D140" s="15"/>
      <c r="E140" s="13">
        <v>0</v>
      </c>
      <c r="F140" s="14">
        <f>IFERROR(E140/E329, "NA")</f>
      </c>
      <c r="G140" s="15"/>
      <c r="H140" s="13">
        <v>0</v>
      </c>
      <c r="I140" s="14">
        <f>IFERROR(H140/H329, "NA")</f>
      </c>
      <c r="J140" s="15"/>
      <c r="K140" s="13">
        <v>0</v>
      </c>
      <c r="L140" s="14">
        <f>IFERROR(K140/K329, "NA")</f>
      </c>
      <c r="M140" s="15"/>
      <c r="N140" s="13">
        <v>0</v>
      </c>
      <c r="O140" s="14">
        <f>IFERROR(N140/N329, "NA")</f>
      </c>
      <c r="P140" s="15"/>
      <c r="Q140" s="13">
        <v>0</v>
      </c>
      <c r="R140" s="14">
        <f>IFERROR(Q140/Q329, "NA")</f>
      </c>
    </row>
    <row r="141" ht="16.5" customHeight="1">
      <c t="s" r="A141" s="12">
        <v>145</v>
      </c>
      <c r="B141" s="13">
        <v>14769.32</v>
      </c>
      <c r="C141" s="14">
        <f>IFERROR(B141/B329, "NA")</f>
      </c>
      <c r="D141" s="15"/>
      <c r="E141" s="13">
        <v>15020.58</v>
      </c>
      <c r="F141" s="14">
        <f>IFERROR(E141/E329, "NA")</f>
      </c>
      <c r="G141" s="15"/>
      <c r="H141" s="13">
        <v>15311.629999999999</v>
      </c>
      <c r="I141" s="14">
        <f>IFERROR(H141/H329, "NA")</f>
      </c>
      <c r="J141" s="15"/>
      <c r="K141" s="13">
        <v>22718.619999999999</v>
      </c>
      <c r="L141" s="14">
        <f>IFERROR(K141/K329, "NA")</f>
      </c>
      <c r="M141" s="15"/>
      <c r="N141" s="13">
        <v>15311.629999999999</v>
      </c>
      <c r="O141" s="14">
        <f>IFERROR(N141/N329, "NA")</f>
      </c>
      <c r="P141" s="15"/>
      <c r="Q141" s="13">
        <v>-15311.629999999999</v>
      </c>
      <c r="R141" s="14">
        <f>IFERROR(Q141/Q329, "NA")</f>
      </c>
    </row>
    <row r="142" ht="16.5" customHeight="1">
      <c t="s" r="A142" s="12">
        <v>146</v>
      </c>
      <c r="B142" s="13">
        <v>0</v>
      </c>
      <c r="C142" s="14">
        <f>IFERROR(B142/B329, "NA")</f>
      </c>
      <c r="D142" s="15"/>
      <c r="E142" s="13">
        <v>0</v>
      </c>
      <c r="F142" s="14">
        <f>IFERROR(E142/E329, "NA")</f>
      </c>
      <c r="G142" s="15"/>
      <c r="H142" s="13">
        <v>0</v>
      </c>
      <c r="I142" s="14">
        <f>IFERROR(H142/H329, "NA")</f>
      </c>
      <c r="J142" s="15"/>
      <c r="K142" s="13">
        <v>24425</v>
      </c>
      <c r="L142" s="14">
        <f>IFERROR(K142/K329, "NA")</f>
      </c>
      <c r="M142" s="15"/>
      <c r="N142" s="13">
        <v>0</v>
      </c>
      <c r="O142" s="14">
        <f>IFERROR(N142/N329, "NA")</f>
      </c>
      <c r="P142" s="15"/>
      <c r="Q142" s="13">
        <v>0</v>
      </c>
      <c r="R142" s="14">
        <f>IFERROR(Q142/Q329, "NA")</f>
      </c>
    </row>
    <row r="143" ht="16.5" customHeight="1">
      <c t="s" r="A143" s="16">
        <v>147</v>
      </c>
      <c r="B143" s="17">
        <f>IFERROR(B122+B123+B124+B125+B126+B127+B128+B129+B130+B131+B132+B133+B134+B135+B136+B137+B138+B139+B140+B141+B142, "NA")</f>
      </c>
      <c r="C143" s="18">
        <f>IFERROR(B143/B329, "NA")</f>
      </c>
      <c r="D143" s="8"/>
      <c r="E143" s="17">
        <f>IFERROR(E122+E123+E124+E125+E126+E127+E128+E129+E130+E131+E132+E133+E134+E135+E136+E137+E138+E139+E140+E141+E142, "NA")</f>
      </c>
      <c r="F143" s="18">
        <f>IFERROR(E143/E329, "NA")</f>
      </c>
      <c r="G143" s="8"/>
      <c r="H143" s="17">
        <f>IFERROR(H122+H123+H124+H125+H126+H127+H128+H129+H130+H131+H132+H133+H134+H135+H136+H137+H138+H139+H140+H141+H142, "NA")</f>
      </c>
      <c r="I143" s="18">
        <f>IFERROR(H143/H329, "NA")</f>
      </c>
      <c r="J143" s="8"/>
      <c r="K143" s="17">
        <f>IFERROR(K122+K123+K124+K125+K126+K127+K128+K129+K130+K131+K132+K133+K134+K135+K136+K137+K138+K139+K140+K141+K142, "NA")</f>
      </c>
      <c r="L143" s="18">
        <f>IFERROR(K143/K329, "NA")</f>
      </c>
      <c r="M143" s="8"/>
      <c r="N143" s="17">
        <f>IFERROR(N122+N123+N124+N125+N126+N127+N128+N129+N130+N131+N132+N133+N134+N135+N136+N137+N138+N139+N140+N141+N142, "NA")</f>
      </c>
      <c r="O143" s="18">
        <f>IFERROR(N143/N329, "NA")</f>
      </c>
      <c r="P143" s="8"/>
      <c r="Q143" s="17">
        <f>IFERROR(Q122+Q123+Q124+Q125+Q126+Q127+Q128+Q129+Q130+Q131+Q132+Q133+Q134+Q135+Q136+Q137+Q138+Q139+Q140+Q141+Q142, "NA")</f>
      </c>
      <c r="R143" s="18">
        <f>IFERROR(Q143/Q329, "NA")</f>
      </c>
    </row>
    <row r="144" ht="16.5" customHeight="1">
      <c t="s" r="A144" s="11">
        <v>148</v>
      </c>
      <c r="B144" s="8"/>
      <c r="C144" s="9"/>
      <c r="D144" s="10"/>
      <c r="E144" s="8"/>
      <c r="F144" s="9"/>
      <c r="G144" s="10"/>
      <c r="H144" s="8"/>
      <c r="I144" s="9"/>
      <c r="J144" s="10"/>
      <c r="K144" s="8"/>
      <c r="L144" s="9"/>
      <c r="M144" s="10"/>
      <c r="N144" s="8"/>
      <c r="O144" s="9"/>
      <c r="P144" s="10"/>
      <c r="Q144" s="8"/>
      <c r="R144" s="9"/>
    </row>
    <row r="145" ht="16.5" customHeight="1">
      <c t="s" r="A145" s="12">
        <v>149</v>
      </c>
      <c r="B145" s="13">
        <v>0</v>
      </c>
      <c r="C145" s="14">
        <f>IFERROR(B145/B329, "NA")</f>
      </c>
      <c r="D145" s="15"/>
      <c r="E145" s="13">
        <v>0</v>
      </c>
      <c r="F145" s="14">
        <f>IFERROR(E145/E329, "NA")</f>
      </c>
      <c r="G145" s="15"/>
      <c r="H145" s="13">
        <v>0</v>
      </c>
      <c r="I145" s="14">
        <f>IFERROR(H145/H329, "NA")</f>
      </c>
      <c r="J145" s="15"/>
      <c r="K145" s="13">
        <v>0</v>
      </c>
      <c r="L145" s="14">
        <f>IFERROR(K145/K329, "NA")</f>
      </c>
      <c r="M145" s="15"/>
      <c r="N145" s="13">
        <v>0</v>
      </c>
      <c r="O145" s="14">
        <f>IFERROR(N145/N329, "NA")</f>
      </c>
      <c r="P145" s="15"/>
      <c r="Q145" s="13">
        <v>0</v>
      </c>
      <c r="R145" s="14">
        <f>IFERROR(Q145/Q329, "NA")</f>
      </c>
    </row>
    <row r="146" ht="16.5" customHeight="1">
      <c t="s" r="A146" s="12">
        <v>150</v>
      </c>
      <c r="B146" s="13">
        <v>24422.619999999999</v>
      </c>
      <c r="C146" s="14">
        <f>IFERROR(B146/B329, "NA")</f>
      </c>
      <c r="D146" s="15"/>
      <c r="E146" s="13">
        <v>4147.8699999999999</v>
      </c>
      <c r="F146" s="14">
        <f>IFERROR(E146/E329, "NA")</f>
      </c>
      <c r="G146" s="15"/>
      <c r="H146" s="13">
        <v>15513.450000000001</v>
      </c>
      <c r="I146" s="14">
        <f>IFERROR(H146/H329, "NA")</f>
      </c>
      <c r="J146" s="15"/>
      <c r="K146" s="13">
        <v>13117.85</v>
      </c>
      <c r="L146" s="14">
        <f>IFERROR(K146/K329, "NA")</f>
      </c>
      <c r="M146" s="15"/>
      <c r="N146" s="13">
        <v>16540.509999999998</v>
      </c>
      <c r="O146" s="14">
        <f>IFERROR(N146/N329, "NA")</f>
      </c>
      <c r="P146" s="15"/>
      <c r="Q146" s="13">
        <v>-16343.040000000001</v>
      </c>
      <c r="R146" s="14">
        <f>IFERROR(Q146/Q329, "NA")</f>
      </c>
    </row>
    <row r="147" ht="16.5" customHeight="1">
      <c t="s" r="A147" s="12">
        <v>151</v>
      </c>
      <c r="B147" s="13">
        <v>1085.96</v>
      </c>
      <c r="C147" s="14">
        <f>IFERROR(B147/B329, "NA")</f>
      </c>
      <c r="D147" s="15"/>
      <c r="E147" s="13">
        <v>-1456.3699999999999</v>
      </c>
      <c r="F147" s="14">
        <f>IFERROR(E147/E329, "NA")</f>
      </c>
      <c r="G147" s="15"/>
      <c r="H147" s="13">
        <v>592.66999999999996</v>
      </c>
      <c r="I147" s="14">
        <f>IFERROR(H147/H329, "NA")</f>
      </c>
      <c r="J147" s="15"/>
      <c r="K147" s="13">
        <v>-826.79999999999995</v>
      </c>
      <c r="L147" s="14">
        <f>IFERROR(K147/K329, "NA")</f>
      </c>
      <c r="M147" s="15"/>
      <c r="N147" s="13">
        <v>722.09000000000003</v>
      </c>
      <c r="O147" s="14">
        <f>IFERROR(N147/N329, "NA")</f>
      </c>
      <c r="P147" s="15"/>
      <c r="Q147" s="13">
        <v>-1263.6400000000001</v>
      </c>
      <c r="R147" s="14">
        <f>IFERROR(Q147/Q329, "NA")</f>
      </c>
    </row>
    <row r="148" ht="16.5" customHeight="1">
      <c t="s" r="A148" s="12">
        <v>152</v>
      </c>
      <c r="B148" s="13">
        <v>0</v>
      </c>
      <c r="C148" s="14">
        <f>IFERROR(B148/B329, "NA")</f>
      </c>
      <c r="D148" s="15"/>
      <c r="E148" s="13">
        <v>124.81</v>
      </c>
      <c r="F148" s="14">
        <f>IFERROR(E148/E329, "NA")</f>
      </c>
      <c r="G148" s="15"/>
      <c r="H148" s="13">
        <v>0</v>
      </c>
      <c r="I148" s="14">
        <f>IFERROR(H148/H329, "NA")</f>
      </c>
      <c r="J148" s="15"/>
      <c r="K148" s="13">
        <v>1343.72</v>
      </c>
      <c r="L148" s="14">
        <f>IFERROR(K148/K329, "NA")</f>
      </c>
      <c r="M148" s="15"/>
      <c r="N148" s="13">
        <v>0</v>
      </c>
      <c r="O148" s="14">
        <f>IFERROR(N148/N329, "NA")</f>
      </c>
      <c r="P148" s="15"/>
      <c r="Q148" s="13">
        <v>-4694.1300000000001</v>
      </c>
      <c r="R148" s="14">
        <f>IFERROR(Q148/Q329, "NA")</f>
      </c>
    </row>
    <row r="149" ht="16.5" customHeight="1">
      <c t="s" r="A149" s="12">
        <v>153</v>
      </c>
      <c r="B149" s="13">
        <v>1990.9300000000001</v>
      </c>
      <c r="C149" s="14">
        <f>IFERROR(B149/B329, "NA")</f>
      </c>
      <c r="D149" s="15"/>
      <c r="E149" s="13">
        <v>696.88</v>
      </c>
      <c r="F149" s="14">
        <f>IFERROR(E149/E329, "NA")</f>
      </c>
      <c r="G149" s="15"/>
      <c r="H149" s="13">
        <v>1086.5599999999999</v>
      </c>
      <c r="I149" s="14">
        <f>IFERROR(H149/H329, "NA")</f>
      </c>
      <c r="J149" s="15"/>
      <c r="K149" s="13">
        <v>1872.72</v>
      </c>
      <c r="L149" s="14">
        <f>IFERROR(K149/K329, "NA")</f>
      </c>
      <c r="M149" s="15"/>
      <c r="N149" s="13">
        <v>1323.8399999999999</v>
      </c>
      <c r="O149" s="14">
        <f>IFERROR(N149/N329, "NA")</f>
      </c>
      <c r="P149" s="15"/>
      <c r="Q149" s="13">
        <v>-2316.6700000000001</v>
      </c>
      <c r="R149" s="14">
        <f>IFERROR(Q149/Q329, "NA")</f>
      </c>
    </row>
    <row r="150" ht="16.5" customHeight="1">
      <c t="s" r="A150" s="12">
        <v>154</v>
      </c>
      <c r="B150" s="13">
        <v>1158.0599999999999</v>
      </c>
      <c r="C150" s="14">
        <f>IFERROR(B150/B329, "NA")</f>
      </c>
      <c r="D150" s="15"/>
      <c r="E150" s="13">
        <v>1158.0599999999999</v>
      </c>
      <c r="F150" s="14">
        <f>IFERROR(E150/E329, "NA")</f>
      </c>
      <c r="G150" s="15"/>
      <c r="H150" s="13">
        <v>1158.0599999999999</v>
      </c>
      <c r="I150" s="14">
        <f>IFERROR(H150/H329, "NA")</f>
      </c>
      <c r="J150" s="15"/>
      <c r="K150" s="13">
        <v>1158.0599999999999</v>
      </c>
      <c r="L150" s="14">
        <f>IFERROR(K150/K329, "NA")</f>
      </c>
      <c r="M150" s="15"/>
      <c r="N150" s="13">
        <v>1210.46</v>
      </c>
      <c r="O150" s="14">
        <f>IFERROR(N150/N329, "NA")</f>
      </c>
      <c r="P150" s="15"/>
      <c r="Q150" s="13">
        <v>2323.0599999999999</v>
      </c>
      <c r="R150" s="14">
        <f>IFERROR(Q150/Q329, "NA")</f>
      </c>
    </row>
    <row r="151" ht="16.5" customHeight="1">
      <c t="s" r="A151" s="16">
        <v>155</v>
      </c>
      <c r="B151" s="17">
        <f>IFERROR(B145+B146+B147+B148+B149+B150, "NA")</f>
      </c>
      <c r="C151" s="18">
        <f>IFERROR(B151/B329, "NA")</f>
      </c>
      <c r="D151" s="8"/>
      <c r="E151" s="17">
        <f>IFERROR(E145+E146+E147+E148+E149+E150, "NA")</f>
      </c>
      <c r="F151" s="18">
        <f>IFERROR(E151/E329, "NA")</f>
      </c>
      <c r="G151" s="8"/>
      <c r="H151" s="17">
        <f>IFERROR(H145+H146+H147+H148+H149+H150, "NA")</f>
      </c>
      <c r="I151" s="18">
        <f>IFERROR(H151/H329, "NA")</f>
      </c>
      <c r="J151" s="8"/>
      <c r="K151" s="17">
        <f>IFERROR(K145+K146+K147+K148+K149+K150, "NA")</f>
      </c>
      <c r="L151" s="18">
        <f>IFERROR(K151/K329, "NA")</f>
      </c>
      <c r="M151" s="8"/>
      <c r="N151" s="17">
        <f>IFERROR(N145+N146+N147+N148+N149+N150, "NA")</f>
      </c>
      <c r="O151" s="18">
        <f>IFERROR(N151/N329, "NA")</f>
      </c>
      <c r="P151" s="8"/>
      <c r="Q151" s="17">
        <f>IFERROR(Q145+Q146+Q147+Q148+Q149+Q150, "NA")</f>
      </c>
      <c r="R151" s="18">
        <f>IFERROR(Q151/Q329, "NA")</f>
      </c>
    </row>
    <row r="152" ht="16.5" customHeight="1">
      <c t="s" r="A152" s="19">
        <v>156</v>
      </c>
      <c r="B152" s="13">
        <v>0</v>
      </c>
      <c r="C152" s="14">
        <f>IFERROR(B152/B329, "NA")</f>
      </c>
      <c r="D152" s="15"/>
      <c r="E152" s="13">
        <v>0</v>
      </c>
      <c r="F152" s="14">
        <f>IFERROR(E152/E329, "NA")</f>
      </c>
      <c r="G152" s="15"/>
      <c r="H152" s="13">
        <v>0</v>
      </c>
      <c r="I152" s="14">
        <f>IFERROR(H152/H329, "NA")</f>
      </c>
      <c r="J152" s="15"/>
      <c r="K152" s="13">
        <v>0</v>
      </c>
      <c r="L152" s="14">
        <f>IFERROR(K152/K329, "NA")</f>
      </c>
      <c r="M152" s="15"/>
      <c r="N152" s="13">
        <v>0</v>
      </c>
      <c r="O152" s="14">
        <f>IFERROR(N152/N329, "NA")</f>
      </c>
      <c r="P152" s="15"/>
      <c r="Q152" s="13">
        <v>0</v>
      </c>
      <c r="R152" s="14">
        <f>IFERROR(Q152/Q329, "NA")</f>
      </c>
    </row>
    <row r="153" ht="16.5" customHeight="1">
      <c t="s" r="A153" s="19">
        <v>157</v>
      </c>
      <c r="B153" s="13">
        <v>0</v>
      </c>
      <c r="C153" s="14">
        <f>IFERROR(B153/B329, "NA")</f>
      </c>
      <c r="D153" s="15"/>
      <c r="E153" s="13">
        <v>-4463.8500000000004</v>
      </c>
      <c r="F153" s="14">
        <f>IFERROR(E153/E329, "NA")</f>
      </c>
      <c r="G153" s="15"/>
      <c r="H153" s="13">
        <v>24303.619999999999</v>
      </c>
      <c r="I153" s="14">
        <f>IFERROR(H153/H329, "NA")</f>
      </c>
      <c r="J153" s="15"/>
      <c r="K153" s="13">
        <v>-4219.7600000000002</v>
      </c>
      <c r="L153" s="14">
        <f>IFERROR(K153/K329, "NA")</f>
      </c>
      <c r="M153" s="15"/>
      <c r="N153" s="13">
        <v>24303.619999999999</v>
      </c>
      <c r="O153" s="14">
        <f>IFERROR(N153/N329, "NA")</f>
      </c>
      <c r="P153" s="15"/>
      <c r="Q153" s="13">
        <v>0</v>
      </c>
      <c r="R153" s="14">
        <f>IFERROR(Q153/Q329, "NA")</f>
      </c>
    </row>
    <row r="154" ht="16.5" customHeight="1">
      <c t="s" r="A154" s="19">
        <v>158</v>
      </c>
      <c r="B154" s="13">
        <v>0</v>
      </c>
      <c r="C154" s="14">
        <f>IFERROR(B154/B329, "NA")</f>
      </c>
      <c r="D154" s="15"/>
      <c r="E154" s="13">
        <v>-755.09000000000003</v>
      </c>
      <c r="F154" s="14">
        <f>IFERROR(E154/E329, "NA")</f>
      </c>
      <c r="G154" s="15"/>
      <c r="H154" s="13">
        <v>0</v>
      </c>
      <c r="I154" s="14">
        <f>IFERROR(H154/H329, "NA")</f>
      </c>
      <c r="J154" s="15"/>
      <c r="K154" s="13">
        <v>-740.51999999999998</v>
      </c>
      <c r="L154" s="14">
        <f>IFERROR(K154/K329, "NA")</f>
      </c>
      <c r="M154" s="15"/>
      <c r="N154" s="13">
        <v>0</v>
      </c>
      <c r="O154" s="14">
        <f>IFERROR(N154/N329, "NA")</f>
      </c>
      <c r="P154" s="15"/>
      <c r="Q154" s="13">
        <v>0</v>
      </c>
      <c r="R154" s="14">
        <f>IFERROR(Q154/Q329, "NA")</f>
      </c>
    </row>
    <row r="155" ht="16.5" customHeight="1">
      <c t="s" r="A155" s="19">
        <v>159</v>
      </c>
      <c r="B155" s="13">
        <v>0</v>
      </c>
      <c r="C155" s="14">
        <f>IFERROR(B155/B329, "NA")</f>
      </c>
      <c r="D155" s="15"/>
      <c r="E155" s="13">
        <v>-72.090000000000003</v>
      </c>
      <c r="F155" s="14">
        <f>IFERROR(E155/E329, "NA")</f>
      </c>
      <c r="G155" s="15"/>
      <c r="H155" s="13">
        <v>0</v>
      </c>
      <c r="I155" s="14">
        <f>IFERROR(H155/H329, "NA")</f>
      </c>
      <c r="J155" s="15"/>
      <c r="K155" s="13">
        <v>-72.090000000000003</v>
      </c>
      <c r="L155" s="14">
        <f>IFERROR(K155/K329, "NA")</f>
      </c>
      <c r="M155" s="15"/>
      <c r="N155" s="13">
        <v>0</v>
      </c>
      <c r="O155" s="14">
        <f>IFERROR(N155/N329, "NA")</f>
      </c>
      <c r="P155" s="15"/>
      <c r="Q155" s="13">
        <v>0</v>
      </c>
      <c r="R155" s="14">
        <f>IFERROR(Q155/Q329, "NA")</f>
      </c>
    </row>
    <row r="156" ht="16.5" customHeight="1">
      <c t="s" r="A156" s="19">
        <v>160</v>
      </c>
      <c r="B156" s="13">
        <v>66.640000000000001</v>
      </c>
      <c r="C156" s="14">
        <f>IFERROR(B156/B329, "NA")</f>
      </c>
      <c r="D156" s="15"/>
      <c r="E156" s="13">
        <v>0</v>
      </c>
      <c r="F156" s="14">
        <f>IFERROR(E156/E329, "NA")</f>
      </c>
      <c r="G156" s="15"/>
      <c r="H156" s="13">
        <v>0</v>
      </c>
      <c r="I156" s="14">
        <f>IFERROR(H156/H329, "NA")</f>
      </c>
      <c r="J156" s="15"/>
      <c r="K156" s="13">
        <v>0</v>
      </c>
      <c r="L156" s="14">
        <f>IFERROR(K156/K329, "NA")</f>
      </c>
      <c r="M156" s="15"/>
      <c r="N156" s="13">
        <v>0</v>
      </c>
      <c r="O156" s="14">
        <f>IFERROR(N156/N329, "NA")</f>
      </c>
      <c r="P156" s="15"/>
      <c r="Q156" s="13">
        <v>0</v>
      </c>
      <c r="R156" s="14">
        <f>IFERROR(Q156/Q329, "NA")</f>
      </c>
    </row>
    <row r="157" ht="16.5" customHeight="1">
      <c t="s" r="A157" s="20">
        <v>161</v>
      </c>
      <c r="B157" s="17">
        <f>IFERROR(B55+B56+B57+B58+B59+B60+B61+B62+B63+B64+B66+B68+B69+B70+B71+B72+B73+B74+B75+B78+B79+B82+B84+B85+B86+B87+B88+B89+B90+B91+B92+B93+B94+B95+B96+B97+B98+B99+B100+B101+B102+B103+B104+B105+B106+B107+B108+B109+B110+B111+B112+B113+B114+B115+B116+B117+B118+B122+B123+B124+B125+B126+B127+B128+B129+B130+B131+B132+B133+B134+B135+B136+B137+B138+B139+B140+B141+B142+B145+B146+B147+B148+B149+B150+B152+B153+B154+B155+B156, "NA")</f>
      </c>
      <c r="C157" s="18">
        <f>IFERROR(B157/B329, "NA")</f>
      </c>
      <c r="D157" s="8"/>
      <c r="E157" s="17">
        <f>IFERROR(E55+E56+E57+E58+E59+E60+E61+E62+E63+E64+E66+E68+E69+E70+E71+E72+E73+E74+E75+E78+E79+E82+E84+E85+E86+E87+E88+E89+E90+E91+E92+E93+E94+E95+E96+E97+E98+E99+E100+E101+E102+E103+E104+E105+E106+E107+E108+E109+E110+E111+E112+E113+E114+E115+E116+E117+E118+E122+E123+E124+E125+E126+E127+E128+E129+E130+E131+E132+E133+E134+E135+E136+E137+E138+E139+E140+E141+E142+E145+E146+E147+E148+E149+E150+E152+E153+E154+E155+E156, "NA")</f>
      </c>
      <c r="F157" s="18">
        <f>IFERROR(E157/E329, "NA")</f>
      </c>
      <c r="G157" s="8"/>
      <c r="H157" s="17">
        <f>IFERROR(H55+H56+H57+H58+H59+H60+H61+H62+H63+H64+H66+H68+H69+H70+H71+H72+H73+H74+H75+H78+H79+H82+H84+H85+H86+H87+H88+H89+H90+H91+H92+H93+H94+H95+H96+H97+H98+H99+H100+H101+H102+H103+H104+H105+H106+H107+H108+H109+H110+H111+H112+H113+H114+H115+H116+H117+H118+H122+H123+H124+H125+H126+H127+H128+H129+H130+H131+H132+H133+H134+H135+H136+H137+H138+H139+H140+H141+H142+H145+H146+H147+H148+H149+H150+H152+H153+H154+H155+H156, "NA")</f>
      </c>
      <c r="I157" s="18">
        <f>IFERROR(H157/H329, "NA")</f>
      </c>
      <c r="J157" s="8"/>
      <c r="K157" s="17">
        <f>IFERROR(K55+K56+K57+K58+K59+K60+K61+K62+K63+K64+K66+K68+K69+K70+K71+K72+K73+K74+K75+K78+K79+K82+K84+K85+K86+K87+K88+K89+K90+K91+K92+K93+K94+K95+K96+K97+K98+K99+K100+K101+K102+K103+K104+K105+K106+K107+K108+K109+K110+K111+K112+K113+K114+K115+K116+K117+K118+K122+K123+K124+K125+K126+K127+K128+K129+K130+K131+K132+K133+K134+K135+K136+K137+K138+K139+K140+K141+K142+K145+K146+K147+K148+K149+K150+K152+K153+K154+K155+K156, "NA")</f>
      </c>
      <c r="L157" s="18">
        <f>IFERROR(K157/K329, "NA")</f>
      </c>
      <c r="M157" s="8"/>
      <c r="N157" s="17">
        <f>IFERROR(N55+N56+N57+N58+N59+N60+N61+N62+N63+N64+N66+N68+N69+N70+N71+N72+N73+N74+N75+N78+N79+N82+N84+N85+N86+N87+N88+N89+N90+N91+N92+N93+N94+N95+N96+N97+N98+N99+N100+N101+N102+N103+N104+N105+N106+N107+N108+N109+N110+N111+N112+N113+N114+N115+N116+N117+N118+N122+N123+N124+N125+N126+N127+N128+N129+N130+N131+N132+N133+N134+N135+N136+N137+N138+N139+N140+N141+N142+N145+N146+N147+N148+N149+N150+N152+N153+N154+N155+N156, "NA")</f>
      </c>
      <c r="O157" s="18">
        <f>IFERROR(N157/N329, "NA")</f>
      </c>
      <c r="P157" s="8"/>
      <c r="Q157" s="17">
        <f>IFERROR(Q55+Q56+Q57+Q58+Q59+Q60+Q61+Q62+Q63+Q64+Q66+Q68+Q69+Q70+Q71+Q72+Q73+Q74+Q75+Q78+Q79+Q82+Q84+Q85+Q86+Q87+Q88+Q89+Q90+Q91+Q92+Q93+Q94+Q95+Q96+Q97+Q98+Q99+Q100+Q101+Q102+Q103+Q104+Q105+Q106+Q107+Q108+Q109+Q110+Q111+Q112+Q113+Q114+Q115+Q116+Q117+Q118+Q122+Q123+Q124+Q125+Q126+Q127+Q128+Q129+Q130+Q131+Q132+Q133+Q134+Q135+Q136+Q137+Q138+Q139+Q140+Q141+Q142+Q145+Q146+Q147+Q148+Q149+Q150+Q152+Q153+Q154+Q155+Q156, "NA")</f>
      </c>
      <c r="R157" s="18">
        <f>IFERROR(Q157/Q329, "NA")</f>
      </c>
    </row>
    <row r="158" ht="16.5" customHeight="1">
      <c t="s" r="A158" s="7">
        <v>162</v>
      </c>
      <c r="B158" s="8"/>
      <c r="C158" s="9"/>
      <c r="D158" s="10"/>
      <c r="E158" s="8"/>
      <c r="F158" s="9"/>
      <c r="G158" s="10"/>
      <c r="H158" s="8"/>
      <c r="I158" s="9"/>
      <c r="J158" s="10"/>
      <c r="K158" s="8"/>
      <c r="L158" s="9"/>
      <c r="M158" s="10"/>
      <c r="N158" s="8"/>
      <c r="O158" s="9"/>
      <c r="P158" s="10"/>
      <c r="Q158" s="8"/>
      <c r="R158" s="9"/>
    </row>
    <row r="159" ht="16.5" customHeight="1">
      <c t="s" r="A159" s="11">
        <v>163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</row>
    <row r="160" ht="16.5" customHeight="1">
      <c t="s" r="A160" s="12">
        <v>164</v>
      </c>
      <c r="B160" s="13">
        <v>0</v>
      </c>
      <c r="C160" s="14">
        <f>IFERROR(B160/B329, "NA")</f>
      </c>
      <c r="D160" s="15"/>
      <c r="E160" s="13">
        <v>0</v>
      </c>
      <c r="F160" s="14">
        <f>IFERROR(E160/E329, "NA")</f>
      </c>
      <c r="G160" s="15"/>
      <c r="H160" s="13">
        <v>0</v>
      </c>
      <c r="I160" s="14">
        <f>IFERROR(H160/H329, "NA")</f>
      </c>
      <c r="J160" s="15"/>
      <c r="K160" s="13">
        <v>0</v>
      </c>
      <c r="L160" s="14">
        <f>IFERROR(K160/K329, "NA")</f>
      </c>
      <c r="M160" s="15"/>
      <c r="N160" s="13">
        <v>0</v>
      </c>
      <c r="O160" s="14">
        <f>IFERROR(N160/N329, "NA")</f>
      </c>
      <c r="P160" s="15"/>
      <c r="Q160" s="13">
        <v>0</v>
      </c>
      <c r="R160" s="14">
        <f>IFERROR(Q160/Q329, "NA")</f>
      </c>
    </row>
    <row r="161" ht="16.5" customHeight="1">
      <c t="s" r="A161" s="12">
        <v>165</v>
      </c>
      <c r="B161" s="13">
        <v>0</v>
      </c>
      <c r="C161" s="14">
        <f>IFERROR(B161/B329, "NA")</f>
      </c>
      <c r="D161" s="15"/>
      <c r="E161" s="13">
        <v>0</v>
      </c>
      <c r="F161" s="14">
        <f>IFERROR(E161/E329, "NA")</f>
      </c>
      <c r="G161" s="15"/>
      <c r="H161" s="13">
        <v>0</v>
      </c>
      <c r="I161" s="14">
        <f>IFERROR(H161/H329, "NA")</f>
      </c>
      <c r="J161" s="15"/>
      <c r="K161" s="13">
        <v>0</v>
      </c>
      <c r="L161" s="14">
        <f>IFERROR(K161/K329, "NA")</f>
      </c>
      <c r="M161" s="15"/>
      <c r="N161" s="13">
        <v>0</v>
      </c>
      <c r="O161" s="14">
        <f>IFERROR(N161/N329, "NA")</f>
      </c>
      <c r="P161" s="15"/>
      <c r="Q161" s="13">
        <v>0</v>
      </c>
      <c r="R161" s="14">
        <f>IFERROR(Q161/Q329, "NA")</f>
      </c>
    </row>
    <row r="162" ht="16.5" customHeight="1">
      <c t="s" r="A162" s="12">
        <v>166</v>
      </c>
      <c r="B162" s="13">
        <v>0</v>
      </c>
      <c r="C162" s="14">
        <f>IFERROR(B162/B329, "NA")</f>
      </c>
      <c r="D162" s="15"/>
      <c r="E162" s="13">
        <v>6818.5100000000002</v>
      </c>
      <c r="F162" s="14">
        <f>IFERROR(E162/E329, "NA")</f>
      </c>
      <c r="G162" s="15"/>
      <c r="H162" s="13">
        <v>0</v>
      </c>
      <c r="I162" s="14">
        <f>IFERROR(H162/H329, "NA")</f>
      </c>
      <c r="J162" s="15"/>
      <c r="K162" s="13">
        <v>-1277.48</v>
      </c>
      <c r="L162" s="14">
        <f>IFERROR(K162/K329, "NA")</f>
      </c>
      <c r="M162" s="15"/>
      <c r="N162" s="13">
        <v>89062.339999999997</v>
      </c>
      <c r="O162" s="14">
        <f>IFERROR(N162/N329, "NA")</f>
      </c>
      <c r="P162" s="15"/>
      <c r="Q162" s="13">
        <v>0</v>
      </c>
      <c r="R162" s="14">
        <f>IFERROR(Q162/Q329, "NA")</f>
      </c>
    </row>
    <row r="163" ht="16.5" customHeight="1">
      <c t="s" r="A163" s="12">
        <v>167</v>
      </c>
      <c r="B163" s="13">
        <v>0</v>
      </c>
      <c r="C163" s="14">
        <f>IFERROR(B163/B329, "NA")</f>
      </c>
      <c r="D163" s="15"/>
      <c r="E163" s="13">
        <v>7008.3199999999997</v>
      </c>
      <c r="F163" s="14">
        <f>IFERROR(E163/E329, "NA")</f>
      </c>
      <c r="G163" s="15"/>
      <c r="H163" s="13">
        <v>855.47000000000003</v>
      </c>
      <c r="I163" s="14">
        <f>IFERROR(H163/H329, "NA")</f>
      </c>
      <c r="J163" s="15"/>
      <c r="K163" s="13">
        <v>-3840.6100000000001</v>
      </c>
      <c r="L163" s="14">
        <f>IFERROR(K163/K329, "NA")</f>
      </c>
      <c r="M163" s="15"/>
      <c r="N163" s="13">
        <v>0</v>
      </c>
      <c r="O163" s="14">
        <f>IFERROR(N163/N329, "NA")</f>
      </c>
      <c r="P163" s="15"/>
      <c r="Q163" s="13">
        <v>9406.8999999999996</v>
      </c>
      <c r="R163" s="14">
        <f>IFERROR(Q163/Q329, "NA")</f>
      </c>
    </row>
    <row r="164" ht="16.5" customHeight="1">
      <c t="s" r="A164" s="12">
        <v>168</v>
      </c>
      <c r="B164" s="13">
        <v>0</v>
      </c>
      <c r="C164" s="14">
        <f>IFERROR(B164/B329, "NA")</f>
      </c>
      <c r="D164" s="15"/>
      <c r="E164" s="13">
        <v>0</v>
      </c>
      <c r="F164" s="14">
        <f>IFERROR(E164/E329, "NA")</f>
      </c>
      <c r="G164" s="15"/>
      <c r="H164" s="13">
        <v>0</v>
      </c>
      <c r="I164" s="14">
        <f>IFERROR(H164/H329, "NA")</f>
      </c>
      <c r="J164" s="15"/>
      <c r="K164" s="13">
        <v>-1478.1199999999999</v>
      </c>
      <c r="L164" s="14">
        <f>IFERROR(K164/K329, "NA")</f>
      </c>
      <c r="M164" s="15"/>
      <c r="N164" s="13">
        <v>0</v>
      </c>
      <c r="O164" s="14">
        <f>IFERROR(N164/N329, "NA")</f>
      </c>
      <c r="P164" s="15"/>
      <c r="Q164" s="13">
        <v>0</v>
      </c>
      <c r="R164" s="14">
        <f>IFERROR(Q164/Q329, "NA")</f>
      </c>
    </row>
    <row r="165" ht="16.5" customHeight="1">
      <c t="s" r="A165" s="12">
        <v>169</v>
      </c>
      <c r="B165" s="13">
        <v>149.44999999999999</v>
      </c>
      <c r="C165" s="14">
        <f>IFERROR(B165/B329, "NA")</f>
      </c>
      <c r="D165" s="15"/>
      <c r="E165" s="13">
        <v>101.08</v>
      </c>
      <c r="F165" s="14">
        <f>IFERROR(E165/E329, "NA")</f>
      </c>
      <c r="G165" s="15"/>
      <c r="H165" s="13">
        <v>0</v>
      </c>
      <c r="I165" s="14">
        <f>IFERROR(H165/H329, "NA")</f>
      </c>
      <c r="J165" s="15"/>
      <c r="K165" s="13">
        <v>0</v>
      </c>
      <c r="L165" s="14">
        <f>IFERROR(K165/K329, "NA")</f>
      </c>
      <c r="M165" s="15"/>
      <c r="N165" s="13">
        <v>0</v>
      </c>
      <c r="O165" s="14">
        <f>IFERROR(N165/N329, "NA")</f>
      </c>
      <c r="P165" s="15"/>
      <c r="Q165" s="13">
        <v>0</v>
      </c>
      <c r="R165" s="14">
        <f>IFERROR(Q165/Q329, "NA")</f>
      </c>
    </row>
    <row r="166" ht="16.5" customHeight="1">
      <c t="s" r="A166" s="12">
        <v>170</v>
      </c>
      <c r="B166" s="13">
        <v>586.79999999999995</v>
      </c>
      <c r="C166" s="14">
        <f>IFERROR(B166/B329, "NA")</f>
      </c>
      <c r="D166" s="15"/>
      <c r="E166" s="13">
        <v>851.61000000000001</v>
      </c>
      <c r="F166" s="14">
        <f>IFERROR(E166/E329, "NA")</f>
      </c>
      <c r="G166" s="15"/>
      <c r="H166" s="13">
        <v>948.46000000000004</v>
      </c>
      <c r="I166" s="14">
        <f>IFERROR(H166/H329, "NA")</f>
      </c>
      <c r="J166" s="15"/>
      <c r="K166" s="13">
        <v>583.38</v>
      </c>
      <c r="L166" s="14">
        <f>IFERROR(K166/K329, "NA")</f>
      </c>
      <c r="M166" s="15"/>
      <c r="N166" s="13">
        <v>1013.67</v>
      </c>
      <c r="O166" s="14">
        <f>IFERROR(N166/N329, "NA")</f>
      </c>
      <c r="P166" s="15"/>
      <c r="Q166" s="13">
        <v>801.5</v>
      </c>
      <c r="R166" s="14">
        <f>IFERROR(Q166/Q329, "NA")</f>
      </c>
    </row>
    <row r="167" ht="16.5" customHeight="1">
      <c t="s" r="A167" s="12">
        <v>171</v>
      </c>
      <c r="B167" s="13">
        <v>-166.34</v>
      </c>
      <c r="C167" s="14">
        <f>IFERROR(B167/B329, "NA")</f>
      </c>
      <c r="D167" s="15"/>
      <c r="E167" s="13">
        <v>1253.0699999999999</v>
      </c>
      <c r="F167" s="14">
        <f>IFERROR(E167/E329, "NA")</f>
      </c>
      <c r="G167" s="15"/>
      <c r="H167" s="13">
        <v>708.38999999999999</v>
      </c>
      <c r="I167" s="14">
        <f>IFERROR(H167/H329, "NA")</f>
      </c>
      <c r="J167" s="15"/>
      <c r="K167" s="13">
        <v>884.07000000000005</v>
      </c>
      <c r="L167" s="14">
        <f>IFERROR(K167/K329, "NA")</f>
      </c>
      <c r="M167" s="15"/>
      <c r="N167" s="13">
        <v>911.76999999999998</v>
      </c>
      <c r="O167" s="14">
        <f>IFERROR(N167/N329, "NA")</f>
      </c>
      <c r="P167" s="15"/>
      <c r="Q167" s="13">
        <v>1842.3800000000001</v>
      </c>
      <c r="R167" s="14">
        <f>IFERROR(Q167/Q329, "NA")</f>
      </c>
    </row>
    <row r="168" ht="16.5" customHeight="1">
      <c t="s" r="A168" s="12">
        <v>172</v>
      </c>
      <c r="B168" s="13">
        <v>736.27999999999997</v>
      </c>
      <c r="C168" s="14">
        <f>IFERROR(B168/B329, "NA")</f>
      </c>
      <c r="D168" s="15"/>
      <c r="E168" s="13">
        <v>2763.4200000000001</v>
      </c>
      <c r="F168" s="14">
        <f>IFERROR(E168/E329, "NA")</f>
      </c>
      <c r="G168" s="15"/>
      <c r="H168" s="13">
        <v>1384.8</v>
      </c>
      <c r="I168" s="14">
        <f>IFERROR(H168/H329, "NA")</f>
      </c>
      <c r="J168" s="15"/>
      <c r="K168" s="13">
        <v>1440.3599999999999</v>
      </c>
      <c r="L168" s="14">
        <f>IFERROR(K168/K329, "NA")</f>
      </c>
      <c r="M168" s="15"/>
      <c r="N168" s="13">
        <v>1568.9000000000001</v>
      </c>
      <c r="O168" s="14">
        <f>IFERROR(N168/N329, "NA")</f>
      </c>
      <c r="P168" s="15"/>
      <c r="Q168" s="13">
        <v>2376.6500000000001</v>
      </c>
      <c r="R168" s="14">
        <f>IFERROR(Q168/Q329, "NA")</f>
      </c>
    </row>
    <row r="169" ht="16.5" customHeight="1">
      <c t="s" r="A169" s="12">
        <v>173</v>
      </c>
      <c r="B169" s="13">
        <v>0</v>
      </c>
      <c r="C169" s="14">
        <f>IFERROR(B169/B329, "NA")</f>
      </c>
      <c r="D169" s="15"/>
      <c r="E169" s="13">
        <v>1314.2</v>
      </c>
      <c r="F169" s="14">
        <f>IFERROR(E169/E329, "NA")</f>
      </c>
      <c r="G169" s="15"/>
      <c r="H169" s="13">
        <v>0</v>
      </c>
      <c r="I169" s="14">
        <f>IFERROR(H169/H329, "NA")</f>
      </c>
      <c r="J169" s="15"/>
      <c r="K169" s="13">
        <v>0</v>
      </c>
      <c r="L169" s="14">
        <f>IFERROR(K169/K329, "NA")</f>
      </c>
      <c r="M169" s="15"/>
      <c r="N169" s="13">
        <v>0</v>
      </c>
      <c r="O169" s="14">
        <f>IFERROR(N169/N329, "NA")</f>
      </c>
      <c r="P169" s="15"/>
      <c r="Q169" s="13">
        <v>0</v>
      </c>
      <c r="R169" s="14">
        <f>IFERROR(Q169/Q329, "NA")</f>
      </c>
    </row>
    <row r="170" ht="16.5" customHeight="1">
      <c t="s" r="A170" s="12">
        <v>174</v>
      </c>
      <c r="B170" s="13">
        <v>1798.2</v>
      </c>
      <c r="C170" s="14">
        <f>IFERROR(B170/B329, "NA")</f>
      </c>
      <c r="D170" s="15"/>
      <c r="E170" s="13">
        <v>418.99000000000001</v>
      </c>
      <c r="F170" s="14">
        <f>IFERROR(E170/E329, "NA")</f>
      </c>
      <c r="G170" s="15"/>
      <c r="H170" s="13">
        <v>1806.1800000000001</v>
      </c>
      <c r="I170" s="14">
        <f>IFERROR(H170/H329, "NA")</f>
      </c>
      <c r="J170" s="15"/>
      <c r="K170" s="13">
        <v>729.92999999999995</v>
      </c>
      <c r="L170" s="14">
        <f>IFERROR(K170/K329, "NA")</f>
      </c>
      <c r="M170" s="15"/>
      <c r="N170" s="13">
        <v>1253.1400000000001</v>
      </c>
      <c r="O170" s="14">
        <f>IFERROR(N170/N329, "NA")</f>
      </c>
      <c r="P170" s="15"/>
      <c r="Q170" s="13">
        <v>361.44999999999999</v>
      </c>
      <c r="R170" s="14">
        <f>IFERROR(Q170/Q329, "NA")</f>
      </c>
    </row>
    <row r="171" ht="16.5" customHeight="1">
      <c t="s" r="A171" s="12">
        <v>175</v>
      </c>
      <c r="B171" s="13">
        <v>5623.7600000000002</v>
      </c>
      <c r="C171" s="14">
        <f>IFERROR(B171/B329, "NA")</f>
      </c>
      <c r="D171" s="15"/>
      <c r="E171" s="13">
        <v>44.07</v>
      </c>
      <c r="F171" s="14">
        <f>IFERROR(E171/E329, "NA")</f>
      </c>
      <c r="G171" s="15"/>
      <c r="H171" s="13">
        <v>-6608.0299999999997</v>
      </c>
      <c r="I171" s="14">
        <f>IFERROR(H171/H329, "NA")</f>
      </c>
      <c r="J171" s="15"/>
      <c r="K171" s="13">
        <v>155.30000000000001</v>
      </c>
      <c r="L171" s="14">
        <f>IFERROR(K171/K329, "NA")</f>
      </c>
      <c r="M171" s="15"/>
      <c r="N171" s="13">
        <v>2122.3800000000001</v>
      </c>
      <c r="O171" s="14">
        <f>IFERROR(N171/N329, "NA")</f>
      </c>
      <c r="P171" s="15"/>
      <c r="Q171" s="13">
        <v>0</v>
      </c>
      <c r="R171" s="14">
        <f>IFERROR(Q171/Q329, "NA")</f>
      </c>
    </row>
    <row r="172" ht="16.5" customHeight="1">
      <c t="s" r="A172" s="12">
        <v>176</v>
      </c>
      <c r="B172" s="13">
        <v>0</v>
      </c>
      <c r="C172" s="14">
        <f>IFERROR(B172/B329, "NA")</f>
      </c>
      <c r="D172" s="15"/>
      <c r="E172" s="13">
        <v>0</v>
      </c>
      <c r="F172" s="14">
        <f>IFERROR(E172/E329, "NA")</f>
      </c>
      <c r="G172" s="15"/>
      <c r="H172" s="13">
        <v>0</v>
      </c>
      <c r="I172" s="14">
        <f>IFERROR(H172/H329, "NA")</f>
      </c>
      <c r="J172" s="15"/>
      <c r="K172" s="13">
        <v>0</v>
      </c>
      <c r="L172" s="14">
        <f>IFERROR(K172/K329, "NA")</f>
      </c>
      <c r="M172" s="15"/>
      <c r="N172" s="13">
        <v>0</v>
      </c>
      <c r="O172" s="14">
        <f>IFERROR(N172/N329, "NA")</f>
      </c>
      <c r="P172" s="15"/>
      <c r="Q172" s="13">
        <v>0</v>
      </c>
      <c r="R172" s="14">
        <f>IFERROR(Q172/Q329, "NA")</f>
      </c>
    </row>
    <row r="173" ht="16.5" customHeight="1">
      <c t="s" r="A173" s="12">
        <v>177</v>
      </c>
      <c r="B173" s="13">
        <v>0</v>
      </c>
      <c r="C173" s="14">
        <f>IFERROR(B173/B329, "NA")</f>
      </c>
      <c r="D173" s="15"/>
      <c r="E173" s="13">
        <v>0</v>
      </c>
      <c r="F173" s="14">
        <f>IFERROR(E173/E329, "NA")</f>
      </c>
      <c r="G173" s="15"/>
      <c r="H173" s="13">
        <v>0</v>
      </c>
      <c r="I173" s="14">
        <f>IFERROR(H173/H329, "NA")</f>
      </c>
      <c r="J173" s="15"/>
      <c r="K173" s="13">
        <v>0</v>
      </c>
      <c r="L173" s="14">
        <f>IFERROR(K173/K329, "NA")</f>
      </c>
      <c r="M173" s="15"/>
      <c r="N173" s="13">
        <v>0</v>
      </c>
      <c r="O173" s="14">
        <f>IFERROR(N173/N329, "NA")</f>
      </c>
      <c r="P173" s="15"/>
      <c r="Q173" s="13">
        <v>0</v>
      </c>
      <c r="R173" s="14">
        <f>IFERROR(Q173/Q329, "NA")</f>
      </c>
    </row>
    <row r="174" ht="16.5" customHeight="1">
      <c t="s" r="A174" s="12">
        <v>178</v>
      </c>
      <c r="B174" s="13">
        <v>0</v>
      </c>
      <c r="C174" s="14">
        <f>IFERROR(B174/B329, "NA")</f>
      </c>
      <c r="D174" s="15"/>
      <c r="E174" s="13">
        <v>0</v>
      </c>
      <c r="F174" s="14">
        <f>IFERROR(E174/E329, "NA")</f>
      </c>
      <c r="G174" s="15"/>
      <c r="H174" s="13">
        <v>0</v>
      </c>
      <c r="I174" s="14">
        <f>IFERROR(H174/H329, "NA")</f>
      </c>
      <c r="J174" s="15"/>
      <c r="K174" s="13">
        <v>0</v>
      </c>
      <c r="L174" s="14">
        <f>IFERROR(K174/K329, "NA")</f>
      </c>
      <c r="M174" s="15"/>
      <c r="N174" s="13">
        <v>0</v>
      </c>
      <c r="O174" s="14">
        <f>IFERROR(N174/N329, "NA")</f>
      </c>
      <c r="P174" s="15"/>
      <c r="Q174" s="13">
        <v>0</v>
      </c>
      <c r="R174" s="14">
        <f>IFERROR(Q174/Q329, "NA")</f>
      </c>
    </row>
    <row r="175" ht="16.5" customHeight="1">
      <c t="s" r="A175" s="12">
        <v>179</v>
      </c>
      <c r="B175" s="13">
        <v>1059.8699999999999</v>
      </c>
      <c r="C175" s="14">
        <f>IFERROR(B175/B329, "NA")</f>
      </c>
      <c r="D175" s="15"/>
      <c r="E175" s="13">
        <v>2280.48</v>
      </c>
      <c r="F175" s="14">
        <f>IFERROR(E175/E329, "NA")</f>
      </c>
      <c r="G175" s="15"/>
      <c r="H175" s="13">
        <v>1088.73</v>
      </c>
      <c r="I175" s="14">
        <f>IFERROR(H175/H329, "NA")</f>
      </c>
      <c r="J175" s="15"/>
      <c r="K175" s="13">
        <v>1496.3</v>
      </c>
      <c r="L175" s="14">
        <f>IFERROR(K175/K329, "NA")</f>
      </c>
      <c r="M175" s="15"/>
      <c r="N175" s="13">
        <v>2019.5999999999999</v>
      </c>
      <c r="O175" s="14">
        <f>IFERROR(N175/N329, "NA")</f>
      </c>
      <c r="P175" s="15"/>
      <c r="Q175" s="13">
        <v>3603.8600000000001</v>
      </c>
      <c r="R175" s="14">
        <f>IFERROR(Q175/Q329, "NA")</f>
      </c>
    </row>
    <row r="176" ht="16.5" customHeight="1">
      <c t="s" r="A176" s="12">
        <v>180</v>
      </c>
      <c r="B176" s="13">
        <v>241.06</v>
      </c>
      <c r="C176" s="14">
        <f>IFERROR(B176/B329, "NA")</f>
      </c>
      <c r="D176" s="15"/>
      <c r="E176" s="13">
        <v>1568.6800000000001</v>
      </c>
      <c r="F176" s="14">
        <f>IFERROR(E176/E329, "NA")</f>
      </c>
      <c r="G176" s="15"/>
      <c r="H176" s="13">
        <v>1146.03</v>
      </c>
      <c r="I176" s="14">
        <f>IFERROR(H176/H329, "NA")</f>
      </c>
      <c r="J176" s="15"/>
      <c r="K176" s="13">
        <v>1040.8800000000001</v>
      </c>
      <c r="L176" s="14">
        <f>IFERROR(K176/K329, "NA")</f>
      </c>
      <c r="M176" s="15"/>
      <c r="N176" s="13">
        <v>1827.01</v>
      </c>
      <c r="O176" s="14">
        <f>IFERROR(N176/N329, "NA")</f>
      </c>
      <c r="P176" s="15"/>
      <c r="Q176" s="13">
        <v>2363.5700000000002</v>
      </c>
      <c r="R176" s="14">
        <f>IFERROR(Q176/Q329, "NA")</f>
      </c>
    </row>
    <row r="177" ht="16.5" customHeight="1">
      <c t="s" r="A177" s="12">
        <v>181</v>
      </c>
      <c r="B177" s="13">
        <v>1660.05</v>
      </c>
      <c r="C177" s="14">
        <f>IFERROR(B177/B329, "NA")</f>
      </c>
      <c r="D177" s="15"/>
      <c r="E177" s="13">
        <v>1821.01</v>
      </c>
      <c r="F177" s="14">
        <f>IFERROR(E177/E329, "NA")</f>
      </c>
      <c r="G177" s="15"/>
      <c r="H177" s="13">
        <v>1793.4000000000001</v>
      </c>
      <c r="I177" s="14">
        <f>IFERROR(H177/H329, "NA")</f>
      </c>
      <c r="J177" s="15"/>
      <c r="K177" s="13">
        <v>1159.6500000000001</v>
      </c>
      <c r="L177" s="14">
        <f>IFERROR(K177/K329, "NA")</f>
      </c>
      <c r="M177" s="15"/>
      <c r="N177" s="13">
        <v>1358.1900000000001</v>
      </c>
      <c r="O177" s="14">
        <f>IFERROR(N177/N329, "NA")</f>
      </c>
      <c r="P177" s="15"/>
      <c r="Q177" s="13">
        <v>41715.709999999999</v>
      </c>
      <c r="R177" s="14">
        <f>IFERROR(Q177/Q329, "NA")</f>
      </c>
    </row>
    <row r="178" ht="16.5" customHeight="1">
      <c t="s" r="A178" s="12">
        <v>182</v>
      </c>
      <c r="B178" s="13">
        <v>68.439999999999998</v>
      </c>
      <c r="C178" s="14">
        <f>IFERROR(B178/B329, "NA")</f>
      </c>
      <c r="D178" s="15"/>
      <c r="E178" s="13">
        <v>-976.71000000000004</v>
      </c>
      <c r="F178" s="14">
        <f>IFERROR(E178/E329, "NA")</f>
      </c>
      <c r="G178" s="15"/>
      <c r="H178" s="13">
        <v>0</v>
      </c>
      <c r="I178" s="14">
        <f>IFERROR(H178/H329, "NA")</f>
      </c>
      <c r="J178" s="15"/>
      <c r="K178" s="13">
        <v>-809.99000000000001</v>
      </c>
      <c r="L178" s="14">
        <f>IFERROR(K178/K329, "NA")</f>
      </c>
      <c r="M178" s="15"/>
      <c r="N178" s="13">
        <v>0</v>
      </c>
      <c r="O178" s="14">
        <f>IFERROR(N178/N329, "NA")</f>
      </c>
      <c r="P178" s="15"/>
      <c r="Q178" s="13">
        <v>0</v>
      </c>
      <c r="R178" s="14">
        <f>IFERROR(Q178/Q329, "NA")</f>
      </c>
    </row>
    <row r="179" ht="16.5" customHeight="1">
      <c t="s" r="A179" s="12">
        <v>183</v>
      </c>
      <c r="B179" s="13">
        <v>3269.0700000000002</v>
      </c>
      <c r="C179" s="14">
        <f>IFERROR(B179/B329, "NA")</f>
      </c>
      <c r="D179" s="15"/>
      <c r="E179" s="13">
        <v>0</v>
      </c>
      <c r="F179" s="14">
        <f>IFERROR(E179/E329, "NA")</f>
      </c>
      <c r="G179" s="15"/>
      <c r="H179" s="13">
        <v>0</v>
      </c>
      <c r="I179" s="14">
        <f>IFERROR(H179/H329, "NA")</f>
      </c>
      <c r="J179" s="15"/>
      <c r="K179" s="13">
        <v>0</v>
      </c>
      <c r="L179" s="14">
        <f>IFERROR(K179/K329, "NA")</f>
      </c>
      <c r="M179" s="15"/>
      <c r="N179" s="13">
        <v>0</v>
      </c>
      <c r="O179" s="14">
        <f>IFERROR(N179/N329, "NA")</f>
      </c>
      <c r="P179" s="15"/>
      <c r="Q179" s="13">
        <v>5500</v>
      </c>
      <c r="R179" s="14">
        <f>IFERROR(Q179/Q329, "NA")</f>
      </c>
    </row>
    <row r="180" ht="16.5" customHeight="1">
      <c t="s" r="A180" s="12">
        <v>184</v>
      </c>
      <c r="B180" s="13">
        <v>5642.1000000000004</v>
      </c>
      <c r="C180" s="14">
        <f>IFERROR(B180/B329, "NA")</f>
      </c>
      <c r="D180" s="15"/>
      <c r="E180" s="13">
        <v>662.89999999999998</v>
      </c>
      <c r="F180" s="14">
        <f>IFERROR(E180/E329, "NA")</f>
      </c>
      <c r="G180" s="15"/>
      <c r="H180" s="13">
        <v>3967.9000000000001</v>
      </c>
      <c r="I180" s="14">
        <f>IFERROR(H180/H329, "NA")</f>
      </c>
      <c r="J180" s="15"/>
      <c r="K180" s="13">
        <v>2264.9000000000001</v>
      </c>
      <c r="L180" s="14">
        <f>IFERROR(K180/K329, "NA")</f>
      </c>
      <c r="M180" s="15"/>
      <c r="N180" s="13">
        <v>3795.98</v>
      </c>
      <c r="O180" s="14">
        <f>IFERROR(N180/N329, "NA")</f>
      </c>
      <c r="P180" s="15"/>
      <c r="Q180" s="13">
        <v>1184.9000000000001</v>
      </c>
      <c r="R180" s="14">
        <f>IFERROR(Q180/Q329, "NA")</f>
      </c>
    </row>
    <row r="181" ht="16.5" customHeight="1">
      <c t="s" r="A181" s="12">
        <v>185</v>
      </c>
      <c r="B181" s="13">
        <v>0</v>
      </c>
      <c r="C181" s="14">
        <f>IFERROR(B181/B329, "NA")</f>
      </c>
      <c r="D181" s="15"/>
      <c r="E181" s="13">
        <v>0</v>
      </c>
      <c r="F181" s="14">
        <f>IFERROR(E181/E329, "NA")</f>
      </c>
      <c r="G181" s="15"/>
      <c r="H181" s="13">
        <v>0</v>
      </c>
      <c r="I181" s="14">
        <f>IFERROR(H181/H329, "NA")</f>
      </c>
      <c r="J181" s="15"/>
      <c r="K181" s="13">
        <v>0</v>
      </c>
      <c r="L181" s="14">
        <f>IFERROR(K181/K329, "NA")</f>
      </c>
      <c r="M181" s="15"/>
      <c r="N181" s="13">
        <v>0</v>
      </c>
      <c r="O181" s="14">
        <f>IFERROR(N181/N329, "NA")</f>
      </c>
      <c r="P181" s="15"/>
      <c r="Q181" s="13">
        <v>0</v>
      </c>
      <c r="R181" s="14">
        <f>IFERROR(Q181/Q329, "NA")</f>
      </c>
    </row>
    <row r="182" ht="16.5" customHeight="1">
      <c t="s" r="A182" s="12">
        <v>186</v>
      </c>
      <c r="B182" s="13">
        <v>0</v>
      </c>
      <c r="C182" s="14">
        <f>IFERROR(B182/B329, "NA")</f>
      </c>
      <c r="D182" s="15"/>
      <c r="E182" s="13">
        <v>0</v>
      </c>
      <c r="F182" s="14">
        <f>IFERROR(E182/E329, "NA")</f>
      </c>
      <c r="G182" s="15"/>
      <c r="H182" s="13">
        <v>0</v>
      </c>
      <c r="I182" s="14">
        <f>IFERROR(H182/H329, "NA")</f>
      </c>
      <c r="J182" s="15"/>
      <c r="K182" s="13">
        <v>61.759999999999998</v>
      </c>
      <c r="L182" s="14">
        <f>IFERROR(K182/K329, "NA")</f>
      </c>
      <c r="M182" s="15"/>
      <c r="N182" s="13">
        <v>90</v>
      </c>
      <c r="O182" s="14">
        <f>IFERROR(N182/N329, "NA")</f>
      </c>
      <c r="P182" s="15"/>
      <c r="Q182" s="13">
        <v>0</v>
      </c>
      <c r="R182" s="14">
        <f>IFERROR(Q182/Q329, "NA")</f>
      </c>
    </row>
    <row r="183" ht="16.5" customHeight="1">
      <c t="s" r="A183" s="12">
        <v>187</v>
      </c>
      <c r="B183" s="13">
        <v>2446.54</v>
      </c>
      <c r="C183" s="14">
        <f>IFERROR(B183/B329, "NA")</f>
      </c>
      <c r="D183" s="15"/>
      <c r="E183" s="13">
        <v>2602.21</v>
      </c>
      <c r="F183" s="14">
        <f>IFERROR(E183/E329, "NA")</f>
      </c>
      <c r="G183" s="15"/>
      <c r="H183" s="13">
        <v>2193.4699999999998</v>
      </c>
      <c r="I183" s="14">
        <f>IFERROR(H183/H329, "NA")</f>
      </c>
      <c r="J183" s="15"/>
      <c r="K183" s="13">
        <v>1799.7</v>
      </c>
      <c r="L183" s="14">
        <f>IFERROR(K183/K329, "NA")</f>
      </c>
      <c r="M183" s="15"/>
      <c r="N183" s="13">
        <v>2091.5999999999999</v>
      </c>
      <c r="O183" s="14">
        <f>IFERROR(N183/N329, "NA")</f>
      </c>
      <c r="P183" s="15"/>
      <c r="Q183" s="13">
        <v>731.34000000000003</v>
      </c>
      <c r="R183" s="14">
        <f>IFERROR(Q183/Q329, "NA")</f>
      </c>
    </row>
    <row r="184" ht="16.5" customHeight="1">
      <c t="s" r="A184" s="12">
        <v>188</v>
      </c>
      <c r="B184" s="13">
        <v>250.72999999999999</v>
      </c>
      <c r="C184" s="14">
        <f>IFERROR(B184/B329, "NA")</f>
      </c>
      <c r="D184" s="15"/>
      <c r="E184" s="13">
        <v>341.86000000000001</v>
      </c>
      <c r="F184" s="14">
        <f>IFERROR(E184/E329, "NA")</f>
      </c>
      <c r="G184" s="15"/>
      <c r="H184" s="13">
        <v>11.720000000000001</v>
      </c>
      <c r="I184" s="14">
        <f>IFERROR(H184/H329, "NA")</f>
      </c>
      <c r="J184" s="15"/>
      <c r="K184" s="13">
        <v>103.95999999999999</v>
      </c>
      <c r="L184" s="14">
        <f>IFERROR(K184/K329, "NA")</f>
      </c>
      <c r="M184" s="15"/>
      <c r="N184" s="13">
        <v>52.600000000000001</v>
      </c>
      <c r="O184" s="14">
        <f>IFERROR(N184/N329, "NA")</f>
      </c>
      <c r="P184" s="15"/>
      <c r="Q184" s="13">
        <v>0</v>
      </c>
      <c r="R184" s="14">
        <f>IFERROR(Q184/Q329, "NA")</f>
      </c>
    </row>
    <row r="185" ht="16.5" customHeight="1">
      <c t="s" r="A185" s="12">
        <v>189</v>
      </c>
      <c r="B185" s="13">
        <v>0</v>
      </c>
      <c r="C185" s="14">
        <f>IFERROR(B185/B329, "NA")</f>
      </c>
      <c r="D185" s="15"/>
      <c r="E185" s="13">
        <v>0</v>
      </c>
      <c r="F185" s="14">
        <f>IFERROR(E185/E329, "NA")</f>
      </c>
      <c r="G185" s="15"/>
      <c r="H185" s="13">
        <v>0</v>
      </c>
      <c r="I185" s="14">
        <f>IFERROR(H185/H329, "NA")</f>
      </c>
      <c r="J185" s="15"/>
      <c r="K185" s="13">
        <v>0</v>
      </c>
      <c r="L185" s="14">
        <f>IFERROR(K185/K329, "NA")</f>
      </c>
      <c r="M185" s="15"/>
      <c r="N185" s="13">
        <v>500</v>
      </c>
      <c r="O185" s="14">
        <f>IFERROR(N185/N329, "NA")</f>
      </c>
      <c r="P185" s="15"/>
      <c r="Q185" s="13">
        <v>0</v>
      </c>
      <c r="R185" s="14">
        <f>IFERROR(Q185/Q329, "NA")</f>
      </c>
    </row>
    <row r="186" ht="16.5" customHeight="1">
      <c t="s" r="A186" s="12">
        <v>190</v>
      </c>
      <c r="B186" s="13">
        <v>0</v>
      </c>
      <c r="C186" s="14">
        <f>IFERROR(B186/B329, "NA")</f>
      </c>
      <c r="D186" s="15"/>
      <c r="E186" s="13">
        <v>0</v>
      </c>
      <c r="F186" s="14">
        <f>IFERROR(E186/E329, "NA")</f>
      </c>
      <c r="G186" s="15"/>
      <c r="H186" s="13">
        <v>0</v>
      </c>
      <c r="I186" s="14">
        <f>IFERROR(H186/H329, "NA")</f>
      </c>
      <c r="J186" s="15"/>
      <c r="K186" s="13">
        <v>0</v>
      </c>
      <c r="L186" s="14">
        <f>IFERROR(K186/K329, "NA")</f>
      </c>
      <c r="M186" s="15"/>
      <c r="N186" s="13">
        <v>0</v>
      </c>
      <c r="O186" s="14">
        <f>IFERROR(N186/N329, "NA")</f>
      </c>
      <c r="P186" s="15"/>
      <c r="Q186" s="13">
        <v>0</v>
      </c>
      <c r="R186" s="14">
        <f>IFERROR(Q186/Q329, "NA")</f>
      </c>
    </row>
    <row r="187" ht="16.5" customHeight="1">
      <c t="s" r="A187" s="12">
        <v>191</v>
      </c>
      <c r="B187" s="13">
        <v>1221.5</v>
      </c>
      <c r="C187" s="14">
        <f>IFERROR(B187/B329, "NA")</f>
      </c>
      <c r="D187" s="15"/>
      <c r="E187" s="13">
        <v>1144.3</v>
      </c>
      <c r="F187" s="14">
        <f>IFERROR(E187/E329, "NA")</f>
      </c>
      <c r="G187" s="15"/>
      <c r="H187" s="13">
        <v>1007.66</v>
      </c>
      <c r="I187" s="14">
        <f>IFERROR(H187/H329, "NA")</f>
      </c>
      <c r="J187" s="15"/>
      <c r="K187" s="13">
        <v>0</v>
      </c>
      <c r="L187" s="14">
        <f>IFERROR(K187/K329, "NA")</f>
      </c>
      <c r="M187" s="15"/>
      <c r="N187" s="13">
        <v>1406.5899999999999</v>
      </c>
      <c r="O187" s="14">
        <f>IFERROR(N187/N329, "NA")</f>
      </c>
      <c r="P187" s="15"/>
      <c r="Q187" s="13">
        <v>0</v>
      </c>
      <c r="R187" s="14">
        <f>IFERROR(Q187/Q329, "NA")</f>
      </c>
    </row>
    <row r="188" ht="16.5" customHeight="1">
      <c t="s" r="A188" s="12">
        <v>192</v>
      </c>
      <c r="B188" s="13">
        <v>279.58999999999997</v>
      </c>
      <c r="C188" s="14">
        <f>IFERROR(B188/B329, "NA")</f>
      </c>
      <c r="D188" s="15"/>
      <c r="E188" s="13">
        <v>202.22999999999999</v>
      </c>
      <c r="F188" s="14">
        <f>IFERROR(E188/E329, "NA")</f>
      </c>
      <c r="G188" s="15"/>
      <c r="H188" s="13">
        <v>1860.5999999999999</v>
      </c>
      <c r="I188" s="14">
        <f>IFERROR(H188/H329, "NA")</f>
      </c>
      <c r="J188" s="15"/>
      <c r="K188" s="13">
        <v>0</v>
      </c>
      <c r="L188" s="14">
        <f>IFERROR(K188/K329, "NA")</f>
      </c>
      <c r="M188" s="15"/>
      <c r="N188" s="13">
        <v>5437.0200000000004</v>
      </c>
      <c r="O188" s="14">
        <f>IFERROR(N188/N329, "NA")</f>
      </c>
      <c r="P188" s="15"/>
      <c r="Q188" s="13">
        <v>3219.9299999999998</v>
      </c>
      <c r="R188" s="14">
        <f>IFERROR(Q188/Q329, "NA")</f>
      </c>
    </row>
    <row r="189" ht="16.5" customHeight="1">
      <c t="s" r="A189" s="12">
        <v>193</v>
      </c>
      <c r="B189" s="13">
        <v>2485.1399999999999</v>
      </c>
      <c r="C189" s="14">
        <f>IFERROR(B189/B329, "NA")</f>
      </c>
      <c r="D189" s="15"/>
      <c r="E189" s="13">
        <v>6659.1400000000003</v>
      </c>
      <c r="F189" s="14">
        <f>IFERROR(E189/E329, "NA")</f>
      </c>
      <c r="G189" s="15"/>
      <c r="H189" s="13">
        <v>2159.3000000000002</v>
      </c>
      <c r="I189" s="14">
        <f>IFERROR(H189/H329, "NA")</f>
      </c>
      <c r="J189" s="15"/>
      <c r="K189" s="13">
        <v>2742.0500000000002</v>
      </c>
      <c r="L189" s="14">
        <f>IFERROR(K189/K329, "NA")</f>
      </c>
      <c r="M189" s="15"/>
      <c r="N189" s="13">
        <v>3752.5</v>
      </c>
      <c r="O189" s="14">
        <f>IFERROR(N189/N329, "NA")</f>
      </c>
      <c r="P189" s="15"/>
      <c r="Q189" s="13">
        <v>2675.9699999999998</v>
      </c>
      <c r="R189" s="14">
        <f>IFERROR(Q189/Q329, "NA")</f>
      </c>
    </row>
    <row r="190" ht="16.5" customHeight="1">
      <c t="s" r="A190" s="12">
        <v>194</v>
      </c>
      <c r="B190" s="13">
        <v>0</v>
      </c>
      <c r="C190" s="14">
        <f>IFERROR(B190/B329, "NA")</f>
      </c>
      <c r="D190" s="15"/>
      <c r="E190" s="13">
        <v>0</v>
      </c>
      <c r="F190" s="14">
        <f>IFERROR(E190/E329, "NA")</f>
      </c>
      <c r="G190" s="15"/>
      <c r="H190" s="13">
        <v>0</v>
      </c>
      <c r="I190" s="14">
        <f>IFERROR(H190/H329, "NA")</f>
      </c>
      <c r="J190" s="15"/>
      <c r="K190" s="13">
        <v>0</v>
      </c>
      <c r="L190" s="14">
        <f>IFERROR(K190/K329, "NA")</f>
      </c>
      <c r="M190" s="15"/>
      <c r="N190" s="13">
        <v>0</v>
      </c>
      <c r="O190" s="14">
        <f>IFERROR(N190/N329, "NA")</f>
      </c>
      <c r="P190" s="15"/>
      <c r="Q190" s="13">
        <v>0</v>
      </c>
      <c r="R190" s="14">
        <f>IFERROR(Q190/Q329, "NA")</f>
      </c>
    </row>
    <row r="191" ht="16.5" customHeight="1">
      <c t="s" r="A191" s="12">
        <v>195</v>
      </c>
      <c r="B191" s="13">
        <v>0</v>
      </c>
      <c r="C191" s="14">
        <f>IFERROR(B191/B329, "NA")</f>
      </c>
      <c r="D191" s="15"/>
      <c r="E191" s="13">
        <v>0</v>
      </c>
      <c r="F191" s="14">
        <f>IFERROR(E191/E329, "NA")</f>
      </c>
      <c r="G191" s="15"/>
      <c r="H191" s="13">
        <v>0</v>
      </c>
      <c r="I191" s="14">
        <f>IFERROR(H191/H329, "NA")</f>
      </c>
      <c r="J191" s="15"/>
      <c r="K191" s="13">
        <v>0</v>
      </c>
      <c r="L191" s="14">
        <f>IFERROR(K191/K329, "NA")</f>
      </c>
      <c r="M191" s="15"/>
      <c r="N191" s="13">
        <v>0</v>
      </c>
      <c r="O191" s="14">
        <f>IFERROR(N191/N329, "NA")</f>
      </c>
      <c r="P191" s="15"/>
      <c r="Q191" s="13">
        <v>0</v>
      </c>
      <c r="R191" s="14">
        <f>IFERROR(Q191/Q329, "NA")</f>
      </c>
    </row>
    <row r="192" ht="16.5" customHeight="1">
      <c t="s" r="A192" s="12">
        <v>196</v>
      </c>
      <c r="B192" s="13">
        <v>1483</v>
      </c>
      <c r="C192" s="14">
        <f>IFERROR(B192/B329, "NA")</f>
      </c>
      <c r="D192" s="15"/>
      <c r="E192" s="13">
        <v>0</v>
      </c>
      <c r="F192" s="14">
        <f>IFERROR(E192/E329, "NA")</f>
      </c>
      <c r="G192" s="15"/>
      <c r="H192" s="13">
        <v>2831.2199999999998</v>
      </c>
      <c r="I192" s="14">
        <f>IFERROR(H192/H329, "NA")</f>
      </c>
      <c r="J192" s="15"/>
      <c r="K192" s="13">
        <v>14196.450000000001</v>
      </c>
      <c r="L192" s="14">
        <f>IFERROR(K192/K329, "NA")</f>
      </c>
      <c r="M192" s="15"/>
      <c r="N192" s="13">
        <v>1320.1600000000001</v>
      </c>
      <c r="O192" s="14">
        <f>IFERROR(N192/N329, "NA")</f>
      </c>
      <c r="P192" s="15"/>
      <c r="Q192" s="13">
        <v>2650</v>
      </c>
      <c r="R192" s="14">
        <f>IFERROR(Q192/Q329, "NA")</f>
      </c>
    </row>
    <row r="193" ht="16.5" customHeight="1">
      <c t="s" r="A193" s="12">
        <v>197</v>
      </c>
      <c r="B193" s="13">
        <v>0</v>
      </c>
      <c r="C193" s="14">
        <f>IFERROR(B193/B329, "NA")</f>
      </c>
      <c r="D193" s="15"/>
      <c r="E193" s="13">
        <v>14659.51</v>
      </c>
      <c r="F193" s="14">
        <f>IFERROR(E193/E329, "NA")</f>
      </c>
      <c r="G193" s="15"/>
      <c r="H193" s="13">
        <v>12610.85</v>
      </c>
      <c r="I193" s="14">
        <f>IFERROR(H193/H329, "NA")</f>
      </c>
      <c r="J193" s="15"/>
      <c r="K193" s="13">
        <v>26661.700000000001</v>
      </c>
      <c r="L193" s="14">
        <f>IFERROR(K193/K329, "NA")</f>
      </c>
      <c r="M193" s="15"/>
      <c r="N193" s="13">
        <v>0</v>
      </c>
      <c r="O193" s="14">
        <f>IFERROR(N193/N329, "NA")</f>
      </c>
      <c r="P193" s="15"/>
      <c r="Q193" s="13">
        <v>12610.85</v>
      </c>
      <c r="R193" s="14">
        <f>IFERROR(Q193/Q329, "NA")</f>
      </c>
    </row>
    <row r="194" ht="16.5" customHeight="1">
      <c t="s" r="A194" s="12">
        <v>198</v>
      </c>
      <c r="B194" s="13">
        <v>0</v>
      </c>
      <c r="C194" s="14">
        <f>IFERROR(B194/B329, "NA")</f>
      </c>
      <c r="D194" s="15"/>
      <c r="E194" s="13">
        <v>0</v>
      </c>
      <c r="F194" s="14">
        <f>IFERROR(E194/E329, "NA")</f>
      </c>
      <c r="G194" s="15"/>
      <c r="H194" s="13">
        <v>0</v>
      </c>
      <c r="I194" s="14">
        <f>IFERROR(H194/H329, "NA")</f>
      </c>
      <c r="J194" s="15"/>
      <c r="K194" s="13">
        <v>11488</v>
      </c>
      <c r="L194" s="14">
        <f>IFERROR(K194/K329, "NA")</f>
      </c>
      <c r="M194" s="15"/>
      <c r="N194" s="13">
        <v>0</v>
      </c>
      <c r="O194" s="14">
        <f>IFERROR(N194/N329, "NA")</f>
      </c>
      <c r="P194" s="15"/>
      <c r="Q194" s="13">
        <v>0</v>
      </c>
      <c r="R194" s="14">
        <f>IFERROR(Q194/Q329, "NA")</f>
      </c>
    </row>
    <row r="195" ht="16.5" customHeight="1">
      <c t="s" r="A195" s="12">
        <v>199</v>
      </c>
      <c r="B195" s="13">
        <v>0</v>
      </c>
      <c r="C195" s="14">
        <f>IFERROR(B195/B329, "NA")</f>
      </c>
      <c r="D195" s="15"/>
      <c r="E195" s="13">
        <v>0</v>
      </c>
      <c r="F195" s="14">
        <f>IFERROR(E195/E329, "NA")</f>
      </c>
      <c r="G195" s="15"/>
      <c r="H195" s="13">
        <v>-81.810000000000002</v>
      </c>
      <c r="I195" s="14">
        <f>IFERROR(H195/H329, "NA")</f>
      </c>
      <c r="J195" s="15"/>
      <c r="K195" s="13">
        <v>77.939999999999998</v>
      </c>
      <c r="L195" s="14">
        <f>IFERROR(K195/K329, "NA")</f>
      </c>
      <c r="M195" s="15"/>
      <c r="N195" s="13">
        <v>0</v>
      </c>
      <c r="O195" s="14">
        <f>IFERROR(N195/N329, "NA")</f>
      </c>
      <c r="P195" s="15"/>
      <c r="Q195" s="13">
        <v>0</v>
      </c>
      <c r="R195" s="14">
        <f>IFERROR(Q195/Q329, "NA")</f>
      </c>
    </row>
    <row r="196" ht="16.5" customHeight="1">
      <c t="s" r="A196" s="12">
        <v>200</v>
      </c>
      <c r="B196" s="13">
        <v>11373.34</v>
      </c>
      <c r="C196" s="14">
        <f>IFERROR(B196/B329, "NA")</f>
      </c>
      <c r="D196" s="15"/>
      <c r="E196" s="13">
        <v>31271.59</v>
      </c>
      <c r="F196" s="14">
        <f>IFERROR(E196/E329, "NA")</f>
      </c>
      <c r="G196" s="15"/>
      <c r="H196" s="13">
        <v>26386.630000000001</v>
      </c>
      <c r="I196" s="14">
        <f>IFERROR(H196/H329, "NA")</f>
      </c>
      <c r="J196" s="15"/>
      <c r="K196" s="13">
        <v>14484.809999999999</v>
      </c>
      <c r="L196" s="14">
        <f>IFERROR(K196/K329, "NA")</f>
      </c>
      <c r="M196" s="15"/>
      <c r="N196" s="13">
        <v>31442.169999999998</v>
      </c>
      <c r="O196" s="14">
        <f>IFERROR(N196/N329, "NA")</f>
      </c>
      <c r="P196" s="15"/>
      <c r="Q196" s="13">
        <v>65169.5</v>
      </c>
      <c r="R196" s="14">
        <f>IFERROR(Q196/Q329, "NA")</f>
      </c>
    </row>
    <row r="197" ht="16.5" customHeight="1">
      <c t="s" r="A197" s="12">
        <v>201</v>
      </c>
      <c r="B197" s="13">
        <v>0</v>
      </c>
      <c r="C197" s="14">
        <f>IFERROR(B197/B329, "NA")</f>
      </c>
      <c r="D197" s="15"/>
      <c r="E197" s="13">
        <v>0</v>
      </c>
      <c r="F197" s="14">
        <f>IFERROR(E197/E329, "NA")</f>
      </c>
      <c r="G197" s="15"/>
      <c r="H197" s="13">
        <v>0</v>
      </c>
      <c r="I197" s="14">
        <f>IFERROR(H197/H329, "NA")</f>
      </c>
      <c r="J197" s="15"/>
      <c r="K197" s="13">
        <v>0</v>
      </c>
      <c r="L197" s="14">
        <f>IFERROR(K197/K329, "NA")</f>
      </c>
      <c r="M197" s="15"/>
      <c r="N197" s="13">
        <v>0</v>
      </c>
      <c r="O197" s="14">
        <f>IFERROR(N197/N329, "NA")</f>
      </c>
      <c r="P197" s="15"/>
      <c r="Q197" s="13">
        <v>0</v>
      </c>
      <c r="R197" s="14">
        <f>IFERROR(Q197/Q329, "NA")</f>
      </c>
    </row>
    <row r="198" ht="16.5" customHeight="1">
      <c t="s" r="A198" s="12">
        <v>202</v>
      </c>
      <c r="B198" s="13">
        <v>0</v>
      </c>
      <c r="C198" s="14">
        <f>IFERROR(B198/B329, "NA")</f>
      </c>
      <c r="D198" s="15"/>
      <c r="E198" s="13">
        <v>0</v>
      </c>
      <c r="F198" s="14">
        <f>IFERROR(E198/E329, "NA")</f>
      </c>
      <c r="G198" s="15"/>
      <c r="H198" s="13">
        <v>0</v>
      </c>
      <c r="I198" s="14">
        <f>IFERROR(H198/H329, "NA")</f>
      </c>
      <c r="J198" s="15"/>
      <c r="K198" s="13">
        <v>0</v>
      </c>
      <c r="L198" s="14">
        <f>IFERROR(K198/K329, "NA")</f>
      </c>
      <c r="M198" s="15"/>
      <c r="N198" s="13">
        <v>0</v>
      </c>
      <c r="O198" s="14">
        <f>IFERROR(N198/N329, "NA")</f>
      </c>
      <c r="P198" s="15"/>
      <c r="Q198" s="13">
        <v>0</v>
      </c>
      <c r="R198" s="14">
        <f>IFERROR(Q198/Q329, "NA")</f>
      </c>
    </row>
    <row r="199" ht="16.5" customHeight="1">
      <c t="s" r="A199" s="12">
        <v>203</v>
      </c>
      <c r="B199" s="13">
        <v>0</v>
      </c>
      <c r="C199" s="14">
        <f>IFERROR(B199/B329, "NA")</f>
      </c>
      <c r="D199" s="15"/>
      <c r="E199" s="13">
        <v>0</v>
      </c>
      <c r="F199" s="14">
        <f>IFERROR(E199/E329, "NA")</f>
      </c>
      <c r="G199" s="15"/>
      <c r="H199" s="13">
        <v>0</v>
      </c>
      <c r="I199" s="14">
        <f>IFERROR(H199/H329, "NA")</f>
      </c>
      <c r="J199" s="15"/>
      <c r="K199" s="13">
        <v>0</v>
      </c>
      <c r="L199" s="14">
        <f>IFERROR(K199/K329, "NA")</f>
      </c>
      <c r="M199" s="15"/>
      <c r="N199" s="13">
        <v>0</v>
      </c>
      <c r="O199" s="14">
        <f>IFERROR(N199/N329, "NA")</f>
      </c>
      <c r="P199" s="15"/>
      <c r="Q199" s="13">
        <v>0</v>
      </c>
      <c r="R199" s="14">
        <f>IFERROR(Q199/Q329, "NA")</f>
      </c>
    </row>
    <row r="200" ht="16.5" customHeight="1">
      <c t="s" r="A200" s="12">
        <v>204</v>
      </c>
      <c r="B200" s="13">
        <v>0</v>
      </c>
      <c r="C200" s="14">
        <f>IFERROR(B200/B329, "NA")</f>
      </c>
      <c r="D200" s="15"/>
      <c r="E200" s="13">
        <v>0</v>
      </c>
      <c r="F200" s="14">
        <f>IFERROR(E200/E329, "NA")</f>
      </c>
      <c r="G200" s="15"/>
      <c r="H200" s="13">
        <v>0</v>
      </c>
      <c r="I200" s="14">
        <f>IFERROR(H200/H329, "NA")</f>
      </c>
      <c r="J200" s="15"/>
      <c r="K200" s="13">
        <v>0</v>
      </c>
      <c r="L200" s="14">
        <f>IFERROR(K200/K329, "NA")</f>
      </c>
      <c r="M200" s="15"/>
      <c r="N200" s="13">
        <v>0</v>
      </c>
      <c r="O200" s="14">
        <f>IFERROR(N200/N329, "NA")</f>
      </c>
      <c r="P200" s="15"/>
      <c r="Q200" s="13">
        <v>0</v>
      </c>
      <c r="R200" s="14">
        <f>IFERROR(Q200/Q329, "NA")</f>
      </c>
    </row>
    <row r="201" ht="16.5" customHeight="1">
      <c t="s" r="A201" s="12">
        <v>205</v>
      </c>
      <c r="B201" s="13">
        <v>2360.21</v>
      </c>
      <c r="C201" s="14">
        <f>IFERROR(B201/B329, "NA")</f>
      </c>
      <c r="D201" s="15"/>
      <c r="E201" s="13">
        <v>0</v>
      </c>
      <c r="F201" s="14">
        <f>IFERROR(E201/E329, "NA")</f>
      </c>
      <c r="G201" s="15"/>
      <c r="H201" s="13">
        <v>256.49000000000001</v>
      </c>
      <c r="I201" s="14">
        <f>IFERROR(H201/H329, "NA")</f>
      </c>
      <c r="J201" s="15"/>
      <c r="K201" s="13">
        <v>472.86000000000001</v>
      </c>
      <c r="L201" s="14">
        <f>IFERROR(K201/K329, "NA")</f>
      </c>
      <c r="M201" s="15"/>
      <c r="N201" s="13">
        <v>46.539999999999999</v>
      </c>
      <c r="O201" s="14">
        <f>IFERROR(N201/N329, "NA")</f>
      </c>
      <c r="P201" s="15"/>
      <c r="Q201" s="13">
        <v>0</v>
      </c>
      <c r="R201" s="14">
        <f>IFERROR(Q201/Q329, "NA")</f>
      </c>
    </row>
    <row r="202" ht="16.5" customHeight="1">
      <c t="s" r="A202" s="12">
        <v>206</v>
      </c>
      <c r="B202" s="13">
        <v>0</v>
      </c>
      <c r="C202" s="14">
        <f>IFERROR(B202/B329, "NA")</f>
      </c>
      <c r="D202" s="15"/>
      <c r="E202" s="13">
        <v>0</v>
      </c>
      <c r="F202" s="14">
        <f>IFERROR(E202/E329, "NA")</f>
      </c>
      <c r="G202" s="15"/>
      <c r="H202" s="13">
        <v>0</v>
      </c>
      <c r="I202" s="14">
        <f>IFERROR(H202/H329, "NA")</f>
      </c>
      <c r="J202" s="15"/>
      <c r="K202" s="13">
        <v>0</v>
      </c>
      <c r="L202" s="14">
        <f>IFERROR(K202/K329, "NA")</f>
      </c>
      <c r="M202" s="15"/>
      <c r="N202" s="13">
        <v>0</v>
      </c>
      <c r="O202" s="14">
        <f>IFERROR(N202/N329, "NA")</f>
      </c>
      <c r="P202" s="15"/>
      <c r="Q202" s="13">
        <v>0</v>
      </c>
      <c r="R202" s="14">
        <f>IFERROR(Q202/Q329, "NA")</f>
      </c>
    </row>
    <row r="203" ht="16.5" customHeight="1">
      <c t="s" r="A203" s="12">
        <v>207</v>
      </c>
      <c r="B203" s="13">
        <v>0</v>
      </c>
      <c r="C203" s="14">
        <f>IFERROR(B203/B329, "NA")</f>
      </c>
      <c r="D203" s="15"/>
      <c r="E203" s="13">
        <v>0</v>
      </c>
      <c r="F203" s="14">
        <f>IFERROR(E203/E329, "NA")</f>
      </c>
      <c r="G203" s="15"/>
      <c r="H203" s="13">
        <v>0</v>
      </c>
      <c r="I203" s="14">
        <f>IFERROR(H203/H329, "NA")</f>
      </c>
      <c r="J203" s="15"/>
      <c r="K203" s="13">
        <v>0</v>
      </c>
      <c r="L203" s="14">
        <f>IFERROR(K203/K329, "NA")</f>
      </c>
      <c r="M203" s="15"/>
      <c r="N203" s="13">
        <v>0</v>
      </c>
      <c r="O203" s="14">
        <f>IFERROR(N203/N329, "NA")</f>
      </c>
      <c r="P203" s="15"/>
      <c r="Q203" s="13">
        <v>0</v>
      </c>
      <c r="R203" s="14">
        <f>IFERROR(Q203/Q329, "NA")</f>
      </c>
    </row>
    <row r="204" ht="16.5" customHeight="1">
      <c t="s" r="A204" s="12">
        <v>208</v>
      </c>
      <c r="B204" s="13">
        <v>0</v>
      </c>
      <c r="C204" s="14">
        <f>IFERROR(B204/B329, "NA")</f>
      </c>
      <c r="D204" s="15"/>
      <c r="E204" s="13">
        <v>0</v>
      </c>
      <c r="F204" s="14">
        <f>IFERROR(E204/E329, "NA")</f>
      </c>
      <c r="G204" s="15"/>
      <c r="H204" s="13">
        <v>0</v>
      </c>
      <c r="I204" s="14">
        <f>IFERROR(H204/H329, "NA")</f>
      </c>
      <c r="J204" s="15"/>
      <c r="K204" s="13">
        <v>0</v>
      </c>
      <c r="L204" s="14">
        <f>IFERROR(K204/K329, "NA")</f>
      </c>
      <c r="M204" s="15"/>
      <c r="N204" s="13">
        <v>0</v>
      </c>
      <c r="O204" s="14">
        <f>IFERROR(N204/N329, "NA")</f>
      </c>
      <c r="P204" s="15"/>
      <c r="Q204" s="13">
        <v>0</v>
      </c>
      <c r="R204" s="14">
        <f>IFERROR(Q204/Q329, "NA")</f>
      </c>
    </row>
    <row r="205" ht="16.5" customHeight="1">
      <c t="s" r="A205" s="12">
        <v>209</v>
      </c>
      <c r="B205" s="13">
        <v>0</v>
      </c>
      <c r="C205" s="14">
        <f>IFERROR(B205/B329, "NA")</f>
      </c>
      <c r="D205" s="15"/>
      <c r="E205" s="13">
        <v>0</v>
      </c>
      <c r="F205" s="14">
        <f>IFERROR(E205/E329, "NA")</f>
      </c>
      <c r="G205" s="15"/>
      <c r="H205" s="13">
        <v>0</v>
      </c>
      <c r="I205" s="14">
        <f>IFERROR(H205/H329, "NA")</f>
      </c>
      <c r="J205" s="15"/>
      <c r="K205" s="13">
        <v>0</v>
      </c>
      <c r="L205" s="14">
        <f>IFERROR(K205/K329, "NA")</f>
      </c>
      <c r="M205" s="15"/>
      <c r="N205" s="13">
        <v>0</v>
      </c>
      <c r="O205" s="14">
        <f>IFERROR(N205/N329, "NA")</f>
      </c>
      <c r="P205" s="15"/>
      <c r="Q205" s="13">
        <v>0</v>
      </c>
      <c r="R205" s="14">
        <f>IFERROR(Q205/Q329, "NA")</f>
      </c>
    </row>
    <row r="206" ht="16.5" customHeight="1">
      <c t="s" r="A206" s="12">
        <v>210</v>
      </c>
      <c r="B206" s="13">
        <v>0</v>
      </c>
      <c r="C206" s="14">
        <f>IFERROR(B206/B329, "NA")</f>
      </c>
      <c r="D206" s="15"/>
      <c r="E206" s="13">
        <v>0</v>
      </c>
      <c r="F206" s="14">
        <f>IFERROR(E206/E329, "NA")</f>
      </c>
      <c r="G206" s="15"/>
      <c r="H206" s="13">
        <v>0</v>
      </c>
      <c r="I206" s="14">
        <f>IFERROR(H206/H329, "NA")</f>
      </c>
      <c r="J206" s="15"/>
      <c r="K206" s="13">
        <v>0</v>
      </c>
      <c r="L206" s="14">
        <f>IFERROR(K206/K329, "NA")</f>
      </c>
      <c r="M206" s="15"/>
      <c r="N206" s="13">
        <v>0</v>
      </c>
      <c r="O206" s="14">
        <f>IFERROR(N206/N329, "NA")</f>
      </c>
      <c r="P206" s="15"/>
      <c r="Q206" s="13">
        <v>0</v>
      </c>
      <c r="R206" s="14">
        <f>IFERROR(Q206/Q329, "NA")</f>
      </c>
    </row>
    <row r="207" ht="16.5" customHeight="1">
      <c t="s" r="A207" s="12">
        <v>211</v>
      </c>
      <c r="B207" s="13">
        <v>0</v>
      </c>
      <c r="C207" s="14">
        <f>IFERROR(B207/B329, "NA")</f>
      </c>
      <c r="D207" s="15"/>
      <c r="E207" s="13">
        <v>0</v>
      </c>
      <c r="F207" s="14">
        <f>IFERROR(E207/E329, "NA")</f>
      </c>
      <c r="G207" s="15"/>
      <c r="H207" s="13">
        <v>0</v>
      </c>
      <c r="I207" s="14">
        <f>IFERROR(H207/H329, "NA")</f>
      </c>
      <c r="J207" s="15"/>
      <c r="K207" s="13">
        <v>0</v>
      </c>
      <c r="L207" s="14">
        <f>IFERROR(K207/K329, "NA")</f>
      </c>
      <c r="M207" s="15"/>
      <c r="N207" s="13">
        <v>0</v>
      </c>
      <c r="O207" s="14">
        <f>IFERROR(N207/N329, "NA")</f>
      </c>
      <c r="P207" s="15"/>
      <c r="Q207" s="13">
        <v>0</v>
      </c>
      <c r="R207" s="14">
        <f>IFERROR(Q207/Q329, "NA")</f>
      </c>
    </row>
    <row r="208" ht="16.5" customHeight="1">
      <c t="s" r="A208" s="12">
        <v>212</v>
      </c>
      <c r="B208" s="13">
        <v>0</v>
      </c>
      <c r="C208" s="14">
        <f>IFERROR(B208/B329, "NA")</f>
      </c>
      <c r="D208" s="15"/>
      <c r="E208" s="13">
        <v>0</v>
      </c>
      <c r="F208" s="14">
        <f>IFERROR(E208/E329, "NA")</f>
      </c>
      <c r="G208" s="15"/>
      <c r="H208" s="13">
        <v>0</v>
      </c>
      <c r="I208" s="14">
        <f>IFERROR(H208/H329, "NA")</f>
      </c>
      <c r="J208" s="15"/>
      <c r="K208" s="13">
        <v>0</v>
      </c>
      <c r="L208" s="14">
        <f>IFERROR(K208/K329, "NA")</f>
      </c>
      <c r="M208" s="15"/>
      <c r="N208" s="13">
        <v>0</v>
      </c>
      <c r="O208" s="14">
        <f>IFERROR(N208/N329, "NA")</f>
      </c>
      <c r="P208" s="15"/>
      <c r="Q208" s="13">
        <v>0</v>
      </c>
      <c r="R208" s="14">
        <f>IFERROR(Q208/Q329, "NA")</f>
      </c>
    </row>
    <row r="209" ht="16.5" customHeight="1">
      <c t="s" r="A209" s="16">
        <v>213</v>
      </c>
      <c r="B209" s="17">
        <f>IFERROR(B160+B161+B162+B163+B164+B165+B166+B167+B168+B169+B170+B171+B172+B173+B174+B175+B176+B177+B178+B179+B180+B181+B182+B183+B184+B185+B186+B187+B188+B189+B190+B191+B192+B193+B194+B195+B196+B197+B198+B199+B200+B201+B202+B203+B204+B205+B206+B207+B208, "NA")</f>
      </c>
      <c r="C209" s="18">
        <f>IFERROR(B209/B329, "NA")</f>
      </c>
      <c r="D209" s="8"/>
      <c r="E209" s="17">
        <f>IFERROR(E160+E161+E162+E163+E164+E165+E166+E167+E168+E169+E170+E171+E172+E173+E174+E175+E176+E177+E178+E179+E180+E181+E182+E183+E184+E185+E186+E187+E188+E189+E190+E191+E192+E193+E194+E195+E196+E197+E198+E199+E200+E201+E202+E203+E204+E205+E206+E207+E208, "NA")</f>
      </c>
      <c r="F209" s="18">
        <f>IFERROR(E209/E329, "NA")</f>
      </c>
      <c r="G209" s="8"/>
      <c r="H209" s="17">
        <f>IFERROR(H160+H161+H162+H163+H164+H165+H166+H167+H168+H169+H170+H171+H172+H173+H174+H175+H176+H177+H178+H179+H180+H181+H182+H183+H184+H185+H186+H187+H188+H189+H190+H191+H192+H193+H194+H195+H196+H197+H198+H199+H200+H201+H202+H203+H204+H205+H206+H207+H208, "NA")</f>
      </c>
      <c r="I209" s="18">
        <f>IFERROR(H209/H329, "NA")</f>
      </c>
      <c r="J209" s="8"/>
      <c r="K209" s="17">
        <f>IFERROR(K160+K161+K162+K163+K164+K165+K166+K167+K168+K169+K170+K171+K172+K173+K174+K175+K176+K177+K178+K179+K180+K181+K182+K183+K184+K185+K186+K187+K188+K189+K190+K191+K192+K193+K194+K195+K196+K197+K198+K199+K200+K201+K202+K203+K204+K205+K206+K207+K208, "NA")</f>
      </c>
      <c r="L209" s="18">
        <f>IFERROR(K209/K329, "NA")</f>
      </c>
      <c r="M209" s="8"/>
      <c r="N209" s="17">
        <f>IFERROR(N160+N161+N162+N163+N164+N165+N166+N167+N168+N169+N170+N171+N172+N173+N174+N175+N176+N177+N178+N179+N180+N181+N182+N183+N184+N185+N186+N187+N188+N189+N190+N191+N192+N193+N194+N195+N196+N197+N198+N199+N200+N201+N202+N203+N204+N205+N206+N207+N208, "NA")</f>
      </c>
      <c r="O209" s="18">
        <f>IFERROR(N209/N329, "NA")</f>
      </c>
      <c r="P209" s="8"/>
      <c r="Q209" s="17">
        <f>IFERROR(Q160+Q161+Q162+Q163+Q164+Q165+Q166+Q167+Q168+Q169+Q170+Q171+Q172+Q173+Q174+Q175+Q176+Q177+Q178+Q179+Q180+Q181+Q182+Q183+Q184+Q185+Q186+Q187+Q188+Q189+Q190+Q191+Q192+Q193+Q194+Q195+Q196+Q197+Q198+Q199+Q200+Q201+Q202+Q203+Q204+Q205+Q206+Q207+Q208, "NA")</f>
      </c>
      <c r="R209" s="18">
        <f>IFERROR(Q209/Q329, "NA")</f>
      </c>
    </row>
    <row r="210" ht="16.5" customHeight="1">
      <c t="s" r="A210" s="19">
        <v>214</v>
      </c>
      <c r="B210" s="13">
        <v>0</v>
      </c>
      <c r="C210" s="14">
        <f>IFERROR(B210/B329, "NA")</f>
      </c>
      <c r="D210" s="15"/>
      <c r="E210" s="13">
        <v>0</v>
      </c>
      <c r="F210" s="14">
        <f>IFERROR(E210/E329, "NA")</f>
      </c>
      <c r="G210" s="15"/>
      <c r="H210" s="13">
        <v>0</v>
      </c>
      <c r="I210" s="14">
        <f>IFERROR(H210/H329, "NA")</f>
      </c>
      <c r="J210" s="15"/>
      <c r="K210" s="13">
        <v>0</v>
      </c>
      <c r="L210" s="14">
        <f>IFERROR(K210/K329, "NA")</f>
      </c>
      <c r="M210" s="15"/>
      <c r="N210" s="13">
        <v>0</v>
      </c>
      <c r="O210" s="14">
        <f>IFERROR(N210/N329, "NA")</f>
      </c>
      <c r="P210" s="15"/>
      <c r="Q210" s="13">
        <v>0</v>
      </c>
      <c r="R210" s="14">
        <f>IFERROR(Q210/Q329, "NA")</f>
      </c>
    </row>
    <row r="211" ht="16.5" customHeight="1">
      <c t="s" r="A211" s="20">
        <v>215</v>
      </c>
      <c r="B211" s="17">
        <f>IFERROR(B160+B161+B162+B163+B164+B165+B166+B167+B168+B169+B170+B171+B172+B173+B174+B175+B176+B177+B178+B179+B180+B181+B182+B183+B184+B185+B186+B187+B188+B189+B190+B191+B192+B193+B194+B195+B196+B197+B198+B199+B200+B201+B202+B203+B204+B205+B206+B207+B208+B210, "NA")</f>
      </c>
      <c r="C211" s="18">
        <f>IFERROR(B211/B329, "NA")</f>
      </c>
      <c r="D211" s="8"/>
      <c r="E211" s="17">
        <f>IFERROR(E160+E161+E162+E163+E164+E165+E166+E167+E168+E169+E170+E171+E172+E173+E174+E175+E176+E177+E178+E179+E180+E181+E182+E183+E184+E185+E186+E187+E188+E189+E190+E191+E192+E193+E194+E195+E196+E197+E198+E199+E200+E201+E202+E203+E204+E205+E206+E207+E208+E210, "NA")</f>
      </c>
      <c r="F211" s="18">
        <f>IFERROR(E211/E329, "NA")</f>
      </c>
      <c r="G211" s="8"/>
      <c r="H211" s="17">
        <f>IFERROR(H160+H161+H162+H163+H164+H165+H166+H167+H168+H169+H170+H171+H172+H173+H174+H175+H176+H177+H178+H179+H180+H181+H182+H183+H184+H185+H186+H187+H188+H189+H190+H191+H192+H193+H194+H195+H196+H197+H198+H199+H200+H201+H202+H203+H204+H205+H206+H207+H208+H210, "NA")</f>
      </c>
      <c r="I211" s="18">
        <f>IFERROR(H211/H329, "NA")</f>
      </c>
      <c r="J211" s="8"/>
      <c r="K211" s="17">
        <f>IFERROR(K160+K161+K162+K163+K164+K165+K166+K167+K168+K169+K170+K171+K172+K173+K174+K175+K176+K177+K178+K179+K180+K181+K182+K183+K184+K185+K186+K187+K188+K189+K190+K191+K192+K193+K194+K195+K196+K197+K198+K199+K200+K201+K202+K203+K204+K205+K206+K207+K208+K210, "NA")</f>
      </c>
      <c r="L211" s="18">
        <f>IFERROR(K211/K329, "NA")</f>
      </c>
      <c r="M211" s="8"/>
      <c r="N211" s="17">
        <f>IFERROR(N160+N161+N162+N163+N164+N165+N166+N167+N168+N169+N170+N171+N172+N173+N174+N175+N176+N177+N178+N179+N180+N181+N182+N183+N184+N185+N186+N187+N188+N189+N190+N191+N192+N193+N194+N195+N196+N197+N198+N199+N200+N201+N202+N203+N204+N205+N206+N207+N208+N210, "NA")</f>
      </c>
      <c r="O211" s="18">
        <f>IFERROR(N211/N329, "NA")</f>
      </c>
      <c r="P211" s="8"/>
      <c r="Q211" s="17">
        <f>IFERROR(Q160+Q161+Q162+Q163+Q164+Q165+Q166+Q167+Q168+Q169+Q170+Q171+Q172+Q173+Q174+Q175+Q176+Q177+Q178+Q179+Q180+Q181+Q182+Q183+Q184+Q185+Q186+Q187+Q188+Q189+Q190+Q191+Q192+Q193+Q194+Q195+Q196+Q197+Q198+Q199+Q200+Q201+Q202+Q203+Q204+Q205+Q206+Q207+Q208+Q210, "NA")</f>
      </c>
      <c r="R211" s="18">
        <f>IFERROR(Q211/Q329, "NA")</f>
      </c>
    </row>
    <row r="212" ht="16.5" customHeight="1">
      <c t="s" r="A212" s="7">
        <v>216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</row>
    <row r="213" ht="16.5" customHeight="1">
      <c t="s" r="A213" s="11">
        <v>217</v>
      </c>
      <c r="B213" s="8"/>
      <c r="C213" s="9"/>
      <c r="D213" s="10"/>
      <c r="E213" s="8"/>
      <c r="F213" s="9"/>
      <c r="G213" s="10"/>
      <c r="H213" s="8"/>
      <c r="I213" s="9"/>
      <c r="J213" s="10"/>
      <c r="K213" s="8"/>
      <c r="L213" s="9"/>
      <c r="M213" s="10"/>
      <c r="N213" s="8"/>
      <c r="O213" s="9"/>
      <c r="P213" s="10"/>
      <c r="Q213" s="8"/>
      <c r="R213" s="9"/>
    </row>
    <row r="214" ht="16.5" customHeight="1">
      <c t="s" r="A214" s="12">
        <v>218</v>
      </c>
      <c r="B214" s="13">
        <v>0</v>
      </c>
      <c r="C214" s="14">
        <f>IFERROR(B214/B329, "NA")</f>
      </c>
      <c r="D214" s="15"/>
      <c r="E214" s="13">
        <v>0</v>
      </c>
      <c r="F214" s="14">
        <f>IFERROR(E214/E329, "NA")</f>
      </c>
      <c r="G214" s="15"/>
      <c r="H214" s="13">
        <v>0</v>
      </c>
      <c r="I214" s="14">
        <f>IFERROR(H214/H329, "NA")</f>
      </c>
      <c r="J214" s="15"/>
      <c r="K214" s="13">
        <v>0</v>
      </c>
      <c r="L214" s="14">
        <f>IFERROR(K214/K329, "NA")</f>
      </c>
      <c r="M214" s="15"/>
      <c r="N214" s="13">
        <v>0</v>
      </c>
      <c r="O214" s="14">
        <f>IFERROR(N214/N329, "NA")</f>
      </c>
      <c r="P214" s="15"/>
      <c r="Q214" s="13">
        <v>0</v>
      </c>
      <c r="R214" s="14">
        <f>IFERROR(Q214/Q329, "NA")</f>
      </c>
    </row>
    <row r="215" ht="16.5" customHeight="1">
      <c t="s" r="A215" s="12">
        <v>219</v>
      </c>
      <c r="B215" s="13">
        <v>6786.5299999999997</v>
      </c>
      <c r="C215" s="14">
        <f>IFERROR(B215/B329, "NA")</f>
      </c>
      <c r="D215" s="15"/>
      <c r="E215" s="13">
        <v>12222.51</v>
      </c>
      <c r="F215" s="14">
        <f>IFERROR(E215/E329, "NA")</f>
      </c>
      <c r="G215" s="15"/>
      <c r="H215" s="13">
        <v>11205.26</v>
      </c>
      <c r="I215" s="14">
        <f>IFERROR(H215/H329, "NA")</f>
      </c>
      <c r="J215" s="15"/>
      <c r="K215" s="13">
        <v>12888.66</v>
      </c>
      <c r="L215" s="14">
        <f>IFERROR(K215/K329, "NA")</f>
      </c>
      <c r="M215" s="15"/>
      <c r="N215" s="13">
        <v>14127.940000000001</v>
      </c>
      <c r="O215" s="14">
        <f>IFERROR(N215/N329, "NA")</f>
      </c>
      <c r="P215" s="15"/>
      <c r="Q215" s="13">
        <v>6566.8199999999997</v>
      </c>
      <c r="R215" s="14">
        <f>IFERROR(Q215/Q329, "NA")</f>
      </c>
    </row>
    <row r="216" ht="16.5" customHeight="1">
      <c t="s" r="A216" s="12">
        <v>220</v>
      </c>
      <c r="B216" s="13">
        <v>0</v>
      </c>
      <c r="C216" s="14">
        <f>IFERROR(B216/B329, "NA")</f>
      </c>
      <c r="D216" s="15"/>
      <c r="E216" s="13">
        <v>134.44999999999999</v>
      </c>
      <c r="F216" s="14">
        <f>IFERROR(E216/E329, "NA")</f>
      </c>
      <c r="G216" s="15"/>
      <c r="H216" s="13">
        <v>69.700000000000003</v>
      </c>
      <c r="I216" s="14">
        <f>IFERROR(H216/H329, "NA")</f>
      </c>
      <c r="J216" s="15"/>
      <c r="K216" s="13">
        <v>21208.650000000001</v>
      </c>
      <c r="L216" s="14">
        <f>IFERROR(K216/K329, "NA")</f>
      </c>
      <c r="M216" s="15"/>
      <c r="N216" s="13">
        <v>8739.4500000000007</v>
      </c>
      <c r="O216" s="14">
        <f>IFERROR(N216/N329, "NA")</f>
      </c>
      <c r="P216" s="15"/>
      <c r="Q216" s="13">
        <v>0</v>
      </c>
      <c r="R216" s="14">
        <f>IFERROR(Q216/Q329, "NA")</f>
      </c>
    </row>
    <row r="217" ht="16.5" customHeight="1">
      <c t="s" r="A217" s="12">
        <v>221</v>
      </c>
      <c r="B217" s="13">
        <v>1683.6400000000001</v>
      </c>
      <c r="C217" s="14">
        <f>IFERROR(B217/B329, "NA")</f>
      </c>
      <c r="D217" s="15"/>
      <c r="E217" s="13">
        <v>2745.4099999999999</v>
      </c>
      <c r="F217" s="14">
        <f>IFERROR(E217/E329, "NA")</f>
      </c>
      <c r="G217" s="15"/>
      <c r="H217" s="13">
        <v>1723.9200000000001</v>
      </c>
      <c r="I217" s="14">
        <f>IFERROR(H217/H329, "NA")</f>
      </c>
      <c r="J217" s="15"/>
      <c r="K217" s="13">
        <v>9395.3799999999992</v>
      </c>
      <c r="L217" s="14">
        <f>IFERROR(K217/K329, "NA")</f>
      </c>
      <c r="M217" s="15"/>
      <c r="N217" s="13">
        <v>7548.9499999999998</v>
      </c>
      <c r="O217" s="14">
        <f>IFERROR(N217/N329, "NA")</f>
      </c>
      <c r="P217" s="15"/>
      <c r="Q217" s="13">
        <v>1392.5</v>
      </c>
      <c r="R217" s="14">
        <f>IFERROR(Q217/Q329, "NA")</f>
      </c>
    </row>
    <row r="218" ht="16.5" customHeight="1">
      <c t="s" r="A218" s="12">
        <v>222</v>
      </c>
      <c r="B218" s="13">
        <v>5274.1400000000003</v>
      </c>
      <c r="C218" s="14">
        <f>IFERROR(B218/B329, "NA")</f>
      </c>
      <c r="D218" s="15"/>
      <c r="E218" s="13">
        <v>0</v>
      </c>
      <c r="F218" s="14">
        <f>IFERROR(E218/E329, "NA")</f>
      </c>
      <c r="G218" s="15"/>
      <c r="H218" s="13">
        <v>2973.6100000000001</v>
      </c>
      <c r="I218" s="14">
        <f>IFERROR(H218/H329, "NA")</f>
      </c>
      <c r="J218" s="15"/>
      <c r="K218" s="13">
        <v>466.25</v>
      </c>
      <c r="L218" s="14">
        <f>IFERROR(K218/K329, "NA")</f>
      </c>
      <c r="M218" s="15"/>
      <c r="N218" s="13">
        <v>1609.9100000000001</v>
      </c>
      <c r="O218" s="14">
        <f>IFERROR(N218/N329, "NA")</f>
      </c>
      <c r="P218" s="15"/>
      <c r="Q218" s="13">
        <v>0</v>
      </c>
      <c r="R218" s="14">
        <f>IFERROR(Q218/Q329, "NA")</f>
      </c>
    </row>
    <row r="219" ht="16.5" customHeight="1">
      <c t="s" r="A219" s="12">
        <v>223</v>
      </c>
      <c r="B219" s="13">
        <v>8560.0900000000001</v>
      </c>
      <c r="C219" s="14">
        <f>IFERROR(B219/B329, "NA")</f>
      </c>
      <c r="D219" s="15"/>
      <c r="E219" s="13">
        <v>13678.23</v>
      </c>
      <c r="F219" s="14">
        <f>IFERROR(E219/E329, "NA")</f>
      </c>
      <c r="G219" s="15"/>
      <c r="H219" s="13">
        <v>6126.5799999999999</v>
      </c>
      <c r="I219" s="14">
        <f>IFERROR(H219/H329, "NA")</f>
      </c>
      <c r="J219" s="15"/>
      <c r="K219" s="13">
        <v>4729.7399999999998</v>
      </c>
      <c r="L219" s="14">
        <f>IFERROR(K219/K329, "NA")</f>
      </c>
      <c r="M219" s="15"/>
      <c r="N219" s="13">
        <v>9390.7099999999991</v>
      </c>
      <c r="O219" s="14">
        <f>IFERROR(N219/N329, "NA")</f>
      </c>
      <c r="P219" s="15"/>
      <c r="Q219" s="13">
        <v>0</v>
      </c>
      <c r="R219" s="14">
        <f>IFERROR(Q219/Q329, "NA")</f>
      </c>
    </row>
    <row r="220" ht="16.5" customHeight="1">
      <c t="s" r="A220" s="12">
        <v>224</v>
      </c>
      <c r="B220" s="13">
        <v>273.31</v>
      </c>
      <c r="C220" s="14">
        <f>IFERROR(B220/B329, "NA")</f>
      </c>
      <c r="D220" s="15"/>
      <c r="E220" s="13">
        <v>122.41</v>
      </c>
      <c r="F220" s="14">
        <f>IFERROR(E220/E329, "NA")</f>
      </c>
      <c r="G220" s="15"/>
      <c r="H220" s="13">
        <v>329.81</v>
      </c>
      <c r="I220" s="14">
        <f>IFERROR(H220/H329, "NA")</f>
      </c>
      <c r="J220" s="15"/>
      <c r="K220" s="13">
        <v>-77.189999999999998</v>
      </c>
      <c r="L220" s="14">
        <f>IFERROR(K220/K329, "NA")</f>
      </c>
      <c r="M220" s="15"/>
      <c r="N220" s="13">
        <v>284.37</v>
      </c>
      <c r="O220" s="14">
        <f>IFERROR(N220/N329, "NA")</f>
      </c>
      <c r="P220" s="15"/>
      <c r="Q220" s="13">
        <v>174.53999999999999</v>
      </c>
      <c r="R220" s="14">
        <f>IFERROR(Q220/Q329, "NA")</f>
      </c>
    </row>
    <row r="221" ht="16.5" customHeight="1">
      <c t="s" r="A221" s="12">
        <v>225</v>
      </c>
      <c r="B221" s="13">
        <v>330</v>
      </c>
      <c r="C221" s="14">
        <f>IFERROR(B221/B329, "NA")</f>
      </c>
      <c r="D221" s="15"/>
      <c r="E221" s="13">
        <v>2817.7199999999998</v>
      </c>
      <c r="F221" s="14">
        <f>IFERROR(E221/E329, "NA")</f>
      </c>
      <c r="G221" s="15"/>
      <c r="H221" s="13">
        <v>0</v>
      </c>
      <c r="I221" s="14">
        <f>IFERROR(H221/H329, "NA")</f>
      </c>
      <c r="J221" s="15"/>
      <c r="K221" s="13">
        <v>0</v>
      </c>
      <c r="L221" s="14">
        <f>IFERROR(K221/K329, "NA")</f>
      </c>
      <c r="M221" s="15"/>
      <c r="N221" s="13">
        <v>6008.4799999999996</v>
      </c>
      <c r="O221" s="14">
        <f>IFERROR(N221/N329, "NA")</f>
      </c>
      <c r="P221" s="15"/>
      <c r="Q221" s="13">
        <v>1124</v>
      </c>
      <c r="R221" s="14">
        <f>IFERROR(Q221/Q329, "NA")</f>
      </c>
    </row>
    <row r="222" ht="16.5" customHeight="1">
      <c t="s" r="A222" s="12">
        <v>226</v>
      </c>
      <c r="B222" s="13">
        <v>0</v>
      </c>
      <c r="C222" s="14">
        <f>IFERROR(B222/B329, "NA")</f>
      </c>
      <c r="D222" s="15"/>
      <c r="E222" s="13">
        <v>0</v>
      </c>
      <c r="F222" s="14">
        <f>IFERROR(E222/E329, "NA")</f>
      </c>
      <c r="G222" s="15"/>
      <c r="H222" s="13">
        <v>0</v>
      </c>
      <c r="I222" s="14">
        <f>IFERROR(H222/H329, "NA")</f>
      </c>
      <c r="J222" s="15"/>
      <c r="K222" s="13">
        <v>0</v>
      </c>
      <c r="L222" s="14">
        <f>IFERROR(K222/K329, "NA")</f>
      </c>
      <c r="M222" s="15"/>
      <c r="N222" s="13">
        <v>11.83</v>
      </c>
      <c r="O222" s="14">
        <f>IFERROR(N222/N329, "NA")</f>
      </c>
      <c r="P222" s="15"/>
      <c r="Q222" s="13">
        <v>0</v>
      </c>
      <c r="R222" s="14">
        <f>IFERROR(Q222/Q329, "NA")</f>
      </c>
    </row>
    <row r="223" ht="16.5" customHeight="1">
      <c t="s" r="A223" s="12">
        <v>227</v>
      </c>
      <c r="B223" s="13">
        <v>0</v>
      </c>
      <c r="C223" s="14">
        <f>IFERROR(B223/B329, "NA")</f>
      </c>
      <c r="D223" s="15"/>
      <c r="E223" s="13">
        <v>0</v>
      </c>
      <c r="F223" s="14">
        <f>IFERROR(E223/E329, "NA")</f>
      </c>
      <c r="G223" s="15"/>
      <c r="H223" s="13">
        <v>0</v>
      </c>
      <c r="I223" s="14">
        <f>IFERROR(H223/H329, "NA")</f>
      </c>
      <c r="J223" s="15"/>
      <c r="K223" s="13">
        <v>0</v>
      </c>
      <c r="L223" s="14">
        <f>IFERROR(K223/K329, "NA")</f>
      </c>
      <c r="M223" s="15"/>
      <c r="N223" s="13">
        <v>0</v>
      </c>
      <c r="O223" s="14">
        <f>IFERROR(N223/N329, "NA")</f>
      </c>
      <c r="P223" s="15"/>
      <c r="Q223" s="13">
        <v>0</v>
      </c>
      <c r="R223" s="14">
        <f>IFERROR(Q223/Q329, "NA")</f>
      </c>
    </row>
    <row r="224" ht="16.5" customHeight="1">
      <c t="s" r="A224" s="12">
        <v>228</v>
      </c>
      <c r="B224" s="13">
        <v>0</v>
      </c>
      <c r="C224" s="14">
        <f>IFERROR(B224/B329, "NA")</f>
      </c>
      <c r="D224" s="15"/>
      <c r="E224" s="13">
        <v>0</v>
      </c>
      <c r="F224" s="14">
        <f>IFERROR(E224/E329, "NA")</f>
      </c>
      <c r="G224" s="15"/>
      <c r="H224" s="13">
        <v>0</v>
      </c>
      <c r="I224" s="14">
        <f>IFERROR(H224/H329, "NA")</f>
      </c>
      <c r="J224" s="15"/>
      <c r="K224" s="13">
        <v>136.03999999999999</v>
      </c>
      <c r="L224" s="14">
        <f>IFERROR(K224/K329, "NA")</f>
      </c>
      <c r="M224" s="15"/>
      <c r="N224" s="13">
        <v>199.21000000000001</v>
      </c>
      <c r="O224" s="14">
        <f>IFERROR(N224/N329, "NA")</f>
      </c>
      <c r="P224" s="15"/>
      <c r="Q224" s="13">
        <v>0</v>
      </c>
      <c r="R224" s="14">
        <f>IFERROR(Q224/Q329, "NA")</f>
      </c>
    </row>
    <row r="225" ht="16.5" customHeight="1">
      <c t="s" r="A225" s="12">
        <v>229</v>
      </c>
      <c r="B225" s="13">
        <v>1875</v>
      </c>
      <c r="C225" s="14">
        <f>IFERROR(B225/B329, "NA")</f>
      </c>
      <c r="D225" s="15"/>
      <c r="E225" s="13">
        <v>0</v>
      </c>
      <c r="F225" s="14">
        <f>IFERROR(E225/E329, "NA")</f>
      </c>
      <c r="G225" s="15"/>
      <c r="H225" s="13">
        <v>2765</v>
      </c>
      <c r="I225" s="14">
        <f>IFERROR(H225/H329, "NA")</f>
      </c>
      <c r="J225" s="15"/>
      <c r="K225" s="13">
        <v>2883.8400000000001</v>
      </c>
      <c r="L225" s="14">
        <f>IFERROR(K225/K329, "NA")</f>
      </c>
      <c r="M225" s="15"/>
      <c r="N225" s="13">
        <v>1875</v>
      </c>
      <c r="O225" s="14">
        <f>IFERROR(N225/N329, "NA")</f>
      </c>
      <c r="P225" s="15"/>
      <c r="Q225" s="13">
        <v>0</v>
      </c>
      <c r="R225" s="14">
        <f>IFERROR(Q225/Q329, "NA")</f>
      </c>
    </row>
    <row r="226" ht="16.5" customHeight="1">
      <c t="s" r="A226" s="12">
        <v>230</v>
      </c>
      <c r="B226" s="13">
        <v>-73.599999999999994</v>
      </c>
      <c r="C226" s="14">
        <f>IFERROR(B226/B329, "NA")</f>
      </c>
      <c r="D226" s="15"/>
      <c r="E226" s="13">
        <v>97.060000000000002</v>
      </c>
      <c r="F226" s="14">
        <f>IFERROR(E226/E329, "NA")</f>
      </c>
      <c r="G226" s="15"/>
      <c r="H226" s="13">
        <v>-77.640000000000001</v>
      </c>
      <c r="I226" s="14">
        <f>IFERROR(H226/H329, "NA")</f>
      </c>
      <c r="J226" s="15"/>
      <c r="K226" s="13">
        <v>-3.6499999999999999</v>
      </c>
      <c r="L226" s="14">
        <f>IFERROR(K226/K329, "NA")</f>
      </c>
      <c r="M226" s="15"/>
      <c r="N226" s="13">
        <v>94.640000000000001</v>
      </c>
      <c r="O226" s="14">
        <f>IFERROR(N226/N329, "NA")</f>
      </c>
      <c r="P226" s="15"/>
      <c r="Q226" s="13">
        <v>25254.759999999998</v>
      </c>
      <c r="R226" s="14">
        <f>IFERROR(Q226/Q329, "NA")</f>
      </c>
    </row>
    <row r="227" ht="16.5" customHeight="1">
      <c t="s" r="A227" s="12">
        <v>231</v>
      </c>
      <c r="B227" s="13">
        <v>-239.66999999999999</v>
      </c>
      <c r="C227" s="14">
        <f>IFERROR(B227/B329, "NA")</f>
      </c>
      <c r="D227" s="15"/>
      <c r="E227" s="13">
        <v>0</v>
      </c>
      <c r="F227" s="14">
        <f>IFERROR(E227/E329, "NA")</f>
      </c>
      <c r="G227" s="15"/>
      <c r="H227" s="13">
        <v>417.55000000000001</v>
      </c>
      <c r="I227" s="14">
        <f>IFERROR(H227/H329, "NA")</f>
      </c>
      <c r="J227" s="15"/>
      <c r="K227" s="13">
        <v>0</v>
      </c>
      <c r="L227" s="14">
        <f>IFERROR(K227/K329, "NA")</f>
      </c>
      <c r="M227" s="15"/>
      <c r="N227" s="13">
        <v>0</v>
      </c>
      <c r="O227" s="14">
        <f>IFERROR(N227/N329, "NA")</f>
      </c>
      <c r="P227" s="15"/>
      <c r="Q227" s="13">
        <v>0</v>
      </c>
      <c r="R227" s="14">
        <f>IFERROR(Q227/Q329, "NA")</f>
      </c>
    </row>
    <row r="228" ht="16.5" customHeight="1">
      <c t="s" r="A228" s="12">
        <v>232</v>
      </c>
      <c r="B228" s="13">
        <v>0</v>
      </c>
      <c r="C228" s="14">
        <f>IFERROR(B228/B329, "NA")</f>
      </c>
      <c r="D228" s="15"/>
      <c r="E228" s="13">
        <v>36</v>
      </c>
      <c r="F228" s="14">
        <f>IFERROR(E228/E329, "NA")</f>
      </c>
      <c r="G228" s="15"/>
      <c r="H228" s="13">
        <v>0</v>
      </c>
      <c r="I228" s="14">
        <f>IFERROR(H228/H329, "NA")</f>
      </c>
      <c r="J228" s="15"/>
      <c r="K228" s="13">
        <v>4528.54</v>
      </c>
      <c r="L228" s="14">
        <f>IFERROR(K228/K329, "NA")</f>
      </c>
      <c r="M228" s="15"/>
      <c r="N228" s="13">
        <v>88.129999999999995</v>
      </c>
      <c r="O228" s="14">
        <f>IFERROR(N228/N329, "NA")</f>
      </c>
      <c r="P228" s="15"/>
      <c r="Q228" s="13">
        <v>454.89999999999998</v>
      </c>
      <c r="R228" s="14">
        <f>IFERROR(Q228/Q329, "NA")</f>
      </c>
    </row>
    <row r="229" ht="16.5" customHeight="1">
      <c t="s" r="A229" s="12">
        <v>233</v>
      </c>
      <c r="B229" s="13">
        <v>0</v>
      </c>
      <c r="C229" s="14">
        <f>IFERROR(B229/B329, "NA")</f>
      </c>
      <c r="D229" s="15"/>
      <c r="E229" s="13">
        <v>0</v>
      </c>
      <c r="F229" s="14">
        <f>IFERROR(E229/E329, "NA")</f>
      </c>
      <c r="G229" s="15"/>
      <c r="H229" s="13">
        <v>0</v>
      </c>
      <c r="I229" s="14">
        <f>IFERROR(H229/H329, "NA")</f>
      </c>
      <c r="J229" s="15"/>
      <c r="K229" s="13">
        <v>0</v>
      </c>
      <c r="L229" s="14">
        <f>IFERROR(K229/K329, "NA")</f>
      </c>
      <c r="M229" s="15"/>
      <c r="N229" s="13">
        <v>0</v>
      </c>
      <c r="O229" s="14">
        <f>IFERROR(N229/N329, "NA")</f>
      </c>
      <c r="P229" s="15"/>
      <c r="Q229" s="13">
        <v>0</v>
      </c>
      <c r="R229" s="14">
        <f>IFERROR(Q229/Q329, "NA")</f>
      </c>
    </row>
    <row r="230" ht="16.5" customHeight="1">
      <c t="s" r="A230" s="12">
        <v>234</v>
      </c>
      <c r="B230" s="13">
        <v>27.75</v>
      </c>
      <c r="C230" s="14">
        <f>IFERROR(B230/B329, "NA")</f>
      </c>
      <c r="D230" s="15"/>
      <c r="E230" s="13">
        <v>150</v>
      </c>
      <c r="F230" s="14">
        <f>IFERROR(E230/E329, "NA")</f>
      </c>
      <c r="G230" s="15"/>
      <c r="H230" s="13">
        <v>34.490000000000002</v>
      </c>
      <c r="I230" s="14">
        <f>IFERROR(H230/H329, "NA")</f>
      </c>
      <c r="J230" s="15"/>
      <c r="K230" s="13">
        <v>809.91999999999996</v>
      </c>
      <c r="L230" s="14">
        <f>IFERROR(K230/K329, "NA")</f>
      </c>
      <c r="M230" s="15"/>
      <c r="N230" s="13">
        <v>0</v>
      </c>
      <c r="O230" s="14">
        <f>IFERROR(N230/N329, "NA")</f>
      </c>
      <c r="P230" s="15"/>
      <c r="Q230" s="13">
        <v>0</v>
      </c>
      <c r="R230" s="14">
        <f>IFERROR(Q230/Q329, "NA")</f>
      </c>
    </row>
    <row r="231" ht="16.5" customHeight="1">
      <c t="s" r="A231" s="12">
        <v>235</v>
      </c>
      <c r="B231" s="13">
        <v>0</v>
      </c>
      <c r="C231" s="14">
        <f>IFERROR(B231/B329, "NA")</f>
      </c>
      <c r="D231" s="15"/>
      <c r="E231" s="13">
        <v>0</v>
      </c>
      <c r="F231" s="14">
        <f>IFERROR(E231/E329, "NA")</f>
      </c>
      <c r="G231" s="15"/>
      <c r="H231" s="13">
        <v>0</v>
      </c>
      <c r="I231" s="14">
        <f>IFERROR(H231/H329, "NA")</f>
      </c>
      <c r="J231" s="15"/>
      <c r="K231" s="13">
        <v>0</v>
      </c>
      <c r="L231" s="14">
        <f>IFERROR(K231/K329, "NA")</f>
      </c>
      <c r="M231" s="15"/>
      <c r="N231" s="13">
        <v>0</v>
      </c>
      <c r="O231" s="14">
        <f>IFERROR(N231/N329, "NA")</f>
      </c>
      <c r="P231" s="15"/>
      <c r="Q231" s="13">
        <v>0</v>
      </c>
      <c r="R231" s="14">
        <f>IFERROR(Q231/Q329, "NA")</f>
      </c>
    </row>
    <row r="232" ht="16.5" customHeight="1">
      <c t="s" r="A232" s="12">
        <v>236</v>
      </c>
      <c r="B232" s="13">
        <v>0</v>
      </c>
      <c r="C232" s="14">
        <f>IFERROR(B232/B329, "NA")</f>
      </c>
      <c r="D232" s="15"/>
      <c r="E232" s="13">
        <v>0</v>
      </c>
      <c r="F232" s="14">
        <f>IFERROR(E232/E329, "NA")</f>
      </c>
      <c r="G232" s="15"/>
      <c r="H232" s="13">
        <v>0</v>
      </c>
      <c r="I232" s="14">
        <f>IFERROR(H232/H329, "NA")</f>
      </c>
      <c r="J232" s="15"/>
      <c r="K232" s="13">
        <v>0</v>
      </c>
      <c r="L232" s="14">
        <f>IFERROR(K232/K329, "NA")</f>
      </c>
      <c r="M232" s="15"/>
      <c r="N232" s="13">
        <v>0</v>
      </c>
      <c r="O232" s="14">
        <f>IFERROR(N232/N329, "NA")</f>
      </c>
      <c r="P232" s="15"/>
      <c r="Q232" s="13">
        <v>130000</v>
      </c>
      <c r="R232" s="14">
        <f>IFERROR(Q232/Q329, "NA")</f>
      </c>
    </row>
    <row r="233" ht="16.5" customHeight="1">
      <c t="s" r="A233" s="12">
        <v>237</v>
      </c>
      <c r="B233" s="13">
        <v>0</v>
      </c>
      <c r="C233" s="14">
        <f>IFERROR(B233/B329, "NA")</f>
      </c>
      <c r="D233" s="15"/>
      <c r="E233" s="13">
        <v>205.03999999999999</v>
      </c>
      <c r="F233" s="14">
        <f>IFERROR(E233/E329, "NA")</f>
      </c>
      <c r="G233" s="15"/>
      <c r="H233" s="13">
        <v>0</v>
      </c>
      <c r="I233" s="14">
        <f>IFERROR(H233/H329, "NA")</f>
      </c>
      <c r="J233" s="15"/>
      <c r="K233" s="13">
        <v>0</v>
      </c>
      <c r="L233" s="14">
        <f>IFERROR(K233/K329, "NA")</f>
      </c>
      <c r="M233" s="15"/>
      <c r="N233" s="13">
        <v>420</v>
      </c>
      <c r="O233" s="14">
        <f>IFERROR(N233/N329, "NA")</f>
      </c>
      <c r="P233" s="15"/>
      <c r="Q233" s="13">
        <v>0</v>
      </c>
      <c r="R233" s="14">
        <f>IFERROR(Q233/Q329, "NA")</f>
      </c>
    </row>
    <row r="234" ht="16.5" customHeight="1">
      <c t="s" r="A234" s="12">
        <v>238</v>
      </c>
      <c r="B234" s="13">
        <v>37.560000000000002</v>
      </c>
      <c r="C234" s="14">
        <f>IFERROR(B234/B329, "NA")</f>
      </c>
      <c r="D234" s="15"/>
      <c r="E234" s="13">
        <v>210.25999999999999</v>
      </c>
      <c r="F234" s="14">
        <f>IFERROR(E234/E329, "NA")</f>
      </c>
      <c r="G234" s="15"/>
      <c r="H234" s="13">
        <v>85.629999999999995</v>
      </c>
      <c r="I234" s="14">
        <f>IFERROR(H234/H329, "NA")</f>
      </c>
      <c r="J234" s="15"/>
      <c r="K234" s="13">
        <v>65.680000000000007</v>
      </c>
      <c r="L234" s="14">
        <f>IFERROR(K234/K329, "NA")</f>
      </c>
      <c r="M234" s="15"/>
      <c r="N234" s="13">
        <v>25.91</v>
      </c>
      <c r="O234" s="14">
        <f>IFERROR(N234/N329, "NA")</f>
      </c>
      <c r="P234" s="15"/>
      <c r="Q234" s="13">
        <v>0</v>
      </c>
      <c r="R234" s="14">
        <f>IFERROR(Q234/Q329, "NA")</f>
      </c>
    </row>
    <row r="235" ht="16.5" customHeight="1">
      <c t="s" r="A235" s="12">
        <v>239</v>
      </c>
      <c r="B235" s="13">
        <v>0</v>
      </c>
      <c r="C235" s="14">
        <f>IFERROR(B235/B329, "NA")</f>
      </c>
      <c r="D235" s="15"/>
      <c r="E235" s="13">
        <v>259.08999999999997</v>
      </c>
      <c r="F235" s="14">
        <f>IFERROR(E235/E329, "NA")</f>
      </c>
      <c r="G235" s="15"/>
      <c r="H235" s="13">
        <v>0</v>
      </c>
      <c r="I235" s="14">
        <f>IFERROR(H235/H329, "NA")</f>
      </c>
      <c r="J235" s="15"/>
      <c r="K235" s="13">
        <v>71.079999999999998</v>
      </c>
      <c r="L235" s="14">
        <f>IFERROR(K235/K329, "NA")</f>
      </c>
      <c r="M235" s="15"/>
      <c r="N235" s="13">
        <v>386</v>
      </c>
      <c r="O235" s="14">
        <f>IFERROR(N235/N329, "NA")</f>
      </c>
      <c r="P235" s="15"/>
      <c r="Q235" s="13">
        <v>0</v>
      </c>
      <c r="R235" s="14">
        <f>IFERROR(Q235/Q329, "NA")</f>
      </c>
    </row>
    <row r="236" ht="16.5" customHeight="1">
      <c t="s" r="A236" s="12">
        <v>240</v>
      </c>
      <c r="B236" s="13">
        <v>0</v>
      </c>
      <c r="C236" s="14">
        <f>IFERROR(B236/B329, "NA")</f>
      </c>
      <c r="D236" s="15"/>
      <c r="E236" s="13">
        <v>0</v>
      </c>
      <c r="F236" s="14">
        <f>IFERROR(E236/E329, "NA")</f>
      </c>
      <c r="G236" s="15"/>
      <c r="H236" s="13">
        <v>72310.460000000006</v>
      </c>
      <c r="I236" s="14">
        <f>IFERROR(H236/H329, "NA")</f>
      </c>
      <c r="J236" s="15"/>
      <c r="K236" s="13">
        <v>0</v>
      </c>
      <c r="L236" s="14">
        <f>IFERROR(K236/K329, "NA")</f>
      </c>
      <c r="M236" s="15"/>
      <c r="N236" s="13">
        <v>0</v>
      </c>
      <c r="O236" s="14">
        <f>IFERROR(N236/N329, "NA")</f>
      </c>
      <c r="P236" s="15"/>
      <c r="Q236" s="13">
        <v>43901.139999999999</v>
      </c>
      <c r="R236" s="14">
        <f>IFERROR(Q236/Q329, "NA")</f>
      </c>
    </row>
    <row r="237" ht="16.5" customHeight="1">
      <c t="s" r="A237" s="12">
        <v>241</v>
      </c>
      <c r="B237" s="13">
        <v>13385.719999999999</v>
      </c>
      <c r="C237" s="14">
        <f>IFERROR(B237/B329, "NA")</f>
      </c>
      <c r="D237" s="15"/>
      <c r="E237" s="13">
        <v>2080.1700000000001</v>
      </c>
      <c r="F237" s="14">
        <f>IFERROR(E237/E329, "NA")</f>
      </c>
      <c r="G237" s="15"/>
      <c r="H237" s="13">
        <v>906.98000000000002</v>
      </c>
      <c r="I237" s="14">
        <f>IFERROR(H237/H329, "NA")</f>
      </c>
      <c r="J237" s="15"/>
      <c r="K237" s="13">
        <v>6605.5799999999999</v>
      </c>
      <c r="L237" s="14">
        <f>IFERROR(K237/K329, "NA")</f>
      </c>
      <c r="M237" s="15"/>
      <c r="N237" s="13">
        <v>12005.709999999999</v>
      </c>
      <c r="O237" s="14">
        <f>IFERROR(N237/N329, "NA")</f>
      </c>
      <c r="P237" s="15"/>
      <c r="Q237" s="13">
        <v>2083.21</v>
      </c>
      <c r="R237" s="14">
        <f>IFERROR(Q237/Q329, "NA")</f>
      </c>
    </row>
    <row r="238" ht="16.5" customHeight="1">
      <c t="s" r="A238" s="12">
        <v>242</v>
      </c>
      <c r="B238" s="13">
        <v>55.630000000000003</v>
      </c>
      <c r="C238" s="14">
        <f>IFERROR(B238/B329, "NA")</f>
      </c>
      <c r="D238" s="15"/>
      <c r="E238" s="13">
        <v>8.1500000000000004</v>
      </c>
      <c r="F238" s="14">
        <f>IFERROR(E238/E329, "NA")</f>
      </c>
      <c r="G238" s="15"/>
      <c r="H238" s="13">
        <v>170.65000000000001</v>
      </c>
      <c r="I238" s="14">
        <f>IFERROR(H238/H329, "NA")</f>
      </c>
      <c r="J238" s="15"/>
      <c r="K238" s="13">
        <v>118.53</v>
      </c>
      <c r="L238" s="14">
        <f>IFERROR(K238/K329, "NA")</f>
      </c>
      <c r="M238" s="15"/>
      <c r="N238" s="13">
        <v>68.950000000000003</v>
      </c>
      <c r="O238" s="14">
        <f>IFERROR(N238/N329, "NA")</f>
      </c>
      <c r="P238" s="15"/>
      <c r="Q238" s="13">
        <v>0</v>
      </c>
      <c r="R238" s="14">
        <f>IFERROR(Q238/Q329, "NA")</f>
      </c>
    </row>
    <row r="239" ht="16.5" customHeight="1">
      <c t="s" r="A239" s="12">
        <v>243</v>
      </c>
      <c r="B239" s="13">
        <v>6500</v>
      </c>
      <c r="C239" s="14">
        <f>IFERROR(B239/B329, "NA")</f>
      </c>
      <c r="D239" s="15"/>
      <c r="E239" s="13">
        <v>0</v>
      </c>
      <c r="F239" s="14">
        <f>IFERROR(E239/E329, "NA")</f>
      </c>
      <c r="G239" s="15"/>
      <c r="H239" s="13">
        <v>0</v>
      </c>
      <c r="I239" s="14">
        <f>IFERROR(H239/H329, "NA")</f>
      </c>
      <c r="J239" s="15"/>
      <c r="K239" s="13">
        <v>0</v>
      </c>
      <c r="L239" s="14">
        <f>IFERROR(K239/K329, "NA")</f>
      </c>
      <c r="M239" s="15"/>
      <c r="N239" s="13">
        <v>6508.3599999999997</v>
      </c>
      <c r="O239" s="14">
        <f>IFERROR(N239/N329, "NA")</f>
      </c>
      <c r="P239" s="15"/>
      <c r="Q239" s="13">
        <v>0</v>
      </c>
      <c r="R239" s="14">
        <f>IFERROR(Q239/Q329, "NA")</f>
      </c>
    </row>
    <row r="240" ht="16.5" customHeight="1">
      <c t="s" r="A240" s="12">
        <v>244</v>
      </c>
      <c r="B240" s="13">
        <v>0</v>
      </c>
      <c r="C240" s="14">
        <f>IFERROR(B240/B329, "NA")</f>
      </c>
      <c r="D240" s="15"/>
      <c r="E240" s="13">
        <v>0</v>
      </c>
      <c r="F240" s="14">
        <f>IFERROR(E240/E329, "NA")</f>
      </c>
      <c r="G240" s="15"/>
      <c r="H240" s="13">
        <v>0</v>
      </c>
      <c r="I240" s="14">
        <f>IFERROR(H240/H329, "NA")</f>
      </c>
      <c r="J240" s="15"/>
      <c r="K240" s="13">
        <v>0</v>
      </c>
      <c r="L240" s="14">
        <f>IFERROR(K240/K329, "NA")</f>
      </c>
      <c r="M240" s="15"/>
      <c r="N240" s="13">
        <v>0</v>
      </c>
      <c r="O240" s="14">
        <f>IFERROR(N240/N329, "NA")</f>
      </c>
      <c r="P240" s="15"/>
      <c r="Q240" s="13">
        <v>0</v>
      </c>
      <c r="R240" s="14">
        <f>IFERROR(Q240/Q329, "NA")</f>
      </c>
    </row>
    <row r="241" ht="16.5" customHeight="1">
      <c t="s" r="A241" s="16">
        <v>245</v>
      </c>
      <c r="B241" s="17">
        <f>IFERROR(B214+B215+B216+B217+B218+B219+B220+B221+B222+B223+B224+B225+B226+B227+B228+B229+B230+B231+B232+B233+B234+B235+B236+B237+B238+B239+B240, "NA")</f>
      </c>
      <c r="C241" s="18">
        <f>IFERROR(B241/B329, "NA")</f>
      </c>
      <c r="D241" s="8"/>
      <c r="E241" s="17">
        <f>IFERROR(E214+E215+E216+E217+E218+E219+E220+E221+E222+E223+E224+E225+E226+E227+E228+E229+E230+E231+E232+E233+E234+E235+E236+E237+E238+E239+E240, "NA")</f>
      </c>
      <c r="F241" s="18">
        <f>IFERROR(E241/E329, "NA")</f>
      </c>
      <c r="G241" s="8"/>
      <c r="H241" s="17">
        <f>IFERROR(H214+H215+H216+H217+H218+H219+H220+H221+H222+H223+H224+H225+H226+H227+H228+H229+H230+H231+H232+H233+H234+H235+H236+H237+H238+H239+H240, "NA")</f>
      </c>
      <c r="I241" s="18">
        <f>IFERROR(H241/H329, "NA")</f>
      </c>
      <c r="J241" s="8"/>
      <c r="K241" s="17">
        <f>IFERROR(K214+K215+K216+K217+K218+K219+K220+K221+K222+K223+K224+K225+K226+K227+K228+K229+K230+K231+K232+K233+K234+K235+K236+K237+K238+K239+K240, "NA")</f>
      </c>
      <c r="L241" s="18">
        <f>IFERROR(K241/K329, "NA")</f>
      </c>
      <c r="M241" s="8"/>
      <c r="N241" s="17">
        <f>IFERROR(N214+N215+N216+N217+N218+N219+N220+N221+N222+N223+N224+N225+N226+N227+N228+N229+N230+N231+N232+N233+N234+N235+N236+N237+N238+N239+N240, "NA")</f>
      </c>
      <c r="O241" s="18">
        <f>IFERROR(N241/N329, "NA")</f>
      </c>
      <c r="P241" s="8"/>
      <c r="Q241" s="17">
        <f>IFERROR(Q214+Q215+Q216+Q217+Q218+Q219+Q220+Q221+Q222+Q223+Q224+Q225+Q226+Q227+Q228+Q229+Q230+Q231+Q232+Q233+Q234+Q235+Q236+Q237+Q238+Q239+Q240, "NA")</f>
      </c>
      <c r="R241" s="18">
        <f>IFERROR(Q241/Q329, "NA")</f>
      </c>
    </row>
    <row r="242" ht="16.5" customHeight="1">
      <c t="s" r="A242" s="11">
        <v>246</v>
      </c>
      <c r="B242" s="8"/>
      <c r="C242" s="9"/>
      <c r="D242" s="10"/>
      <c r="E242" s="8"/>
      <c r="F242" s="9"/>
      <c r="G242" s="10"/>
      <c r="H242" s="8"/>
      <c r="I242" s="9"/>
      <c r="J242" s="10"/>
      <c r="K242" s="8"/>
      <c r="L242" s="9"/>
      <c r="M242" s="10"/>
      <c r="N242" s="8"/>
      <c r="O242" s="9"/>
      <c r="P242" s="10"/>
      <c r="Q242" s="8"/>
      <c r="R242" s="9"/>
    </row>
    <row r="243" ht="16.5" customHeight="1">
      <c t="s" r="A243" s="12">
        <v>247</v>
      </c>
      <c r="B243" s="13">
        <v>0</v>
      </c>
      <c r="C243" s="14">
        <f>IFERROR(B243/B329, "NA")</f>
      </c>
      <c r="D243" s="15"/>
      <c r="E243" s="13">
        <v>0</v>
      </c>
      <c r="F243" s="14">
        <f>IFERROR(E243/E329, "NA")</f>
      </c>
      <c r="G243" s="15"/>
      <c r="H243" s="13">
        <v>0</v>
      </c>
      <c r="I243" s="14">
        <f>IFERROR(H243/H329, "NA")</f>
      </c>
      <c r="J243" s="15"/>
      <c r="K243" s="13">
        <v>0</v>
      </c>
      <c r="L243" s="14">
        <f>IFERROR(K243/K329, "NA")</f>
      </c>
      <c r="M243" s="15"/>
      <c r="N243" s="13">
        <v>0</v>
      </c>
      <c r="O243" s="14">
        <f>IFERROR(N243/N329, "NA")</f>
      </c>
      <c r="P243" s="15"/>
      <c r="Q243" s="13">
        <v>0</v>
      </c>
      <c r="R243" s="14">
        <f>IFERROR(Q243/Q329, "NA")</f>
      </c>
    </row>
    <row r="244" ht="16.5" customHeight="1">
      <c t="s" r="A244" s="12">
        <v>248</v>
      </c>
      <c r="B244" s="13">
        <v>0</v>
      </c>
      <c r="C244" s="14">
        <f>IFERROR(B244/B329, "NA")</f>
      </c>
      <c r="D244" s="15"/>
      <c r="E244" s="13">
        <v>700</v>
      </c>
      <c r="F244" s="14">
        <f>IFERROR(E244/E329, "NA")</f>
      </c>
      <c r="G244" s="15"/>
      <c r="H244" s="13">
        <v>100</v>
      </c>
      <c r="I244" s="14">
        <f>IFERROR(H244/H329, "NA")</f>
      </c>
      <c r="J244" s="15"/>
      <c r="K244" s="13">
        <v>974.78999999999996</v>
      </c>
      <c r="L244" s="14">
        <f>IFERROR(K244/K329, "NA")</f>
      </c>
      <c r="M244" s="15"/>
      <c r="N244" s="13">
        <v>0</v>
      </c>
      <c r="O244" s="14">
        <f>IFERROR(N244/N329, "NA")</f>
      </c>
      <c r="P244" s="15"/>
      <c r="Q244" s="13">
        <v>0</v>
      </c>
      <c r="R244" s="14">
        <f>IFERROR(Q244/Q329, "NA")</f>
      </c>
    </row>
    <row r="245" ht="16.5" customHeight="1">
      <c t="s" r="A245" s="12">
        <v>249</v>
      </c>
      <c r="B245" s="13">
        <v>0</v>
      </c>
      <c r="C245" s="14">
        <f>IFERROR(B245/B329, "NA")</f>
      </c>
      <c r="D245" s="15"/>
      <c r="E245" s="13">
        <v>-390.70999999999998</v>
      </c>
      <c r="F245" s="14">
        <f>IFERROR(E245/E329, "NA")</f>
      </c>
      <c r="G245" s="15"/>
      <c r="H245" s="13">
        <v>433.81</v>
      </c>
      <c r="I245" s="14">
        <f>IFERROR(H245/H329, "NA")</f>
      </c>
      <c r="J245" s="15"/>
      <c r="K245" s="13">
        <v>0</v>
      </c>
      <c r="L245" s="14">
        <f>IFERROR(K245/K329, "NA")</f>
      </c>
      <c r="M245" s="15"/>
      <c r="N245" s="13">
        <v>0</v>
      </c>
      <c r="O245" s="14">
        <f>IFERROR(N245/N329, "NA")</f>
      </c>
      <c r="P245" s="15"/>
      <c r="Q245" s="13">
        <v>-2147.8600000000001</v>
      </c>
      <c r="R245" s="14">
        <f>IFERROR(Q245/Q329, "NA")</f>
      </c>
    </row>
    <row r="246" ht="16.5" customHeight="1">
      <c t="s" r="A246" s="12">
        <v>250</v>
      </c>
      <c r="B246" s="13">
        <v>0</v>
      </c>
      <c r="C246" s="14">
        <f>IFERROR(B246/B329, "NA")</f>
      </c>
      <c r="D246" s="15"/>
      <c r="E246" s="13">
        <v>0</v>
      </c>
      <c r="F246" s="14">
        <f>IFERROR(E246/E329, "NA")</f>
      </c>
      <c r="G246" s="15"/>
      <c r="H246" s="13">
        <v>0</v>
      </c>
      <c r="I246" s="14">
        <f>IFERROR(H246/H329, "NA")</f>
      </c>
      <c r="J246" s="15"/>
      <c r="K246" s="13">
        <v>0</v>
      </c>
      <c r="L246" s="14">
        <f>IFERROR(K246/K329, "NA")</f>
      </c>
      <c r="M246" s="15"/>
      <c r="N246" s="13">
        <v>0</v>
      </c>
      <c r="O246" s="14">
        <f>IFERROR(N246/N329, "NA")</f>
      </c>
      <c r="P246" s="15"/>
      <c r="Q246" s="13">
        <v>0</v>
      </c>
      <c r="R246" s="14">
        <f>IFERROR(Q246/Q329, "NA")</f>
      </c>
    </row>
    <row r="247" ht="16.5" customHeight="1">
      <c t="s" r="A247" s="12">
        <v>251</v>
      </c>
      <c r="B247" s="13">
        <v>0</v>
      </c>
      <c r="C247" s="14">
        <f>IFERROR(B247/B329, "NA")</f>
      </c>
      <c r="D247" s="15"/>
      <c r="E247" s="13">
        <v>0</v>
      </c>
      <c r="F247" s="14">
        <f>IFERROR(E247/E329, "NA")</f>
      </c>
      <c r="G247" s="15"/>
      <c r="H247" s="13">
        <v>0</v>
      </c>
      <c r="I247" s="14">
        <f>IFERROR(H247/H329, "NA")</f>
      </c>
      <c r="J247" s="15"/>
      <c r="K247" s="13">
        <v>0</v>
      </c>
      <c r="L247" s="14">
        <f>IFERROR(K247/K329, "NA")</f>
      </c>
      <c r="M247" s="15"/>
      <c r="N247" s="13">
        <v>12254.129999999999</v>
      </c>
      <c r="O247" s="14">
        <f>IFERROR(N247/N329, "NA")</f>
      </c>
      <c r="P247" s="15"/>
      <c r="Q247" s="13">
        <v>0</v>
      </c>
      <c r="R247" s="14">
        <f>IFERROR(Q247/Q329, "NA")</f>
      </c>
    </row>
    <row r="248" ht="16.5" customHeight="1">
      <c t="s" r="A248" s="12">
        <v>252</v>
      </c>
      <c r="B248" s="13">
        <v>0</v>
      </c>
      <c r="C248" s="14">
        <f>IFERROR(B248/B329, "NA")</f>
      </c>
      <c r="D248" s="15"/>
      <c r="E248" s="13">
        <v>0</v>
      </c>
      <c r="F248" s="14">
        <f>IFERROR(E248/E329, "NA")</f>
      </c>
      <c r="G248" s="15"/>
      <c r="H248" s="13">
        <v>0</v>
      </c>
      <c r="I248" s="14">
        <f>IFERROR(H248/H329, "NA")</f>
      </c>
      <c r="J248" s="15"/>
      <c r="K248" s="13">
        <v>875.20000000000005</v>
      </c>
      <c r="L248" s="14">
        <f>IFERROR(K248/K329, "NA")</f>
      </c>
      <c r="M248" s="15"/>
      <c r="N248" s="13">
        <v>843.30999999999995</v>
      </c>
      <c r="O248" s="14">
        <f>IFERROR(N248/N329, "NA")</f>
      </c>
      <c r="P248" s="15"/>
      <c r="Q248" s="13">
        <v>0</v>
      </c>
      <c r="R248" s="14">
        <f>IFERROR(Q248/Q329, "NA")</f>
      </c>
    </row>
    <row r="249" ht="16.5" customHeight="1">
      <c t="s" r="A249" s="12">
        <v>253</v>
      </c>
      <c r="B249" s="13">
        <v>-3173.4099999999999</v>
      </c>
      <c r="C249" s="14">
        <f>IFERROR(B249/B329, "NA")</f>
      </c>
      <c r="D249" s="15"/>
      <c r="E249" s="13">
        <v>0</v>
      </c>
      <c r="F249" s="14">
        <f>IFERROR(E249/E329, "NA")</f>
      </c>
      <c r="G249" s="15"/>
      <c r="H249" s="13">
        <v>0</v>
      </c>
      <c r="I249" s="14">
        <f>IFERROR(H249/H329, "NA")</f>
      </c>
      <c r="J249" s="15"/>
      <c r="K249" s="13">
        <v>0</v>
      </c>
      <c r="L249" s="14">
        <f>IFERROR(K249/K329, "NA")</f>
      </c>
      <c r="M249" s="15"/>
      <c r="N249" s="13">
        <v>6285.4799999999996</v>
      </c>
      <c r="O249" s="14">
        <f>IFERROR(N249/N329, "NA")</f>
      </c>
      <c r="P249" s="15"/>
      <c r="Q249" s="13">
        <v>0</v>
      </c>
      <c r="R249" s="14">
        <f>IFERROR(Q249/Q329, "NA")</f>
      </c>
    </row>
    <row r="250" ht="16.5" customHeight="1">
      <c t="s" r="A250" s="12">
        <v>254</v>
      </c>
      <c r="B250" s="13">
        <v>0</v>
      </c>
      <c r="C250" s="14">
        <f>IFERROR(B250/B329, "NA")</f>
      </c>
      <c r="D250" s="15"/>
      <c r="E250" s="13">
        <v>0</v>
      </c>
      <c r="F250" s="14">
        <f>IFERROR(E250/E329, "NA")</f>
      </c>
      <c r="G250" s="15"/>
      <c r="H250" s="13">
        <v>0</v>
      </c>
      <c r="I250" s="14">
        <f>IFERROR(H250/H329, "NA")</f>
      </c>
      <c r="J250" s="15"/>
      <c r="K250" s="13">
        <v>31778.16</v>
      </c>
      <c r="L250" s="14">
        <f>IFERROR(K250/K329, "NA")</f>
      </c>
      <c r="M250" s="15"/>
      <c r="N250" s="13">
        <v>0</v>
      </c>
      <c r="O250" s="14">
        <f>IFERROR(N250/N329, "NA")</f>
      </c>
      <c r="P250" s="15"/>
      <c r="Q250" s="13">
        <v>0</v>
      </c>
      <c r="R250" s="14">
        <f>IFERROR(Q250/Q329, "NA")</f>
      </c>
    </row>
    <row r="251" ht="16.5" customHeight="1">
      <c t="s" r="A251" s="12">
        <v>255</v>
      </c>
      <c r="B251" s="13">
        <v>0</v>
      </c>
      <c r="C251" s="14">
        <f>IFERROR(B251/B329, "NA")</f>
      </c>
      <c r="D251" s="15"/>
      <c r="E251" s="13">
        <v>0</v>
      </c>
      <c r="F251" s="14">
        <f>IFERROR(E251/E329, "NA")</f>
      </c>
      <c r="G251" s="15"/>
      <c r="H251" s="13">
        <v>0</v>
      </c>
      <c r="I251" s="14">
        <f>IFERROR(H251/H329, "NA")</f>
      </c>
      <c r="J251" s="15"/>
      <c r="K251" s="13">
        <v>0</v>
      </c>
      <c r="L251" s="14">
        <f>IFERROR(K251/K329, "NA")</f>
      </c>
      <c r="M251" s="15"/>
      <c r="N251" s="13">
        <v>0</v>
      </c>
      <c r="O251" s="14">
        <f>IFERROR(N251/N329, "NA")</f>
      </c>
      <c r="P251" s="15"/>
      <c r="Q251" s="13">
        <v>0</v>
      </c>
      <c r="R251" s="14">
        <f>IFERROR(Q251/Q329, "NA")</f>
      </c>
    </row>
    <row r="252" ht="16.5" customHeight="1">
      <c t="s" r="A252" s="16">
        <v>256</v>
      </c>
      <c r="B252" s="17">
        <f>IFERROR(B243+B244+B245+B246+B247+B248+B249+B250+B251, "NA")</f>
      </c>
      <c r="C252" s="18">
        <f>IFERROR(B252/B329, "NA")</f>
      </c>
      <c r="D252" s="8"/>
      <c r="E252" s="17">
        <f>IFERROR(E243+E244+E245+E246+E247+E248+E249+E250+E251, "NA")</f>
      </c>
      <c r="F252" s="18">
        <f>IFERROR(E252/E329, "NA")</f>
      </c>
      <c r="G252" s="8"/>
      <c r="H252" s="17">
        <f>IFERROR(H243+H244+H245+H246+H247+H248+H249+H250+H251, "NA")</f>
      </c>
      <c r="I252" s="18">
        <f>IFERROR(H252/H329, "NA")</f>
      </c>
      <c r="J252" s="8"/>
      <c r="K252" s="17">
        <f>IFERROR(K243+K244+K245+K246+K247+K248+K249+K250+K251, "NA")</f>
      </c>
      <c r="L252" s="18">
        <f>IFERROR(K252/K329, "NA")</f>
      </c>
      <c r="M252" s="8"/>
      <c r="N252" s="17">
        <f>IFERROR(N243+N244+N245+N246+N247+N248+N249+N250+N251, "NA")</f>
      </c>
      <c r="O252" s="18">
        <f>IFERROR(N252/N329, "NA")</f>
      </c>
      <c r="P252" s="8"/>
      <c r="Q252" s="17">
        <f>IFERROR(Q243+Q244+Q245+Q246+Q247+Q248+Q249+Q250+Q251, "NA")</f>
      </c>
      <c r="R252" s="18">
        <f>IFERROR(Q252/Q329, "NA")</f>
      </c>
    </row>
    <row r="253" ht="16.5" customHeight="1">
      <c t="s" r="A253" s="11">
        <v>257</v>
      </c>
      <c r="B253" s="8"/>
      <c r="C253" s="9"/>
      <c r="D253" s="10"/>
      <c r="E253" s="8"/>
      <c r="F253" s="9"/>
      <c r="G253" s="10"/>
      <c r="H253" s="8"/>
      <c r="I253" s="9"/>
      <c r="J253" s="10"/>
      <c r="K253" s="8"/>
      <c r="L253" s="9"/>
      <c r="M253" s="10"/>
      <c r="N253" s="8"/>
      <c r="O253" s="9"/>
      <c r="P253" s="10"/>
      <c r="Q253" s="8"/>
      <c r="R253" s="9"/>
    </row>
    <row r="254" ht="16.5" customHeight="1">
      <c t="s" r="A254" s="12">
        <v>258</v>
      </c>
      <c r="B254" s="13">
        <v>0</v>
      </c>
      <c r="C254" s="14">
        <f>IFERROR(B254/B329, "NA")</f>
      </c>
      <c r="D254" s="15"/>
      <c r="E254" s="13">
        <v>0</v>
      </c>
      <c r="F254" s="14">
        <f>IFERROR(E254/E329, "NA")</f>
      </c>
      <c r="G254" s="15"/>
      <c r="H254" s="13">
        <v>0</v>
      </c>
      <c r="I254" s="14">
        <f>IFERROR(H254/H329, "NA")</f>
      </c>
      <c r="J254" s="15"/>
      <c r="K254" s="13">
        <v>0</v>
      </c>
      <c r="L254" s="14">
        <f>IFERROR(K254/K329, "NA")</f>
      </c>
      <c r="M254" s="15"/>
      <c r="N254" s="13">
        <v>0</v>
      </c>
      <c r="O254" s="14">
        <f>IFERROR(N254/N329, "NA")</f>
      </c>
      <c r="P254" s="15"/>
      <c r="Q254" s="13">
        <v>0</v>
      </c>
      <c r="R254" s="14">
        <f>IFERROR(Q254/Q329, "NA")</f>
      </c>
    </row>
    <row r="255" ht="16.5" customHeight="1">
      <c t="s" r="A255" s="12">
        <v>259</v>
      </c>
      <c r="B255" s="13">
        <v>0</v>
      </c>
      <c r="C255" s="14">
        <f>IFERROR(B255/B329, "NA")</f>
      </c>
      <c r="D255" s="15"/>
      <c r="E255" s="13">
        <v>0</v>
      </c>
      <c r="F255" s="14">
        <f>IFERROR(E255/E329, "NA")</f>
      </c>
      <c r="G255" s="15"/>
      <c r="H255" s="13">
        <v>0</v>
      </c>
      <c r="I255" s="14">
        <f>IFERROR(H255/H329, "NA")</f>
      </c>
      <c r="J255" s="15"/>
      <c r="K255" s="13">
        <v>0</v>
      </c>
      <c r="L255" s="14">
        <f>IFERROR(K255/K329, "NA")</f>
      </c>
      <c r="M255" s="15"/>
      <c r="N255" s="13">
        <v>0</v>
      </c>
      <c r="O255" s="14">
        <f>IFERROR(N255/N329, "NA")</f>
      </c>
      <c r="P255" s="15"/>
      <c r="Q255" s="13">
        <v>0</v>
      </c>
      <c r="R255" s="14">
        <f>IFERROR(Q255/Q329, "NA")</f>
      </c>
    </row>
    <row r="256" ht="16.5" customHeight="1">
      <c t="s" r="A256" s="12">
        <v>260</v>
      </c>
      <c r="B256" s="13">
        <v>0</v>
      </c>
      <c r="C256" s="14">
        <f>IFERROR(B256/B329, "NA")</f>
      </c>
      <c r="D256" s="15"/>
      <c r="E256" s="13">
        <v>0</v>
      </c>
      <c r="F256" s="14">
        <f>IFERROR(E256/E329, "NA")</f>
      </c>
      <c r="G256" s="15"/>
      <c r="H256" s="13">
        <v>0</v>
      </c>
      <c r="I256" s="14">
        <f>IFERROR(H256/H329, "NA")</f>
      </c>
      <c r="J256" s="15"/>
      <c r="K256" s="13">
        <v>0</v>
      </c>
      <c r="L256" s="14">
        <f>IFERROR(K256/K329, "NA")</f>
      </c>
      <c r="M256" s="15"/>
      <c r="N256" s="13">
        <v>0</v>
      </c>
      <c r="O256" s="14">
        <f>IFERROR(N256/N329, "NA")</f>
      </c>
      <c r="P256" s="15"/>
      <c r="Q256" s="13">
        <v>0</v>
      </c>
      <c r="R256" s="14">
        <f>IFERROR(Q256/Q329, "NA")</f>
      </c>
    </row>
    <row r="257" ht="16.5" customHeight="1">
      <c t="s" r="A257" s="12">
        <v>261</v>
      </c>
      <c r="B257" s="13">
        <v>0</v>
      </c>
      <c r="C257" s="14">
        <f>IFERROR(B257/B329, "NA")</f>
      </c>
      <c r="D257" s="15"/>
      <c r="E257" s="13">
        <v>0</v>
      </c>
      <c r="F257" s="14">
        <f>IFERROR(E257/E329, "NA")</f>
      </c>
      <c r="G257" s="15"/>
      <c r="H257" s="13">
        <v>0</v>
      </c>
      <c r="I257" s="14">
        <f>IFERROR(H257/H329, "NA")</f>
      </c>
      <c r="J257" s="15"/>
      <c r="K257" s="13">
        <v>0</v>
      </c>
      <c r="L257" s="14">
        <f>IFERROR(K257/K329, "NA")</f>
      </c>
      <c r="M257" s="15"/>
      <c r="N257" s="13">
        <v>0</v>
      </c>
      <c r="O257" s="14">
        <f>IFERROR(N257/N329, "NA")</f>
      </c>
      <c r="P257" s="15"/>
      <c r="Q257" s="13">
        <v>0</v>
      </c>
      <c r="R257" s="14">
        <f>IFERROR(Q257/Q329, "NA")</f>
      </c>
    </row>
    <row r="258" ht="16.5" customHeight="1">
      <c t="s" r="A258" s="12">
        <v>262</v>
      </c>
      <c r="B258" s="13">
        <v>31619.669999999998</v>
      </c>
      <c r="C258" s="14">
        <f>IFERROR(B258/B329, "NA")</f>
      </c>
      <c r="D258" s="15"/>
      <c r="E258" s="13">
        <v>0</v>
      </c>
      <c r="F258" s="14">
        <f>IFERROR(E258/E329, "NA")</f>
      </c>
      <c r="G258" s="15"/>
      <c r="H258" s="13">
        <v>0</v>
      </c>
      <c r="I258" s="14">
        <f>IFERROR(H258/H329, "NA")</f>
      </c>
      <c r="J258" s="15"/>
      <c r="K258" s="13">
        <v>0</v>
      </c>
      <c r="L258" s="14">
        <f>IFERROR(K258/K329, "NA")</f>
      </c>
      <c r="M258" s="15"/>
      <c r="N258" s="13">
        <v>31619.669999999998</v>
      </c>
      <c r="O258" s="14">
        <f>IFERROR(N258/N329, "NA")</f>
      </c>
      <c r="P258" s="15"/>
      <c r="Q258" s="13">
        <v>0</v>
      </c>
      <c r="R258" s="14">
        <f>IFERROR(Q258/Q329, "NA")</f>
      </c>
    </row>
    <row r="259" ht="16.5" customHeight="1">
      <c t="s" r="A259" s="12">
        <v>263</v>
      </c>
      <c r="B259" s="13">
        <v>0</v>
      </c>
      <c r="C259" s="14">
        <f>IFERROR(B259/B329, "NA")</f>
      </c>
      <c r="D259" s="15"/>
      <c r="E259" s="13">
        <v>0</v>
      </c>
      <c r="F259" s="14">
        <f>IFERROR(E259/E329, "NA")</f>
      </c>
      <c r="G259" s="15"/>
      <c r="H259" s="13">
        <v>0</v>
      </c>
      <c r="I259" s="14">
        <f>IFERROR(H259/H329, "NA")</f>
      </c>
      <c r="J259" s="15"/>
      <c r="K259" s="13">
        <v>0</v>
      </c>
      <c r="L259" s="14">
        <f>IFERROR(K259/K329, "NA")</f>
      </c>
      <c r="M259" s="15"/>
      <c r="N259" s="13">
        <v>0</v>
      </c>
      <c r="O259" s="14">
        <f>IFERROR(N259/N329, "NA")</f>
      </c>
      <c r="P259" s="15"/>
      <c r="Q259" s="13">
        <v>0</v>
      </c>
      <c r="R259" s="14">
        <f>IFERROR(Q259/Q329, "NA")</f>
      </c>
    </row>
    <row r="260" ht="16.5" customHeight="1">
      <c t="s" r="A260" s="12">
        <v>264</v>
      </c>
      <c r="B260" s="13">
        <v>0</v>
      </c>
      <c r="C260" s="14">
        <f>IFERROR(B260/B329, "NA")</f>
      </c>
      <c r="D260" s="15"/>
      <c r="E260" s="13">
        <v>0</v>
      </c>
      <c r="F260" s="14">
        <f>IFERROR(E260/E329, "NA")</f>
      </c>
      <c r="G260" s="15"/>
      <c r="H260" s="13">
        <v>0</v>
      </c>
      <c r="I260" s="14">
        <f>IFERROR(H260/H329, "NA")</f>
      </c>
      <c r="J260" s="15"/>
      <c r="K260" s="13">
        <v>0</v>
      </c>
      <c r="L260" s="14">
        <f>IFERROR(K260/K329, "NA")</f>
      </c>
      <c r="M260" s="15"/>
      <c r="N260" s="13">
        <v>0</v>
      </c>
      <c r="O260" s="14">
        <f>IFERROR(N260/N329, "NA")</f>
      </c>
      <c r="P260" s="15"/>
      <c r="Q260" s="13">
        <v>0</v>
      </c>
      <c r="R260" s="14">
        <f>IFERROR(Q260/Q329, "NA")</f>
      </c>
    </row>
    <row r="261" ht="16.5" customHeight="1">
      <c t="s" r="A261" s="12">
        <v>265</v>
      </c>
      <c r="B261" s="13">
        <v>0</v>
      </c>
      <c r="C261" s="14">
        <f>IFERROR(B261/B329, "NA")</f>
      </c>
      <c r="D261" s="15"/>
      <c r="E261" s="13">
        <v>0</v>
      </c>
      <c r="F261" s="14">
        <f>IFERROR(E261/E329, "NA")</f>
      </c>
      <c r="G261" s="15"/>
      <c r="H261" s="13">
        <v>0</v>
      </c>
      <c r="I261" s="14">
        <f>IFERROR(H261/H329, "NA")</f>
      </c>
      <c r="J261" s="15"/>
      <c r="K261" s="13">
        <v>79849.059999999998</v>
      </c>
      <c r="L261" s="14">
        <f>IFERROR(K261/K329, "NA")</f>
      </c>
      <c r="M261" s="15"/>
      <c r="N261" s="13">
        <v>0</v>
      </c>
      <c r="O261" s="14">
        <f>IFERROR(N261/N329, "NA")</f>
      </c>
      <c r="P261" s="15"/>
      <c r="Q261" s="13">
        <v>0</v>
      </c>
      <c r="R261" s="14">
        <f>IFERROR(Q261/Q329, "NA")</f>
      </c>
    </row>
    <row r="262" ht="16.5" customHeight="1">
      <c t="s" r="A262" s="12">
        <v>266</v>
      </c>
      <c r="B262" s="13">
        <v>0</v>
      </c>
      <c r="C262" s="14">
        <f>IFERROR(B262/B329, "NA")</f>
      </c>
      <c r="D262" s="15"/>
      <c r="E262" s="13">
        <v>0</v>
      </c>
      <c r="F262" s="14">
        <f>IFERROR(E262/E329, "NA")</f>
      </c>
      <c r="G262" s="15"/>
      <c r="H262" s="13">
        <v>0</v>
      </c>
      <c r="I262" s="14">
        <f>IFERROR(H262/H329, "NA")</f>
      </c>
      <c r="J262" s="15"/>
      <c r="K262" s="13">
        <v>5679.1000000000004</v>
      </c>
      <c r="L262" s="14">
        <f>IFERROR(K262/K329, "NA")</f>
      </c>
      <c r="M262" s="15"/>
      <c r="N262" s="13">
        <v>0</v>
      </c>
      <c r="O262" s="14">
        <f>IFERROR(N262/N329, "NA")</f>
      </c>
      <c r="P262" s="15"/>
      <c r="Q262" s="13">
        <v>0</v>
      </c>
      <c r="R262" s="14">
        <f>IFERROR(Q262/Q329, "NA")</f>
      </c>
    </row>
    <row r="263" ht="16.5" customHeight="1">
      <c t="s" r="A263" s="16">
        <v>267</v>
      </c>
      <c r="B263" s="17">
        <f>IFERROR(B254+B255+B256+B257+B258+B259+B260+B261+B262, "NA")</f>
      </c>
      <c r="C263" s="18">
        <f>IFERROR(B263/B329, "NA")</f>
      </c>
      <c r="D263" s="8"/>
      <c r="E263" s="17">
        <f>IFERROR(E254+E255+E256+E257+E258+E259+E260+E261+E262, "NA")</f>
      </c>
      <c r="F263" s="18">
        <f>IFERROR(E263/E329, "NA")</f>
      </c>
      <c r="G263" s="8"/>
      <c r="H263" s="17">
        <f>IFERROR(H254+H255+H256+H257+H258+H259+H260+H261+H262, "NA")</f>
      </c>
      <c r="I263" s="18">
        <f>IFERROR(H263/H329, "NA")</f>
      </c>
      <c r="J263" s="8"/>
      <c r="K263" s="17">
        <f>IFERROR(K254+K255+K256+K257+K258+K259+K260+K261+K262, "NA")</f>
      </c>
      <c r="L263" s="18">
        <f>IFERROR(K263/K329, "NA")</f>
      </c>
      <c r="M263" s="8"/>
      <c r="N263" s="17">
        <f>IFERROR(N254+N255+N256+N257+N258+N259+N260+N261+N262, "NA")</f>
      </c>
      <c r="O263" s="18">
        <f>IFERROR(N263/N329, "NA")</f>
      </c>
      <c r="P263" s="8"/>
      <c r="Q263" s="17">
        <f>IFERROR(Q254+Q255+Q256+Q257+Q258+Q259+Q260+Q261+Q262, "NA")</f>
      </c>
      <c r="R263" s="18">
        <f>IFERROR(Q263/Q329, "NA")</f>
      </c>
    </row>
    <row r="264" ht="16.5" customHeight="1">
      <c t="s" r="A264" s="11">
        <v>268</v>
      </c>
      <c r="B264" s="8"/>
      <c r="C264" s="9"/>
      <c r="D264" s="10"/>
      <c r="E264" s="8"/>
      <c r="F264" s="9"/>
      <c r="G264" s="10"/>
      <c r="H264" s="8"/>
      <c r="I264" s="9"/>
      <c r="J264" s="10"/>
      <c r="K264" s="8"/>
      <c r="L264" s="9"/>
      <c r="M264" s="10"/>
      <c r="N264" s="8"/>
      <c r="O264" s="9"/>
      <c r="P264" s="10"/>
      <c r="Q264" s="8"/>
      <c r="R264" s="9"/>
    </row>
    <row r="265" ht="16.5" customHeight="1">
      <c t="s" r="A265" s="12">
        <v>269</v>
      </c>
      <c r="B265" s="13">
        <v>0</v>
      </c>
      <c r="C265" s="14">
        <f>IFERROR(B265/B329, "NA")</f>
      </c>
      <c r="D265" s="15"/>
      <c r="E265" s="13">
        <v>0</v>
      </c>
      <c r="F265" s="14">
        <f>IFERROR(E265/E329, "NA")</f>
      </c>
      <c r="G265" s="15"/>
      <c r="H265" s="13">
        <v>0</v>
      </c>
      <c r="I265" s="14">
        <f>IFERROR(H265/H329, "NA")</f>
      </c>
      <c r="J265" s="15"/>
      <c r="K265" s="13">
        <v>0</v>
      </c>
      <c r="L265" s="14">
        <f>IFERROR(K265/K329, "NA")</f>
      </c>
      <c r="M265" s="15"/>
      <c r="N265" s="13">
        <v>0</v>
      </c>
      <c r="O265" s="14">
        <f>IFERROR(N265/N329, "NA")</f>
      </c>
      <c r="P265" s="15"/>
      <c r="Q265" s="13">
        <v>0</v>
      </c>
      <c r="R265" s="14">
        <f>IFERROR(Q265/Q329, "NA")</f>
      </c>
    </row>
    <row r="266" ht="16.5" customHeight="1">
      <c t="s" r="A266" s="12">
        <v>270</v>
      </c>
      <c r="B266" s="13">
        <v>0</v>
      </c>
      <c r="C266" s="14">
        <f>IFERROR(B266/B329, "NA")</f>
      </c>
      <c r="D266" s="15"/>
      <c r="E266" s="13">
        <v>0</v>
      </c>
      <c r="F266" s="14">
        <f>IFERROR(E266/E329, "NA")</f>
      </c>
      <c r="G266" s="15"/>
      <c r="H266" s="13">
        <v>0</v>
      </c>
      <c r="I266" s="14">
        <f>IFERROR(H266/H329, "NA")</f>
      </c>
      <c r="J266" s="15"/>
      <c r="K266" s="13">
        <v>0</v>
      </c>
      <c r="L266" s="14">
        <f>IFERROR(K266/K329, "NA")</f>
      </c>
      <c r="M266" s="15"/>
      <c r="N266" s="13">
        <v>0</v>
      </c>
      <c r="O266" s="14">
        <f>IFERROR(N266/N329, "NA")</f>
      </c>
      <c r="P266" s="15"/>
      <c r="Q266" s="13">
        <v>0</v>
      </c>
      <c r="R266" s="14">
        <f>IFERROR(Q266/Q329, "NA")</f>
      </c>
    </row>
    <row r="267" ht="16.5" customHeight="1">
      <c t="s" r="A267" s="12">
        <v>271</v>
      </c>
      <c r="B267" s="13">
        <v>0</v>
      </c>
      <c r="C267" s="14">
        <f>IFERROR(B267/B329, "NA")</f>
      </c>
      <c r="D267" s="15"/>
      <c r="E267" s="13">
        <v>0</v>
      </c>
      <c r="F267" s="14">
        <f>IFERROR(E267/E329, "NA")</f>
      </c>
      <c r="G267" s="15"/>
      <c r="H267" s="13">
        <v>0</v>
      </c>
      <c r="I267" s="14">
        <f>IFERROR(H267/H329, "NA")</f>
      </c>
      <c r="J267" s="15"/>
      <c r="K267" s="13">
        <v>0</v>
      </c>
      <c r="L267" s="14">
        <f>IFERROR(K267/K329, "NA")</f>
      </c>
      <c r="M267" s="15"/>
      <c r="N267" s="13">
        <v>0</v>
      </c>
      <c r="O267" s="14">
        <f>IFERROR(N267/N329, "NA")</f>
      </c>
      <c r="P267" s="15"/>
      <c r="Q267" s="13">
        <v>0</v>
      </c>
      <c r="R267" s="14">
        <f>IFERROR(Q267/Q329, "NA")</f>
      </c>
    </row>
    <row r="268" ht="16.5" customHeight="1">
      <c t="s" r="A268" s="12">
        <v>272</v>
      </c>
      <c r="B268" s="13">
        <v>0</v>
      </c>
      <c r="C268" s="14">
        <f>IFERROR(B268/B329, "NA")</f>
      </c>
      <c r="D268" s="15"/>
      <c r="E268" s="13">
        <v>0</v>
      </c>
      <c r="F268" s="14">
        <f>IFERROR(E268/E329, "NA")</f>
      </c>
      <c r="G268" s="15"/>
      <c r="H268" s="13">
        <v>0</v>
      </c>
      <c r="I268" s="14">
        <f>IFERROR(H268/H329, "NA")</f>
      </c>
      <c r="J268" s="15"/>
      <c r="K268" s="13">
        <v>-10.18</v>
      </c>
      <c r="L268" s="14">
        <f>IFERROR(K268/K329, "NA")</f>
      </c>
      <c r="M268" s="15"/>
      <c r="N268" s="13">
        <v>0</v>
      </c>
      <c r="O268" s="14">
        <f>IFERROR(N268/N329, "NA")</f>
      </c>
      <c r="P268" s="15"/>
      <c r="Q268" s="13">
        <v>0</v>
      </c>
      <c r="R268" s="14">
        <f>IFERROR(Q268/Q329, "NA")</f>
      </c>
    </row>
    <row r="269" ht="16.5" customHeight="1">
      <c t="s" r="A269" s="12">
        <v>273</v>
      </c>
      <c r="B269" s="13">
        <v>0</v>
      </c>
      <c r="C269" s="14">
        <f>IFERROR(B269/B329, "NA")</f>
      </c>
      <c r="D269" s="15"/>
      <c r="E269" s="13">
        <v>0</v>
      </c>
      <c r="F269" s="14">
        <f>IFERROR(E269/E329, "NA")</f>
      </c>
      <c r="G269" s="15"/>
      <c r="H269" s="13">
        <v>0</v>
      </c>
      <c r="I269" s="14">
        <f>IFERROR(H269/H329, "NA")</f>
      </c>
      <c r="J269" s="15"/>
      <c r="K269" s="13">
        <v>0</v>
      </c>
      <c r="L269" s="14">
        <f>IFERROR(K269/K329, "NA")</f>
      </c>
      <c r="M269" s="15"/>
      <c r="N269" s="13">
        <v>0</v>
      </c>
      <c r="O269" s="14">
        <f>IFERROR(N269/N329, "NA")</f>
      </c>
      <c r="P269" s="15"/>
      <c r="Q269" s="13">
        <v>0</v>
      </c>
      <c r="R269" s="14">
        <f>IFERROR(Q269/Q329, "NA")</f>
      </c>
    </row>
    <row r="270" ht="16.5" customHeight="1">
      <c t="s" r="A270" s="12">
        <v>274</v>
      </c>
      <c r="B270" s="13">
        <v>0</v>
      </c>
      <c r="C270" s="14">
        <f>IFERROR(B270/B329, "NA")</f>
      </c>
      <c r="D270" s="15"/>
      <c r="E270" s="13">
        <v>0</v>
      </c>
      <c r="F270" s="14">
        <f>IFERROR(E270/E329, "NA")</f>
      </c>
      <c r="G270" s="15"/>
      <c r="H270" s="13">
        <v>0</v>
      </c>
      <c r="I270" s="14">
        <f>IFERROR(H270/H329, "NA")</f>
      </c>
      <c r="J270" s="15"/>
      <c r="K270" s="13">
        <v>0</v>
      </c>
      <c r="L270" s="14">
        <f>IFERROR(K270/K329, "NA")</f>
      </c>
      <c r="M270" s="15"/>
      <c r="N270" s="13">
        <v>0</v>
      </c>
      <c r="O270" s="14">
        <f>IFERROR(N270/N329, "NA")</f>
      </c>
      <c r="P270" s="15"/>
      <c r="Q270" s="13">
        <v>0</v>
      </c>
      <c r="R270" s="14">
        <f>IFERROR(Q270/Q329, "NA")</f>
      </c>
    </row>
    <row r="271" ht="16.5" customHeight="1">
      <c t="s" r="A271" s="12">
        <v>275</v>
      </c>
      <c r="B271" s="13">
        <v>0</v>
      </c>
      <c r="C271" s="14">
        <f>IFERROR(B271/B329, "NA")</f>
      </c>
      <c r="D271" s="15"/>
      <c r="E271" s="13">
        <v>0</v>
      </c>
      <c r="F271" s="14">
        <f>IFERROR(E271/E329, "NA")</f>
      </c>
      <c r="G271" s="15"/>
      <c r="H271" s="13">
        <v>0</v>
      </c>
      <c r="I271" s="14">
        <f>IFERROR(H271/H329, "NA")</f>
      </c>
      <c r="J271" s="15"/>
      <c r="K271" s="13">
        <v>0</v>
      </c>
      <c r="L271" s="14">
        <f>IFERROR(K271/K329, "NA")</f>
      </c>
      <c r="M271" s="15"/>
      <c r="N271" s="13">
        <v>0</v>
      </c>
      <c r="O271" s="14">
        <f>IFERROR(N271/N329, "NA")</f>
      </c>
      <c r="P271" s="15"/>
      <c r="Q271" s="13">
        <v>0</v>
      </c>
      <c r="R271" s="14">
        <f>IFERROR(Q271/Q329, "NA")</f>
      </c>
    </row>
    <row r="272" ht="16.5" customHeight="1">
      <c t="s" r="A272" s="12">
        <v>276</v>
      </c>
      <c r="B272" s="13">
        <v>0</v>
      </c>
      <c r="C272" s="14">
        <f>IFERROR(B272/B329, "NA")</f>
      </c>
      <c r="D272" s="15"/>
      <c r="E272" s="13">
        <v>0</v>
      </c>
      <c r="F272" s="14">
        <f>IFERROR(E272/E329, "NA")</f>
      </c>
      <c r="G272" s="15"/>
      <c r="H272" s="13">
        <v>0</v>
      </c>
      <c r="I272" s="14">
        <f>IFERROR(H272/H329, "NA")</f>
      </c>
      <c r="J272" s="15"/>
      <c r="K272" s="13">
        <v>0</v>
      </c>
      <c r="L272" s="14">
        <f>IFERROR(K272/K329, "NA")</f>
      </c>
      <c r="M272" s="15"/>
      <c r="N272" s="13">
        <v>0</v>
      </c>
      <c r="O272" s="14">
        <f>IFERROR(N272/N329, "NA")</f>
      </c>
      <c r="P272" s="15"/>
      <c r="Q272" s="13">
        <v>0</v>
      </c>
      <c r="R272" s="14">
        <f>IFERROR(Q272/Q329, "NA")</f>
      </c>
    </row>
    <row r="273" ht="16.5" customHeight="1">
      <c t="s" r="A273" s="12">
        <v>277</v>
      </c>
      <c r="B273" s="13">
        <v>0</v>
      </c>
      <c r="C273" s="14">
        <f>IFERROR(B273/B329, "NA")</f>
      </c>
      <c r="D273" s="15"/>
      <c r="E273" s="13">
        <v>0</v>
      </c>
      <c r="F273" s="14">
        <f>IFERROR(E273/E329, "NA")</f>
      </c>
      <c r="G273" s="15"/>
      <c r="H273" s="13">
        <v>0</v>
      </c>
      <c r="I273" s="14">
        <f>IFERROR(H273/H329, "NA")</f>
      </c>
      <c r="J273" s="15"/>
      <c r="K273" s="13">
        <v>0</v>
      </c>
      <c r="L273" s="14">
        <f>IFERROR(K273/K329, "NA")</f>
      </c>
      <c r="M273" s="15"/>
      <c r="N273" s="13">
        <v>0</v>
      </c>
      <c r="O273" s="14">
        <f>IFERROR(N273/N329, "NA")</f>
      </c>
      <c r="P273" s="15"/>
      <c r="Q273" s="13">
        <v>0</v>
      </c>
      <c r="R273" s="14">
        <f>IFERROR(Q273/Q329, "NA")</f>
      </c>
    </row>
    <row r="274" ht="16.5" customHeight="1">
      <c t="s" r="A274" s="12">
        <v>278</v>
      </c>
      <c r="B274" s="13">
        <v>0</v>
      </c>
      <c r="C274" s="14">
        <f>IFERROR(B274/B329, "NA")</f>
      </c>
      <c r="D274" s="15"/>
      <c r="E274" s="13">
        <v>0</v>
      </c>
      <c r="F274" s="14">
        <f>IFERROR(E274/E329, "NA")</f>
      </c>
      <c r="G274" s="15"/>
      <c r="H274" s="13">
        <v>0</v>
      </c>
      <c r="I274" s="14">
        <f>IFERROR(H274/H329, "NA")</f>
      </c>
      <c r="J274" s="15"/>
      <c r="K274" s="13">
        <v>0</v>
      </c>
      <c r="L274" s="14">
        <f>IFERROR(K274/K329, "NA")</f>
      </c>
      <c r="M274" s="15"/>
      <c r="N274" s="13">
        <v>0</v>
      </c>
      <c r="O274" s="14">
        <f>IFERROR(N274/N329, "NA")</f>
      </c>
      <c r="P274" s="15"/>
      <c r="Q274" s="13">
        <v>0</v>
      </c>
      <c r="R274" s="14">
        <f>IFERROR(Q274/Q329, "NA")</f>
      </c>
    </row>
    <row r="275" ht="16.5" customHeight="1">
      <c t="s" r="A275" s="12">
        <v>279</v>
      </c>
      <c r="B275" s="13">
        <v>0</v>
      </c>
      <c r="C275" s="14">
        <f>IFERROR(B275/B329, "NA")</f>
      </c>
      <c r="D275" s="15"/>
      <c r="E275" s="13">
        <v>0</v>
      </c>
      <c r="F275" s="14">
        <f>IFERROR(E275/E329, "NA")</f>
      </c>
      <c r="G275" s="15"/>
      <c r="H275" s="13">
        <v>0</v>
      </c>
      <c r="I275" s="14">
        <f>IFERROR(H275/H329, "NA")</f>
      </c>
      <c r="J275" s="15"/>
      <c r="K275" s="13">
        <v>0</v>
      </c>
      <c r="L275" s="14">
        <f>IFERROR(K275/K329, "NA")</f>
      </c>
      <c r="M275" s="15"/>
      <c r="N275" s="13">
        <v>0</v>
      </c>
      <c r="O275" s="14">
        <f>IFERROR(N275/N329, "NA")</f>
      </c>
      <c r="P275" s="15"/>
      <c r="Q275" s="13">
        <v>0</v>
      </c>
      <c r="R275" s="14">
        <f>IFERROR(Q275/Q329, "NA")</f>
      </c>
    </row>
    <row r="276" ht="16.5" customHeight="1">
      <c t="s" r="A276" s="12">
        <v>280</v>
      </c>
      <c r="B276" s="13">
        <v>0</v>
      </c>
      <c r="C276" s="14">
        <f>IFERROR(B276/B329, "NA")</f>
      </c>
      <c r="D276" s="15"/>
      <c r="E276" s="13">
        <v>0</v>
      </c>
      <c r="F276" s="14">
        <f>IFERROR(E276/E329, "NA")</f>
      </c>
      <c r="G276" s="15"/>
      <c r="H276" s="13">
        <v>0</v>
      </c>
      <c r="I276" s="14">
        <f>IFERROR(H276/H329, "NA")</f>
      </c>
      <c r="J276" s="15"/>
      <c r="K276" s="13">
        <v>0</v>
      </c>
      <c r="L276" s="14">
        <f>IFERROR(K276/K329, "NA")</f>
      </c>
      <c r="M276" s="15"/>
      <c r="N276" s="13">
        <v>0</v>
      </c>
      <c r="O276" s="14">
        <f>IFERROR(N276/N329, "NA")</f>
      </c>
      <c r="P276" s="15"/>
      <c r="Q276" s="13">
        <v>0</v>
      </c>
      <c r="R276" s="14">
        <f>IFERROR(Q276/Q329, "NA")</f>
      </c>
    </row>
    <row r="277" ht="16.5" customHeight="1">
      <c t="s" r="A277" s="12">
        <v>281</v>
      </c>
      <c r="B277" s="13">
        <v>0</v>
      </c>
      <c r="C277" s="14">
        <f>IFERROR(B277/B329, "NA")</f>
      </c>
      <c r="D277" s="15"/>
      <c r="E277" s="13">
        <v>0</v>
      </c>
      <c r="F277" s="14">
        <f>IFERROR(E277/E329, "NA")</f>
      </c>
      <c r="G277" s="15"/>
      <c r="H277" s="13">
        <v>0</v>
      </c>
      <c r="I277" s="14">
        <f>IFERROR(H277/H329, "NA")</f>
      </c>
      <c r="J277" s="15"/>
      <c r="K277" s="13">
        <v>0</v>
      </c>
      <c r="L277" s="14">
        <f>IFERROR(K277/K329, "NA")</f>
      </c>
      <c r="M277" s="15"/>
      <c r="N277" s="13">
        <v>0</v>
      </c>
      <c r="O277" s="14">
        <f>IFERROR(N277/N329, "NA")</f>
      </c>
      <c r="P277" s="15"/>
      <c r="Q277" s="13">
        <v>0</v>
      </c>
      <c r="R277" s="14">
        <f>IFERROR(Q277/Q329, "NA")</f>
      </c>
    </row>
    <row r="278" ht="16.5" customHeight="1">
      <c t="s" r="A278" s="12">
        <v>282</v>
      </c>
      <c r="B278" s="13">
        <v>-12676.5</v>
      </c>
      <c r="C278" s="14">
        <f>IFERROR(B278/B329, "NA")</f>
      </c>
      <c r="D278" s="15"/>
      <c r="E278" s="13">
        <v>-14453.01</v>
      </c>
      <c r="F278" s="14">
        <f>IFERROR(E278/E329, "NA")</f>
      </c>
      <c r="G278" s="15"/>
      <c r="H278" s="13">
        <v>-13680.940000000001</v>
      </c>
      <c r="I278" s="14">
        <f>IFERROR(H278/H329, "NA")</f>
      </c>
      <c r="J278" s="15"/>
      <c r="K278" s="13">
        <v>-15847.629999999999</v>
      </c>
      <c r="L278" s="14">
        <f>IFERROR(K278/K329, "NA")</f>
      </c>
      <c r="M278" s="15"/>
      <c r="N278" s="13">
        <v>-15604.16</v>
      </c>
      <c r="O278" s="14">
        <f>IFERROR(N278/N329, "NA")</f>
      </c>
      <c r="P278" s="15"/>
      <c r="Q278" s="13">
        <v>-4663.8500000000004</v>
      </c>
      <c r="R278" s="14">
        <f>IFERROR(Q278/Q329, "NA")</f>
      </c>
    </row>
    <row r="279" ht="16.5" customHeight="1">
      <c t="s" r="A279" s="12">
        <v>283</v>
      </c>
      <c r="B279" s="13">
        <v>0</v>
      </c>
      <c r="C279" s="14">
        <f>IFERROR(B279/B329, "NA")</f>
      </c>
      <c r="D279" s="15"/>
      <c r="E279" s="13">
        <v>0</v>
      </c>
      <c r="F279" s="14">
        <f>IFERROR(E279/E329, "NA")</f>
      </c>
      <c r="G279" s="15"/>
      <c r="H279" s="13">
        <v>0</v>
      </c>
      <c r="I279" s="14">
        <f>IFERROR(H279/H329, "NA")</f>
      </c>
      <c r="J279" s="15"/>
      <c r="K279" s="13">
        <v>0</v>
      </c>
      <c r="L279" s="14">
        <f>IFERROR(K279/K329, "NA")</f>
      </c>
      <c r="M279" s="15"/>
      <c r="N279" s="13">
        <v>0</v>
      </c>
      <c r="O279" s="14">
        <f>IFERROR(N279/N329, "NA")</f>
      </c>
      <c r="P279" s="15"/>
      <c r="Q279" s="13">
        <v>0</v>
      </c>
      <c r="R279" s="14">
        <f>IFERROR(Q279/Q329, "NA")</f>
      </c>
    </row>
    <row r="280" ht="16.5" customHeight="1">
      <c t="s" r="A280" s="12">
        <v>284</v>
      </c>
      <c r="B280" s="13">
        <v>0</v>
      </c>
      <c r="C280" s="14">
        <f>IFERROR(B280/B329, "NA")</f>
      </c>
      <c r="D280" s="15"/>
      <c r="E280" s="13">
        <v>0</v>
      </c>
      <c r="F280" s="14">
        <f>IFERROR(E280/E329, "NA")</f>
      </c>
      <c r="G280" s="15"/>
      <c r="H280" s="13">
        <v>0</v>
      </c>
      <c r="I280" s="14">
        <f>IFERROR(H280/H329, "NA")</f>
      </c>
      <c r="J280" s="15"/>
      <c r="K280" s="13">
        <v>0</v>
      </c>
      <c r="L280" s="14">
        <f>IFERROR(K280/K329, "NA")</f>
      </c>
      <c r="M280" s="15"/>
      <c r="N280" s="13">
        <v>0</v>
      </c>
      <c r="O280" s="14">
        <f>IFERROR(N280/N329, "NA")</f>
      </c>
      <c r="P280" s="15"/>
      <c r="Q280" s="13">
        <v>0</v>
      </c>
      <c r="R280" s="14">
        <f>IFERROR(Q280/Q329, "NA")</f>
      </c>
    </row>
    <row r="281" ht="16.5" customHeight="1">
      <c t="s" r="A281" s="12">
        <v>285</v>
      </c>
      <c r="B281" s="13">
        <v>0</v>
      </c>
      <c r="C281" s="14">
        <f>IFERROR(B281/B329, "NA")</f>
      </c>
      <c r="D281" s="15"/>
      <c r="E281" s="13">
        <v>0</v>
      </c>
      <c r="F281" s="14">
        <f>IFERROR(E281/E329, "NA")</f>
      </c>
      <c r="G281" s="15"/>
      <c r="H281" s="13">
        <v>0</v>
      </c>
      <c r="I281" s="14">
        <f>IFERROR(H281/H329, "NA")</f>
      </c>
      <c r="J281" s="15"/>
      <c r="K281" s="13">
        <v>0</v>
      </c>
      <c r="L281" s="14">
        <f>IFERROR(K281/K329, "NA")</f>
      </c>
      <c r="M281" s="15"/>
      <c r="N281" s="13">
        <v>0</v>
      </c>
      <c r="O281" s="14">
        <f>IFERROR(N281/N329, "NA")</f>
      </c>
      <c r="P281" s="15"/>
      <c r="Q281" s="13">
        <v>0</v>
      </c>
      <c r="R281" s="14">
        <f>IFERROR(Q281/Q329, "NA")</f>
      </c>
    </row>
    <row r="282" ht="16.5" customHeight="1">
      <c t="s" r="A282" s="12">
        <v>286</v>
      </c>
      <c r="B282" s="13">
        <v>0</v>
      </c>
      <c r="C282" s="14">
        <f>IFERROR(B282/B329, "NA")</f>
      </c>
      <c r="D282" s="15"/>
      <c r="E282" s="13">
        <v>0</v>
      </c>
      <c r="F282" s="14">
        <f>IFERROR(E282/E329, "NA")</f>
      </c>
      <c r="G282" s="15"/>
      <c r="H282" s="13">
        <v>0</v>
      </c>
      <c r="I282" s="14">
        <f>IFERROR(H282/H329, "NA")</f>
      </c>
      <c r="J282" s="15"/>
      <c r="K282" s="13">
        <v>0</v>
      </c>
      <c r="L282" s="14">
        <f>IFERROR(K282/K329, "NA")</f>
      </c>
      <c r="M282" s="15"/>
      <c r="N282" s="13">
        <v>0</v>
      </c>
      <c r="O282" s="14">
        <f>IFERROR(N282/N329, "NA")</f>
      </c>
      <c r="P282" s="15"/>
      <c r="Q282" s="13">
        <v>0</v>
      </c>
      <c r="R282" s="14">
        <f>IFERROR(Q282/Q329, "NA")</f>
      </c>
    </row>
    <row r="283" ht="16.5" customHeight="1">
      <c t="s" r="A283" s="16">
        <v>287</v>
      </c>
      <c r="B283" s="17">
        <f>IFERROR(B265+B266+B267+B268+B269+B270+B271+B272+B273+B274+B275+B276+B277+B278+B279+B280+B281+B282, "NA")</f>
      </c>
      <c r="C283" s="18">
        <f>IFERROR(B283/B329, "NA")</f>
      </c>
      <c r="D283" s="8"/>
      <c r="E283" s="17">
        <f>IFERROR(E265+E266+E267+E268+E269+E270+E271+E272+E273+E274+E275+E276+E277+E278+E279+E280+E281+E282, "NA")</f>
      </c>
      <c r="F283" s="18">
        <f>IFERROR(E283/E329, "NA")</f>
      </c>
      <c r="G283" s="8"/>
      <c r="H283" s="17">
        <f>IFERROR(H265+H266+H267+H268+H269+H270+H271+H272+H273+H274+H275+H276+H277+H278+H279+H280+H281+H282, "NA")</f>
      </c>
      <c r="I283" s="18">
        <f>IFERROR(H283/H329, "NA")</f>
      </c>
      <c r="J283" s="8"/>
      <c r="K283" s="17">
        <f>IFERROR(K265+K266+K267+K268+K269+K270+K271+K272+K273+K274+K275+K276+K277+K278+K279+K280+K281+K282, "NA")</f>
      </c>
      <c r="L283" s="18">
        <f>IFERROR(K283/K329, "NA")</f>
      </c>
      <c r="M283" s="8"/>
      <c r="N283" s="17">
        <f>IFERROR(N265+N266+N267+N268+N269+N270+N271+N272+N273+N274+N275+N276+N277+N278+N279+N280+N281+N282, "NA")</f>
      </c>
      <c r="O283" s="18">
        <f>IFERROR(N283/N329, "NA")</f>
      </c>
      <c r="P283" s="8"/>
      <c r="Q283" s="17">
        <f>IFERROR(Q265+Q266+Q267+Q268+Q269+Q270+Q271+Q272+Q273+Q274+Q275+Q276+Q277+Q278+Q279+Q280+Q281+Q282, "NA")</f>
      </c>
      <c r="R283" s="18">
        <f>IFERROR(Q283/Q329, "NA")</f>
      </c>
    </row>
    <row r="284" ht="16.5" customHeight="1">
      <c t="s" r="A284" s="20">
        <v>288</v>
      </c>
      <c r="B284" s="17">
        <f>IFERROR(B214+B215+B216+B217+B218+B219+B220+B221+B222+B223+B224+B225+B226+B227+B228+B229+B230+B231+B232+B233+B234+B235+B236+B237+B238+B239+B240+B243+B244+B245+B246+B247+B248+B249+B250+B251+B254+B255+B256+B257+B258+B259+B260+B261+B262+B265+B266+B267+B268+B269+B270+B271+B272+B273+B274+B275+B276+B277+B278+B279+B280+B281+B282, "NA")</f>
      </c>
      <c r="C284" s="18">
        <f>IFERROR(B284/B329, "NA")</f>
      </c>
      <c r="D284" s="8"/>
      <c r="E284" s="17">
        <f>IFERROR(E214+E215+E216+E217+E218+E219+E220+E221+E222+E223+E224+E225+E226+E227+E228+E229+E230+E231+E232+E233+E234+E235+E236+E237+E238+E239+E240+E243+E244+E245+E246+E247+E248+E249+E250+E251+E254+E255+E256+E257+E258+E259+E260+E261+E262+E265+E266+E267+E268+E269+E270+E271+E272+E273+E274+E275+E276+E277+E278+E279+E280+E281+E282, "NA")</f>
      </c>
      <c r="F284" s="18">
        <f>IFERROR(E284/E329, "NA")</f>
      </c>
      <c r="G284" s="8"/>
      <c r="H284" s="17">
        <f>IFERROR(H214+H215+H216+H217+H218+H219+H220+H221+H222+H223+H224+H225+H226+H227+H228+H229+H230+H231+H232+H233+H234+H235+H236+H237+H238+H239+H240+H243+H244+H245+H246+H247+H248+H249+H250+H251+H254+H255+H256+H257+H258+H259+H260+H261+H262+H265+H266+H267+H268+H269+H270+H271+H272+H273+H274+H275+H276+H277+H278+H279+H280+H281+H282, "NA")</f>
      </c>
      <c r="I284" s="18">
        <f>IFERROR(H284/H329, "NA")</f>
      </c>
      <c r="J284" s="8"/>
      <c r="K284" s="17">
        <f>IFERROR(K214+K215+K216+K217+K218+K219+K220+K221+K222+K223+K224+K225+K226+K227+K228+K229+K230+K231+K232+K233+K234+K235+K236+K237+K238+K239+K240+K243+K244+K245+K246+K247+K248+K249+K250+K251+K254+K255+K256+K257+K258+K259+K260+K261+K262+K265+K266+K267+K268+K269+K270+K271+K272+K273+K274+K275+K276+K277+K278+K279+K280+K281+K282, "NA")</f>
      </c>
      <c r="L284" s="18">
        <f>IFERROR(K284/K329, "NA")</f>
      </c>
      <c r="M284" s="8"/>
      <c r="N284" s="17">
        <f>IFERROR(N214+N215+N216+N217+N218+N219+N220+N221+N222+N223+N224+N225+N226+N227+N228+N229+N230+N231+N232+N233+N234+N235+N236+N237+N238+N239+N240+N243+N244+N245+N246+N247+N248+N249+N250+N251+N254+N255+N256+N257+N258+N259+N260+N261+N262+N265+N266+N267+N268+N269+N270+N271+N272+N273+N274+N275+N276+N277+N278+N279+N280+N281+N282, "NA")</f>
      </c>
      <c r="O284" s="18">
        <f>IFERROR(N284/N329, "NA")</f>
      </c>
      <c r="P284" s="8"/>
      <c r="Q284" s="17">
        <f>IFERROR(Q214+Q215+Q216+Q217+Q218+Q219+Q220+Q221+Q222+Q223+Q224+Q225+Q226+Q227+Q228+Q229+Q230+Q231+Q232+Q233+Q234+Q235+Q236+Q237+Q238+Q239+Q240+Q243+Q244+Q245+Q246+Q247+Q248+Q249+Q250+Q251+Q254+Q255+Q256+Q257+Q258+Q259+Q260+Q261+Q262+Q265+Q266+Q267+Q268+Q269+Q270+Q271+Q272+Q273+Q274+Q275+Q276+Q277+Q278+Q279+Q280+Q281+Q282, "NA")</f>
      </c>
      <c r="R284" s="18">
        <f>IFERROR(Q284/Q329, "NA")</f>
      </c>
    </row>
    <row r="285" ht="16.5" customHeight="1">
      <c t="s" r="A285" s="7">
        <v>289</v>
      </c>
      <c r="B285" s="8"/>
      <c r="C285" s="9"/>
      <c r="D285" s="10"/>
      <c r="E285" s="8"/>
      <c r="F285" s="9"/>
      <c r="G285" s="10"/>
      <c r="H285" s="8"/>
      <c r="I285" s="9"/>
      <c r="J285" s="10"/>
      <c r="K285" s="8"/>
      <c r="L285" s="9"/>
      <c r="M285" s="10"/>
      <c r="N285" s="8"/>
      <c r="O285" s="9"/>
      <c r="P285" s="10"/>
      <c r="Q285" s="8"/>
      <c r="R285" s="9"/>
    </row>
    <row r="286" ht="16.5" customHeight="1">
      <c t="s" r="A286" s="11">
        <v>290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</row>
    <row r="287" ht="16.5" customHeight="1">
      <c t="s" r="A287" s="12">
        <v>291</v>
      </c>
      <c r="B287" s="13">
        <v>0</v>
      </c>
      <c r="C287" s="14">
        <f>IFERROR(B287/B329, "NA")</f>
      </c>
      <c r="D287" s="15"/>
      <c r="E287" s="13">
        <v>0</v>
      </c>
      <c r="F287" s="14">
        <f>IFERROR(E287/E329, "NA")</f>
      </c>
      <c r="G287" s="15"/>
      <c r="H287" s="13">
        <v>0</v>
      </c>
      <c r="I287" s="14">
        <f>IFERROR(H287/H329, "NA")</f>
      </c>
      <c r="J287" s="15"/>
      <c r="K287" s="13">
        <v>0</v>
      </c>
      <c r="L287" s="14">
        <f>IFERROR(K287/K329, "NA")</f>
      </c>
      <c r="M287" s="15"/>
      <c r="N287" s="13">
        <v>0</v>
      </c>
      <c r="O287" s="14">
        <f>IFERROR(N287/N329, "NA")</f>
      </c>
      <c r="P287" s="15"/>
      <c r="Q287" s="13">
        <v>0</v>
      </c>
      <c r="R287" s="14">
        <f>IFERROR(Q287/Q329, "NA")</f>
      </c>
    </row>
    <row r="288" ht="16.5" customHeight="1">
      <c t="s" r="A288" s="12">
        <v>292</v>
      </c>
      <c r="B288" s="13">
        <v>0</v>
      </c>
      <c r="C288" s="14">
        <f>IFERROR(B288/B329, "NA")</f>
      </c>
      <c r="D288" s="15"/>
      <c r="E288" s="13">
        <v>0</v>
      </c>
      <c r="F288" s="14">
        <f>IFERROR(E288/E329, "NA")</f>
      </c>
      <c r="G288" s="15"/>
      <c r="H288" s="13">
        <v>0</v>
      </c>
      <c r="I288" s="14">
        <f>IFERROR(H288/H329, "NA")</f>
      </c>
      <c r="J288" s="15"/>
      <c r="K288" s="13">
        <v>0</v>
      </c>
      <c r="L288" s="14">
        <f>IFERROR(K288/K329, "NA")</f>
      </c>
      <c r="M288" s="15"/>
      <c r="N288" s="13">
        <v>0</v>
      </c>
      <c r="O288" s="14">
        <f>IFERROR(N288/N329, "NA")</f>
      </c>
      <c r="P288" s="15"/>
      <c r="Q288" s="13">
        <v>0</v>
      </c>
      <c r="R288" s="14">
        <f>IFERROR(Q288/Q329, "NA")</f>
      </c>
    </row>
    <row r="289" ht="16.5" customHeight="1">
      <c t="s" r="A289" s="12">
        <v>293</v>
      </c>
      <c r="B289" s="13">
        <v>382.5</v>
      </c>
      <c r="C289" s="14">
        <f>IFERROR(B289/B329, "NA")</f>
      </c>
      <c r="D289" s="15"/>
      <c r="E289" s="13">
        <v>500</v>
      </c>
      <c r="F289" s="14">
        <f>IFERROR(E289/E329, "NA")</f>
      </c>
      <c r="G289" s="15"/>
      <c r="H289" s="13">
        <v>875</v>
      </c>
      <c r="I289" s="14">
        <f>IFERROR(H289/H329, "NA")</f>
      </c>
      <c r="J289" s="15"/>
      <c r="K289" s="13">
        <v>0</v>
      </c>
      <c r="L289" s="14">
        <f>IFERROR(K289/K329, "NA")</f>
      </c>
      <c r="M289" s="15"/>
      <c r="N289" s="13">
        <v>3242.5</v>
      </c>
      <c r="O289" s="14">
        <f>IFERROR(N289/N329, "NA")</f>
      </c>
      <c r="P289" s="15"/>
      <c r="Q289" s="13">
        <v>506.85000000000002</v>
      </c>
      <c r="R289" s="14">
        <f>IFERROR(Q289/Q329, "NA")</f>
      </c>
    </row>
    <row r="290" ht="16.5" customHeight="1">
      <c t="s" r="A290" s="12">
        <v>294</v>
      </c>
      <c r="B290" s="13">
        <v>0</v>
      </c>
      <c r="C290" s="14">
        <f>IFERROR(B290/B329, "NA")</f>
      </c>
      <c r="D290" s="15"/>
      <c r="E290" s="13">
        <v>0</v>
      </c>
      <c r="F290" s="14">
        <f>IFERROR(E290/E329, "NA")</f>
      </c>
      <c r="G290" s="15"/>
      <c r="H290" s="13">
        <v>0</v>
      </c>
      <c r="I290" s="14">
        <f>IFERROR(H290/H329, "NA")</f>
      </c>
      <c r="J290" s="15"/>
      <c r="K290" s="13">
        <v>0</v>
      </c>
      <c r="L290" s="14">
        <f>IFERROR(K290/K329, "NA")</f>
      </c>
      <c r="M290" s="15"/>
      <c r="N290" s="13">
        <v>0</v>
      </c>
      <c r="O290" s="14">
        <f>IFERROR(N290/N329, "NA")</f>
      </c>
      <c r="P290" s="15"/>
      <c r="Q290" s="13">
        <v>0</v>
      </c>
      <c r="R290" s="14">
        <f>IFERROR(Q290/Q329, "NA")</f>
      </c>
    </row>
    <row r="291" ht="16.5" customHeight="1">
      <c t="s" r="A291" s="12">
        <v>295</v>
      </c>
      <c r="B291" s="13">
        <v>19874.34</v>
      </c>
      <c r="C291" s="14">
        <f>IFERROR(B291/B329, "NA")</f>
      </c>
      <c r="D291" s="15"/>
      <c r="E291" s="13">
        <v>21940.09</v>
      </c>
      <c r="F291" s="14">
        <f>IFERROR(E291/E329, "NA")</f>
      </c>
      <c r="G291" s="15"/>
      <c r="H291" s="13">
        <v>21195.529999999999</v>
      </c>
      <c r="I291" s="14">
        <f>IFERROR(H291/H329, "NA")</f>
      </c>
      <c r="J291" s="15"/>
      <c r="K291" s="13">
        <v>23607.720000000001</v>
      </c>
      <c r="L291" s="14">
        <f>IFERROR(K291/K329, "NA")</f>
      </c>
      <c r="M291" s="15"/>
      <c r="N291" s="13">
        <v>24151.73</v>
      </c>
      <c r="O291" s="14">
        <f>IFERROR(N291/N329, "NA")</f>
      </c>
      <c r="P291" s="15"/>
      <c r="Q291" s="13">
        <v>0</v>
      </c>
      <c r="R291" s="14">
        <f>IFERROR(Q291/Q329, "NA")</f>
      </c>
    </row>
    <row r="292" ht="16.5" customHeight="1">
      <c t="s" r="A292" s="12">
        <v>296</v>
      </c>
      <c r="B292" s="13">
        <v>0</v>
      </c>
      <c r="C292" s="14">
        <f>IFERROR(B292/B329, "NA")</f>
      </c>
      <c r="D292" s="15"/>
      <c r="E292" s="13">
        <v>0</v>
      </c>
      <c r="F292" s="14">
        <f>IFERROR(E292/E329, "NA")</f>
      </c>
      <c r="G292" s="15"/>
      <c r="H292" s="13">
        <v>0</v>
      </c>
      <c r="I292" s="14">
        <f>IFERROR(H292/H329, "NA")</f>
      </c>
      <c r="J292" s="15"/>
      <c r="K292" s="13">
        <v>0</v>
      </c>
      <c r="L292" s="14">
        <f>IFERROR(K292/K329, "NA")</f>
      </c>
      <c r="M292" s="15"/>
      <c r="N292" s="13">
        <v>0</v>
      </c>
      <c r="O292" s="14">
        <f>IFERROR(N292/N329, "NA")</f>
      </c>
      <c r="P292" s="15"/>
      <c r="Q292" s="13">
        <v>0</v>
      </c>
      <c r="R292" s="14">
        <f>IFERROR(Q292/Q329, "NA")</f>
      </c>
    </row>
    <row r="293" ht="16.5" customHeight="1">
      <c t="s" r="A293" s="12">
        <v>297</v>
      </c>
      <c r="B293" s="13">
        <v>0</v>
      </c>
      <c r="C293" s="14">
        <f>IFERROR(B293/B329, "NA")</f>
      </c>
      <c r="D293" s="15"/>
      <c r="E293" s="13">
        <v>0</v>
      </c>
      <c r="F293" s="14">
        <f>IFERROR(E293/E329, "NA")</f>
      </c>
      <c r="G293" s="15"/>
      <c r="H293" s="13">
        <v>0</v>
      </c>
      <c r="I293" s="14">
        <f>IFERROR(H293/H329, "NA")</f>
      </c>
      <c r="J293" s="15"/>
      <c r="K293" s="13">
        <v>6000</v>
      </c>
      <c r="L293" s="14">
        <f>IFERROR(K293/K329, "NA")</f>
      </c>
      <c r="M293" s="15"/>
      <c r="N293" s="13">
        <v>0</v>
      </c>
      <c r="O293" s="14">
        <f>IFERROR(N293/N329, "NA")</f>
      </c>
      <c r="P293" s="15"/>
      <c r="Q293" s="13">
        <v>0</v>
      </c>
      <c r="R293" s="14">
        <f>IFERROR(Q293/Q329, "NA")</f>
      </c>
    </row>
    <row r="294" ht="16.5" customHeight="1">
      <c t="s" r="A294" s="12">
        <v>298</v>
      </c>
      <c r="B294" s="13">
        <v>1857.54</v>
      </c>
      <c r="C294" s="14">
        <f>IFERROR(B294/B329, "NA")</f>
      </c>
      <c r="D294" s="15"/>
      <c r="E294" s="13">
        <v>1400</v>
      </c>
      <c r="F294" s="14">
        <f>IFERROR(E294/E329, "NA")</f>
      </c>
      <c r="G294" s="15"/>
      <c r="H294" s="13">
        <v>1400</v>
      </c>
      <c r="I294" s="14">
        <f>IFERROR(H294/H329, "NA")</f>
      </c>
      <c r="J294" s="15"/>
      <c r="K294" s="13">
        <v>2800</v>
      </c>
      <c r="L294" s="14">
        <f>IFERROR(K294/K329, "NA")</f>
      </c>
      <c r="M294" s="15"/>
      <c r="N294" s="13">
        <v>594.46000000000004</v>
      </c>
      <c r="O294" s="14">
        <f>IFERROR(N294/N329, "NA")</f>
      </c>
      <c r="P294" s="15"/>
      <c r="Q294" s="13">
        <v>0</v>
      </c>
      <c r="R294" s="14">
        <f>IFERROR(Q294/Q329, "NA")</f>
      </c>
    </row>
    <row r="295" ht="16.5" customHeight="1">
      <c t="s" r="A295" s="12">
        <v>299</v>
      </c>
      <c r="B295" s="13">
        <v>1091.3299999999999</v>
      </c>
      <c r="C295" s="14">
        <f>IFERROR(B295/B329, "NA")</f>
      </c>
      <c r="D295" s="15"/>
      <c r="E295" s="13">
        <v>550.02999999999997</v>
      </c>
      <c r="F295" s="14">
        <f>IFERROR(E295/E329, "NA")</f>
      </c>
      <c r="G295" s="15"/>
      <c r="H295" s="13">
        <v>900</v>
      </c>
      <c r="I295" s="14">
        <f>IFERROR(H295/H329, "NA")</f>
      </c>
      <c r="J295" s="15"/>
      <c r="K295" s="13">
        <v>46.229999999999997</v>
      </c>
      <c r="L295" s="14">
        <f>IFERROR(K295/K329, "NA")</f>
      </c>
      <c r="M295" s="15"/>
      <c r="N295" s="13">
        <v>3018.75</v>
      </c>
      <c r="O295" s="14">
        <f>IFERROR(N295/N329, "NA")</f>
      </c>
      <c r="P295" s="15"/>
      <c r="Q295" s="13">
        <v>1012.96</v>
      </c>
      <c r="R295" s="14">
        <f>IFERROR(Q295/Q329, "NA")</f>
      </c>
    </row>
    <row r="296" ht="16.5" customHeight="1">
      <c t="s" r="A296" s="12">
        <v>300</v>
      </c>
      <c r="B296" s="13">
        <v>0</v>
      </c>
      <c r="C296" s="14">
        <f>IFERROR(B296/B329, "NA")</f>
      </c>
      <c r="D296" s="15"/>
      <c r="E296" s="13">
        <v>0</v>
      </c>
      <c r="F296" s="14">
        <f>IFERROR(E296/E329, "NA")</f>
      </c>
      <c r="G296" s="15"/>
      <c r="H296" s="13">
        <v>0</v>
      </c>
      <c r="I296" s="14">
        <f>IFERROR(H296/H329, "NA")</f>
      </c>
      <c r="J296" s="15"/>
      <c r="K296" s="13">
        <v>0</v>
      </c>
      <c r="L296" s="14">
        <f>IFERROR(K296/K329, "NA")</f>
      </c>
      <c r="M296" s="15"/>
      <c r="N296" s="13">
        <v>0</v>
      </c>
      <c r="O296" s="14">
        <f>IFERROR(N296/N329, "NA")</f>
      </c>
      <c r="P296" s="15"/>
      <c r="Q296" s="13">
        <v>0</v>
      </c>
      <c r="R296" s="14">
        <f>IFERROR(Q296/Q329, "NA")</f>
      </c>
    </row>
    <row r="297" ht="16.5" customHeight="1">
      <c t="s" r="A297" s="12">
        <v>301</v>
      </c>
      <c r="B297" s="13">
        <v>0</v>
      </c>
      <c r="C297" s="14">
        <f>IFERROR(B297/B329, "NA")</f>
      </c>
      <c r="D297" s="15"/>
      <c r="E297" s="13">
        <v>0</v>
      </c>
      <c r="F297" s="14">
        <f>IFERROR(E297/E329, "NA")</f>
      </c>
      <c r="G297" s="15"/>
      <c r="H297" s="13">
        <v>0</v>
      </c>
      <c r="I297" s="14">
        <f>IFERROR(H297/H329, "NA")</f>
      </c>
      <c r="J297" s="15"/>
      <c r="K297" s="13">
        <v>0</v>
      </c>
      <c r="L297" s="14">
        <f>IFERROR(K297/K329, "NA")</f>
      </c>
      <c r="M297" s="15"/>
      <c r="N297" s="13">
        <v>0</v>
      </c>
      <c r="O297" s="14">
        <f>IFERROR(N297/N329, "NA")</f>
      </c>
      <c r="P297" s="15"/>
      <c r="Q297" s="13">
        <v>0</v>
      </c>
      <c r="R297" s="14">
        <f>IFERROR(Q297/Q329, "NA")</f>
      </c>
    </row>
    <row r="298" ht="16.5" customHeight="1">
      <c t="s" r="A298" s="12">
        <v>302</v>
      </c>
      <c r="B298" s="13">
        <v>0</v>
      </c>
      <c r="C298" s="14">
        <f>IFERROR(B298/B329, "NA")</f>
      </c>
      <c r="D298" s="15"/>
      <c r="E298" s="13">
        <v>0</v>
      </c>
      <c r="F298" s="14">
        <f>IFERROR(E298/E329, "NA")</f>
      </c>
      <c r="G298" s="15"/>
      <c r="H298" s="13">
        <v>0</v>
      </c>
      <c r="I298" s="14">
        <f>IFERROR(H298/H329, "NA")</f>
      </c>
      <c r="J298" s="15"/>
      <c r="K298" s="13">
        <v>0</v>
      </c>
      <c r="L298" s="14">
        <f>IFERROR(K298/K329, "NA")</f>
      </c>
      <c r="M298" s="15"/>
      <c r="N298" s="13">
        <v>0</v>
      </c>
      <c r="O298" s="14">
        <f>IFERROR(N298/N329, "NA")</f>
      </c>
      <c r="P298" s="15"/>
      <c r="Q298" s="13">
        <v>0</v>
      </c>
      <c r="R298" s="14">
        <f>IFERROR(Q298/Q329, "NA")</f>
      </c>
    </row>
    <row r="299" ht="16.5" customHeight="1">
      <c t="s" r="A299" s="12">
        <v>303</v>
      </c>
      <c r="B299" s="13">
        <v>0</v>
      </c>
      <c r="C299" s="14">
        <f>IFERROR(B299/B329, "NA")</f>
      </c>
      <c r="D299" s="15"/>
      <c r="E299" s="13">
        <v>0</v>
      </c>
      <c r="F299" s="14">
        <f>IFERROR(E299/E329, "NA")</f>
      </c>
      <c r="G299" s="15"/>
      <c r="H299" s="13">
        <v>0</v>
      </c>
      <c r="I299" s="14">
        <f>IFERROR(H299/H329, "NA")</f>
      </c>
      <c r="J299" s="15"/>
      <c r="K299" s="13">
        <v>0</v>
      </c>
      <c r="L299" s="14">
        <f>IFERROR(K299/K329, "NA")</f>
      </c>
      <c r="M299" s="15"/>
      <c r="N299" s="13">
        <v>0</v>
      </c>
      <c r="O299" s="14">
        <f>IFERROR(N299/N329, "NA")</f>
      </c>
      <c r="P299" s="15"/>
      <c r="Q299" s="13">
        <v>0</v>
      </c>
      <c r="R299" s="14">
        <f>IFERROR(Q299/Q329, "NA")</f>
      </c>
    </row>
    <row r="300" ht="16.5" customHeight="1">
      <c t="s" r="A300" s="12">
        <v>304</v>
      </c>
      <c r="B300" s="13">
        <v>0</v>
      </c>
      <c r="C300" s="14">
        <f>IFERROR(B300/B329, "NA")</f>
      </c>
      <c r="D300" s="15"/>
      <c r="E300" s="13">
        <v>0</v>
      </c>
      <c r="F300" s="14">
        <f>IFERROR(E300/E329, "NA")</f>
      </c>
      <c r="G300" s="15"/>
      <c r="H300" s="13">
        <v>0</v>
      </c>
      <c r="I300" s="14">
        <f>IFERROR(H300/H329, "NA")</f>
      </c>
      <c r="J300" s="15"/>
      <c r="K300" s="13">
        <v>0</v>
      </c>
      <c r="L300" s="14">
        <f>IFERROR(K300/K329, "NA")</f>
      </c>
      <c r="M300" s="15"/>
      <c r="N300" s="13">
        <v>0</v>
      </c>
      <c r="O300" s="14">
        <f>IFERROR(N300/N329, "NA")</f>
      </c>
      <c r="P300" s="15"/>
      <c r="Q300" s="13">
        <v>0</v>
      </c>
      <c r="R300" s="14">
        <f>IFERROR(Q300/Q329, "NA")</f>
      </c>
    </row>
    <row r="301" ht="16.5" customHeight="1">
      <c t="s" r="A301" s="12">
        <v>305</v>
      </c>
      <c r="B301" s="13">
        <v>0</v>
      </c>
      <c r="C301" s="14">
        <f>IFERROR(B301/B329, "NA")</f>
      </c>
      <c r="D301" s="15"/>
      <c r="E301" s="13">
        <v>0</v>
      </c>
      <c r="F301" s="14">
        <f>IFERROR(E301/E329, "NA")</f>
      </c>
      <c r="G301" s="15"/>
      <c r="H301" s="13">
        <v>0</v>
      </c>
      <c r="I301" s="14">
        <f>IFERROR(H301/H329, "NA")</f>
      </c>
      <c r="J301" s="15"/>
      <c r="K301" s="13">
        <v>0</v>
      </c>
      <c r="L301" s="14">
        <f>IFERROR(K301/K329, "NA")</f>
      </c>
      <c r="M301" s="15"/>
      <c r="N301" s="13">
        <v>0</v>
      </c>
      <c r="O301" s="14">
        <f>IFERROR(N301/N329, "NA")</f>
      </c>
      <c r="P301" s="15"/>
      <c r="Q301" s="13">
        <v>0</v>
      </c>
      <c r="R301" s="14">
        <f>IFERROR(Q301/Q329, "NA")</f>
      </c>
    </row>
    <row r="302" ht="16.5" customHeight="1">
      <c t="s" r="A302" s="12">
        <v>306</v>
      </c>
      <c r="B302" s="13">
        <v>0</v>
      </c>
      <c r="C302" s="14">
        <f>IFERROR(B302/B329, "NA")</f>
      </c>
      <c r="D302" s="15"/>
      <c r="E302" s="13">
        <v>0</v>
      </c>
      <c r="F302" s="14">
        <f>IFERROR(E302/E329, "NA")</f>
      </c>
      <c r="G302" s="15"/>
      <c r="H302" s="13">
        <v>0</v>
      </c>
      <c r="I302" s="14">
        <f>IFERROR(H302/H329, "NA")</f>
      </c>
      <c r="J302" s="15"/>
      <c r="K302" s="13">
        <v>0</v>
      </c>
      <c r="L302" s="14">
        <f>IFERROR(K302/K329, "NA")</f>
      </c>
      <c r="M302" s="15"/>
      <c r="N302" s="13">
        <v>0</v>
      </c>
      <c r="O302" s="14">
        <f>IFERROR(N302/N329, "NA")</f>
      </c>
      <c r="P302" s="15"/>
      <c r="Q302" s="13">
        <v>0</v>
      </c>
      <c r="R302" s="14">
        <f>IFERROR(Q302/Q329, "NA")</f>
      </c>
    </row>
    <row r="303" ht="16.5" customHeight="1">
      <c t="s" r="A303" s="12">
        <v>307</v>
      </c>
      <c r="B303" s="13">
        <v>0</v>
      </c>
      <c r="C303" s="14">
        <f>IFERROR(B303/B329, "NA")</f>
      </c>
      <c r="D303" s="15"/>
      <c r="E303" s="13">
        <v>0</v>
      </c>
      <c r="F303" s="14">
        <f>IFERROR(E303/E329, "NA")</f>
      </c>
      <c r="G303" s="15"/>
      <c r="H303" s="13">
        <v>0</v>
      </c>
      <c r="I303" s="14">
        <f>IFERROR(H303/H329, "NA")</f>
      </c>
      <c r="J303" s="15"/>
      <c r="K303" s="13">
        <v>0</v>
      </c>
      <c r="L303" s="14">
        <f>IFERROR(K303/K329, "NA")</f>
      </c>
      <c r="M303" s="15"/>
      <c r="N303" s="13">
        <v>0</v>
      </c>
      <c r="O303" s="14">
        <f>IFERROR(N303/N329, "NA")</f>
      </c>
      <c r="P303" s="15"/>
      <c r="Q303" s="13">
        <v>0</v>
      </c>
      <c r="R303" s="14">
        <f>IFERROR(Q303/Q329, "NA")</f>
      </c>
    </row>
    <row r="304" ht="16.5" customHeight="1">
      <c t="s" r="A304" s="12">
        <v>308</v>
      </c>
      <c r="B304" s="13">
        <v>0</v>
      </c>
      <c r="C304" s="14">
        <f>IFERROR(B304/B329, "NA")</f>
      </c>
      <c r="D304" s="15"/>
      <c r="E304" s="13">
        <v>0</v>
      </c>
      <c r="F304" s="14">
        <f>IFERROR(E304/E329, "NA")</f>
      </c>
      <c r="G304" s="15"/>
      <c r="H304" s="13">
        <v>0</v>
      </c>
      <c r="I304" s="14">
        <f>IFERROR(H304/H329, "NA")</f>
      </c>
      <c r="J304" s="15"/>
      <c r="K304" s="13">
        <v>0</v>
      </c>
      <c r="L304" s="14">
        <f>IFERROR(K304/K329, "NA")</f>
      </c>
      <c r="M304" s="15"/>
      <c r="N304" s="13">
        <v>0</v>
      </c>
      <c r="O304" s="14">
        <f>IFERROR(N304/N329, "NA")</f>
      </c>
      <c r="P304" s="15"/>
      <c r="Q304" s="13">
        <v>0</v>
      </c>
      <c r="R304" s="14">
        <f>IFERROR(Q304/Q329, "NA")</f>
      </c>
    </row>
    <row r="305" ht="30.75" customHeight="1">
      <c t="s" r="A305" s="12">
        <v>309</v>
      </c>
      <c r="B305" s="13">
        <v>0</v>
      </c>
      <c r="C305" s="14">
        <f>IFERROR(B305/B329, "NA")</f>
      </c>
      <c r="D305" s="15"/>
      <c r="E305" s="13">
        <v>0</v>
      </c>
      <c r="F305" s="14">
        <f>IFERROR(E305/E329, "NA")</f>
      </c>
      <c r="G305" s="15"/>
      <c r="H305" s="13">
        <v>0</v>
      </c>
      <c r="I305" s="14">
        <f>IFERROR(H305/H329, "NA")</f>
      </c>
      <c r="J305" s="15"/>
      <c r="K305" s="13">
        <v>0</v>
      </c>
      <c r="L305" s="14">
        <f>IFERROR(K305/K329, "NA")</f>
      </c>
      <c r="M305" s="15"/>
      <c r="N305" s="13">
        <v>0</v>
      </c>
      <c r="O305" s="14">
        <f>IFERROR(N305/N329, "NA")</f>
      </c>
      <c r="P305" s="15"/>
      <c r="Q305" s="13">
        <v>0</v>
      </c>
      <c r="R305" s="14">
        <f>IFERROR(Q305/Q329, "NA")</f>
      </c>
    </row>
    <row r="306" ht="16.5" customHeight="1">
      <c t="s" r="A306" s="12">
        <v>310</v>
      </c>
      <c r="B306" s="13">
        <v>0</v>
      </c>
      <c r="C306" s="14">
        <f>IFERROR(B306/B329, "NA")</f>
      </c>
      <c r="D306" s="15"/>
      <c r="E306" s="13">
        <v>0</v>
      </c>
      <c r="F306" s="14">
        <f>IFERROR(E306/E329, "NA")</f>
      </c>
      <c r="G306" s="15"/>
      <c r="H306" s="13">
        <v>0</v>
      </c>
      <c r="I306" s="14">
        <f>IFERROR(H306/H329, "NA")</f>
      </c>
      <c r="J306" s="15"/>
      <c r="K306" s="13">
        <v>0</v>
      </c>
      <c r="L306" s="14">
        <f>IFERROR(K306/K329, "NA")</f>
      </c>
      <c r="M306" s="15"/>
      <c r="N306" s="13">
        <v>0</v>
      </c>
      <c r="O306" s="14">
        <f>IFERROR(N306/N329, "NA")</f>
      </c>
      <c r="P306" s="15"/>
      <c r="Q306" s="13">
        <v>0</v>
      </c>
      <c r="R306" s="14">
        <f>IFERROR(Q306/Q329, "NA")</f>
      </c>
    </row>
    <row r="307" ht="16.5" customHeight="1">
      <c t="s" r="A307" s="12">
        <v>311</v>
      </c>
      <c r="B307" s="13">
        <v>0</v>
      </c>
      <c r="C307" s="14">
        <f>IFERROR(B307/B329, "NA")</f>
      </c>
      <c r="D307" s="15"/>
      <c r="E307" s="13">
        <v>0</v>
      </c>
      <c r="F307" s="14">
        <f>IFERROR(E307/E329, "NA")</f>
      </c>
      <c r="G307" s="15"/>
      <c r="H307" s="13">
        <v>0</v>
      </c>
      <c r="I307" s="14">
        <f>IFERROR(H307/H329, "NA")</f>
      </c>
      <c r="J307" s="15"/>
      <c r="K307" s="13">
        <v>0</v>
      </c>
      <c r="L307" s="14">
        <f>IFERROR(K307/K329, "NA")</f>
      </c>
      <c r="M307" s="15"/>
      <c r="N307" s="13">
        <v>0</v>
      </c>
      <c r="O307" s="14">
        <f>IFERROR(N307/N329, "NA")</f>
      </c>
      <c r="P307" s="15"/>
      <c r="Q307" s="13">
        <v>0</v>
      </c>
      <c r="R307" s="14">
        <f>IFERROR(Q307/Q329, "NA")</f>
      </c>
    </row>
    <row r="308" ht="16.5" customHeight="1">
      <c t="s" r="A308" s="12">
        <v>312</v>
      </c>
      <c r="B308" s="13">
        <v>0</v>
      </c>
      <c r="C308" s="14">
        <f>IFERROR(B308/B329, "NA")</f>
      </c>
      <c r="D308" s="15"/>
      <c r="E308" s="13">
        <v>0</v>
      </c>
      <c r="F308" s="14">
        <f>IFERROR(E308/E329, "NA")</f>
      </c>
      <c r="G308" s="15"/>
      <c r="H308" s="13">
        <v>0</v>
      </c>
      <c r="I308" s="14">
        <f>IFERROR(H308/H329, "NA")</f>
      </c>
      <c r="J308" s="15"/>
      <c r="K308" s="13">
        <v>0</v>
      </c>
      <c r="L308" s="14">
        <f>IFERROR(K308/K329, "NA")</f>
      </c>
      <c r="M308" s="15"/>
      <c r="N308" s="13">
        <v>0</v>
      </c>
      <c r="O308" s="14">
        <f>IFERROR(N308/N329, "NA")</f>
      </c>
      <c r="P308" s="15"/>
      <c r="Q308" s="13">
        <v>0</v>
      </c>
      <c r="R308" s="14">
        <f>IFERROR(Q308/Q329, "NA")</f>
      </c>
    </row>
    <row r="309" ht="16.5" customHeight="1">
      <c t="s" r="A309" s="12">
        <v>313</v>
      </c>
      <c r="B309" s="13">
        <v>0</v>
      </c>
      <c r="C309" s="14">
        <f>IFERROR(B309/B329, "NA")</f>
      </c>
      <c r="D309" s="15"/>
      <c r="E309" s="13">
        <v>0</v>
      </c>
      <c r="F309" s="14">
        <f>IFERROR(E309/E329, "NA")</f>
      </c>
      <c r="G309" s="15"/>
      <c r="H309" s="13">
        <v>0</v>
      </c>
      <c r="I309" s="14">
        <f>IFERROR(H309/H329, "NA")</f>
      </c>
      <c r="J309" s="15"/>
      <c r="K309" s="13">
        <v>0</v>
      </c>
      <c r="L309" s="14">
        <f>IFERROR(K309/K329, "NA")</f>
      </c>
      <c r="M309" s="15"/>
      <c r="N309" s="13">
        <v>0</v>
      </c>
      <c r="O309" s="14">
        <f>IFERROR(N309/N329, "NA")</f>
      </c>
      <c r="P309" s="15"/>
      <c r="Q309" s="13">
        <v>0</v>
      </c>
      <c r="R309" s="14">
        <f>IFERROR(Q309/Q329, "NA")</f>
      </c>
    </row>
    <row r="310" ht="16.5" customHeight="1">
      <c t="s" r="A310" s="12">
        <v>314</v>
      </c>
      <c r="B310" s="13">
        <v>0</v>
      </c>
      <c r="C310" s="14">
        <f>IFERROR(B310/B329, "NA")</f>
      </c>
      <c r="D310" s="15"/>
      <c r="E310" s="13">
        <v>0</v>
      </c>
      <c r="F310" s="14">
        <f>IFERROR(E310/E329, "NA")</f>
      </c>
      <c r="G310" s="15"/>
      <c r="H310" s="13">
        <v>30</v>
      </c>
      <c r="I310" s="14">
        <f>IFERROR(H310/H329, "NA")</f>
      </c>
      <c r="J310" s="15"/>
      <c r="K310" s="13">
        <v>0</v>
      </c>
      <c r="L310" s="14">
        <f>IFERROR(K310/K329, "NA")</f>
      </c>
      <c r="M310" s="15"/>
      <c r="N310" s="13">
        <v>0</v>
      </c>
      <c r="O310" s="14">
        <f>IFERROR(N310/N329, "NA")</f>
      </c>
      <c r="P310" s="15"/>
      <c r="Q310" s="13">
        <v>0</v>
      </c>
      <c r="R310" s="14">
        <f>IFERROR(Q310/Q329, "NA")</f>
      </c>
    </row>
    <row r="311" ht="16.5" customHeight="1">
      <c t="s" r="A311" s="12">
        <v>315</v>
      </c>
      <c r="B311" s="13">
        <v>0</v>
      </c>
      <c r="C311" s="14">
        <f>IFERROR(B311/B329, "NA")</f>
      </c>
      <c r="D311" s="15"/>
      <c r="E311" s="13">
        <v>0</v>
      </c>
      <c r="F311" s="14">
        <f>IFERROR(E311/E329, "NA")</f>
      </c>
      <c r="G311" s="15"/>
      <c r="H311" s="13">
        <v>0</v>
      </c>
      <c r="I311" s="14">
        <f>IFERROR(H311/H329, "NA")</f>
      </c>
      <c r="J311" s="15"/>
      <c r="K311" s="13">
        <v>0</v>
      </c>
      <c r="L311" s="14">
        <f>IFERROR(K311/K329, "NA")</f>
      </c>
      <c r="M311" s="15"/>
      <c r="N311" s="13">
        <v>0</v>
      </c>
      <c r="O311" s="14">
        <f>IFERROR(N311/N329, "NA")</f>
      </c>
      <c r="P311" s="15"/>
      <c r="Q311" s="13">
        <v>0</v>
      </c>
      <c r="R311" s="14">
        <f>IFERROR(Q311/Q329, "NA")</f>
      </c>
    </row>
    <row r="312" ht="16.5" customHeight="1">
      <c t="s" r="A312" s="12">
        <v>316</v>
      </c>
      <c r="B312" s="13">
        <v>0</v>
      </c>
      <c r="C312" s="14">
        <f>IFERROR(B312/B329, "NA")</f>
      </c>
      <c r="D312" s="15"/>
      <c r="E312" s="13">
        <v>0</v>
      </c>
      <c r="F312" s="14">
        <f>IFERROR(E312/E329, "NA")</f>
      </c>
      <c r="G312" s="15"/>
      <c r="H312" s="13">
        <v>0</v>
      </c>
      <c r="I312" s="14">
        <f>IFERROR(H312/H329, "NA")</f>
      </c>
      <c r="J312" s="15"/>
      <c r="K312" s="13">
        <v>0</v>
      </c>
      <c r="L312" s="14">
        <f>IFERROR(K312/K329, "NA")</f>
      </c>
      <c r="M312" s="15"/>
      <c r="N312" s="13">
        <v>0</v>
      </c>
      <c r="O312" s="14">
        <f>IFERROR(N312/N329, "NA")</f>
      </c>
      <c r="P312" s="15"/>
      <c r="Q312" s="13">
        <v>0</v>
      </c>
      <c r="R312" s="14">
        <f>IFERROR(Q312/Q329, "NA")</f>
      </c>
    </row>
    <row r="313" ht="16.5" customHeight="1">
      <c t="s" r="A313" s="12">
        <v>317</v>
      </c>
      <c r="B313" s="13">
        <v>0</v>
      </c>
      <c r="C313" s="14">
        <f>IFERROR(B313/B329, "NA")</f>
      </c>
      <c r="D313" s="15"/>
      <c r="E313" s="13">
        <v>0</v>
      </c>
      <c r="F313" s="14">
        <f>IFERROR(E313/E329, "NA")</f>
      </c>
      <c r="G313" s="15"/>
      <c r="H313" s="13">
        <v>0</v>
      </c>
      <c r="I313" s="14">
        <f>IFERROR(H313/H329, "NA")</f>
      </c>
      <c r="J313" s="15"/>
      <c r="K313" s="13">
        <v>0</v>
      </c>
      <c r="L313" s="14">
        <f>IFERROR(K313/K329, "NA")</f>
      </c>
      <c r="M313" s="15"/>
      <c r="N313" s="13">
        <v>0</v>
      </c>
      <c r="O313" s="14">
        <f>IFERROR(N313/N329, "NA")</f>
      </c>
      <c r="P313" s="15"/>
      <c r="Q313" s="13">
        <v>0</v>
      </c>
      <c r="R313" s="14">
        <f>IFERROR(Q313/Q329, "NA")</f>
      </c>
    </row>
    <row r="314" ht="16.5" customHeight="1">
      <c t="s" r="A314" s="12">
        <v>318</v>
      </c>
      <c r="B314" s="13">
        <v>0</v>
      </c>
      <c r="C314" s="14">
        <f>IFERROR(B314/B329, "NA")</f>
      </c>
      <c r="D314" s="15"/>
      <c r="E314" s="13">
        <v>0</v>
      </c>
      <c r="F314" s="14">
        <f>IFERROR(E314/E329, "NA")</f>
      </c>
      <c r="G314" s="15"/>
      <c r="H314" s="13">
        <v>0</v>
      </c>
      <c r="I314" s="14">
        <f>IFERROR(H314/H329, "NA")</f>
      </c>
      <c r="J314" s="15"/>
      <c r="K314" s="13">
        <v>0</v>
      </c>
      <c r="L314" s="14">
        <f>IFERROR(K314/K329, "NA")</f>
      </c>
      <c r="M314" s="15"/>
      <c r="N314" s="13">
        <v>0</v>
      </c>
      <c r="O314" s="14">
        <f>IFERROR(N314/N329, "NA")</f>
      </c>
      <c r="P314" s="15"/>
      <c r="Q314" s="13">
        <v>0</v>
      </c>
      <c r="R314" s="14">
        <f>IFERROR(Q314/Q329, "NA")</f>
      </c>
    </row>
    <row r="315" ht="16.5" customHeight="1">
      <c t="s" r="A315" s="12">
        <v>319</v>
      </c>
      <c r="B315" s="13">
        <v>0</v>
      </c>
      <c r="C315" s="14">
        <f>IFERROR(B315/B329, "NA")</f>
      </c>
      <c r="D315" s="15"/>
      <c r="E315" s="13">
        <v>0</v>
      </c>
      <c r="F315" s="14">
        <f>IFERROR(E315/E329, "NA")</f>
      </c>
      <c r="G315" s="15"/>
      <c r="H315" s="13">
        <v>0</v>
      </c>
      <c r="I315" s="14">
        <f>IFERROR(H315/H329, "NA")</f>
      </c>
      <c r="J315" s="15"/>
      <c r="K315" s="13">
        <v>0</v>
      </c>
      <c r="L315" s="14">
        <f>IFERROR(K315/K329, "NA")</f>
      </c>
      <c r="M315" s="15"/>
      <c r="N315" s="13">
        <v>0</v>
      </c>
      <c r="O315" s="14">
        <f>IFERROR(N315/N329, "NA")</f>
      </c>
      <c r="P315" s="15"/>
      <c r="Q315" s="13">
        <v>0</v>
      </c>
      <c r="R315" s="14">
        <f>IFERROR(Q315/Q329, "NA")</f>
      </c>
    </row>
    <row r="316" ht="16.5" customHeight="1">
      <c t="s" r="A316" s="16">
        <v>320</v>
      </c>
      <c r="B316" s="17">
        <f>IFERROR(B287+B288+B289+B290+B291+B292+B293+B294+B295+B296+B297+B298+B299+B300+B301+B302+B303+B304+B305+B306+B307+B308+B309+B310+B311+B312+B313+B314+B315, "NA")</f>
      </c>
      <c r="C316" s="18">
        <f>IFERROR(B316/B329, "NA")</f>
      </c>
      <c r="D316" s="8"/>
      <c r="E316" s="17">
        <f>IFERROR(E287+E288+E289+E290+E291+E292+E293+E294+E295+E296+E297+E298+E299+E300+E301+E302+E303+E304+E305+E306+E307+E308+E309+E310+E311+E312+E313+E314+E315, "NA")</f>
      </c>
      <c r="F316" s="18">
        <f>IFERROR(E316/E329, "NA")</f>
      </c>
      <c r="G316" s="8"/>
      <c r="H316" s="17">
        <f>IFERROR(H287+H288+H289+H290+H291+H292+H293+H294+H295+H296+H297+H298+H299+H300+H301+H302+H303+H304+H305+H306+H307+H308+H309+H310+H311+H312+H313+H314+H315, "NA")</f>
      </c>
      <c r="I316" s="18">
        <f>IFERROR(H316/H329, "NA")</f>
      </c>
      <c r="J316" s="8"/>
      <c r="K316" s="17">
        <f>IFERROR(K287+K288+K289+K290+K291+K292+K293+K294+K295+K296+K297+K298+K299+K300+K301+K302+K303+K304+K305+K306+K307+K308+K309+K310+K311+K312+K313+K314+K315, "NA")</f>
      </c>
      <c r="L316" s="18">
        <f>IFERROR(K316/K329, "NA")</f>
      </c>
      <c r="M316" s="8"/>
      <c r="N316" s="17">
        <f>IFERROR(N287+N288+N289+N290+N291+N292+N293+N294+N295+N296+N297+N298+N299+N300+N301+N302+N303+N304+N305+N306+N307+N308+N309+N310+N311+N312+N313+N314+N315, "NA")</f>
      </c>
      <c r="O316" s="18">
        <f>IFERROR(N316/N329, "NA")</f>
      </c>
      <c r="P316" s="8"/>
      <c r="Q316" s="17">
        <f>IFERROR(Q287+Q288+Q289+Q290+Q291+Q292+Q293+Q294+Q295+Q296+Q297+Q298+Q299+Q300+Q301+Q302+Q303+Q304+Q305+Q306+Q307+Q308+Q309+Q310+Q311+Q312+Q313+Q314+Q315, "NA")</f>
      </c>
      <c r="R316" s="18">
        <f>IFERROR(Q316/Q329, "NA")</f>
      </c>
    </row>
    <row r="317" ht="16.5" customHeight="1">
      <c t="s" r="A317" s="11">
        <v>321</v>
      </c>
      <c r="B317" s="8"/>
      <c r="C317" s="9"/>
      <c r="D317" s="10"/>
      <c r="E317" s="8"/>
      <c r="F317" s="9"/>
      <c r="G317" s="10"/>
      <c r="H317" s="8"/>
      <c r="I317" s="9"/>
      <c r="J317" s="10"/>
      <c r="K317" s="8"/>
      <c r="L317" s="9"/>
      <c r="M317" s="10"/>
      <c r="N317" s="8"/>
      <c r="O317" s="9"/>
      <c r="P317" s="10"/>
      <c r="Q317" s="8"/>
      <c r="R317" s="9"/>
    </row>
    <row r="318" ht="16.5" customHeight="1">
      <c t="s" r="A318" s="12">
        <v>322</v>
      </c>
      <c r="B318" s="13">
        <v>0</v>
      </c>
      <c r="C318" s="14">
        <f>IFERROR(B318/B329, "NA")</f>
      </c>
      <c r="D318" s="15"/>
      <c r="E318" s="13">
        <v>0</v>
      </c>
      <c r="F318" s="14">
        <f>IFERROR(E318/E329, "NA")</f>
      </c>
      <c r="G318" s="15"/>
      <c r="H318" s="13">
        <v>0</v>
      </c>
      <c r="I318" s="14">
        <f>IFERROR(H318/H329, "NA")</f>
      </c>
      <c r="J318" s="15"/>
      <c r="K318" s="13">
        <v>0</v>
      </c>
      <c r="L318" s="14">
        <f>IFERROR(K318/K329, "NA")</f>
      </c>
      <c r="M318" s="15"/>
      <c r="N318" s="13">
        <v>0</v>
      </c>
      <c r="O318" s="14">
        <f>IFERROR(N318/N329, "NA")</f>
      </c>
      <c r="P318" s="15"/>
      <c r="Q318" s="13">
        <v>0</v>
      </c>
      <c r="R318" s="14">
        <f>IFERROR(Q318/Q329, "NA")</f>
      </c>
    </row>
    <row r="319" ht="16.5" customHeight="1">
      <c t="s" r="A319" s="12">
        <v>323</v>
      </c>
      <c r="B319" s="13">
        <v>0</v>
      </c>
      <c r="C319" s="14">
        <f>IFERROR(B319/B329, "NA")</f>
      </c>
      <c r="D319" s="15"/>
      <c r="E319" s="13">
        <v>0</v>
      </c>
      <c r="F319" s="14">
        <f>IFERROR(E319/E329, "NA")</f>
      </c>
      <c r="G319" s="15"/>
      <c r="H319" s="13">
        <v>0</v>
      </c>
      <c r="I319" s="14">
        <f>IFERROR(H319/H329, "NA")</f>
      </c>
      <c r="J319" s="15"/>
      <c r="K319" s="13">
        <v>0</v>
      </c>
      <c r="L319" s="14">
        <f>IFERROR(K319/K329, "NA")</f>
      </c>
      <c r="M319" s="15"/>
      <c r="N319" s="13">
        <v>0</v>
      </c>
      <c r="O319" s="14">
        <f>IFERROR(N319/N329, "NA")</f>
      </c>
      <c r="P319" s="15"/>
      <c r="Q319" s="13">
        <v>0</v>
      </c>
      <c r="R319" s="14">
        <f>IFERROR(Q319/Q329, "NA")</f>
      </c>
    </row>
    <row r="320" ht="16.5" customHeight="1">
      <c t="s" r="A320" s="12">
        <v>324</v>
      </c>
      <c r="B320" s="13">
        <v>0</v>
      </c>
      <c r="C320" s="14">
        <f>IFERROR(B320/B329, "NA")</f>
      </c>
      <c r="D320" s="15"/>
      <c r="E320" s="13">
        <v>0</v>
      </c>
      <c r="F320" s="14">
        <f>IFERROR(E320/E329, "NA")</f>
      </c>
      <c r="G320" s="15"/>
      <c r="H320" s="13">
        <v>0</v>
      </c>
      <c r="I320" s="14">
        <f>IFERROR(H320/H329, "NA")</f>
      </c>
      <c r="J320" s="15"/>
      <c r="K320" s="13">
        <v>0</v>
      </c>
      <c r="L320" s="14">
        <f>IFERROR(K320/K329, "NA")</f>
      </c>
      <c r="M320" s="15"/>
      <c r="N320" s="13">
        <v>0</v>
      </c>
      <c r="O320" s="14">
        <f>IFERROR(N320/N329, "NA")</f>
      </c>
      <c r="P320" s="15"/>
      <c r="Q320" s="13">
        <v>0</v>
      </c>
      <c r="R320" s="14">
        <f>IFERROR(Q320/Q329, "NA")</f>
      </c>
    </row>
    <row r="321" ht="16.5" customHeight="1">
      <c t="s" r="A321" s="12">
        <v>325</v>
      </c>
      <c r="B321" s="13">
        <v>0</v>
      </c>
      <c r="C321" s="14">
        <f>IFERROR(B321/B329, "NA")</f>
      </c>
      <c r="D321" s="15"/>
      <c r="E321" s="13">
        <v>0</v>
      </c>
      <c r="F321" s="14">
        <f>IFERROR(E321/E329, "NA")</f>
      </c>
      <c r="G321" s="15"/>
      <c r="H321" s="13">
        <v>0</v>
      </c>
      <c r="I321" s="14">
        <f>IFERROR(H321/H329, "NA")</f>
      </c>
      <c r="J321" s="15"/>
      <c r="K321" s="13">
        <v>250</v>
      </c>
      <c r="L321" s="14">
        <f>IFERROR(K321/K329, "NA")</f>
      </c>
      <c r="M321" s="15"/>
      <c r="N321" s="13">
        <v>0</v>
      </c>
      <c r="O321" s="14">
        <f>IFERROR(N321/N329, "NA")</f>
      </c>
      <c r="P321" s="15"/>
      <c r="Q321" s="13">
        <v>0</v>
      </c>
      <c r="R321" s="14">
        <f>IFERROR(Q321/Q329, "NA")</f>
      </c>
    </row>
    <row r="322" ht="16.5" customHeight="1">
      <c t="s" r="A322" s="12">
        <v>326</v>
      </c>
      <c r="B322" s="13">
        <v>0</v>
      </c>
      <c r="C322" s="14">
        <f>IFERROR(B322/B329, "NA")</f>
      </c>
      <c r="D322" s="15"/>
      <c r="E322" s="13">
        <v>0</v>
      </c>
      <c r="F322" s="14">
        <f>IFERROR(E322/E329, "NA")</f>
      </c>
      <c r="G322" s="15"/>
      <c r="H322" s="13">
        <v>0</v>
      </c>
      <c r="I322" s="14">
        <f>IFERROR(H322/H329, "NA")</f>
      </c>
      <c r="J322" s="15"/>
      <c r="K322" s="13">
        <v>0</v>
      </c>
      <c r="L322" s="14">
        <f>IFERROR(K322/K329, "NA")</f>
      </c>
      <c r="M322" s="15"/>
      <c r="N322" s="13">
        <v>0</v>
      </c>
      <c r="O322" s="14">
        <f>IFERROR(N322/N329, "NA")</f>
      </c>
      <c r="P322" s="15"/>
      <c r="Q322" s="13">
        <v>0</v>
      </c>
      <c r="R322" s="14">
        <f>IFERROR(Q322/Q329, "NA")</f>
      </c>
    </row>
    <row r="323" ht="16.5" customHeight="1">
      <c t="s" r="A323" s="12">
        <v>327</v>
      </c>
      <c r="B323" s="13">
        <v>0</v>
      </c>
      <c r="C323" s="14">
        <f>IFERROR(B323/B329, "NA")</f>
      </c>
      <c r="D323" s="15"/>
      <c r="E323" s="13">
        <v>0</v>
      </c>
      <c r="F323" s="14">
        <f>IFERROR(E323/E329, "NA")</f>
      </c>
      <c r="G323" s="15"/>
      <c r="H323" s="13">
        <v>0</v>
      </c>
      <c r="I323" s="14">
        <f>IFERROR(H323/H329, "NA")</f>
      </c>
      <c r="J323" s="15"/>
      <c r="K323" s="13">
        <v>0</v>
      </c>
      <c r="L323" s="14">
        <f>IFERROR(K323/K329, "NA")</f>
      </c>
      <c r="M323" s="15"/>
      <c r="N323" s="13">
        <v>0</v>
      </c>
      <c r="O323" s="14">
        <f>IFERROR(N323/N329, "NA")</f>
      </c>
      <c r="P323" s="15"/>
      <c r="Q323" s="13">
        <v>0</v>
      </c>
      <c r="R323" s="14">
        <f>IFERROR(Q323/Q329, "NA")</f>
      </c>
    </row>
    <row r="324" ht="16.5" customHeight="1">
      <c t="s" r="A324" s="12">
        <v>328</v>
      </c>
      <c r="B324" s="13">
        <v>5000</v>
      </c>
      <c r="C324" s="14">
        <f>IFERROR(B324/B329, "NA")</f>
      </c>
      <c r="D324" s="15"/>
      <c r="E324" s="13">
        <v>5000</v>
      </c>
      <c r="F324" s="14">
        <f>IFERROR(E324/E329, "NA")</f>
      </c>
      <c r="G324" s="15"/>
      <c r="H324" s="13">
        <v>0</v>
      </c>
      <c r="I324" s="14">
        <f>IFERROR(H324/H329, "NA")</f>
      </c>
      <c r="J324" s="15"/>
      <c r="K324" s="13">
        <v>0</v>
      </c>
      <c r="L324" s="14">
        <f>IFERROR(K324/K329, "NA")</f>
      </c>
      <c r="M324" s="15"/>
      <c r="N324" s="13">
        <v>7500</v>
      </c>
      <c r="O324" s="14">
        <f>IFERROR(N324/N329, "NA")</f>
      </c>
      <c r="P324" s="15"/>
      <c r="Q324" s="13">
        <v>0</v>
      </c>
      <c r="R324" s="14">
        <f>IFERROR(Q324/Q329, "NA")</f>
      </c>
    </row>
    <row r="325" ht="16.5" customHeight="1">
      <c t="s" r="A325" s="12">
        <v>329</v>
      </c>
      <c r="B325" s="13">
        <v>0</v>
      </c>
      <c r="C325" s="14">
        <f>IFERROR(B325/B329, "NA")</f>
      </c>
      <c r="D325" s="15"/>
      <c r="E325" s="13">
        <v>0</v>
      </c>
      <c r="F325" s="14">
        <f>IFERROR(E325/E329, "NA")</f>
      </c>
      <c r="G325" s="15"/>
      <c r="H325" s="13">
        <v>0</v>
      </c>
      <c r="I325" s="14">
        <f>IFERROR(H325/H329, "NA")</f>
      </c>
      <c r="J325" s="15"/>
      <c r="K325" s="13">
        <v>0</v>
      </c>
      <c r="L325" s="14">
        <f>IFERROR(K325/K329, "NA")</f>
      </c>
      <c r="M325" s="15"/>
      <c r="N325" s="13">
        <v>0</v>
      </c>
      <c r="O325" s="14">
        <f>IFERROR(N325/N329, "NA")</f>
      </c>
      <c r="P325" s="15"/>
      <c r="Q325" s="13">
        <v>0</v>
      </c>
      <c r="R325" s="14">
        <f>IFERROR(Q325/Q329, "NA")</f>
      </c>
    </row>
    <row r="326" ht="16.5" customHeight="1">
      <c t="s" r="A326" s="16">
        <v>330</v>
      </c>
      <c r="B326" s="17">
        <f>IFERROR(B318+B319+B320+B321+B322+B323+B324+B325, "NA")</f>
      </c>
      <c r="C326" s="18">
        <f>IFERROR(B326/B329, "NA")</f>
      </c>
      <c r="D326" s="8"/>
      <c r="E326" s="17">
        <f>IFERROR(E318+E319+E320+E321+E322+E323+E324+E325, "NA")</f>
      </c>
      <c r="F326" s="18">
        <f>IFERROR(E326/E329, "NA")</f>
      </c>
      <c r="G326" s="8"/>
      <c r="H326" s="17">
        <f>IFERROR(H318+H319+H320+H321+H322+H323+H324+H325, "NA")</f>
      </c>
      <c r="I326" s="18">
        <f>IFERROR(H326/H329, "NA")</f>
      </c>
      <c r="J326" s="8"/>
      <c r="K326" s="17">
        <f>IFERROR(K318+K319+K320+K321+K322+K323+K324+K325, "NA")</f>
      </c>
      <c r="L326" s="18">
        <f>IFERROR(K326/K329, "NA")</f>
      </c>
      <c r="M326" s="8"/>
      <c r="N326" s="17">
        <f>IFERROR(N318+N319+N320+N321+N322+N323+N324+N325, "NA")</f>
      </c>
      <c r="O326" s="18">
        <f>IFERROR(N326/N329, "NA")</f>
      </c>
      <c r="P326" s="8"/>
      <c r="Q326" s="17">
        <f>IFERROR(Q318+Q319+Q320+Q321+Q322+Q323+Q324+Q325, "NA")</f>
      </c>
      <c r="R326" s="18">
        <f>IFERROR(Q326/Q329, "NA")</f>
      </c>
    </row>
    <row r="327" ht="16.5" customHeight="1">
      <c t="s" r="A327" s="20">
        <v>331</v>
      </c>
      <c r="B327" s="17">
        <f>IFERROR(B287+B288+B289+B290+B291+B292+B293+B294+B295+B296+B297+B298+B299+B300+B301+B302+B303+B304+B305+B306+B307+B308+B309+B310+B311+B312+B313+B314+B315+B318+B319+B320+B321+B322+B323+B324+B325, "NA")</f>
      </c>
      <c r="C327" s="18">
        <f>IFERROR(B327/B329, "NA")</f>
      </c>
      <c r="D327" s="8"/>
      <c r="E327" s="17">
        <f>IFERROR(E287+E288+E289+E290+E291+E292+E293+E294+E295+E296+E297+E298+E299+E300+E301+E302+E303+E304+E305+E306+E307+E308+E309+E310+E311+E312+E313+E314+E315+E318+E319+E320+E321+E322+E323+E324+E325, "NA")</f>
      </c>
      <c r="F327" s="18">
        <f>IFERROR(E327/E329, "NA")</f>
      </c>
      <c r="G327" s="8"/>
      <c r="H327" s="17">
        <f>IFERROR(H287+H288+H289+H290+H291+H292+H293+H294+H295+H296+H297+H298+H299+H300+H301+H302+H303+H304+H305+H306+H307+H308+H309+H310+H311+H312+H313+H314+H315+H318+H319+H320+H321+H322+H323+H324+H325, "NA")</f>
      </c>
      <c r="I327" s="18">
        <f>IFERROR(H327/H329, "NA")</f>
      </c>
      <c r="J327" s="8"/>
      <c r="K327" s="17">
        <f>IFERROR(K287+K288+K289+K290+K291+K292+K293+K294+K295+K296+K297+K298+K299+K300+K301+K302+K303+K304+K305+K306+K307+K308+K309+K310+K311+K312+K313+K314+K315+K318+K319+K320+K321+K322+K323+K324+K325, "NA")</f>
      </c>
      <c r="L327" s="18">
        <f>IFERROR(K327/K329, "NA")</f>
      </c>
      <c r="M327" s="8"/>
      <c r="N327" s="17">
        <f>IFERROR(N287+N288+N289+N290+N291+N292+N293+N294+N295+N296+N297+N298+N299+N300+N301+N302+N303+N304+N305+N306+N307+N308+N309+N310+N311+N312+N313+N314+N315+N318+N319+N320+N321+N322+N323+N324+N325, "NA")</f>
      </c>
      <c r="O327" s="18">
        <f>IFERROR(N327/N329, "NA")</f>
      </c>
      <c r="P327" s="8"/>
      <c r="Q327" s="17">
        <f>IFERROR(Q287+Q288+Q289+Q290+Q291+Q292+Q293+Q294+Q295+Q296+Q297+Q298+Q299+Q300+Q301+Q302+Q303+Q304+Q305+Q306+Q307+Q308+Q309+Q310+Q311+Q312+Q313+Q314+Q315+Q318+Q319+Q320+Q321+Q322+Q323+Q324+Q325, "NA")</f>
      </c>
      <c r="R327" s="18">
        <f>IFERROR(Q327/Q329, "NA")</f>
      </c>
    </row>
    <row r="328" ht="16.5" customHeight="1">
      <c t="s" r="A328" s="20">
        <v>332</v>
      </c>
      <c r="B328" s="17">
        <f>IFERROR(+B52-B157-B211-B284-B327, "NA")</f>
      </c>
      <c r="C328" s="18">
        <f>IFERROR(B328/B329, "NA")</f>
      </c>
      <c r="D328" s="8"/>
      <c r="E328" s="17">
        <f>IFERROR(+E52-E157-E211-E284-E327, "NA")</f>
      </c>
      <c r="F328" s="18">
        <f>IFERROR(E328/E329, "NA")</f>
      </c>
      <c r="G328" s="8"/>
      <c r="H328" s="17">
        <f>IFERROR(+H52-H157-H211-H284-H327, "NA")</f>
      </c>
      <c r="I328" s="18">
        <f>IFERROR(H328/H329, "NA")</f>
      </c>
      <c r="J328" s="8"/>
      <c r="K328" s="17">
        <f>IFERROR(+K52-K157-K211-K284-K327, "NA")</f>
      </c>
      <c r="L328" s="18">
        <f>IFERROR(K328/K329, "NA")</f>
      </c>
      <c r="M328" s="8"/>
      <c r="N328" s="17">
        <f>IFERROR(+N52-N157-N211-N284-N327, "NA")</f>
      </c>
      <c r="O328" s="18">
        <f>IFERROR(N328/N329, "NA")</f>
      </c>
      <c r="P328" s="8"/>
      <c r="Q328" s="17">
        <f>IFERROR(+Q52-Q157-Q211-Q284-Q327, "NA")</f>
      </c>
      <c r="R328" s="18">
        <f>IFERROR(Q328/Q329, "NA")</f>
      </c>
    </row>
    <row r="329" hidden="1">
      <c t="s" r="A329" s="24">
        <v>56</v>
      </c>
      <c r="B329" s="13">
        <v>376870.34999999998</v>
      </c>
      <c r="C329" s="25"/>
      <c r="D329" s="15"/>
      <c r="E329" s="13">
        <v>415663.37</v>
      </c>
      <c r="F329" s="25"/>
      <c r="G329" s="15"/>
      <c r="H329" s="13">
        <v>406693.96000000002</v>
      </c>
      <c r="I329" s="25"/>
      <c r="J329" s="15"/>
      <c r="K329" s="13">
        <v>457563.79999999999</v>
      </c>
      <c r="L329" s="25"/>
      <c r="M329" s="15"/>
      <c r="N329" s="13">
        <v>456446.08000000002</v>
      </c>
      <c r="O329" s="25"/>
      <c r="P329" s="15"/>
      <c r="Q329" s="13">
        <v>598226.48999999999</v>
      </c>
      <c r="R329" s="25"/>
    </row>
    <row r="330"/>
    <row r="331"/>
    <row r="332">
      <c t="s" r="A332" s="26">
        <v>333</v>
      </c>
    </row>
    <row r="333">
      <c t="s" r="A333" s="26">
        <v>334</v>
      </c>
    </row>
    <row r="334">
      <c t="s" r="A334" s="26">
        <v>335</v>
      </c>
    </row>
  </sheetData>
  <mergeCells count="15">
    <mergeCell ref="A1:R1"/>
    <mergeCell ref="A2:R2"/>
    <mergeCell ref="A3:R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</mergeCells>
  <ignoredErrors>
    <ignoredError sqref="A1:R334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</row>
    <row r="3">
      <c t="s" r="A3" s="3">
        <v>336</v>
      </c>
      <c t="s" r="B3" s="3">
        <v>336</v>
      </c>
      <c t="s" r="C3" s="3">
        <v>336</v>
      </c>
      <c t="s" r="D3" s="3">
        <v>336</v>
      </c>
      <c t="s" r="E3" s="3">
        <v>336</v>
      </c>
      <c t="s" r="F3" s="3">
        <v>336</v>
      </c>
      <c t="s" r="G3" s="3">
        <v>336</v>
      </c>
      <c t="s" r="H3" s="3">
        <v>336</v>
      </c>
      <c t="s" r="I3" s="3">
        <v>336</v>
      </c>
      <c t="s" r="J3" s="3">
        <v>336</v>
      </c>
      <c t="s" r="K3" s="3">
        <v>336</v>
      </c>
      <c t="s" r="L3" s="3">
        <v>336</v>
      </c>
      <c t="s" r="M3" s="3">
        <v>336</v>
      </c>
      <c t="s" r="N3" s="3">
        <v>336</v>
      </c>
      <c t="s" r="O3" s="3">
        <v>336</v>
      </c>
      <c t="s" r="P3" s="3">
        <v>336</v>
      </c>
      <c t="s" r="Q3" s="3">
        <v>336</v>
      </c>
      <c t="s" r="R3" s="3">
        <v>336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8</v>
      </c>
      <c t="s" r="O5" s="6">
        <v>3</v>
      </c>
      <c t="s" r="P5" s="4">
        <v>3</v>
      </c>
      <c t="s" r="Q5" s="5">
        <v>9</v>
      </c>
      <c t="s" r="R5" s="6">
        <v>3</v>
      </c>
    </row>
    <row r="6" ht="16.5" customHeight="1">
      <c t="s" r="A6" s="7">
        <v>10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</row>
    <row r="8" ht="16.5" customHeight="1">
      <c t="s" r="A8" s="12">
        <v>12</v>
      </c>
      <c r="B8" s="13">
        <v>43866</v>
      </c>
      <c r="C8" s="14">
        <f>IFERROR(B8/B329, "NA")</f>
      </c>
      <c r="D8" s="15"/>
      <c r="E8" s="13">
        <v>24719</v>
      </c>
      <c r="F8" s="14">
        <f>IFERROR(E8/E329, "NA")</f>
      </c>
      <c r="G8" s="15"/>
      <c r="H8" s="13">
        <v>19360</v>
      </c>
      <c r="I8" s="14">
        <f>IFERROR(H8/H329, "NA")</f>
      </c>
      <c r="J8" s="15"/>
      <c r="K8" s="13">
        <v>45867</v>
      </c>
      <c r="L8" s="14">
        <f>IFERROR(K8/K329, "NA")</f>
      </c>
      <c r="M8" s="15"/>
      <c r="N8" s="13">
        <v>33527</v>
      </c>
      <c r="O8" s="14">
        <f>IFERROR(N8/N329, "NA")</f>
      </c>
      <c r="P8" s="15"/>
      <c r="Q8" s="13">
        <v>25653</v>
      </c>
      <c r="R8" s="14">
        <f>IFERROR(Q8/Q329, "NA")</f>
      </c>
    </row>
    <row r="9" ht="16.5" customHeight="1">
      <c t="s" r="A9" s="12">
        <v>13</v>
      </c>
      <c r="B9" s="13">
        <v>0</v>
      </c>
      <c r="C9" s="14">
        <f>IFERROR(B9/B329, "NA")</f>
      </c>
      <c r="D9" s="15"/>
      <c r="E9" s="13">
        <v>0</v>
      </c>
      <c r="F9" s="14">
        <f>IFERROR(E9/E329, "NA")</f>
      </c>
      <c r="G9" s="15"/>
      <c r="H9" s="13">
        <v>0</v>
      </c>
      <c r="I9" s="14">
        <f>IFERROR(H9/H329, "NA")</f>
      </c>
      <c r="J9" s="15"/>
      <c r="K9" s="13">
        <v>0</v>
      </c>
      <c r="L9" s="14">
        <f>IFERROR(K9/K329, "NA")</f>
      </c>
      <c r="M9" s="15"/>
      <c r="N9" s="13">
        <v>0</v>
      </c>
      <c r="O9" s="14">
        <f>IFERROR(N9/N329, "NA")</f>
      </c>
      <c r="P9" s="15"/>
      <c r="Q9" s="13">
        <v>0</v>
      </c>
      <c r="R9" s="14">
        <f>IFERROR(Q9/Q329, "NA")</f>
      </c>
    </row>
    <row r="10" ht="16.5" customHeight="1">
      <c t="s" r="A10" s="16">
        <v>14</v>
      </c>
      <c r="B10" s="17">
        <f>IFERROR(B8+B9, "NA")</f>
      </c>
      <c r="C10" s="18">
        <f>IFERROR(B10/B329, "NA")</f>
      </c>
      <c r="D10" s="8"/>
      <c r="E10" s="17">
        <f>IFERROR(E8+E9, "NA")</f>
      </c>
      <c r="F10" s="18">
        <f>IFERROR(E10/E329, "NA")</f>
      </c>
      <c r="G10" s="8"/>
      <c r="H10" s="17">
        <f>IFERROR(H8+H9, "NA")</f>
      </c>
      <c r="I10" s="18">
        <f>IFERROR(H10/H329, "NA")</f>
      </c>
      <c r="J10" s="8"/>
      <c r="K10" s="17">
        <f>IFERROR(K8+K9, "NA")</f>
      </c>
      <c r="L10" s="18">
        <f>IFERROR(K10/K329, "NA")</f>
      </c>
      <c r="M10" s="8"/>
      <c r="N10" s="17">
        <f>IFERROR(N8+N9, "NA")</f>
      </c>
      <c r="O10" s="18">
        <f>IFERROR(N10/N329, "NA")</f>
      </c>
      <c r="P10" s="8"/>
      <c r="Q10" s="17">
        <f>IFERROR(Q8+Q9, "NA")</f>
      </c>
      <c r="R10" s="18">
        <f>IFERROR(Q10/Q329, "NA")</f>
      </c>
    </row>
    <row r="11" ht="16.5" customHeight="1">
      <c t="s" r="A11" s="19">
        <v>15</v>
      </c>
      <c r="B11" s="13">
        <v>6486</v>
      </c>
      <c r="C11" s="14">
        <f>IFERROR(B11/B329, "NA")</f>
      </c>
      <c r="D11" s="15"/>
      <c r="E11" s="13">
        <v>3378</v>
      </c>
      <c r="F11" s="14">
        <f>IFERROR(E11/E329, "NA")</f>
      </c>
      <c r="G11" s="15"/>
      <c r="H11" s="13">
        <v>1242</v>
      </c>
      <c r="I11" s="14">
        <f>IFERROR(H11/H329, "NA")</f>
      </c>
      <c r="J11" s="15"/>
      <c r="K11" s="13">
        <v>4938</v>
      </c>
      <c r="L11" s="14">
        <f>IFERROR(K11/K329, "NA")</f>
      </c>
      <c r="M11" s="15"/>
      <c r="N11" s="13">
        <v>5457</v>
      </c>
      <c r="O11" s="14">
        <f>IFERROR(N11/N329, "NA")</f>
      </c>
      <c r="P11" s="15"/>
      <c r="Q11" s="13">
        <v>5145</v>
      </c>
      <c r="R11" s="14">
        <f>IFERROR(Q11/Q329, "NA")</f>
      </c>
    </row>
    <row r="12" ht="16.5" customHeight="1">
      <c t="s" r="A12" s="11">
        <v>16</v>
      </c>
      <c r="B12" s="8"/>
      <c r="C12" s="9"/>
      <c r="D12" s="10"/>
      <c r="E12" s="8"/>
      <c r="F12" s="9"/>
      <c r="G12" s="10"/>
      <c r="H12" s="8"/>
      <c r="I12" s="9"/>
      <c r="J12" s="10"/>
      <c r="K12" s="8"/>
      <c r="L12" s="9"/>
      <c r="M12" s="10"/>
      <c r="N12" s="8"/>
      <c r="O12" s="9"/>
      <c r="P12" s="10"/>
      <c r="Q12" s="8"/>
      <c r="R12" s="9"/>
    </row>
    <row r="13" ht="16.5" customHeight="1">
      <c t="s" r="A13" s="12">
        <v>17</v>
      </c>
      <c r="B13" s="13">
        <v>0</v>
      </c>
      <c r="C13" s="14">
        <f>IFERROR(B13/B329, "NA")</f>
      </c>
      <c r="D13" s="15"/>
      <c r="E13" s="13">
        <v>0</v>
      </c>
      <c r="F13" s="14">
        <f>IFERROR(E13/E329, "NA")</f>
      </c>
      <c r="G13" s="15"/>
      <c r="H13" s="13">
        <v>0</v>
      </c>
      <c r="I13" s="14">
        <f>IFERROR(H13/H329, "NA")</f>
      </c>
      <c r="J13" s="15"/>
      <c r="K13" s="13">
        <v>0</v>
      </c>
      <c r="L13" s="14">
        <f>IFERROR(K13/K329, "NA")</f>
      </c>
      <c r="M13" s="15"/>
      <c r="N13" s="13">
        <v>0</v>
      </c>
      <c r="O13" s="14">
        <f>IFERROR(N13/N329, "NA")</f>
      </c>
      <c r="P13" s="15"/>
      <c r="Q13" s="13">
        <v>0</v>
      </c>
      <c r="R13" s="14">
        <f>IFERROR(Q13/Q329, "NA")</f>
      </c>
    </row>
    <row r="14" ht="16.5" customHeight="1">
      <c t="s" r="A14" s="12">
        <v>18</v>
      </c>
      <c r="B14" s="13">
        <v>96632</v>
      </c>
      <c r="C14" s="14">
        <f>IFERROR(B14/B329, "NA")</f>
      </c>
      <c r="D14" s="15"/>
      <c r="E14" s="13">
        <v>65000</v>
      </c>
      <c r="F14" s="14">
        <f>IFERROR(E14/E329, "NA")</f>
      </c>
      <c r="G14" s="15"/>
      <c r="H14" s="13">
        <v>13990</v>
      </c>
      <c r="I14" s="14">
        <f>IFERROR(H14/H329, "NA")</f>
      </c>
      <c r="J14" s="15"/>
      <c r="K14" s="13">
        <v>67132.009999999995</v>
      </c>
      <c r="L14" s="14">
        <f>IFERROR(K14/K329, "NA")</f>
      </c>
      <c r="M14" s="15"/>
      <c r="N14" s="13">
        <v>80703</v>
      </c>
      <c r="O14" s="14">
        <f>IFERROR(N14/N329, "NA")</f>
      </c>
      <c r="P14" s="15"/>
      <c r="Q14" s="13">
        <v>89461</v>
      </c>
      <c r="R14" s="14">
        <f>IFERROR(Q14/Q329, "NA")</f>
      </c>
    </row>
    <row r="15" ht="16.5" customHeight="1">
      <c t="s" r="A15" s="12">
        <v>19</v>
      </c>
      <c r="B15" s="13">
        <v>852</v>
      </c>
      <c r="C15" s="14">
        <f>IFERROR(B15/B329, "NA")</f>
      </c>
      <c r="D15" s="15"/>
      <c r="E15" s="13">
        <v>564</v>
      </c>
      <c r="F15" s="14">
        <f>IFERROR(E15/E329, "NA")</f>
      </c>
      <c r="G15" s="15"/>
      <c r="H15" s="13">
        <v>180</v>
      </c>
      <c r="I15" s="14">
        <f>IFERROR(H15/H329, "NA")</f>
      </c>
      <c r="J15" s="15"/>
      <c r="K15" s="13">
        <v>456</v>
      </c>
      <c r="L15" s="14">
        <f>IFERROR(K15/K329, "NA")</f>
      </c>
      <c r="M15" s="15"/>
      <c r="N15" s="13">
        <v>612</v>
      </c>
      <c r="O15" s="14">
        <f>IFERROR(N15/N329, "NA")</f>
      </c>
      <c r="P15" s="15"/>
      <c r="Q15" s="13">
        <v>780</v>
      </c>
      <c r="R15" s="14">
        <f>IFERROR(Q15/Q329, "NA")</f>
      </c>
    </row>
    <row r="16" ht="16.5" customHeight="1">
      <c t="s" r="A16" s="12">
        <v>20</v>
      </c>
      <c r="B16" s="13">
        <v>12170</v>
      </c>
      <c r="C16" s="14">
        <f>IFERROR(B16/B329, "NA")</f>
      </c>
      <c r="D16" s="15"/>
      <c r="E16" s="13">
        <v>20405</v>
      </c>
      <c r="F16" s="14">
        <f>IFERROR(E16/E329, "NA")</f>
      </c>
      <c r="G16" s="15"/>
      <c r="H16" s="13">
        <v>1760</v>
      </c>
      <c r="I16" s="14">
        <f>IFERROR(H16/H329, "NA")</f>
      </c>
      <c r="J16" s="15"/>
      <c r="K16" s="13">
        <v>21930</v>
      </c>
      <c r="L16" s="14">
        <f>IFERROR(K16/K329, "NA")</f>
      </c>
      <c r="M16" s="15"/>
      <c r="N16" s="13">
        <v>16820</v>
      </c>
      <c r="O16" s="14">
        <f>IFERROR(N16/N329, "NA")</f>
      </c>
      <c r="P16" s="15"/>
      <c r="Q16" s="13">
        <v>18465</v>
      </c>
      <c r="R16" s="14">
        <f>IFERROR(Q16/Q329, "NA")</f>
      </c>
    </row>
    <row r="17" ht="16.5" customHeight="1">
      <c t="s" r="A17" s="12">
        <v>21</v>
      </c>
      <c r="B17" s="13">
        <v>4238</v>
      </c>
      <c r="C17" s="14">
        <f>IFERROR(B17/B329, "NA")</f>
      </c>
      <c r="D17" s="15"/>
      <c r="E17" s="13">
        <v>2302</v>
      </c>
      <c r="F17" s="14">
        <f>IFERROR(E17/E329, "NA")</f>
      </c>
      <c r="G17" s="15"/>
      <c r="H17" s="13">
        <v>619</v>
      </c>
      <c r="I17" s="14">
        <f>IFERROR(H17/H329, "NA")</f>
      </c>
      <c r="J17" s="15"/>
      <c r="K17" s="13">
        <v>3380</v>
      </c>
      <c r="L17" s="14">
        <f>IFERROR(K17/K329, "NA")</f>
      </c>
      <c r="M17" s="15"/>
      <c r="N17" s="13">
        <v>4102</v>
      </c>
      <c r="O17" s="14">
        <f>IFERROR(N17/N329, "NA")</f>
      </c>
      <c r="P17" s="15"/>
      <c r="Q17" s="13">
        <v>3127</v>
      </c>
      <c r="R17" s="14">
        <f>IFERROR(Q17/Q329, "NA")</f>
      </c>
    </row>
    <row r="18" ht="16.5" customHeight="1">
      <c t="s" r="A18" s="12">
        <v>22</v>
      </c>
      <c r="B18" s="13">
        <v>0</v>
      </c>
      <c r="C18" s="14">
        <f>IFERROR(B18/B329, "NA")</f>
      </c>
      <c r="D18" s="15"/>
      <c r="E18" s="13">
        <v>0</v>
      </c>
      <c r="F18" s="14">
        <f>IFERROR(E18/E329, "NA")</f>
      </c>
      <c r="G18" s="15"/>
      <c r="H18" s="13">
        <v>0</v>
      </c>
      <c r="I18" s="14">
        <f>IFERROR(H18/H329, "NA")</f>
      </c>
      <c r="J18" s="15"/>
      <c r="K18" s="13">
        <v>0</v>
      </c>
      <c r="L18" s="14">
        <f>IFERROR(K18/K329, "NA")</f>
      </c>
      <c r="M18" s="15"/>
      <c r="N18" s="13">
        <v>0</v>
      </c>
      <c r="O18" s="14">
        <f>IFERROR(N18/N329, "NA")</f>
      </c>
      <c r="P18" s="15"/>
      <c r="Q18" s="13">
        <v>0</v>
      </c>
      <c r="R18" s="14">
        <f>IFERROR(Q18/Q329, "NA")</f>
      </c>
    </row>
    <row r="19" ht="16.5" customHeight="1">
      <c t="s" r="A19" s="16">
        <v>23</v>
      </c>
      <c r="B19" s="17">
        <f>IFERROR(B13+B14+B15+B16+B17+B18, "NA")</f>
      </c>
      <c r="C19" s="18">
        <f>IFERROR(B19/B329, "NA")</f>
      </c>
      <c r="D19" s="8"/>
      <c r="E19" s="17">
        <f>IFERROR(E13+E14+E15+E16+E17+E18, "NA")</f>
      </c>
      <c r="F19" s="18">
        <f>IFERROR(E19/E329, "NA")</f>
      </c>
      <c r="G19" s="8"/>
      <c r="H19" s="17">
        <f>IFERROR(H13+H14+H15+H16+H17+H18, "NA")</f>
      </c>
      <c r="I19" s="18">
        <f>IFERROR(H19/H329, "NA")</f>
      </c>
      <c r="J19" s="8"/>
      <c r="K19" s="17">
        <f>IFERROR(K13+K14+K15+K16+K17+K18, "NA")</f>
      </c>
      <c r="L19" s="18">
        <f>IFERROR(K19/K329, "NA")</f>
      </c>
      <c r="M19" s="8"/>
      <c r="N19" s="17">
        <f>IFERROR(N13+N14+N15+N16+N17+N18, "NA")</f>
      </c>
      <c r="O19" s="18">
        <f>IFERROR(N19/N329, "NA")</f>
      </c>
      <c r="P19" s="8"/>
      <c r="Q19" s="17">
        <f>IFERROR(Q13+Q14+Q15+Q16+Q17+Q18, "NA")</f>
      </c>
      <c r="R19" s="18">
        <f>IFERROR(Q19/Q329, "NA")</f>
      </c>
    </row>
    <row r="20" ht="16.5" customHeight="1">
      <c t="s" r="A20" s="11">
        <v>24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</row>
    <row r="21" ht="16.5" customHeight="1">
      <c t="s" r="A21" s="12">
        <v>25</v>
      </c>
      <c r="B21" s="13">
        <v>0</v>
      </c>
      <c r="C21" s="14">
        <f>IFERROR(B21/B329, "NA")</f>
      </c>
      <c r="D21" s="15"/>
      <c r="E21" s="13">
        <v>0</v>
      </c>
      <c r="F21" s="14">
        <f>IFERROR(E21/E329, "NA")</f>
      </c>
      <c r="G21" s="15"/>
      <c r="H21" s="13">
        <v>0</v>
      </c>
      <c r="I21" s="14">
        <f>IFERROR(H21/H329, "NA")</f>
      </c>
      <c r="J21" s="15"/>
      <c r="K21" s="13">
        <v>0</v>
      </c>
      <c r="L21" s="14">
        <f>IFERROR(K21/K329, "NA")</f>
      </c>
      <c r="M21" s="15"/>
      <c r="N21" s="13">
        <v>0</v>
      </c>
      <c r="O21" s="14">
        <f>IFERROR(N21/N329, "NA")</f>
      </c>
      <c r="P21" s="15"/>
      <c r="Q21" s="13">
        <v>0</v>
      </c>
      <c r="R21" s="14">
        <f>IFERROR(Q21/Q329, "NA")</f>
      </c>
    </row>
    <row r="22" ht="16.5" customHeight="1">
      <c t="s" r="A22" s="12">
        <v>26</v>
      </c>
      <c r="B22" s="13">
        <v>439</v>
      </c>
      <c r="C22" s="14">
        <f>IFERROR(B22/B329, "NA")</f>
      </c>
      <c r="D22" s="15"/>
      <c r="E22" s="13">
        <v>517</v>
      </c>
      <c r="F22" s="14">
        <f>IFERROR(E22/E329, "NA")</f>
      </c>
      <c r="G22" s="15"/>
      <c r="H22" s="13">
        <v>100</v>
      </c>
      <c r="I22" s="14">
        <f>IFERROR(H22/H329, "NA")</f>
      </c>
      <c r="J22" s="15"/>
      <c r="K22" s="13">
        <v>773</v>
      </c>
      <c r="L22" s="14">
        <f>IFERROR(K22/K329, "NA")</f>
      </c>
      <c r="M22" s="15"/>
      <c r="N22" s="13">
        <v>161</v>
      </c>
      <c r="O22" s="14">
        <f>IFERROR(N22/N329, "NA")</f>
      </c>
      <c r="P22" s="15"/>
      <c r="Q22" s="13">
        <v>2768</v>
      </c>
      <c r="R22" s="14">
        <f>IFERROR(Q22/Q329, "NA")</f>
      </c>
    </row>
    <row r="23" ht="16.5" customHeight="1">
      <c t="s" r="A23" s="12">
        <v>27</v>
      </c>
      <c r="B23" s="13">
        <v>0</v>
      </c>
      <c r="C23" s="14">
        <f>IFERROR(B23/B329, "NA")</f>
      </c>
      <c r="D23" s="15"/>
      <c r="E23" s="13">
        <v>0</v>
      </c>
      <c r="F23" s="14">
        <f>IFERROR(E23/E329, "NA")</f>
      </c>
      <c r="G23" s="15"/>
      <c r="H23" s="13">
        <v>0</v>
      </c>
      <c r="I23" s="14">
        <f>IFERROR(H23/H329, "NA")</f>
      </c>
      <c r="J23" s="15"/>
      <c r="K23" s="13">
        <v>177.22</v>
      </c>
      <c r="L23" s="14">
        <f>IFERROR(K23/K329, "NA")</f>
      </c>
      <c r="M23" s="15"/>
      <c r="N23" s="13">
        <v>0</v>
      </c>
      <c r="O23" s="14">
        <f>IFERROR(N23/N329, "NA")</f>
      </c>
      <c r="P23" s="15"/>
      <c r="Q23" s="13">
        <v>0</v>
      </c>
      <c r="R23" s="14">
        <f>IFERROR(Q23/Q329, "NA")</f>
      </c>
    </row>
    <row r="24" ht="16.5" customHeight="1">
      <c t="s" r="A24" s="12">
        <v>28</v>
      </c>
      <c r="B24" s="13">
        <v>0</v>
      </c>
      <c r="C24" s="14">
        <f>IFERROR(B24/B329, "NA")</f>
      </c>
      <c r="D24" s="15"/>
      <c r="E24" s="13">
        <v>0</v>
      </c>
      <c r="F24" s="14">
        <f>IFERROR(E24/E329, "NA")</f>
      </c>
      <c r="G24" s="15"/>
      <c r="H24" s="13">
        <v>0</v>
      </c>
      <c r="I24" s="14">
        <f>IFERROR(H24/H329, "NA")</f>
      </c>
      <c r="J24" s="15"/>
      <c r="K24" s="13">
        <v>0</v>
      </c>
      <c r="L24" s="14">
        <f>IFERROR(K24/K329, "NA")</f>
      </c>
      <c r="M24" s="15"/>
      <c r="N24" s="13">
        <v>0</v>
      </c>
      <c r="O24" s="14">
        <f>IFERROR(N24/N329, "NA")</f>
      </c>
      <c r="P24" s="15"/>
      <c r="Q24" s="13">
        <v>0</v>
      </c>
      <c r="R24" s="14">
        <f>IFERROR(Q24/Q329, "NA")</f>
      </c>
    </row>
    <row r="25" ht="16.5" customHeight="1">
      <c t="s" r="A25" s="12">
        <v>29</v>
      </c>
      <c r="B25" s="13">
        <v>0</v>
      </c>
      <c r="C25" s="14">
        <f>IFERROR(B25/B329, "NA")</f>
      </c>
      <c r="D25" s="15"/>
      <c r="E25" s="13">
        <v>0</v>
      </c>
      <c r="F25" s="14">
        <f>IFERROR(E25/E329, "NA")</f>
      </c>
      <c r="G25" s="15"/>
      <c r="H25" s="13">
        <v>0</v>
      </c>
      <c r="I25" s="14">
        <f>IFERROR(H25/H329, "NA")</f>
      </c>
      <c r="J25" s="15"/>
      <c r="K25" s="13">
        <v>0</v>
      </c>
      <c r="L25" s="14">
        <f>IFERROR(K25/K329, "NA")</f>
      </c>
      <c r="M25" s="15"/>
      <c r="N25" s="13">
        <v>0</v>
      </c>
      <c r="O25" s="14">
        <f>IFERROR(N25/N329, "NA")</f>
      </c>
      <c r="P25" s="15"/>
      <c r="Q25" s="13">
        <v>0</v>
      </c>
      <c r="R25" s="14">
        <f>IFERROR(Q25/Q329, "NA")</f>
      </c>
    </row>
    <row r="26" ht="16.5" customHeight="1">
      <c t="s" r="A26" s="12">
        <v>30</v>
      </c>
      <c r="B26" s="13">
        <v>0</v>
      </c>
      <c r="C26" s="14">
        <f>IFERROR(B26/B329, "NA")</f>
      </c>
      <c r="D26" s="15"/>
      <c r="E26" s="13">
        <v>0</v>
      </c>
      <c r="F26" s="14">
        <f>IFERROR(E26/E329, "NA")</f>
      </c>
      <c r="G26" s="15"/>
      <c r="H26" s="13">
        <v>0</v>
      </c>
      <c r="I26" s="14">
        <f>IFERROR(H26/H329, "NA")</f>
      </c>
      <c r="J26" s="15"/>
      <c r="K26" s="13">
        <v>76278.240000000005</v>
      </c>
      <c r="L26" s="14">
        <f>IFERROR(K26/K329, "NA")</f>
      </c>
      <c r="M26" s="15"/>
      <c r="N26" s="13">
        <v>0</v>
      </c>
      <c r="O26" s="14">
        <f>IFERROR(N26/N329, "NA")</f>
      </c>
      <c r="P26" s="15"/>
      <c r="Q26" s="13">
        <v>0</v>
      </c>
      <c r="R26" s="14">
        <f>IFERROR(Q26/Q329, "NA")</f>
      </c>
    </row>
    <row r="27" ht="16.5" customHeight="1">
      <c t="s" r="A27" s="12">
        <v>31</v>
      </c>
      <c r="B27" s="13">
        <v>0</v>
      </c>
      <c r="C27" s="14">
        <f>IFERROR(B27/B329, "NA")</f>
      </c>
      <c r="D27" s="15"/>
      <c r="E27" s="13">
        <v>0</v>
      </c>
      <c r="F27" s="14">
        <f>IFERROR(E27/E329, "NA")</f>
      </c>
      <c r="G27" s="15"/>
      <c r="H27" s="13">
        <v>0</v>
      </c>
      <c r="I27" s="14">
        <f>IFERROR(H27/H329, "NA")</f>
      </c>
      <c r="J27" s="15"/>
      <c r="K27" s="13">
        <v>0</v>
      </c>
      <c r="L27" s="14">
        <f>IFERROR(K27/K329, "NA")</f>
      </c>
      <c r="M27" s="15"/>
      <c r="N27" s="13">
        <v>0</v>
      </c>
      <c r="O27" s="14">
        <f>IFERROR(N27/N329, "NA")</f>
      </c>
      <c r="P27" s="15"/>
      <c r="Q27" s="13">
        <v>0</v>
      </c>
      <c r="R27" s="14">
        <f>IFERROR(Q27/Q329, "NA")</f>
      </c>
    </row>
    <row r="28" ht="16.5" customHeight="1">
      <c t="s" r="A28" s="12">
        <v>32</v>
      </c>
      <c r="B28" s="13">
        <v>0</v>
      </c>
      <c r="C28" s="14">
        <f>IFERROR(B28/B329, "NA")</f>
      </c>
      <c r="D28" s="15"/>
      <c r="E28" s="13">
        <v>0</v>
      </c>
      <c r="F28" s="14">
        <f>IFERROR(E28/E329, "NA")</f>
      </c>
      <c r="G28" s="15"/>
      <c r="H28" s="13">
        <v>0</v>
      </c>
      <c r="I28" s="14">
        <f>IFERROR(H28/H329, "NA")</f>
      </c>
      <c r="J28" s="15"/>
      <c r="K28" s="13">
        <v>0</v>
      </c>
      <c r="L28" s="14">
        <f>IFERROR(K28/K329, "NA")</f>
      </c>
      <c r="M28" s="15"/>
      <c r="N28" s="13">
        <v>0</v>
      </c>
      <c r="O28" s="14">
        <f>IFERROR(N28/N329, "NA")</f>
      </c>
      <c r="P28" s="15"/>
      <c r="Q28" s="13">
        <v>0</v>
      </c>
      <c r="R28" s="14">
        <f>IFERROR(Q28/Q329, "NA")</f>
      </c>
    </row>
    <row r="29" ht="16.5" customHeight="1">
      <c t="s" r="A29" s="12">
        <v>33</v>
      </c>
      <c r="B29" s="13">
        <v>0</v>
      </c>
      <c r="C29" s="14">
        <f>IFERROR(B29/B329, "NA")</f>
      </c>
      <c r="D29" s="15"/>
      <c r="E29" s="13">
        <v>0</v>
      </c>
      <c r="F29" s="14">
        <f>IFERROR(E29/E329, "NA")</f>
      </c>
      <c r="G29" s="15"/>
      <c r="H29" s="13">
        <v>0</v>
      </c>
      <c r="I29" s="14">
        <f>IFERROR(H29/H329, "NA")</f>
      </c>
      <c r="J29" s="15"/>
      <c r="K29" s="13">
        <v>0</v>
      </c>
      <c r="L29" s="14">
        <f>IFERROR(K29/K329, "NA")</f>
      </c>
      <c r="M29" s="15"/>
      <c r="N29" s="13">
        <v>0</v>
      </c>
      <c r="O29" s="14">
        <f>IFERROR(N29/N329, "NA")</f>
      </c>
      <c r="P29" s="15"/>
      <c r="Q29" s="13">
        <v>0</v>
      </c>
      <c r="R29" s="14">
        <f>IFERROR(Q29/Q329, "NA")</f>
      </c>
    </row>
    <row r="30" ht="16.5" customHeight="1">
      <c t="s" r="A30" s="16">
        <v>34</v>
      </c>
      <c r="B30" s="17">
        <f>IFERROR(B21+B22+B23+B24+B25+B26+B27+B28+B29, "NA")</f>
      </c>
      <c r="C30" s="18">
        <f>IFERROR(B30/B329, "NA")</f>
      </c>
      <c r="D30" s="8"/>
      <c r="E30" s="17">
        <f>IFERROR(E21+E22+E23+E24+E25+E26+E27+E28+E29, "NA")</f>
      </c>
      <c r="F30" s="18">
        <f>IFERROR(E30/E329, "NA")</f>
      </c>
      <c r="G30" s="8"/>
      <c r="H30" s="17">
        <f>IFERROR(H21+H22+H23+H24+H25+H26+H27+H28+H29, "NA")</f>
      </c>
      <c r="I30" s="18">
        <f>IFERROR(H30/H329, "NA")</f>
      </c>
      <c r="J30" s="8"/>
      <c r="K30" s="17">
        <f>IFERROR(K21+K22+K23+K24+K25+K26+K27+K28+K29, "NA")</f>
      </c>
      <c r="L30" s="18">
        <f>IFERROR(K30/K329, "NA")</f>
      </c>
      <c r="M30" s="8"/>
      <c r="N30" s="17">
        <f>IFERROR(N21+N22+N23+N24+N25+N26+N27+N28+N29, "NA")</f>
      </c>
      <c r="O30" s="18">
        <f>IFERROR(N30/N329, "NA")</f>
      </c>
      <c r="P30" s="8"/>
      <c r="Q30" s="17">
        <f>IFERROR(Q21+Q22+Q23+Q24+Q25+Q26+Q27+Q28+Q29, "NA")</f>
      </c>
      <c r="R30" s="18">
        <f>IFERROR(Q30/Q329, "NA")</f>
      </c>
    </row>
    <row r="31" ht="16.5" customHeight="1">
      <c t="s" r="A31" s="11">
        <v>35</v>
      </c>
      <c r="B31" s="8"/>
      <c r="C31" s="9"/>
      <c r="D31" s="10"/>
      <c r="E31" s="8"/>
      <c r="F31" s="9"/>
      <c r="G31" s="10"/>
      <c r="H31" s="8"/>
      <c r="I31" s="9"/>
      <c r="J31" s="10"/>
      <c r="K31" s="8"/>
      <c r="L31" s="9"/>
      <c r="M31" s="10"/>
      <c r="N31" s="8"/>
      <c r="O31" s="9"/>
      <c r="P31" s="10"/>
      <c r="Q31" s="8"/>
      <c r="R31" s="9"/>
    </row>
    <row r="32" ht="16.5" customHeight="1">
      <c t="s" r="A32" s="12">
        <v>36</v>
      </c>
      <c r="B32" s="13">
        <v>0</v>
      </c>
      <c r="C32" s="14">
        <f>IFERROR(B32/B329, "NA")</f>
      </c>
      <c r="D32" s="15"/>
      <c r="E32" s="13">
        <v>0</v>
      </c>
      <c r="F32" s="14">
        <f>IFERROR(E32/E329, "NA")</f>
      </c>
      <c r="G32" s="15"/>
      <c r="H32" s="13">
        <v>0</v>
      </c>
      <c r="I32" s="14">
        <f>IFERROR(H32/H329, "NA")</f>
      </c>
      <c r="J32" s="15"/>
      <c r="K32" s="13">
        <v>0</v>
      </c>
      <c r="L32" s="14">
        <f>IFERROR(K32/K329, "NA")</f>
      </c>
      <c r="M32" s="15"/>
      <c r="N32" s="13">
        <v>0</v>
      </c>
      <c r="O32" s="14">
        <f>IFERROR(N32/N329, "NA")</f>
      </c>
      <c r="P32" s="15"/>
      <c r="Q32" s="13">
        <v>0</v>
      </c>
      <c r="R32" s="14">
        <f>IFERROR(Q32/Q329, "NA")</f>
      </c>
    </row>
    <row r="33" ht="16.5" customHeight="1">
      <c t="s" r="A33" s="12">
        <v>37</v>
      </c>
      <c r="B33" s="13">
        <v>0</v>
      </c>
      <c r="C33" s="14">
        <f>IFERROR(B33/B329, "NA")</f>
      </c>
      <c r="D33" s="15"/>
      <c r="E33" s="13">
        <v>0</v>
      </c>
      <c r="F33" s="14">
        <f>IFERROR(E33/E329, "NA")</f>
      </c>
      <c r="G33" s="15"/>
      <c r="H33" s="13">
        <v>0</v>
      </c>
      <c r="I33" s="14">
        <f>IFERROR(H33/H329, "NA")</f>
      </c>
      <c r="J33" s="15"/>
      <c r="K33" s="13">
        <v>0</v>
      </c>
      <c r="L33" s="14">
        <f>IFERROR(K33/K329, "NA")</f>
      </c>
      <c r="M33" s="15"/>
      <c r="N33" s="13">
        <v>0</v>
      </c>
      <c r="O33" s="14">
        <f>IFERROR(N33/N329, "NA")</f>
      </c>
      <c r="P33" s="15"/>
      <c r="Q33" s="13">
        <v>0</v>
      </c>
      <c r="R33" s="14">
        <f>IFERROR(Q33/Q329, "NA")</f>
      </c>
    </row>
    <row r="34" ht="16.5" customHeight="1">
      <c t="s" r="A34" s="12">
        <v>38</v>
      </c>
      <c r="B34" s="13">
        <v>0</v>
      </c>
      <c r="C34" s="14">
        <f>IFERROR(B34/B329, "NA")</f>
      </c>
      <c r="D34" s="15"/>
      <c r="E34" s="13">
        <v>0</v>
      </c>
      <c r="F34" s="14">
        <f>IFERROR(E34/E329, "NA")</f>
      </c>
      <c r="G34" s="15"/>
      <c r="H34" s="13">
        <v>0</v>
      </c>
      <c r="I34" s="14">
        <f>IFERROR(H34/H329, "NA")</f>
      </c>
      <c r="J34" s="15"/>
      <c r="K34" s="13">
        <v>0</v>
      </c>
      <c r="L34" s="14">
        <f>IFERROR(K34/K329, "NA")</f>
      </c>
      <c r="M34" s="15"/>
      <c r="N34" s="13">
        <v>0</v>
      </c>
      <c r="O34" s="14">
        <f>IFERROR(N34/N329, "NA")</f>
      </c>
      <c r="P34" s="15"/>
      <c r="Q34" s="13">
        <v>0</v>
      </c>
      <c r="R34" s="14">
        <f>IFERROR(Q34/Q329, "NA")</f>
      </c>
    </row>
    <row r="35" ht="16.5" customHeight="1">
      <c t="s" r="A35" s="12">
        <v>39</v>
      </c>
      <c r="B35" s="13">
        <v>0</v>
      </c>
      <c r="C35" s="14">
        <f>IFERROR(B35/B329, "NA")</f>
      </c>
      <c r="D35" s="15"/>
      <c r="E35" s="13">
        <v>0</v>
      </c>
      <c r="F35" s="14">
        <f>IFERROR(E35/E329, "NA")</f>
      </c>
      <c r="G35" s="15"/>
      <c r="H35" s="13">
        <v>0</v>
      </c>
      <c r="I35" s="14">
        <f>IFERROR(H35/H329, "NA")</f>
      </c>
      <c r="J35" s="15"/>
      <c r="K35" s="13">
        <v>0</v>
      </c>
      <c r="L35" s="14">
        <f>IFERROR(K35/K329, "NA")</f>
      </c>
      <c r="M35" s="15"/>
      <c r="N35" s="13">
        <v>0</v>
      </c>
      <c r="O35" s="14">
        <f>IFERROR(N35/N329, "NA")</f>
      </c>
      <c r="P35" s="15"/>
      <c r="Q35" s="13">
        <v>0</v>
      </c>
      <c r="R35" s="14">
        <f>IFERROR(Q35/Q329, "NA")</f>
      </c>
    </row>
    <row r="36" ht="16.5" customHeight="1">
      <c t="s" r="A36" s="12">
        <v>40</v>
      </c>
      <c r="B36" s="13">
        <v>0</v>
      </c>
      <c r="C36" s="14">
        <f>IFERROR(B36/B329, "NA")</f>
      </c>
      <c r="D36" s="15"/>
      <c r="E36" s="13">
        <v>0</v>
      </c>
      <c r="F36" s="14">
        <f>IFERROR(E36/E329, "NA")</f>
      </c>
      <c r="G36" s="15"/>
      <c r="H36" s="13">
        <v>0</v>
      </c>
      <c r="I36" s="14">
        <f>IFERROR(H36/H329, "NA")</f>
      </c>
      <c r="J36" s="15"/>
      <c r="K36" s="13">
        <v>0</v>
      </c>
      <c r="L36" s="14">
        <f>IFERROR(K36/K329, "NA")</f>
      </c>
      <c r="M36" s="15"/>
      <c r="N36" s="13">
        <v>0</v>
      </c>
      <c r="O36" s="14">
        <f>IFERROR(N36/N329, "NA")</f>
      </c>
      <c r="P36" s="15"/>
      <c r="Q36" s="13">
        <v>0</v>
      </c>
      <c r="R36" s="14">
        <f>IFERROR(Q36/Q329, "NA")</f>
      </c>
    </row>
    <row r="37" ht="16.5" customHeight="1">
      <c t="s" r="A37" s="16">
        <v>41</v>
      </c>
      <c r="B37" s="17">
        <f>IFERROR(B32+B33+B34+B35+B36, "NA")</f>
      </c>
      <c r="C37" s="18">
        <f>IFERROR(B37/B329, "NA")</f>
      </c>
      <c r="D37" s="8"/>
      <c r="E37" s="17">
        <f>IFERROR(E32+E33+E34+E35+E36, "NA")</f>
      </c>
      <c r="F37" s="18">
        <f>IFERROR(E37/E329, "NA")</f>
      </c>
      <c r="G37" s="8"/>
      <c r="H37" s="17">
        <f>IFERROR(H32+H33+H34+H35+H36, "NA")</f>
      </c>
      <c r="I37" s="18">
        <f>IFERROR(H37/H329, "NA")</f>
      </c>
      <c r="J37" s="8"/>
      <c r="K37" s="17">
        <f>IFERROR(K32+K33+K34+K35+K36, "NA")</f>
      </c>
      <c r="L37" s="18">
        <f>IFERROR(K37/K329, "NA")</f>
      </c>
      <c r="M37" s="8"/>
      <c r="N37" s="17">
        <f>IFERROR(N32+N33+N34+N35+N36, "NA")</f>
      </c>
      <c r="O37" s="18">
        <f>IFERROR(N37/N329, "NA")</f>
      </c>
      <c r="P37" s="8"/>
      <c r="Q37" s="17">
        <f>IFERROR(Q32+Q33+Q34+Q35+Q36, "NA")</f>
      </c>
      <c r="R37" s="18">
        <f>IFERROR(Q37/Q329, "NA")</f>
      </c>
    </row>
    <row r="38" ht="16.5" customHeight="1">
      <c t="s" r="A38" s="11">
        <v>42</v>
      </c>
      <c r="B38" s="8"/>
      <c r="C38" s="9"/>
      <c r="D38" s="10"/>
      <c r="E38" s="8"/>
      <c r="F38" s="9"/>
      <c r="G38" s="10"/>
      <c r="H38" s="8"/>
      <c r="I38" s="9"/>
      <c r="J38" s="10"/>
      <c r="K38" s="8"/>
      <c r="L38" s="9"/>
      <c r="M38" s="10"/>
      <c r="N38" s="8"/>
      <c r="O38" s="9"/>
      <c r="P38" s="10"/>
      <c r="Q38" s="8"/>
      <c r="R38" s="9"/>
    </row>
    <row r="39" ht="16.5" customHeight="1">
      <c t="s" r="A39" s="12">
        <v>43</v>
      </c>
      <c r="B39" s="13">
        <v>0</v>
      </c>
      <c r="C39" s="14">
        <f>IFERROR(B39/B329, "NA")</f>
      </c>
      <c r="D39" s="15"/>
      <c r="E39" s="13">
        <v>0</v>
      </c>
      <c r="F39" s="14">
        <f>IFERROR(E39/E329, "NA")</f>
      </c>
      <c r="G39" s="15"/>
      <c r="H39" s="13">
        <v>0</v>
      </c>
      <c r="I39" s="14">
        <f>IFERROR(H39/H329, "NA")</f>
      </c>
      <c r="J39" s="15"/>
      <c r="K39" s="13">
        <v>0</v>
      </c>
      <c r="L39" s="14">
        <f>IFERROR(K39/K329, "NA")</f>
      </c>
      <c r="M39" s="15"/>
      <c r="N39" s="13">
        <v>0</v>
      </c>
      <c r="O39" s="14">
        <f>IFERROR(N39/N329, "NA")</f>
      </c>
      <c r="P39" s="15"/>
      <c r="Q39" s="13">
        <v>0</v>
      </c>
      <c r="R39" s="14">
        <f>IFERROR(Q39/Q329, "NA")</f>
      </c>
    </row>
    <row r="40" ht="16.5" customHeight="1">
      <c t="s" r="A40" s="12">
        <v>44</v>
      </c>
      <c r="B40" s="13">
        <v>-17.5</v>
      </c>
      <c r="C40" s="14">
        <f>IFERROR(B40/B329, "NA")</f>
      </c>
      <c r="D40" s="15"/>
      <c r="E40" s="13">
        <v>0</v>
      </c>
      <c r="F40" s="14">
        <f>IFERROR(E40/E329, "NA")</f>
      </c>
      <c r="G40" s="15"/>
      <c r="H40" s="13">
        <v>0</v>
      </c>
      <c r="I40" s="14">
        <f>IFERROR(H40/H329, "NA")</f>
      </c>
      <c r="J40" s="15"/>
      <c r="K40" s="13">
        <v>0</v>
      </c>
      <c r="L40" s="14">
        <f>IFERROR(K40/K329, "NA")</f>
      </c>
      <c r="M40" s="15"/>
      <c r="N40" s="13">
        <v>-6.25</v>
      </c>
      <c r="O40" s="14">
        <f>IFERROR(N40/N329, "NA")</f>
      </c>
      <c r="P40" s="15"/>
      <c r="Q40" s="13">
        <v>0</v>
      </c>
      <c r="R40" s="14">
        <f>IFERROR(Q40/Q329, "NA")</f>
      </c>
    </row>
    <row r="41" ht="16.5" customHeight="1">
      <c t="s" r="A41" s="12">
        <v>45</v>
      </c>
      <c r="B41" s="13">
        <v>-374</v>
      </c>
      <c r="C41" s="14">
        <f>IFERROR(B41/B329, "NA")</f>
      </c>
      <c r="D41" s="15"/>
      <c r="E41" s="13">
        <v>-348</v>
      </c>
      <c r="F41" s="14">
        <f>IFERROR(E41/E329, "NA")</f>
      </c>
      <c r="G41" s="15"/>
      <c r="H41" s="13">
        <v>-250</v>
      </c>
      <c r="I41" s="14">
        <f>IFERROR(H41/H329, "NA")</f>
      </c>
      <c r="J41" s="15"/>
      <c r="K41" s="13">
        <v>-285</v>
      </c>
      <c r="L41" s="14">
        <f>IFERROR(K41/K329, "NA")</f>
      </c>
      <c r="M41" s="15"/>
      <c r="N41" s="13">
        <v>-330</v>
      </c>
      <c r="O41" s="14">
        <f>IFERROR(N41/N329, "NA")</f>
      </c>
      <c r="P41" s="15"/>
      <c r="Q41" s="13">
        <v>-371</v>
      </c>
      <c r="R41" s="14">
        <f>IFERROR(Q41/Q329, "NA")</f>
      </c>
    </row>
    <row r="42" ht="16.5" customHeight="1">
      <c t="s" r="A42" s="12">
        <v>46</v>
      </c>
      <c r="B42" s="13">
        <v>-970</v>
      </c>
      <c r="C42" s="14">
        <f>IFERROR(B42/B329, "NA")</f>
      </c>
      <c r="D42" s="15"/>
      <c r="E42" s="13">
        <v>-157</v>
      </c>
      <c r="F42" s="14">
        <f>IFERROR(E42/E329, "NA")</f>
      </c>
      <c r="G42" s="15"/>
      <c r="H42" s="13">
        <v>-465</v>
      </c>
      <c r="I42" s="14">
        <f>IFERROR(H42/H329, "NA")</f>
      </c>
      <c r="J42" s="15"/>
      <c r="K42" s="13">
        <v>-368</v>
      </c>
      <c r="L42" s="14">
        <f>IFERROR(K42/K329, "NA")</f>
      </c>
      <c r="M42" s="15"/>
      <c r="N42" s="13">
        <v>-404</v>
      </c>
      <c r="O42" s="14">
        <f>IFERROR(N42/N329, "NA")</f>
      </c>
      <c r="P42" s="15"/>
      <c r="Q42" s="13">
        <v>-287</v>
      </c>
      <c r="R42" s="14">
        <f>IFERROR(Q42/Q329, "NA")</f>
      </c>
    </row>
    <row r="43" ht="16.5" customHeight="1">
      <c t="s" r="A43" s="12">
        <v>47</v>
      </c>
      <c r="B43" s="13">
        <v>-5247</v>
      </c>
      <c r="C43" s="14">
        <f>IFERROR(B43/B329, "NA")</f>
      </c>
      <c r="D43" s="15"/>
      <c r="E43" s="13">
        <v>-2950</v>
      </c>
      <c r="F43" s="14">
        <f>IFERROR(E43/E329, "NA")</f>
      </c>
      <c r="G43" s="15"/>
      <c r="H43" s="13">
        <v>0</v>
      </c>
      <c r="I43" s="14">
        <f>IFERROR(H43/H329, "NA")</f>
      </c>
      <c r="J43" s="15"/>
      <c r="K43" s="13">
        <v>-4801</v>
      </c>
      <c r="L43" s="14">
        <f>IFERROR(K43/K329, "NA")</f>
      </c>
      <c r="M43" s="15"/>
      <c r="N43" s="13">
        <v>-3573</v>
      </c>
      <c r="O43" s="14">
        <f>IFERROR(N43/N329, "NA")</f>
      </c>
      <c r="P43" s="15"/>
      <c r="Q43" s="13">
        <v>-4482</v>
      </c>
      <c r="R43" s="14">
        <f>IFERROR(Q43/Q329, "NA")</f>
      </c>
    </row>
    <row r="44" ht="16.5" customHeight="1">
      <c t="s" r="A44" s="12">
        <v>48</v>
      </c>
      <c r="B44" s="13">
        <v>-1655</v>
      </c>
      <c r="C44" s="14">
        <f>IFERROR(B44/B329, "NA")</f>
      </c>
      <c r="D44" s="15"/>
      <c r="E44" s="13">
        <v>-1350</v>
      </c>
      <c r="F44" s="14">
        <f>IFERROR(E44/E329, "NA")</f>
      </c>
      <c r="G44" s="15"/>
      <c r="H44" s="13">
        <v>0</v>
      </c>
      <c r="I44" s="14">
        <f>IFERROR(H44/H329, "NA")</f>
      </c>
      <c r="J44" s="15"/>
      <c r="K44" s="13">
        <v>-619</v>
      </c>
      <c r="L44" s="14">
        <f>IFERROR(K44/K329, "NA")</f>
      </c>
      <c r="M44" s="15"/>
      <c r="N44" s="13">
        <v>-1098</v>
      </c>
      <c r="O44" s="14">
        <f>IFERROR(N44/N329, "NA")</f>
      </c>
      <c r="P44" s="15"/>
      <c r="Q44" s="13">
        <v>-1062</v>
      </c>
      <c r="R44" s="14">
        <f>IFERROR(Q44/Q329, "NA")</f>
      </c>
    </row>
    <row r="45" ht="16.5" customHeight="1">
      <c t="s" r="A45" s="12">
        <v>49</v>
      </c>
      <c r="B45" s="13">
        <v>0</v>
      </c>
      <c r="C45" s="14">
        <f>IFERROR(B45/B329, "NA")</f>
      </c>
      <c r="D45" s="15"/>
      <c r="E45" s="13">
        <v>0</v>
      </c>
      <c r="F45" s="14">
        <f>IFERROR(E45/E329, "NA")</f>
      </c>
      <c r="G45" s="15"/>
      <c r="H45" s="13">
        <v>0</v>
      </c>
      <c r="I45" s="14">
        <f>IFERROR(H45/H329, "NA")</f>
      </c>
      <c r="J45" s="15"/>
      <c r="K45" s="13">
        <v>0</v>
      </c>
      <c r="L45" s="14">
        <f>IFERROR(K45/K329, "NA")</f>
      </c>
      <c r="M45" s="15"/>
      <c r="N45" s="13">
        <v>0</v>
      </c>
      <c r="O45" s="14">
        <f>IFERROR(N45/N329, "NA")</f>
      </c>
      <c r="P45" s="15"/>
      <c r="Q45" s="13">
        <v>0</v>
      </c>
      <c r="R45" s="14">
        <f>IFERROR(Q45/Q329, "NA")</f>
      </c>
    </row>
    <row r="46" ht="16.5" customHeight="1">
      <c t="s" r="A46" s="12">
        <v>50</v>
      </c>
      <c r="B46" s="13">
        <v>-820</v>
      </c>
      <c r="C46" s="14">
        <f>IFERROR(B46/B329, "NA")</f>
      </c>
      <c r="D46" s="15"/>
      <c r="E46" s="13">
        <v>-2905</v>
      </c>
      <c r="F46" s="14">
        <f>IFERROR(E46/E329, "NA")</f>
      </c>
      <c r="G46" s="15"/>
      <c r="H46" s="13">
        <v>-80</v>
      </c>
      <c r="I46" s="14">
        <f>IFERROR(H46/H329, "NA")</f>
      </c>
      <c r="J46" s="15"/>
      <c r="K46" s="13">
        <v>-3769</v>
      </c>
      <c r="L46" s="14">
        <f>IFERROR(K46/K329, "NA")</f>
      </c>
      <c r="M46" s="15"/>
      <c r="N46" s="13">
        <v>-3127</v>
      </c>
      <c r="O46" s="14">
        <f>IFERROR(N46/N329, "NA")</f>
      </c>
      <c r="P46" s="15"/>
      <c r="Q46" s="13">
        <v>-3011</v>
      </c>
      <c r="R46" s="14">
        <f>IFERROR(Q46/Q329, "NA")</f>
      </c>
    </row>
    <row r="47" ht="16.5" customHeight="1">
      <c t="s" r="A47" s="12">
        <v>51</v>
      </c>
      <c r="B47" s="13">
        <v>-2384</v>
      </c>
      <c r="C47" s="14">
        <f>IFERROR(B47/B329, "NA")</f>
      </c>
      <c r="D47" s="15"/>
      <c r="E47" s="13">
        <v>-294</v>
      </c>
      <c r="F47" s="14">
        <f>IFERROR(E47/E329, "NA")</f>
      </c>
      <c r="G47" s="15"/>
      <c r="H47" s="13">
        <v>-320</v>
      </c>
      <c r="I47" s="14">
        <f>IFERROR(H47/H329, "NA")</f>
      </c>
      <c r="J47" s="15"/>
      <c r="K47" s="13">
        <v>-2689</v>
      </c>
      <c r="L47" s="14">
        <f>IFERROR(K47/K329, "NA")</f>
      </c>
      <c r="M47" s="15"/>
      <c r="N47" s="13">
        <v>-531</v>
      </c>
      <c r="O47" s="14">
        <f>IFERROR(N47/N329, "NA")</f>
      </c>
      <c r="P47" s="15"/>
      <c r="Q47" s="13">
        <v>-539</v>
      </c>
      <c r="R47" s="14">
        <f>IFERROR(Q47/Q329, "NA")</f>
      </c>
    </row>
    <row r="48" ht="16.5" customHeight="1">
      <c t="s" r="A48" s="12">
        <v>52</v>
      </c>
      <c r="B48" s="13">
        <v>-25</v>
      </c>
      <c r="C48" s="14">
        <f>IFERROR(B48/B329, "NA")</f>
      </c>
      <c r="D48" s="15"/>
      <c r="E48" s="13">
        <v>-77</v>
      </c>
      <c r="F48" s="14">
        <f>IFERROR(E48/E329, "NA")</f>
      </c>
      <c r="G48" s="15"/>
      <c r="H48" s="13">
        <v>-360</v>
      </c>
      <c r="I48" s="14">
        <f>IFERROR(H48/H329, "NA")</f>
      </c>
      <c r="J48" s="15"/>
      <c r="K48" s="13">
        <v>-40</v>
      </c>
      <c r="L48" s="14">
        <f>IFERROR(K48/K329, "NA")</f>
      </c>
      <c r="M48" s="15"/>
      <c r="N48" s="13">
        <v>-115</v>
      </c>
      <c r="O48" s="14">
        <f>IFERROR(N48/N329, "NA")</f>
      </c>
      <c r="P48" s="15"/>
      <c r="Q48" s="13">
        <v>-383</v>
      </c>
      <c r="R48" s="14">
        <f>IFERROR(Q48/Q329, "NA")</f>
      </c>
    </row>
    <row r="49" ht="16.5" customHeight="1">
      <c t="s" r="A49" s="12">
        <v>53</v>
      </c>
      <c r="B49" s="13">
        <v>0</v>
      </c>
      <c r="C49" s="14">
        <f>IFERROR(B49/B329, "NA")</f>
      </c>
      <c r="D49" s="15"/>
      <c r="E49" s="13">
        <v>0</v>
      </c>
      <c r="F49" s="14">
        <f>IFERROR(E49/E329, "NA")</f>
      </c>
      <c r="G49" s="15"/>
      <c r="H49" s="13">
        <v>0</v>
      </c>
      <c r="I49" s="14">
        <f>IFERROR(H49/H329, "NA")</f>
      </c>
      <c r="J49" s="15"/>
      <c r="K49" s="13">
        <v>0</v>
      </c>
      <c r="L49" s="14">
        <f>IFERROR(K49/K329, "NA")</f>
      </c>
      <c r="M49" s="15"/>
      <c r="N49" s="13">
        <v>0</v>
      </c>
      <c r="O49" s="14">
        <f>IFERROR(N49/N329, "NA")</f>
      </c>
      <c r="P49" s="15"/>
      <c r="Q49" s="13">
        <v>0</v>
      </c>
      <c r="R49" s="14">
        <f>IFERROR(Q49/Q329, "NA")</f>
      </c>
    </row>
    <row r="50" ht="16.5" customHeight="1">
      <c t="s" r="A50" s="12">
        <v>54</v>
      </c>
      <c r="B50" s="13">
        <v>0</v>
      </c>
      <c r="C50" s="14">
        <f>IFERROR(B50/B329, "NA")</f>
      </c>
      <c r="D50" s="15"/>
      <c r="E50" s="13">
        <v>0</v>
      </c>
      <c r="F50" s="14">
        <f>IFERROR(E50/E329, "NA")</f>
      </c>
      <c r="G50" s="15"/>
      <c r="H50" s="13">
        <v>0</v>
      </c>
      <c r="I50" s="14">
        <f>IFERROR(H50/H329, "NA")</f>
      </c>
      <c r="J50" s="15"/>
      <c r="K50" s="13">
        <v>-912</v>
      </c>
      <c r="L50" s="14">
        <f>IFERROR(K50/K329, "NA")</f>
      </c>
      <c r="M50" s="15"/>
      <c r="N50" s="13">
        <v>-14</v>
      </c>
      <c r="O50" s="14">
        <f>IFERROR(N50/N329, "NA")</f>
      </c>
      <c r="P50" s="15"/>
      <c r="Q50" s="13">
        <v>0</v>
      </c>
      <c r="R50" s="14">
        <f>IFERROR(Q50/Q329, "NA")</f>
      </c>
    </row>
    <row r="51" ht="16.5" customHeight="1">
      <c t="s" r="A51" s="16">
        <v>55</v>
      </c>
      <c r="B51" s="17">
        <f>IFERROR(B39+B40+B41+B42+B43+B44+B45+B46+B47+B48+B49+B50, "NA")</f>
      </c>
      <c r="C51" s="18">
        <f>IFERROR(B51/B329, "NA")</f>
      </c>
      <c r="D51" s="8"/>
      <c r="E51" s="17">
        <f>IFERROR(E39+E40+E41+E42+E43+E44+E45+E46+E47+E48+E49+E50, "NA")</f>
      </c>
      <c r="F51" s="18">
        <f>IFERROR(E51/E329, "NA")</f>
      </c>
      <c r="G51" s="8"/>
      <c r="H51" s="17">
        <f>IFERROR(H39+H40+H41+H42+H43+H44+H45+H46+H47+H48+H49+H50, "NA")</f>
      </c>
      <c r="I51" s="18">
        <f>IFERROR(H51/H329, "NA")</f>
      </c>
      <c r="J51" s="8"/>
      <c r="K51" s="17">
        <f>IFERROR(K39+K40+K41+K42+K43+K44+K45+K46+K47+K48+K49+K50, "NA")</f>
      </c>
      <c r="L51" s="18">
        <f>IFERROR(K51/K329, "NA")</f>
      </c>
      <c r="M51" s="8"/>
      <c r="N51" s="17">
        <f>IFERROR(N39+N40+N41+N42+N43+N44+N45+N46+N47+N48+N49+N50, "NA")</f>
      </c>
      <c r="O51" s="18">
        <f>IFERROR(N51/N329, "NA")</f>
      </c>
      <c r="P51" s="8"/>
      <c r="Q51" s="17">
        <f>IFERROR(Q39+Q40+Q41+Q42+Q43+Q44+Q45+Q46+Q47+Q48+Q49+Q50, "NA")</f>
      </c>
      <c r="R51" s="18">
        <f>IFERROR(Q51/Q329, "NA")</f>
      </c>
    </row>
    <row r="52" ht="16.5" customHeight="1">
      <c t="s" r="A52" s="20">
        <v>56</v>
      </c>
      <c r="B52" s="17">
        <f>IFERROR(B8+B9+B11+B13+B14+B15+B16+B17+B18+B21+B22+B23+B24+B25+B26+B27+B28+B29+B32+B33+B34+B35+B36+B39+B40+B41+B42+B43+B44+B45+B46+B47+B48+B49+B50, "NA")</f>
      </c>
      <c r="C52" s="18">
        <f>IFERROR(B52/B329, "NA")</f>
      </c>
      <c r="D52" s="8"/>
      <c r="E52" s="17">
        <f>IFERROR(E8+E9+E11+E13+E14+E15+E16+E17+E18+E21+E22+E23+E24+E25+E26+E27+E28+E29+E32+E33+E34+E35+E36+E39+E40+E41+E42+E43+E44+E45+E46+E47+E48+E49+E50, "NA")</f>
      </c>
      <c r="F52" s="18">
        <f>IFERROR(E52/E329, "NA")</f>
      </c>
      <c r="G52" s="8"/>
      <c r="H52" s="17">
        <f>IFERROR(H8+H9+H11+H13+H14+H15+H16+H17+H18+H21+H22+H23+H24+H25+H26+H27+H28+H29+H32+H33+H34+H35+H36+H39+H40+H41+H42+H43+H44+H45+H46+H47+H48+H49+H50, "NA")</f>
      </c>
      <c r="I52" s="18">
        <f>IFERROR(H52/H329, "NA")</f>
      </c>
      <c r="J52" s="8"/>
      <c r="K52" s="17">
        <f>IFERROR(K8+K9+K11+K13+K14+K15+K16+K17+K18+K21+K22+K23+K24+K25+K26+K27+K28+K29+K32+K33+K34+K35+K36+K39+K40+K41+K42+K43+K44+K45+K46+K47+K48+K49+K50, "NA")</f>
      </c>
      <c r="L52" s="18">
        <f>IFERROR(K52/K329, "NA")</f>
      </c>
      <c r="M52" s="8"/>
      <c r="N52" s="17">
        <f>IFERROR(N8+N9+N11+N13+N14+N15+N16+N17+N18+N21+N22+N23+N24+N25+N26+N27+N28+N29+N32+N33+N34+N35+N36+N39+N40+N41+N42+N43+N44+N45+N46+N47+N48+N49+N50, "NA")</f>
      </c>
      <c r="O52" s="18">
        <f>IFERROR(N52/N329, "NA")</f>
      </c>
      <c r="P52" s="8"/>
      <c r="Q52" s="17">
        <f>IFERROR(Q8+Q9+Q11+Q13+Q14+Q15+Q16+Q17+Q18+Q21+Q22+Q23+Q24+Q25+Q26+Q27+Q28+Q29+Q32+Q33+Q34+Q35+Q36+Q39+Q40+Q41+Q42+Q43+Q44+Q45+Q46+Q47+Q48+Q49+Q50, "NA")</f>
      </c>
      <c r="R52" s="18">
        <f>IFERROR(Q52/Q329, "NA")</f>
      </c>
    </row>
    <row r="53" ht="16.5" customHeight="1">
      <c t="s" r="A53" s="7">
        <v>57</v>
      </c>
      <c r="B53" s="8"/>
      <c r="C53" s="9"/>
      <c r="D53" s="10"/>
      <c r="E53" s="8"/>
      <c r="F53" s="9"/>
      <c r="G53" s="10"/>
      <c r="H53" s="8"/>
      <c r="I53" s="9"/>
      <c r="J53" s="10"/>
      <c r="K53" s="8"/>
      <c r="L53" s="9"/>
      <c r="M53" s="10"/>
      <c r="N53" s="8"/>
      <c r="O53" s="9"/>
      <c r="P53" s="10"/>
      <c r="Q53" s="8"/>
      <c r="R53" s="9"/>
    </row>
    <row r="54" ht="16.5" customHeight="1">
      <c t="s" r="A54" s="11">
        <v>58</v>
      </c>
      <c r="B54" s="8"/>
      <c r="C54" s="9"/>
      <c r="D54" s="10"/>
      <c r="E54" s="8"/>
      <c r="F54" s="9"/>
      <c r="G54" s="10"/>
      <c r="H54" s="8"/>
      <c r="I54" s="9"/>
      <c r="J54" s="10"/>
      <c r="K54" s="8"/>
      <c r="L54" s="9"/>
      <c r="M54" s="10"/>
      <c r="N54" s="8"/>
      <c r="O54" s="9"/>
      <c r="P54" s="10"/>
      <c r="Q54" s="8"/>
      <c r="R54" s="9"/>
    </row>
    <row r="55" ht="16.5" customHeight="1">
      <c t="s" r="A55" s="12">
        <v>59</v>
      </c>
      <c r="B55" s="13">
        <v>0</v>
      </c>
      <c r="C55" s="14">
        <f>IFERROR(B55/B329, "NA")</f>
      </c>
      <c r="D55" s="15"/>
      <c r="E55" s="13">
        <v>0</v>
      </c>
      <c r="F55" s="14">
        <f>IFERROR(E55/E329, "NA")</f>
      </c>
      <c r="G55" s="15"/>
      <c r="H55" s="13">
        <v>0</v>
      </c>
      <c r="I55" s="14">
        <f>IFERROR(H55/H329, "NA")</f>
      </c>
      <c r="J55" s="15"/>
      <c r="K55" s="13">
        <v>0</v>
      </c>
      <c r="L55" s="14">
        <f>IFERROR(K55/K329, "NA")</f>
      </c>
      <c r="M55" s="15"/>
      <c r="N55" s="13">
        <v>0</v>
      </c>
      <c r="O55" s="14">
        <f>IFERROR(N55/N329, "NA")</f>
      </c>
      <c r="P55" s="15"/>
      <c r="Q55" s="13">
        <v>0</v>
      </c>
      <c r="R55" s="14">
        <f>IFERROR(Q55/Q329, "NA")</f>
      </c>
    </row>
    <row r="56" ht="16.5" customHeight="1">
      <c t="s" r="A56" s="12">
        <v>60</v>
      </c>
      <c r="B56" s="13">
        <v>1558.76</v>
      </c>
      <c r="C56" s="14">
        <f>IFERROR(B56/B329, "NA")</f>
      </c>
      <c r="D56" s="15"/>
      <c r="E56" s="13">
        <v>1020.47</v>
      </c>
      <c r="F56" s="14">
        <f>IFERROR(E56/E329, "NA")</f>
      </c>
      <c r="G56" s="15"/>
      <c r="H56" s="13">
        <v>664.62</v>
      </c>
      <c r="I56" s="14">
        <f>IFERROR(H56/H329, "NA")</f>
      </c>
      <c r="J56" s="15"/>
      <c r="K56" s="13">
        <v>1637.8599999999999</v>
      </c>
      <c r="L56" s="14">
        <f>IFERROR(K56/K329, "NA")</f>
      </c>
      <c r="M56" s="15"/>
      <c r="N56" s="13">
        <v>1208.6900000000001</v>
      </c>
      <c r="O56" s="14">
        <f>IFERROR(N56/N329, "NA")</f>
      </c>
      <c r="P56" s="15"/>
      <c r="Q56" s="13">
        <v>0</v>
      </c>
      <c r="R56" s="14">
        <f>IFERROR(Q56/Q329, "NA")</f>
      </c>
    </row>
    <row r="57" ht="16.5" customHeight="1">
      <c t="s" r="A57" s="12">
        <v>61</v>
      </c>
      <c r="B57" s="13">
        <v>1049.74</v>
      </c>
      <c r="C57" s="14">
        <f>IFERROR(B57/B329, "NA")</f>
      </c>
      <c r="D57" s="15"/>
      <c r="E57" s="13">
        <v>420.75</v>
      </c>
      <c r="F57" s="14">
        <f>IFERROR(E57/E329, "NA")</f>
      </c>
      <c r="G57" s="15"/>
      <c r="H57" s="13">
        <v>194.03</v>
      </c>
      <c r="I57" s="14">
        <f>IFERROR(H57/H329, "NA")</f>
      </c>
      <c r="J57" s="15"/>
      <c r="K57" s="13">
        <v>535.17999999999995</v>
      </c>
      <c r="L57" s="14">
        <f>IFERROR(K57/K329, "NA")</f>
      </c>
      <c r="M57" s="15"/>
      <c r="N57" s="13">
        <v>443.63999999999999</v>
      </c>
      <c r="O57" s="14">
        <f>IFERROR(N57/N329, "NA")</f>
      </c>
      <c r="P57" s="15"/>
      <c r="Q57" s="13">
        <v>0</v>
      </c>
      <c r="R57" s="14">
        <f>IFERROR(Q57/Q329, "NA")</f>
      </c>
    </row>
    <row r="58" ht="16.5" customHeight="1">
      <c t="s" r="A58" s="12">
        <v>62</v>
      </c>
      <c r="B58" s="13">
        <v>2519.3600000000001</v>
      </c>
      <c r="C58" s="14">
        <f>IFERROR(B58/B329, "NA")</f>
      </c>
      <c r="D58" s="15"/>
      <c r="E58" s="13">
        <v>1237.01</v>
      </c>
      <c r="F58" s="14">
        <f>IFERROR(E58/E329, "NA")</f>
      </c>
      <c r="G58" s="15"/>
      <c r="H58" s="13">
        <v>944.17999999999995</v>
      </c>
      <c r="I58" s="14">
        <f>IFERROR(H58/H329, "NA")</f>
      </c>
      <c r="J58" s="15"/>
      <c r="K58" s="13">
        <v>2512.8400000000001</v>
      </c>
      <c r="L58" s="14">
        <f>IFERROR(K58/K329, "NA")</f>
      </c>
      <c r="M58" s="15"/>
      <c r="N58" s="13">
        <v>1938.01</v>
      </c>
      <c r="O58" s="14">
        <f>IFERROR(N58/N329, "NA")</f>
      </c>
      <c r="P58" s="15"/>
      <c r="Q58" s="13">
        <v>0</v>
      </c>
      <c r="R58" s="14">
        <f>IFERROR(Q58/Q329, "NA")</f>
      </c>
    </row>
    <row r="59" ht="16.5" customHeight="1">
      <c t="s" r="A59" s="12">
        <v>63</v>
      </c>
      <c r="B59" s="13">
        <v>180.59</v>
      </c>
      <c r="C59" s="14">
        <f>IFERROR(B59/B329, "NA")</f>
      </c>
      <c r="D59" s="15"/>
      <c r="E59" s="13">
        <v>208.03</v>
      </c>
      <c r="F59" s="14">
        <f>IFERROR(E59/E329, "NA")</f>
      </c>
      <c r="G59" s="15"/>
      <c r="H59" s="13">
        <v>115.77</v>
      </c>
      <c r="I59" s="14">
        <f>IFERROR(H59/H329, "NA")</f>
      </c>
      <c r="J59" s="15"/>
      <c r="K59" s="13">
        <v>259.48000000000002</v>
      </c>
      <c r="L59" s="14">
        <f>IFERROR(K59/K329, "NA")</f>
      </c>
      <c r="M59" s="15"/>
      <c r="N59" s="13">
        <v>292.26999999999998</v>
      </c>
      <c r="O59" s="14">
        <f>IFERROR(N59/N329, "NA")</f>
      </c>
      <c r="P59" s="15"/>
      <c r="Q59" s="13">
        <v>0</v>
      </c>
      <c r="R59" s="14">
        <f>IFERROR(Q59/Q329, "NA")</f>
      </c>
    </row>
    <row r="60" ht="16.5" customHeight="1">
      <c t="s" r="A60" s="12">
        <v>64</v>
      </c>
      <c r="B60" s="13">
        <v>3282.4400000000001</v>
      </c>
      <c r="C60" s="14">
        <f>IFERROR(B60/B329, "NA")</f>
      </c>
      <c r="D60" s="15"/>
      <c r="E60" s="13">
        <v>2056.04</v>
      </c>
      <c r="F60" s="14">
        <f>IFERROR(E60/E329, "NA")</f>
      </c>
      <c r="G60" s="15"/>
      <c r="H60" s="13">
        <v>1727.47</v>
      </c>
      <c r="I60" s="14">
        <f>IFERROR(H60/H329, "NA")</f>
      </c>
      <c r="J60" s="15"/>
      <c r="K60" s="13">
        <v>3464.3000000000002</v>
      </c>
      <c r="L60" s="14">
        <f>IFERROR(K60/K329, "NA")</f>
      </c>
      <c r="M60" s="15"/>
      <c r="N60" s="13">
        <v>2483.1900000000001</v>
      </c>
      <c r="O60" s="14">
        <f>IFERROR(N60/N329, "NA")</f>
      </c>
      <c r="P60" s="15"/>
      <c r="Q60" s="13">
        <v>0</v>
      </c>
      <c r="R60" s="14">
        <f>IFERROR(Q60/Q329, "NA")</f>
      </c>
    </row>
    <row r="61" ht="16.5" customHeight="1">
      <c t="s" r="A61" s="12">
        <v>65</v>
      </c>
      <c r="B61" s="13">
        <v>1954.6500000000001</v>
      </c>
      <c r="C61" s="14">
        <f>IFERROR(B61/B329, "NA")</f>
      </c>
      <c r="D61" s="15"/>
      <c r="E61" s="13">
        <v>965.19000000000005</v>
      </c>
      <c r="F61" s="14">
        <f>IFERROR(E61/E329, "NA")</f>
      </c>
      <c r="G61" s="15"/>
      <c r="H61" s="13">
        <v>867.65999999999997</v>
      </c>
      <c r="I61" s="14">
        <f>IFERROR(H61/H329, "NA")</f>
      </c>
      <c r="J61" s="15"/>
      <c r="K61" s="13">
        <v>1764.6500000000001</v>
      </c>
      <c r="L61" s="14">
        <f>IFERROR(K61/K329, "NA")</f>
      </c>
      <c r="M61" s="15"/>
      <c r="N61" s="13">
        <v>1601.4300000000001</v>
      </c>
      <c r="O61" s="14">
        <f>IFERROR(N61/N329, "NA")</f>
      </c>
      <c r="P61" s="15"/>
      <c r="Q61" s="13">
        <v>0</v>
      </c>
      <c r="R61" s="14">
        <f>IFERROR(Q61/Q329, "NA")</f>
      </c>
    </row>
    <row r="62" ht="16.5" customHeight="1">
      <c t="s" r="A62" s="12">
        <v>66</v>
      </c>
      <c r="B62" s="13">
        <v>421.99000000000001</v>
      </c>
      <c r="C62" s="14">
        <f>IFERROR(B62/B329, "NA")</f>
      </c>
      <c r="D62" s="15"/>
      <c r="E62" s="13">
        <v>258.48000000000002</v>
      </c>
      <c r="F62" s="14">
        <f>IFERROR(E62/E329, "NA")</f>
      </c>
      <c r="G62" s="15"/>
      <c r="H62" s="13">
        <v>209.81999999999999</v>
      </c>
      <c r="I62" s="14">
        <f>IFERROR(H62/H329, "NA")</f>
      </c>
      <c r="J62" s="15"/>
      <c r="K62" s="13">
        <v>309.58999999999997</v>
      </c>
      <c r="L62" s="14">
        <f>IFERROR(K62/K329, "NA")</f>
      </c>
      <c r="M62" s="15"/>
      <c r="N62" s="13">
        <v>247.49000000000001</v>
      </c>
      <c r="O62" s="14">
        <f>IFERROR(N62/N329, "NA")</f>
      </c>
      <c r="P62" s="15"/>
      <c r="Q62" s="13">
        <v>0</v>
      </c>
      <c r="R62" s="14">
        <f>IFERROR(Q62/Q329, "NA")</f>
      </c>
    </row>
    <row r="63" ht="16.5" customHeight="1">
      <c t="s" r="A63" s="12">
        <v>67</v>
      </c>
      <c r="B63" s="13">
        <v>472.11000000000001</v>
      </c>
      <c r="C63" s="14">
        <f>IFERROR(B63/B329, "NA")</f>
      </c>
      <c r="D63" s="15"/>
      <c r="E63" s="13">
        <v>248.55000000000001</v>
      </c>
      <c r="F63" s="14">
        <f>IFERROR(E63/E329, "NA")</f>
      </c>
      <c r="G63" s="15"/>
      <c r="H63" s="13">
        <v>209.36000000000001</v>
      </c>
      <c r="I63" s="14">
        <f>IFERROR(H63/H329, "NA")</f>
      </c>
      <c r="J63" s="15"/>
      <c r="K63" s="13">
        <v>441.61000000000001</v>
      </c>
      <c r="L63" s="14">
        <f>IFERROR(K63/K329, "NA")</f>
      </c>
      <c r="M63" s="15"/>
      <c r="N63" s="13">
        <v>462.06999999999999</v>
      </c>
      <c r="O63" s="14">
        <f>IFERROR(N63/N329, "NA")</f>
      </c>
      <c r="P63" s="15"/>
      <c r="Q63" s="13">
        <v>0</v>
      </c>
      <c r="R63" s="14">
        <f>IFERROR(Q63/Q329, "NA")</f>
      </c>
    </row>
    <row r="64" ht="16.5" customHeight="1">
      <c t="s" r="A64" s="12">
        <v>68</v>
      </c>
      <c r="B64" s="13">
        <v>0</v>
      </c>
      <c r="C64" s="14">
        <f>IFERROR(B64/B329, "NA")</f>
      </c>
      <c r="D64" s="15"/>
      <c r="E64" s="13">
        <v>0</v>
      </c>
      <c r="F64" s="14">
        <f>IFERROR(E64/E329, "NA")</f>
      </c>
      <c r="G64" s="15"/>
      <c r="H64" s="13">
        <v>0</v>
      </c>
      <c r="I64" s="14">
        <f>IFERROR(H64/H329, "NA")</f>
      </c>
      <c r="J64" s="15"/>
      <c r="K64" s="13">
        <v>0</v>
      </c>
      <c r="L64" s="14">
        <f>IFERROR(K64/K329, "NA")</f>
      </c>
      <c r="M64" s="15"/>
      <c r="N64" s="13">
        <v>0</v>
      </c>
      <c r="O64" s="14">
        <f>IFERROR(N64/N329, "NA")</f>
      </c>
      <c r="P64" s="15"/>
      <c r="Q64" s="13">
        <v>0</v>
      </c>
      <c r="R64" s="14">
        <f>IFERROR(Q64/Q329, "NA")</f>
      </c>
    </row>
    <row r="65" ht="16.5" customHeight="1">
      <c t="s" r="A65" s="16">
        <v>69</v>
      </c>
      <c r="B65" s="17">
        <f>IFERROR(B55+B56+B57+B58+B59+B60+B61+B62+B63+B64, "NA")</f>
      </c>
      <c r="C65" s="18">
        <f>IFERROR(B65/B329, "NA")</f>
      </c>
      <c r="D65" s="8"/>
      <c r="E65" s="17">
        <f>IFERROR(E55+E56+E57+E58+E59+E60+E61+E62+E63+E64, "NA")</f>
      </c>
      <c r="F65" s="18">
        <f>IFERROR(E65/E329, "NA")</f>
      </c>
      <c r="G65" s="8"/>
      <c r="H65" s="17">
        <f>IFERROR(H55+H56+H57+H58+H59+H60+H61+H62+H63+H64, "NA")</f>
      </c>
      <c r="I65" s="18">
        <f>IFERROR(H65/H329, "NA")</f>
      </c>
      <c r="J65" s="8"/>
      <c r="K65" s="17">
        <f>IFERROR(K55+K56+K57+K58+K59+K60+K61+K62+K63+K64, "NA")</f>
      </c>
      <c r="L65" s="18">
        <f>IFERROR(K65/K329, "NA")</f>
      </c>
      <c r="M65" s="8"/>
      <c r="N65" s="17">
        <f>IFERROR(N55+N56+N57+N58+N59+N60+N61+N62+N63+N64, "NA")</f>
      </c>
      <c r="O65" s="18">
        <f>IFERROR(N65/N329, "NA")</f>
      </c>
      <c r="P65" s="8"/>
      <c r="Q65" s="17">
        <f>IFERROR(Q55+Q56+Q57+Q58+Q59+Q60+Q61+Q62+Q63+Q64, "NA")</f>
      </c>
      <c r="R65" s="18">
        <f>IFERROR(Q65/Q329, "NA")</f>
      </c>
    </row>
    <row r="66" ht="16.5" customHeight="1">
      <c t="s" r="A66" s="19">
        <v>70</v>
      </c>
      <c r="B66" s="13">
        <v>1657.1400000000001</v>
      </c>
      <c r="C66" s="14">
        <f>IFERROR(B66/B329, "NA")</f>
      </c>
      <c r="D66" s="15"/>
      <c r="E66" s="13">
        <v>643.59000000000003</v>
      </c>
      <c r="F66" s="14">
        <f>IFERROR(E66/E329, "NA")</f>
      </c>
      <c r="G66" s="15"/>
      <c r="H66" s="13">
        <v>257.16000000000003</v>
      </c>
      <c r="I66" s="14">
        <f>IFERROR(H66/H329, "NA")</f>
      </c>
      <c r="J66" s="15"/>
      <c r="K66" s="13">
        <v>834.13</v>
      </c>
      <c r="L66" s="14">
        <f>IFERROR(K66/K329, "NA")</f>
      </c>
      <c r="M66" s="15"/>
      <c r="N66" s="13">
        <v>876.78999999999996</v>
      </c>
      <c r="O66" s="14">
        <f>IFERROR(N66/N329, "NA")</f>
      </c>
      <c r="P66" s="15"/>
      <c r="Q66" s="13">
        <v>0</v>
      </c>
      <c r="R66" s="14">
        <f>IFERROR(Q66/Q329, "NA")</f>
      </c>
    </row>
    <row r="67" ht="16.5" customHeight="1">
      <c t="s" r="A67" s="11">
        <v>71</v>
      </c>
      <c r="B67" s="8"/>
      <c r="C67" s="9"/>
      <c r="D67" s="10"/>
      <c r="E67" s="8"/>
      <c r="F67" s="9"/>
      <c r="G67" s="10"/>
      <c r="H67" s="8"/>
      <c r="I67" s="9"/>
      <c r="J67" s="10"/>
      <c r="K67" s="8"/>
      <c r="L67" s="9"/>
      <c r="M67" s="10"/>
      <c r="N67" s="8"/>
      <c r="O67" s="9"/>
      <c r="P67" s="10"/>
      <c r="Q67" s="8"/>
      <c r="R67" s="9"/>
    </row>
    <row r="68" ht="16.5" customHeight="1">
      <c t="s" r="A68" s="12">
        <v>72</v>
      </c>
      <c r="B68" s="13">
        <v>0</v>
      </c>
      <c r="C68" s="14">
        <f>IFERROR(B68/B329, "NA")</f>
      </c>
      <c r="D68" s="15"/>
      <c r="E68" s="13">
        <v>0</v>
      </c>
      <c r="F68" s="14">
        <f>IFERROR(E68/E329, "NA")</f>
      </c>
      <c r="G68" s="15"/>
      <c r="H68" s="13">
        <v>0</v>
      </c>
      <c r="I68" s="14">
        <f>IFERROR(H68/H329, "NA")</f>
      </c>
      <c r="J68" s="15"/>
      <c r="K68" s="13">
        <v>0</v>
      </c>
      <c r="L68" s="14">
        <f>IFERROR(K68/K329, "NA")</f>
      </c>
      <c r="M68" s="15"/>
      <c r="N68" s="13">
        <v>0</v>
      </c>
      <c r="O68" s="14">
        <f>IFERROR(N68/N329, "NA")</f>
      </c>
      <c r="P68" s="15"/>
      <c r="Q68" s="13">
        <v>0</v>
      </c>
      <c r="R68" s="14">
        <f>IFERROR(Q68/Q329, "NA")</f>
      </c>
    </row>
    <row r="69" ht="16.5" customHeight="1">
      <c t="s" r="A69" s="12">
        <v>73</v>
      </c>
      <c r="B69" s="13">
        <v>131.74000000000001</v>
      </c>
      <c r="C69" s="14">
        <f>IFERROR(B69/B329, "NA")</f>
      </c>
      <c r="D69" s="15"/>
      <c r="E69" s="13">
        <v>85.049999999999997</v>
      </c>
      <c r="F69" s="14">
        <f>IFERROR(E69/E329, "NA")</f>
      </c>
      <c r="G69" s="15"/>
      <c r="H69" s="13">
        <v>25.969999999999999</v>
      </c>
      <c r="I69" s="14">
        <f>IFERROR(H69/H329, "NA")</f>
      </c>
      <c r="J69" s="15"/>
      <c r="K69" s="13">
        <v>66.849999999999994</v>
      </c>
      <c r="L69" s="14">
        <f>IFERROR(K69/K329, "NA")</f>
      </c>
      <c r="M69" s="15"/>
      <c r="N69" s="13">
        <v>97.739999999999995</v>
      </c>
      <c r="O69" s="14">
        <f>IFERROR(N69/N329, "NA")</f>
      </c>
      <c r="P69" s="15"/>
      <c r="Q69" s="13">
        <v>0</v>
      </c>
      <c r="R69" s="14">
        <f>IFERROR(Q69/Q329, "NA")</f>
      </c>
    </row>
    <row r="70" ht="16.5" customHeight="1">
      <c t="s" r="A70" s="12">
        <v>74</v>
      </c>
      <c r="B70" s="13">
        <v>0</v>
      </c>
      <c r="C70" s="14">
        <f>IFERROR(B70/B329, "NA")</f>
      </c>
      <c r="D70" s="15"/>
      <c r="E70" s="13">
        <v>0</v>
      </c>
      <c r="F70" s="14">
        <f>IFERROR(E70/E329, "NA")</f>
      </c>
      <c r="G70" s="15"/>
      <c r="H70" s="13">
        <v>0</v>
      </c>
      <c r="I70" s="14">
        <f>IFERROR(H70/H329, "NA")</f>
      </c>
      <c r="J70" s="15"/>
      <c r="K70" s="13">
        <v>0</v>
      </c>
      <c r="L70" s="14">
        <f>IFERROR(K70/K329, "NA")</f>
      </c>
      <c r="M70" s="15"/>
      <c r="N70" s="13">
        <v>0</v>
      </c>
      <c r="O70" s="14">
        <f>IFERROR(N70/N329, "NA")</f>
      </c>
      <c r="P70" s="15"/>
      <c r="Q70" s="13">
        <v>0</v>
      </c>
      <c r="R70" s="14">
        <f>IFERROR(Q70/Q329, "NA")</f>
      </c>
    </row>
    <row r="71" ht="16.5" customHeight="1">
      <c t="s" r="A71" s="12">
        <v>75</v>
      </c>
      <c r="B71" s="13">
        <v>3084.73</v>
      </c>
      <c r="C71" s="14">
        <f>IFERROR(B71/B329, "NA")</f>
      </c>
      <c r="D71" s="15"/>
      <c r="E71" s="13">
        <v>4223.5</v>
      </c>
      <c r="F71" s="14">
        <f>IFERROR(E71/E329, "NA")</f>
      </c>
      <c r="G71" s="15"/>
      <c r="H71" s="13">
        <v>499.58999999999997</v>
      </c>
      <c r="I71" s="14">
        <f>IFERROR(H71/H329, "NA")</f>
      </c>
      <c r="J71" s="15"/>
      <c r="K71" s="13">
        <v>5618.8000000000002</v>
      </c>
      <c r="L71" s="14">
        <f>IFERROR(K71/K329, "NA")</f>
      </c>
      <c r="M71" s="15"/>
      <c r="N71" s="13">
        <v>4058.8699999999999</v>
      </c>
      <c r="O71" s="14">
        <f>IFERROR(N71/N329, "NA")</f>
      </c>
      <c r="P71" s="15"/>
      <c r="Q71" s="13">
        <v>0</v>
      </c>
      <c r="R71" s="14">
        <f>IFERROR(Q71/Q329, "NA")</f>
      </c>
    </row>
    <row r="72" ht="16.5" customHeight="1">
      <c t="s" r="A72" s="12">
        <v>76</v>
      </c>
      <c r="B72" s="13">
        <v>0</v>
      </c>
      <c r="C72" s="14">
        <f>IFERROR(B72/B329, "NA")</f>
      </c>
      <c r="D72" s="15"/>
      <c r="E72" s="13">
        <v>0</v>
      </c>
      <c r="F72" s="14">
        <f>IFERROR(E72/E329, "NA")</f>
      </c>
      <c r="G72" s="15"/>
      <c r="H72" s="13">
        <v>0</v>
      </c>
      <c r="I72" s="14">
        <f>IFERROR(H72/H329, "NA")</f>
      </c>
      <c r="J72" s="15"/>
      <c r="K72" s="13">
        <v>0</v>
      </c>
      <c r="L72" s="14">
        <f>IFERROR(K72/K329, "NA")</f>
      </c>
      <c r="M72" s="15"/>
      <c r="N72" s="13">
        <v>0</v>
      </c>
      <c r="O72" s="14">
        <f>IFERROR(N72/N329, "NA")</f>
      </c>
      <c r="P72" s="15"/>
      <c r="Q72" s="13">
        <v>0</v>
      </c>
      <c r="R72" s="14">
        <f>IFERROR(Q72/Q329, "NA")</f>
      </c>
    </row>
    <row r="73" ht="16.5" customHeight="1">
      <c t="s" r="A73" s="12">
        <v>77</v>
      </c>
      <c r="B73" s="13">
        <v>9180.0699999999997</v>
      </c>
      <c r="C73" s="14">
        <f>IFERROR(B73/B329, "NA")</f>
      </c>
      <c r="D73" s="15"/>
      <c r="E73" s="13">
        <v>6695.0299999999997</v>
      </c>
      <c r="F73" s="14">
        <f>IFERROR(E73/E329, "NA")</f>
      </c>
      <c r="G73" s="15"/>
      <c r="H73" s="13">
        <v>1385</v>
      </c>
      <c r="I73" s="14">
        <f>IFERROR(H73/H329, "NA")</f>
      </c>
      <c r="J73" s="15"/>
      <c r="K73" s="13">
        <v>6780.3299999999999</v>
      </c>
      <c r="L73" s="14">
        <f>IFERROR(K73/K329, "NA")</f>
      </c>
      <c r="M73" s="15"/>
      <c r="N73" s="13">
        <v>7586.0799999999999</v>
      </c>
      <c r="O73" s="14">
        <f>IFERROR(N73/N329, "NA")</f>
      </c>
      <c r="P73" s="15"/>
      <c r="Q73" s="13">
        <v>0</v>
      </c>
      <c r="R73" s="14">
        <f>IFERROR(Q73/Q329, "NA")</f>
      </c>
    </row>
    <row r="74" ht="16.5" customHeight="1">
      <c t="s" r="A74" s="12">
        <v>78</v>
      </c>
      <c r="B74" s="13">
        <v>0</v>
      </c>
      <c r="C74" s="14">
        <f>IFERROR(B74/B329, "NA")</f>
      </c>
      <c r="D74" s="15"/>
      <c r="E74" s="13">
        <v>0</v>
      </c>
      <c r="F74" s="14">
        <f>IFERROR(E74/E329, "NA")</f>
      </c>
      <c r="G74" s="15"/>
      <c r="H74" s="13">
        <v>0</v>
      </c>
      <c r="I74" s="14">
        <f>IFERROR(H74/H329, "NA")</f>
      </c>
      <c r="J74" s="15"/>
      <c r="K74" s="13">
        <v>0</v>
      </c>
      <c r="L74" s="14">
        <f>IFERROR(K74/K329, "NA")</f>
      </c>
      <c r="M74" s="15"/>
      <c r="N74" s="13">
        <v>0</v>
      </c>
      <c r="O74" s="14">
        <f>IFERROR(N74/N329, "NA")</f>
      </c>
      <c r="P74" s="15"/>
      <c r="Q74" s="13">
        <v>0</v>
      </c>
      <c r="R74" s="14">
        <f>IFERROR(Q74/Q329, "NA")</f>
      </c>
    </row>
    <row r="75" ht="16.5" customHeight="1">
      <c t="s" r="A75" s="12">
        <v>79</v>
      </c>
      <c r="B75" s="13">
        <v>1033.5599999999999</v>
      </c>
      <c r="C75" s="14">
        <f>IFERROR(B75/B329, "NA")</f>
      </c>
      <c r="D75" s="15"/>
      <c r="E75" s="13">
        <v>1053.5</v>
      </c>
      <c r="F75" s="14">
        <f>IFERROR(E75/E329, "NA")</f>
      </c>
      <c r="G75" s="15"/>
      <c r="H75" s="13">
        <v>204.86000000000001</v>
      </c>
      <c r="I75" s="14">
        <f>IFERROR(H75/H329, "NA")</f>
      </c>
      <c r="J75" s="15"/>
      <c r="K75" s="13">
        <v>571.5</v>
      </c>
      <c r="L75" s="14">
        <f>IFERROR(K75/K329, "NA")</f>
      </c>
      <c r="M75" s="15"/>
      <c r="N75" s="13">
        <v>661.36000000000001</v>
      </c>
      <c r="O75" s="14">
        <f>IFERROR(N75/N329, "NA")</f>
      </c>
      <c r="P75" s="15"/>
      <c r="Q75" s="13">
        <v>0</v>
      </c>
      <c r="R75" s="14">
        <f>IFERROR(Q75/Q329, "NA")</f>
      </c>
    </row>
    <row r="76" ht="16.5" customHeight="1">
      <c t="s" r="A76" s="16">
        <v>80</v>
      </c>
      <c r="B76" s="17">
        <f>IFERROR(B68+B69+B70+B71+B72+B73+B74+B75, "NA")</f>
      </c>
      <c r="C76" s="18">
        <f>IFERROR(B76/B329, "NA")</f>
      </c>
      <c r="D76" s="8"/>
      <c r="E76" s="17">
        <f>IFERROR(E68+E69+E70+E71+E72+E73+E74+E75, "NA")</f>
      </c>
      <c r="F76" s="18">
        <f>IFERROR(E76/E329, "NA")</f>
      </c>
      <c r="G76" s="8"/>
      <c r="H76" s="17">
        <f>IFERROR(H68+H69+H70+H71+H72+H73+H74+H75, "NA")</f>
      </c>
      <c r="I76" s="18">
        <f>IFERROR(H76/H329, "NA")</f>
      </c>
      <c r="J76" s="8"/>
      <c r="K76" s="17">
        <f>IFERROR(K68+K69+K70+K71+K72+K73+K74+K75, "NA")</f>
      </c>
      <c r="L76" s="18">
        <f>IFERROR(K76/K329, "NA")</f>
      </c>
      <c r="M76" s="8"/>
      <c r="N76" s="17">
        <f>IFERROR(N68+N69+N70+N71+N72+N73+N74+N75, "NA")</f>
      </c>
      <c r="O76" s="18">
        <f>IFERROR(N76/N329, "NA")</f>
      </c>
      <c r="P76" s="8"/>
      <c r="Q76" s="17">
        <f>IFERROR(Q68+Q69+Q70+Q71+Q72+Q73+Q74+Q75, "NA")</f>
      </c>
      <c r="R76" s="18">
        <f>IFERROR(Q76/Q329, "NA")</f>
      </c>
    </row>
    <row r="77" ht="16.5" customHeight="1">
      <c t="s" r="A77" s="11">
        <v>81</v>
      </c>
      <c r="B77" s="8"/>
      <c r="C77" s="9"/>
      <c r="D77" s="10"/>
      <c r="E77" s="8"/>
      <c r="F77" s="9"/>
      <c r="G77" s="10"/>
      <c r="H77" s="8"/>
      <c r="I77" s="9"/>
      <c r="J77" s="10"/>
      <c r="K77" s="8"/>
      <c r="L77" s="9"/>
      <c r="M77" s="10"/>
      <c r="N77" s="8"/>
      <c r="O77" s="9"/>
      <c r="P77" s="10"/>
      <c r="Q77" s="8"/>
      <c r="R77" s="9"/>
    </row>
    <row r="78" ht="16.5" customHeight="1">
      <c t="s" r="A78" s="12">
        <v>82</v>
      </c>
      <c r="B78" s="13">
        <v>0</v>
      </c>
      <c r="C78" s="14">
        <f>IFERROR(B78/B329, "NA")</f>
      </c>
      <c r="D78" s="15"/>
      <c r="E78" s="13">
        <v>0</v>
      </c>
      <c r="F78" s="14">
        <f>IFERROR(E78/E329, "NA")</f>
      </c>
      <c r="G78" s="15"/>
      <c r="H78" s="13">
        <v>0</v>
      </c>
      <c r="I78" s="14">
        <f>IFERROR(H78/H329, "NA")</f>
      </c>
      <c r="J78" s="15"/>
      <c r="K78" s="13">
        <v>0</v>
      </c>
      <c r="L78" s="14">
        <f>IFERROR(K78/K329, "NA")</f>
      </c>
      <c r="M78" s="15"/>
      <c r="N78" s="13">
        <v>0</v>
      </c>
      <c r="O78" s="14">
        <f>IFERROR(N78/N329, "NA")</f>
      </c>
      <c r="P78" s="15"/>
      <c r="Q78" s="13">
        <v>0</v>
      </c>
      <c r="R78" s="14">
        <f>IFERROR(Q78/Q329, "NA")</f>
      </c>
    </row>
    <row r="79" ht="16.5" customHeight="1">
      <c t="s" r="A79" s="12">
        <v>83</v>
      </c>
      <c r="B79" s="13">
        <v>0</v>
      </c>
      <c r="C79" s="14">
        <f>IFERROR(B79/B329, "NA")</f>
      </c>
      <c r="D79" s="15"/>
      <c r="E79" s="13">
        <v>0</v>
      </c>
      <c r="F79" s="14">
        <f>IFERROR(E79/E329, "NA")</f>
      </c>
      <c r="G79" s="15"/>
      <c r="H79" s="13">
        <v>0</v>
      </c>
      <c r="I79" s="14">
        <f>IFERROR(H79/H329, "NA")</f>
      </c>
      <c r="J79" s="15"/>
      <c r="K79" s="13">
        <v>0</v>
      </c>
      <c r="L79" s="14">
        <f>IFERROR(K79/K329, "NA")</f>
      </c>
      <c r="M79" s="15"/>
      <c r="N79" s="13">
        <v>0</v>
      </c>
      <c r="O79" s="14">
        <f>IFERROR(N79/N329, "NA")</f>
      </c>
      <c r="P79" s="15"/>
      <c r="Q79" s="13">
        <v>0</v>
      </c>
      <c r="R79" s="14">
        <f>IFERROR(Q79/Q329, "NA")</f>
      </c>
    </row>
    <row r="80" ht="16.5" customHeight="1">
      <c t="s" r="A80" s="16">
        <v>84</v>
      </c>
      <c r="B80" s="17">
        <f>IFERROR(B78+B79, "NA")</f>
      </c>
      <c r="C80" s="18">
        <f>IFERROR(B80/B329, "NA")</f>
      </c>
      <c r="D80" s="8"/>
      <c r="E80" s="17">
        <f>IFERROR(E78+E79, "NA")</f>
      </c>
      <c r="F80" s="18">
        <f>IFERROR(E80/E329, "NA")</f>
      </c>
      <c r="G80" s="8"/>
      <c r="H80" s="17">
        <f>IFERROR(H78+H79, "NA")</f>
      </c>
      <c r="I80" s="18">
        <f>IFERROR(H80/H329, "NA")</f>
      </c>
      <c r="J80" s="8"/>
      <c r="K80" s="17">
        <f>IFERROR(K78+K79, "NA")</f>
      </c>
      <c r="L80" s="18">
        <f>IFERROR(K80/K329, "NA")</f>
      </c>
      <c r="M80" s="8"/>
      <c r="N80" s="17">
        <f>IFERROR(N78+N79, "NA")</f>
      </c>
      <c r="O80" s="18">
        <f>IFERROR(N80/N329, "NA")</f>
      </c>
      <c r="P80" s="8"/>
      <c r="Q80" s="17">
        <f>IFERROR(Q78+Q79, "NA")</f>
      </c>
      <c r="R80" s="18">
        <f>IFERROR(Q80/Q329, "NA")</f>
      </c>
    </row>
    <row r="81" ht="16.5" customHeight="1">
      <c t="s" r="A81" s="11">
        <v>85</v>
      </c>
      <c r="B81" s="8"/>
      <c r="C81" s="9"/>
      <c r="D81" s="10"/>
      <c r="E81" s="8"/>
      <c r="F81" s="9"/>
      <c r="G81" s="10"/>
      <c r="H81" s="8"/>
      <c r="I81" s="9"/>
      <c r="J81" s="10"/>
      <c r="K81" s="8"/>
      <c r="L81" s="9"/>
      <c r="M81" s="10"/>
      <c r="N81" s="8"/>
      <c r="O81" s="9"/>
      <c r="P81" s="10"/>
      <c r="Q81" s="8"/>
      <c r="R81" s="9"/>
    </row>
    <row r="82" ht="16.5" customHeight="1">
      <c t="s" r="A82" s="12">
        <v>86</v>
      </c>
      <c r="B82" s="13">
        <v>0</v>
      </c>
      <c r="C82" s="14">
        <f>IFERROR(B82/B329, "NA")</f>
      </c>
      <c r="D82" s="15"/>
      <c r="E82" s="13">
        <v>0</v>
      </c>
      <c r="F82" s="14">
        <f>IFERROR(E82/E329, "NA")</f>
      </c>
      <c r="G82" s="15"/>
      <c r="H82" s="13">
        <v>0</v>
      </c>
      <c r="I82" s="14">
        <f>IFERROR(H82/H329, "NA")</f>
      </c>
      <c r="J82" s="15"/>
      <c r="K82" s="13">
        <v>0</v>
      </c>
      <c r="L82" s="14">
        <f>IFERROR(K82/K329, "NA")</f>
      </c>
      <c r="M82" s="15"/>
      <c r="N82" s="13">
        <v>0</v>
      </c>
      <c r="O82" s="14">
        <f>IFERROR(N82/N329, "NA")</f>
      </c>
      <c r="P82" s="15"/>
      <c r="Q82" s="13">
        <v>0</v>
      </c>
      <c r="R82" s="14">
        <f>IFERROR(Q82/Q329, "NA")</f>
      </c>
    </row>
    <row r="83" ht="16.5" customHeight="1">
      <c t="s" r="A83" s="21">
        <v>87</v>
      </c>
      <c r="B83" s="8"/>
      <c r="C83" s="9"/>
      <c r="D83" s="10"/>
      <c r="E83" s="8"/>
      <c r="F83" s="9"/>
      <c r="G83" s="10"/>
      <c r="H83" s="8"/>
      <c r="I83" s="9"/>
      <c r="J83" s="10"/>
      <c r="K83" s="8"/>
      <c r="L83" s="9"/>
      <c r="M83" s="10"/>
      <c r="N83" s="8"/>
      <c r="O83" s="9"/>
      <c r="P83" s="10"/>
      <c r="Q83" s="8"/>
      <c r="R83" s="9"/>
    </row>
    <row r="84" ht="16.5" customHeight="1">
      <c t="s" r="A84" s="22">
        <v>88</v>
      </c>
      <c r="B84" s="13">
        <v>0</v>
      </c>
      <c r="C84" s="14">
        <f>IFERROR(B84/B329, "NA")</f>
      </c>
      <c r="D84" s="15"/>
      <c r="E84" s="13">
        <v>0</v>
      </c>
      <c r="F84" s="14">
        <f>IFERROR(E84/E329, "NA")</f>
      </c>
      <c r="G84" s="15"/>
      <c r="H84" s="13">
        <v>0</v>
      </c>
      <c r="I84" s="14">
        <f>IFERROR(H84/H329, "NA")</f>
      </c>
      <c r="J84" s="15"/>
      <c r="K84" s="13">
        <v>0</v>
      </c>
      <c r="L84" s="14">
        <f>IFERROR(K84/K329, "NA")</f>
      </c>
      <c r="M84" s="15"/>
      <c r="N84" s="13">
        <v>0</v>
      </c>
      <c r="O84" s="14">
        <f>IFERROR(N84/N329, "NA")</f>
      </c>
      <c r="P84" s="15"/>
      <c r="Q84" s="13">
        <v>0</v>
      </c>
      <c r="R84" s="14">
        <f>IFERROR(Q84/Q329, "NA")</f>
      </c>
    </row>
    <row r="85" ht="16.5" customHeight="1">
      <c t="s" r="A85" s="22">
        <v>89</v>
      </c>
      <c r="B85" s="13">
        <v>0</v>
      </c>
      <c r="C85" s="14">
        <f>IFERROR(B85/B329, "NA")</f>
      </c>
      <c r="D85" s="15"/>
      <c r="E85" s="13">
        <v>0</v>
      </c>
      <c r="F85" s="14">
        <f>IFERROR(E85/E329, "NA")</f>
      </c>
      <c r="G85" s="15"/>
      <c r="H85" s="13">
        <v>0</v>
      </c>
      <c r="I85" s="14">
        <f>IFERROR(H85/H329, "NA")</f>
      </c>
      <c r="J85" s="15"/>
      <c r="K85" s="13">
        <v>0</v>
      </c>
      <c r="L85" s="14">
        <f>IFERROR(K85/K329, "NA")</f>
      </c>
      <c r="M85" s="15"/>
      <c r="N85" s="13">
        <v>0</v>
      </c>
      <c r="O85" s="14">
        <f>IFERROR(N85/N329, "NA")</f>
      </c>
      <c r="P85" s="15"/>
      <c r="Q85" s="13">
        <v>0</v>
      </c>
      <c r="R85" s="14">
        <f>IFERROR(Q85/Q329, "NA")</f>
      </c>
    </row>
    <row r="86" ht="16.5" customHeight="1">
      <c t="s" r="A86" s="22">
        <v>90</v>
      </c>
      <c r="B86" s="13">
        <v>0</v>
      </c>
      <c r="C86" s="14">
        <f>IFERROR(B86/B329, "NA")</f>
      </c>
      <c r="D86" s="15"/>
      <c r="E86" s="13">
        <v>0</v>
      </c>
      <c r="F86" s="14">
        <f>IFERROR(E86/E329, "NA")</f>
      </c>
      <c r="G86" s="15"/>
      <c r="H86" s="13">
        <v>0</v>
      </c>
      <c r="I86" s="14">
        <f>IFERROR(H86/H329, "NA")</f>
      </c>
      <c r="J86" s="15"/>
      <c r="K86" s="13">
        <v>0</v>
      </c>
      <c r="L86" s="14">
        <f>IFERROR(K86/K329, "NA")</f>
      </c>
      <c r="M86" s="15"/>
      <c r="N86" s="13">
        <v>0</v>
      </c>
      <c r="O86" s="14">
        <f>IFERROR(N86/N329, "NA")</f>
      </c>
      <c r="P86" s="15"/>
      <c r="Q86" s="13">
        <v>0</v>
      </c>
      <c r="R86" s="14">
        <f>IFERROR(Q86/Q329, "NA")</f>
      </c>
    </row>
    <row r="87" ht="16.5" customHeight="1">
      <c t="s" r="A87" s="22">
        <v>91</v>
      </c>
      <c r="B87" s="13">
        <v>0</v>
      </c>
      <c r="C87" s="14">
        <f>IFERROR(B87/B329, "NA")</f>
      </c>
      <c r="D87" s="15"/>
      <c r="E87" s="13">
        <v>0</v>
      </c>
      <c r="F87" s="14">
        <f>IFERROR(E87/E329, "NA")</f>
      </c>
      <c r="G87" s="15"/>
      <c r="H87" s="13">
        <v>0</v>
      </c>
      <c r="I87" s="14">
        <f>IFERROR(H87/H329, "NA")</f>
      </c>
      <c r="J87" s="15"/>
      <c r="K87" s="13">
        <v>0</v>
      </c>
      <c r="L87" s="14">
        <f>IFERROR(K87/K329, "NA")</f>
      </c>
      <c r="M87" s="15"/>
      <c r="N87" s="13">
        <v>0</v>
      </c>
      <c r="O87" s="14">
        <f>IFERROR(N87/N329, "NA")</f>
      </c>
      <c r="P87" s="15"/>
      <c r="Q87" s="13">
        <v>0</v>
      </c>
      <c r="R87" s="14">
        <f>IFERROR(Q87/Q329, "NA")</f>
      </c>
    </row>
    <row r="88" ht="16.5" customHeight="1">
      <c t="s" r="A88" s="22">
        <v>92</v>
      </c>
      <c r="B88" s="13">
        <v>0</v>
      </c>
      <c r="C88" s="14">
        <f>IFERROR(B88/B329, "NA")</f>
      </c>
      <c r="D88" s="15"/>
      <c r="E88" s="13">
        <v>0</v>
      </c>
      <c r="F88" s="14">
        <f>IFERROR(E88/E329, "NA")</f>
      </c>
      <c r="G88" s="15"/>
      <c r="H88" s="13">
        <v>0</v>
      </c>
      <c r="I88" s="14">
        <f>IFERROR(H88/H329, "NA")</f>
      </c>
      <c r="J88" s="15"/>
      <c r="K88" s="13">
        <v>0</v>
      </c>
      <c r="L88" s="14">
        <f>IFERROR(K88/K329, "NA")</f>
      </c>
      <c r="M88" s="15"/>
      <c r="N88" s="13">
        <v>0</v>
      </c>
      <c r="O88" s="14">
        <f>IFERROR(N88/N329, "NA")</f>
      </c>
      <c r="P88" s="15"/>
      <c r="Q88" s="13">
        <v>0</v>
      </c>
      <c r="R88" s="14">
        <f>IFERROR(Q88/Q329, "NA")</f>
      </c>
    </row>
    <row r="89" ht="16.5" customHeight="1">
      <c t="s" r="A89" s="22">
        <v>93</v>
      </c>
      <c r="B89" s="13">
        <v>0</v>
      </c>
      <c r="C89" s="14">
        <f>IFERROR(B89/B329, "NA")</f>
      </c>
      <c r="D89" s="15"/>
      <c r="E89" s="13">
        <v>0</v>
      </c>
      <c r="F89" s="14">
        <f>IFERROR(E89/E329, "NA")</f>
      </c>
      <c r="G89" s="15"/>
      <c r="H89" s="13">
        <v>0</v>
      </c>
      <c r="I89" s="14">
        <f>IFERROR(H89/H329, "NA")</f>
      </c>
      <c r="J89" s="15"/>
      <c r="K89" s="13">
        <v>0</v>
      </c>
      <c r="L89" s="14">
        <f>IFERROR(K89/K329, "NA")</f>
      </c>
      <c r="M89" s="15"/>
      <c r="N89" s="13">
        <v>0</v>
      </c>
      <c r="O89" s="14">
        <f>IFERROR(N89/N329, "NA")</f>
      </c>
      <c r="P89" s="15"/>
      <c r="Q89" s="13">
        <v>0</v>
      </c>
      <c r="R89" s="14">
        <f>IFERROR(Q89/Q329, "NA")</f>
      </c>
    </row>
    <row r="90" ht="16.5" customHeight="1">
      <c t="s" r="A90" s="22">
        <v>94</v>
      </c>
      <c r="B90" s="13">
        <v>0</v>
      </c>
      <c r="C90" s="14">
        <f>IFERROR(B90/B329, "NA")</f>
      </c>
      <c r="D90" s="15"/>
      <c r="E90" s="13">
        <v>0</v>
      </c>
      <c r="F90" s="14">
        <f>IFERROR(E90/E329, "NA")</f>
      </c>
      <c r="G90" s="15"/>
      <c r="H90" s="13">
        <v>0</v>
      </c>
      <c r="I90" s="14">
        <f>IFERROR(H90/H329, "NA")</f>
      </c>
      <c r="J90" s="15"/>
      <c r="K90" s="13">
        <v>0</v>
      </c>
      <c r="L90" s="14">
        <f>IFERROR(K90/K329, "NA")</f>
      </c>
      <c r="M90" s="15"/>
      <c r="N90" s="13">
        <v>0</v>
      </c>
      <c r="O90" s="14">
        <f>IFERROR(N90/N329, "NA")</f>
      </c>
      <c r="P90" s="15"/>
      <c r="Q90" s="13">
        <v>0</v>
      </c>
      <c r="R90" s="14">
        <f>IFERROR(Q90/Q329, "NA")</f>
      </c>
    </row>
    <row r="91" ht="16.5" customHeight="1">
      <c t="s" r="A91" s="22">
        <v>95</v>
      </c>
      <c r="B91" s="13">
        <v>0</v>
      </c>
      <c r="C91" s="14">
        <f>IFERROR(B91/B329, "NA")</f>
      </c>
      <c r="D91" s="15"/>
      <c r="E91" s="13">
        <v>0</v>
      </c>
      <c r="F91" s="14">
        <f>IFERROR(E91/E329, "NA")</f>
      </c>
      <c r="G91" s="15"/>
      <c r="H91" s="13">
        <v>0</v>
      </c>
      <c r="I91" s="14">
        <f>IFERROR(H91/H329, "NA")</f>
      </c>
      <c r="J91" s="15"/>
      <c r="K91" s="13">
        <v>0</v>
      </c>
      <c r="L91" s="14">
        <f>IFERROR(K91/K329, "NA")</f>
      </c>
      <c r="M91" s="15"/>
      <c r="N91" s="13">
        <v>0</v>
      </c>
      <c r="O91" s="14">
        <f>IFERROR(N91/N329, "NA")</f>
      </c>
      <c r="P91" s="15"/>
      <c r="Q91" s="13">
        <v>0</v>
      </c>
      <c r="R91" s="14">
        <f>IFERROR(Q91/Q329, "NA")</f>
      </c>
    </row>
    <row r="92" ht="16.5" customHeight="1">
      <c t="s" r="A92" s="22">
        <v>96</v>
      </c>
      <c r="B92" s="13">
        <v>0</v>
      </c>
      <c r="C92" s="14">
        <f>IFERROR(B92/B329, "NA")</f>
      </c>
      <c r="D92" s="15"/>
      <c r="E92" s="13">
        <v>0</v>
      </c>
      <c r="F92" s="14">
        <f>IFERROR(E92/E329, "NA")</f>
      </c>
      <c r="G92" s="15"/>
      <c r="H92" s="13">
        <v>0</v>
      </c>
      <c r="I92" s="14">
        <f>IFERROR(H92/H329, "NA")</f>
      </c>
      <c r="J92" s="15"/>
      <c r="K92" s="13">
        <v>0</v>
      </c>
      <c r="L92" s="14">
        <f>IFERROR(K92/K329, "NA")</f>
      </c>
      <c r="M92" s="15"/>
      <c r="N92" s="13">
        <v>0</v>
      </c>
      <c r="O92" s="14">
        <f>IFERROR(N92/N329, "NA")</f>
      </c>
      <c r="P92" s="15"/>
      <c r="Q92" s="13">
        <v>0</v>
      </c>
      <c r="R92" s="14">
        <f>IFERROR(Q92/Q329, "NA")</f>
      </c>
    </row>
    <row r="93" ht="16.5" customHeight="1">
      <c t="s" r="A93" s="22">
        <v>97</v>
      </c>
      <c r="B93" s="13">
        <v>0</v>
      </c>
      <c r="C93" s="14">
        <f>IFERROR(B93/B329, "NA")</f>
      </c>
      <c r="D93" s="15"/>
      <c r="E93" s="13">
        <v>0</v>
      </c>
      <c r="F93" s="14">
        <f>IFERROR(E93/E329, "NA")</f>
      </c>
      <c r="G93" s="15"/>
      <c r="H93" s="13">
        <v>0</v>
      </c>
      <c r="I93" s="14">
        <f>IFERROR(H93/H329, "NA")</f>
      </c>
      <c r="J93" s="15"/>
      <c r="K93" s="13">
        <v>0</v>
      </c>
      <c r="L93" s="14">
        <f>IFERROR(K93/K329, "NA")</f>
      </c>
      <c r="M93" s="15"/>
      <c r="N93" s="13">
        <v>0</v>
      </c>
      <c r="O93" s="14">
        <f>IFERROR(N93/N329, "NA")</f>
      </c>
      <c r="P93" s="15"/>
      <c r="Q93" s="13">
        <v>0</v>
      </c>
      <c r="R93" s="14">
        <f>IFERROR(Q93/Q329, "NA")</f>
      </c>
    </row>
    <row r="94" ht="16.5" customHeight="1">
      <c t="s" r="A94" s="22">
        <v>98</v>
      </c>
      <c r="B94" s="13">
        <v>0</v>
      </c>
      <c r="C94" s="14">
        <f>IFERROR(B94/B329, "NA")</f>
      </c>
      <c r="D94" s="15"/>
      <c r="E94" s="13">
        <v>0</v>
      </c>
      <c r="F94" s="14">
        <f>IFERROR(E94/E329, "NA")</f>
      </c>
      <c r="G94" s="15"/>
      <c r="H94" s="13">
        <v>0</v>
      </c>
      <c r="I94" s="14">
        <f>IFERROR(H94/H329, "NA")</f>
      </c>
      <c r="J94" s="15"/>
      <c r="K94" s="13">
        <v>0</v>
      </c>
      <c r="L94" s="14">
        <f>IFERROR(K94/K329, "NA")</f>
      </c>
      <c r="M94" s="15"/>
      <c r="N94" s="13">
        <v>0</v>
      </c>
      <c r="O94" s="14">
        <f>IFERROR(N94/N329, "NA")</f>
      </c>
      <c r="P94" s="15"/>
      <c r="Q94" s="13">
        <v>0</v>
      </c>
      <c r="R94" s="14">
        <f>IFERROR(Q94/Q329, "NA")</f>
      </c>
    </row>
    <row r="95" ht="16.5" customHeight="1">
      <c t="s" r="A95" s="22">
        <v>99</v>
      </c>
      <c r="B95" s="13">
        <v>0</v>
      </c>
      <c r="C95" s="14">
        <f>IFERROR(B95/B329, "NA")</f>
      </c>
      <c r="D95" s="15"/>
      <c r="E95" s="13">
        <v>0</v>
      </c>
      <c r="F95" s="14">
        <f>IFERROR(E95/E329, "NA")</f>
      </c>
      <c r="G95" s="15"/>
      <c r="H95" s="13">
        <v>0</v>
      </c>
      <c r="I95" s="14">
        <f>IFERROR(H95/H329, "NA")</f>
      </c>
      <c r="J95" s="15"/>
      <c r="K95" s="13">
        <v>0</v>
      </c>
      <c r="L95" s="14">
        <f>IFERROR(K95/K329, "NA")</f>
      </c>
      <c r="M95" s="15"/>
      <c r="N95" s="13">
        <v>0</v>
      </c>
      <c r="O95" s="14">
        <f>IFERROR(N95/N329, "NA")</f>
      </c>
      <c r="P95" s="15"/>
      <c r="Q95" s="13">
        <v>0</v>
      </c>
      <c r="R95" s="14">
        <f>IFERROR(Q95/Q329, "NA")</f>
      </c>
    </row>
    <row r="96" ht="16.5" customHeight="1">
      <c t="s" r="A96" s="22">
        <v>100</v>
      </c>
      <c r="B96" s="13">
        <v>0</v>
      </c>
      <c r="C96" s="14">
        <f>IFERROR(B96/B329, "NA")</f>
      </c>
      <c r="D96" s="15"/>
      <c r="E96" s="13">
        <v>0</v>
      </c>
      <c r="F96" s="14">
        <f>IFERROR(E96/E329, "NA")</f>
      </c>
      <c r="G96" s="15"/>
      <c r="H96" s="13">
        <v>0</v>
      </c>
      <c r="I96" s="14">
        <f>IFERROR(H96/H329, "NA")</f>
      </c>
      <c r="J96" s="15"/>
      <c r="K96" s="13">
        <v>0</v>
      </c>
      <c r="L96" s="14">
        <f>IFERROR(K96/K329, "NA")</f>
      </c>
      <c r="M96" s="15"/>
      <c r="N96" s="13">
        <v>0</v>
      </c>
      <c r="O96" s="14">
        <f>IFERROR(N96/N329, "NA")</f>
      </c>
      <c r="P96" s="15"/>
      <c r="Q96" s="13">
        <v>0</v>
      </c>
      <c r="R96" s="14">
        <f>IFERROR(Q96/Q329, "NA")</f>
      </c>
    </row>
    <row r="97" ht="16.5" customHeight="1">
      <c t="s" r="A97" s="22">
        <v>101</v>
      </c>
      <c r="B97" s="13">
        <v>447.92000000000002</v>
      </c>
      <c r="C97" s="14">
        <f>IFERROR(B97/B329, "NA")</f>
      </c>
      <c r="D97" s="15"/>
      <c r="E97" s="13">
        <v>4055.0900000000001</v>
      </c>
      <c r="F97" s="14">
        <f>IFERROR(E97/E329, "NA")</f>
      </c>
      <c r="G97" s="15"/>
      <c r="H97" s="13">
        <v>1321.6700000000001</v>
      </c>
      <c r="I97" s="14">
        <f>IFERROR(H97/H329, "NA")</f>
      </c>
      <c r="J97" s="15"/>
      <c r="K97" s="13">
        <v>2195.0799999999999</v>
      </c>
      <c r="L97" s="14">
        <f>IFERROR(K97/K329, "NA")</f>
      </c>
      <c r="M97" s="15"/>
      <c r="N97" s="13">
        <v>1537.5</v>
      </c>
      <c r="O97" s="14">
        <f>IFERROR(N97/N329, "NA")</f>
      </c>
      <c r="P97" s="15"/>
      <c r="Q97" s="13">
        <v>1550</v>
      </c>
      <c r="R97" s="14">
        <f>IFERROR(Q97/Q329, "NA")</f>
      </c>
    </row>
    <row r="98" ht="16.5" customHeight="1">
      <c t="s" r="A98" s="22">
        <v>102</v>
      </c>
      <c r="B98" s="13">
        <v>857</v>
      </c>
      <c r="C98" s="14">
        <f>IFERROR(B98/B329, "NA")</f>
      </c>
      <c r="D98" s="15"/>
      <c r="E98" s="13">
        <v>743</v>
      </c>
      <c r="F98" s="14">
        <f>IFERROR(E98/E329, "NA")</f>
      </c>
      <c r="G98" s="15"/>
      <c r="H98" s="13">
        <v>217</v>
      </c>
      <c r="I98" s="14">
        <f>IFERROR(H98/H329, "NA")</f>
      </c>
      <c r="J98" s="15"/>
      <c r="K98" s="13">
        <v>763</v>
      </c>
      <c r="L98" s="14">
        <f>IFERROR(K98/K329, "NA")</f>
      </c>
      <c r="M98" s="15"/>
      <c r="N98" s="13">
        <v>703</v>
      </c>
      <c r="O98" s="14">
        <f>IFERROR(N98/N329, "NA")</f>
      </c>
      <c r="P98" s="15"/>
      <c r="Q98" s="13">
        <v>0</v>
      </c>
      <c r="R98" s="14">
        <f>IFERROR(Q98/Q329, "NA")</f>
      </c>
    </row>
    <row r="99" ht="16.5" customHeight="1">
      <c t="s" r="A99" s="22">
        <v>103</v>
      </c>
      <c r="B99" s="13">
        <v>0</v>
      </c>
      <c r="C99" s="14">
        <f>IFERROR(B99/B329, "NA")</f>
      </c>
      <c r="D99" s="15"/>
      <c r="E99" s="13">
        <v>0</v>
      </c>
      <c r="F99" s="14">
        <f>IFERROR(E99/E329, "NA")</f>
      </c>
      <c r="G99" s="15"/>
      <c r="H99" s="13">
        <v>0</v>
      </c>
      <c r="I99" s="14">
        <f>IFERROR(H99/H329, "NA")</f>
      </c>
      <c r="J99" s="15"/>
      <c r="K99" s="13">
        <v>0</v>
      </c>
      <c r="L99" s="14">
        <f>IFERROR(K99/K329, "NA")</f>
      </c>
      <c r="M99" s="15"/>
      <c r="N99" s="13">
        <v>0</v>
      </c>
      <c r="O99" s="14">
        <f>IFERROR(N99/N329, "NA")</f>
      </c>
      <c r="P99" s="15"/>
      <c r="Q99" s="13">
        <v>0</v>
      </c>
      <c r="R99" s="14">
        <f>IFERROR(Q99/Q329, "NA")</f>
      </c>
    </row>
    <row r="100" ht="16.5" customHeight="1">
      <c t="s" r="A100" s="22">
        <v>104</v>
      </c>
      <c r="B100" s="13">
        <v>23.100000000000001</v>
      </c>
      <c r="C100" s="14">
        <f>IFERROR(B100/B329, "NA")</f>
      </c>
      <c r="D100" s="15"/>
      <c r="E100" s="13">
        <v>-23.100000000000001</v>
      </c>
      <c r="F100" s="14">
        <f>IFERROR(E100/E329, "NA")</f>
      </c>
      <c r="G100" s="15"/>
      <c r="H100" s="13">
        <v>0</v>
      </c>
      <c r="I100" s="14">
        <f>IFERROR(H100/H329, "NA")</f>
      </c>
      <c r="J100" s="15"/>
      <c r="K100" s="13">
        <v>0</v>
      </c>
      <c r="L100" s="14">
        <f>IFERROR(K100/K329, "NA")</f>
      </c>
      <c r="M100" s="15"/>
      <c r="N100" s="13">
        <v>0</v>
      </c>
      <c r="O100" s="14">
        <f>IFERROR(N100/N329, "NA")</f>
      </c>
      <c r="P100" s="15"/>
      <c r="Q100" s="13">
        <v>0</v>
      </c>
      <c r="R100" s="14">
        <f>IFERROR(Q100/Q329, "NA")</f>
      </c>
    </row>
    <row r="101" ht="16.5" customHeight="1">
      <c t="s" r="A101" s="22">
        <v>105</v>
      </c>
      <c r="B101" s="13">
        <v>0</v>
      </c>
      <c r="C101" s="14">
        <f>IFERROR(B101/B329, "NA")</f>
      </c>
      <c r="D101" s="15"/>
      <c r="E101" s="13">
        <v>0</v>
      </c>
      <c r="F101" s="14">
        <f>IFERROR(E101/E329, "NA")</f>
      </c>
      <c r="G101" s="15"/>
      <c r="H101" s="13">
        <v>0</v>
      </c>
      <c r="I101" s="14">
        <f>IFERROR(H101/H329, "NA")</f>
      </c>
      <c r="J101" s="15"/>
      <c r="K101" s="13">
        <v>0</v>
      </c>
      <c r="L101" s="14">
        <f>IFERROR(K101/K329, "NA")</f>
      </c>
      <c r="M101" s="15"/>
      <c r="N101" s="13">
        <v>0</v>
      </c>
      <c r="O101" s="14">
        <f>IFERROR(N101/N329, "NA")</f>
      </c>
      <c r="P101" s="15"/>
      <c r="Q101" s="13">
        <v>0</v>
      </c>
      <c r="R101" s="14">
        <f>IFERROR(Q101/Q329, "NA")</f>
      </c>
    </row>
    <row r="102" ht="16.5" customHeight="1">
      <c t="s" r="A102" s="22">
        <v>106</v>
      </c>
      <c r="B102" s="13">
        <v>0</v>
      </c>
      <c r="C102" s="14">
        <f>IFERROR(B102/B329, "NA")</f>
      </c>
      <c r="D102" s="15"/>
      <c r="E102" s="13">
        <v>0</v>
      </c>
      <c r="F102" s="14">
        <f>IFERROR(E102/E329, "NA")</f>
      </c>
      <c r="G102" s="15"/>
      <c r="H102" s="13">
        <v>0</v>
      </c>
      <c r="I102" s="14">
        <f>IFERROR(H102/H329, "NA")</f>
      </c>
      <c r="J102" s="15"/>
      <c r="K102" s="13">
        <v>0</v>
      </c>
      <c r="L102" s="14">
        <f>IFERROR(K102/K329, "NA")</f>
      </c>
      <c r="M102" s="15"/>
      <c r="N102" s="13">
        <v>0</v>
      </c>
      <c r="O102" s="14">
        <f>IFERROR(N102/N329, "NA")</f>
      </c>
      <c r="P102" s="15"/>
      <c r="Q102" s="13">
        <v>0</v>
      </c>
      <c r="R102" s="14">
        <f>IFERROR(Q102/Q329, "NA")</f>
      </c>
    </row>
    <row r="103" ht="16.5" customHeight="1">
      <c t="s" r="A103" s="22">
        <v>107</v>
      </c>
      <c r="B103" s="13">
        <v>0</v>
      </c>
      <c r="C103" s="14">
        <f>IFERROR(B103/B329, "NA")</f>
      </c>
      <c r="D103" s="15"/>
      <c r="E103" s="13">
        <v>0</v>
      </c>
      <c r="F103" s="14">
        <f>IFERROR(E103/E329, "NA")</f>
      </c>
      <c r="G103" s="15"/>
      <c r="H103" s="13">
        <v>0</v>
      </c>
      <c r="I103" s="14">
        <f>IFERROR(H103/H329, "NA")</f>
      </c>
      <c r="J103" s="15"/>
      <c r="K103" s="13">
        <v>0</v>
      </c>
      <c r="L103" s="14">
        <f>IFERROR(K103/K329, "NA")</f>
      </c>
      <c r="M103" s="15"/>
      <c r="N103" s="13">
        <v>0</v>
      </c>
      <c r="O103" s="14">
        <f>IFERROR(N103/N329, "NA")</f>
      </c>
      <c r="P103" s="15"/>
      <c r="Q103" s="13">
        <v>10.6</v>
      </c>
      <c r="R103" s="14">
        <f>IFERROR(Q103/Q329, "NA")</f>
      </c>
    </row>
    <row r="104" ht="16.5" customHeight="1">
      <c t="s" r="A104" s="22">
        <v>108</v>
      </c>
      <c r="B104" s="13">
        <v>0</v>
      </c>
      <c r="C104" s="14">
        <f>IFERROR(B104/B329, "NA")</f>
      </c>
      <c r="D104" s="15"/>
      <c r="E104" s="13">
        <v>0</v>
      </c>
      <c r="F104" s="14">
        <f>IFERROR(E104/E329, "NA")</f>
      </c>
      <c r="G104" s="15"/>
      <c r="H104" s="13">
        <v>0</v>
      </c>
      <c r="I104" s="14">
        <f>IFERROR(H104/H329, "NA")</f>
      </c>
      <c r="J104" s="15"/>
      <c r="K104" s="13">
        <v>0</v>
      </c>
      <c r="L104" s="14">
        <f>IFERROR(K104/K329, "NA")</f>
      </c>
      <c r="M104" s="15"/>
      <c r="N104" s="13">
        <v>0</v>
      </c>
      <c r="O104" s="14">
        <f>IFERROR(N104/N329, "NA")</f>
      </c>
      <c r="P104" s="15"/>
      <c r="Q104" s="13">
        <v>0</v>
      </c>
      <c r="R104" s="14">
        <f>IFERROR(Q104/Q329, "NA")</f>
      </c>
    </row>
    <row r="105" ht="16.5" customHeight="1">
      <c t="s" r="A105" s="22">
        <v>109</v>
      </c>
      <c r="B105" s="13">
        <v>0</v>
      </c>
      <c r="C105" s="14">
        <f>IFERROR(B105/B329, "NA")</f>
      </c>
      <c r="D105" s="15"/>
      <c r="E105" s="13">
        <v>0</v>
      </c>
      <c r="F105" s="14">
        <f>IFERROR(E105/E329, "NA")</f>
      </c>
      <c r="G105" s="15"/>
      <c r="H105" s="13">
        <v>0</v>
      </c>
      <c r="I105" s="14">
        <f>IFERROR(H105/H329, "NA")</f>
      </c>
      <c r="J105" s="15"/>
      <c r="K105" s="13">
        <v>0</v>
      </c>
      <c r="L105" s="14">
        <f>IFERROR(K105/K329, "NA")</f>
      </c>
      <c r="M105" s="15"/>
      <c r="N105" s="13">
        <v>0</v>
      </c>
      <c r="O105" s="14">
        <f>IFERROR(N105/N329, "NA")</f>
      </c>
      <c r="P105" s="15"/>
      <c r="Q105" s="13">
        <v>0</v>
      </c>
      <c r="R105" s="14">
        <f>IFERROR(Q105/Q329, "NA")</f>
      </c>
    </row>
    <row r="106" ht="16.5" customHeight="1">
      <c t="s" r="A106" s="22">
        <v>110</v>
      </c>
      <c r="B106" s="13">
        <v>53.649999999999999</v>
      </c>
      <c r="C106" s="14">
        <f>IFERROR(B106/B329, "NA")</f>
      </c>
      <c r="D106" s="15"/>
      <c r="E106" s="13">
        <v>-53.649999999999999</v>
      </c>
      <c r="F106" s="14">
        <f>IFERROR(E106/E329, "NA")</f>
      </c>
      <c r="G106" s="15"/>
      <c r="H106" s="13">
        <v>0</v>
      </c>
      <c r="I106" s="14">
        <f>IFERROR(H106/H329, "NA")</f>
      </c>
      <c r="J106" s="15"/>
      <c r="K106" s="13">
        <v>0</v>
      </c>
      <c r="L106" s="14">
        <f>IFERROR(K106/K329, "NA")</f>
      </c>
      <c r="M106" s="15"/>
      <c r="N106" s="13">
        <v>41.100000000000001</v>
      </c>
      <c r="O106" s="14">
        <f>IFERROR(N106/N329, "NA")</f>
      </c>
      <c r="P106" s="15"/>
      <c r="Q106" s="13">
        <v>1.8</v>
      </c>
      <c r="R106" s="14">
        <f>IFERROR(Q106/Q329, "NA")</f>
      </c>
    </row>
    <row r="107" ht="16.5" customHeight="1">
      <c t="s" r="A107" s="22">
        <v>111</v>
      </c>
      <c r="B107" s="13">
        <v>0</v>
      </c>
      <c r="C107" s="14">
        <f>IFERROR(B107/B329, "NA")</f>
      </c>
      <c r="D107" s="15"/>
      <c r="E107" s="13">
        <v>0</v>
      </c>
      <c r="F107" s="14">
        <f>IFERROR(E107/E329, "NA")</f>
      </c>
      <c r="G107" s="15"/>
      <c r="H107" s="13">
        <v>0</v>
      </c>
      <c r="I107" s="14">
        <f>IFERROR(H107/H329, "NA")</f>
      </c>
      <c r="J107" s="15"/>
      <c r="K107" s="13">
        <v>0</v>
      </c>
      <c r="L107" s="14">
        <f>IFERROR(K107/K329, "NA")</f>
      </c>
      <c r="M107" s="15"/>
      <c r="N107" s="13">
        <v>0</v>
      </c>
      <c r="O107" s="14">
        <f>IFERROR(N107/N329, "NA")</f>
      </c>
      <c r="P107" s="15"/>
      <c r="Q107" s="13">
        <v>0</v>
      </c>
      <c r="R107" s="14">
        <f>IFERROR(Q107/Q329, "NA")</f>
      </c>
    </row>
    <row r="108" ht="16.5" customHeight="1">
      <c t="s" r="A108" s="22">
        <v>112</v>
      </c>
      <c r="B108" s="13">
        <v>39.600000000000001</v>
      </c>
      <c r="C108" s="14">
        <f>IFERROR(B108/B329, "NA")</f>
      </c>
      <c r="D108" s="15"/>
      <c r="E108" s="13">
        <v>-39.600000000000001</v>
      </c>
      <c r="F108" s="14">
        <f>IFERROR(E108/E329, "NA")</f>
      </c>
      <c r="G108" s="15"/>
      <c r="H108" s="13">
        <v>0</v>
      </c>
      <c r="I108" s="14">
        <f>IFERROR(H108/H329, "NA")</f>
      </c>
      <c r="J108" s="15"/>
      <c r="K108" s="13">
        <v>0</v>
      </c>
      <c r="L108" s="14">
        <f>IFERROR(K108/K329, "NA")</f>
      </c>
      <c r="M108" s="15"/>
      <c r="N108" s="13">
        <v>17.399999999999999</v>
      </c>
      <c r="O108" s="14">
        <f>IFERROR(N108/N329, "NA")</f>
      </c>
      <c r="P108" s="15"/>
      <c r="Q108" s="13">
        <v>0</v>
      </c>
      <c r="R108" s="14">
        <f>IFERROR(Q108/Q329, "NA")</f>
      </c>
    </row>
    <row r="109" ht="16.5" customHeight="1">
      <c t="s" r="A109" s="22">
        <v>113</v>
      </c>
      <c r="B109" s="13">
        <v>0</v>
      </c>
      <c r="C109" s="14">
        <f>IFERROR(B109/B329, "NA")</f>
      </c>
      <c r="D109" s="15"/>
      <c r="E109" s="13">
        <v>0</v>
      </c>
      <c r="F109" s="14">
        <f>IFERROR(E109/E329, "NA")</f>
      </c>
      <c r="G109" s="15"/>
      <c r="H109" s="13">
        <v>0</v>
      </c>
      <c r="I109" s="14">
        <f>IFERROR(H109/H329, "NA")</f>
      </c>
      <c r="J109" s="15"/>
      <c r="K109" s="13">
        <v>0</v>
      </c>
      <c r="L109" s="14">
        <f>IFERROR(K109/K329, "NA")</f>
      </c>
      <c r="M109" s="15"/>
      <c r="N109" s="13">
        <v>0</v>
      </c>
      <c r="O109" s="14">
        <f>IFERROR(N109/N329, "NA")</f>
      </c>
      <c r="P109" s="15"/>
      <c r="Q109" s="13">
        <v>0</v>
      </c>
      <c r="R109" s="14">
        <f>IFERROR(Q109/Q329, "NA")</f>
      </c>
    </row>
    <row r="110" ht="16.5" customHeight="1">
      <c t="s" r="A110" s="22">
        <v>114</v>
      </c>
      <c r="B110" s="13">
        <v>190</v>
      </c>
      <c r="C110" s="14">
        <f>IFERROR(B110/B329, "NA")</f>
      </c>
      <c r="D110" s="15"/>
      <c r="E110" s="13">
        <v>1597.7</v>
      </c>
      <c r="F110" s="14">
        <f>IFERROR(E110/E329, "NA")</f>
      </c>
      <c r="G110" s="15"/>
      <c r="H110" s="13">
        <v>378</v>
      </c>
      <c r="I110" s="14">
        <f>IFERROR(H110/H329, "NA")</f>
      </c>
      <c r="J110" s="15"/>
      <c r="K110" s="13">
        <v>0</v>
      </c>
      <c r="L110" s="14">
        <f>IFERROR(K110/K329, "NA")</f>
      </c>
      <c r="M110" s="15"/>
      <c r="N110" s="13">
        <v>0</v>
      </c>
      <c r="O110" s="14">
        <f>IFERROR(N110/N329, "NA")</f>
      </c>
      <c r="P110" s="15"/>
      <c r="Q110" s="13">
        <v>0</v>
      </c>
      <c r="R110" s="14">
        <f>IFERROR(Q110/Q329, "NA")</f>
      </c>
    </row>
    <row r="111" ht="16.5" customHeight="1">
      <c t="s" r="A111" s="22">
        <v>115</v>
      </c>
      <c r="B111" s="13">
        <v>0</v>
      </c>
      <c r="C111" s="14">
        <f>IFERROR(B111/B329, "NA")</f>
      </c>
      <c r="D111" s="15"/>
      <c r="E111" s="13">
        <v>0</v>
      </c>
      <c r="F111" s="14">
        <f>IFERROR(E111/E329, "NA")</f>
      </c>
      <c r="G111" s="15"/>
      <c r="H111" s="13">
        <v>0</v>
      </c>
      <c r="I111" s="14">
        <f>IFERROR(H111/H329, "NA")</f>
      </c>
      <c r="J111" s="15"/>
      <c r="K111" s="13">
        <v>0</v>
      </c>
      <c r="L111" s="14">
        <f>IFERROR(K111/K329, "NA")</f>
      </c>
      <c r="M111" s="15"/>
      <c r="N111" s="13">
        <v>0</v>
      </c>
      <c r="O111" s="14">
        <f>IFERROR(N111/N329, "NA")</f>
      </c>
      <c r="P111" s="15"/>
      <c r="Q111" s="13">
        <v>0</v>
      </c>
      <c r="R111" s="14">
        <f>IFERROR(Q111/Q329, "NA")</f>
      </c>
    </row>
    <row r="112" ht="16.5" customHeight="1">
      <c t="s" r="A112" s="22">
        <v>116</v>
      </c>
      <c r="B112" s="13">
        <v>118.43000000000001</v>
      </c>
      <c r="C112" s="14">
        <f>IFERROR(B112/B329, "NA")</f>
      </c>
      <c r="D112" s="15"/>
      <c r="E112" s="13">
        <v>1627.29</v>
      </c>
      <c r="F112" s="14">
        <f>IFERROR(E112/E329, "NA")</f>
      </c>
      <c r="G112" s="15"/>
      <c r="H112" s="13">
        <v>476.86000000000001</v>
      </c>
      <c r="I112" s="14">
        <f>IFERROR(H112/H329, "NA")</f>
      </c>
      <c r="J112" s="15"/>
      <c r="K112" s="13">
        <v>831.46000000000004</v>
      </c>
      <c r="L112" s="14">
        <f>IFERROR(K112/K329, "NA")</f>
      </c>
      <c r="M112" s="15"/>
      <c r="N112" s="13">
        <v>918.57000000000005</v>
      </c>
      <c r="O112" s="14">
        <f>IFERROR(N112/N329, "NA")</f>
      </c>
      <c r="P112" s="15"/>
      <c r="Q112" s="13">
        <v>870.11000000000001</v>
      </c>
      <c r="R112" s="14">
        <f>IFERROR(Q112/Q329, "NA")</f>
      </c>
    </row>
    <row r="113" ht="16.5" customHeight="1">
      <c t="s" r="A113" s="22">
        <v>117</v>
      </c>
      <c r="B113" s="13">
        <v>0</v>
      </c>
      <c r="C113" s="14">
        <f>IFERROR(B113/B329, "NA")</f>
      </c>
      <c r="D113" s="15"/>
      <c r="E113" s="13">
        <v>0</v>
      </c>
      <c r="F113" s="14">
        <f>IFERROR(E113/E329, "NA")</f>
      </c>
      <c r="G113" s="15"/>
      <c r="H113" s="13">
        <v>0</v>
      </c>
      <c r="I113" s="14">
        <f>IFERROR(H113/H329, "NA")</f>
      </c>
      <c r="J113" s="15"/>
      <c r="K113" s="13">
        <v>0</v>
      </c>
      <c r="L113" s="14">
        <f>IFERROR(K113/K329, "NA")</f>
      </c>
      <c r="M113" s="15"/>
      <c r="N113" s="13">
        <v>0</v>
      </c>
      <c r="O113" s="14">
        <f>IFERROR(N113/N329, "NA")</f>
      </c>
      <c r="P113" s="15"/>
      <c r="Q113" s="13">
        <v>0</v>
      </c>
      <c r="R113" s="14">
        <f>IFERROR(Q113/Q329, "NA")</f>
      </c>
    </row>
    <row r="114" ht="16.5" customHeight="1">
      <c t="s" r="A114" s="22">
        <v>118</v>
      </c>
      <c r="B114" s="13">
        <v>0</v>
      </c>
      <c r="C114" s="14">
        <f>IFERROR(B114/B329, "NA")</f>
      </c>
      <c r="D114" s="15"/>
      <c r="E114" s="13">
        <v>110.25</v>
      </c>
      <c r="F114" s="14">
        <f>IFERROR(E114/E329, "NA")</f>
      </c>
      <c r="G114" s="15"/>
      <c r="H114" s="13">
        <v>760.67999999999995</v>
      </c>
      <c r="I114" s="14">
        <f>IFERROR(H114/H329, "NA")</f>
      </c>
      <c r="J114" s="15"/>
      <c r="K114" s="13">
        <v>438.14999999999998</v>
      </c>
      <c r="L114" s="14">
        <f>IFERROR(K114/K329, "NA")</f>
      </c>
      <c r="M114" s="15"/>
      <c r="N114" s="13">
        <v>111.5</v>
      </c>
      <c r="O114" s="14">
        <f>IFERROR(N114/N329, "NA")</f>
      </c>
      <c r="P114" s="15"/>
      <c r="Q114" s="13">
        <v>46.149999999999999</v>
      </c>
      <c r="R114" s="14">
        <f>IFERROR(Q114/Q329, "NA")</f>
      </c>
    </row>
    <row r="115" ht="16.5" customHeight="1">
      <c t="s" r="A115" s="22">
        <v>119</v>
      </c>
      <c r="B115" s="13">
        <v>0</v>
      </c>
      <c r="C115" s="14">
        <f>IFERROR(B115/B329, "NA")</f>
      </c>
      <c r="D115" s="15"/>
      <c r="E115" s="13">
        <v>0</v>
      </c>
      <c r="F115" s="14">
        <f>IFERROR(E115/E329, "NA")</f>
      </c>
      <c r="G115" s="15"/>
      <c r="H115" s="13">
        <v>0</v>
      </c>
      <c r="I115" s="14">
        <f>IFERROR(H115/H329, "NA")</f>
      </c>
      <c r="J115" s="15"/>
      <c r="K115" s="13">
        <v>0</v>
      </c>
      <c r="L115" s="14">
        <f>IFERROR(K115/K329, "NA")</f>
      </c>
      <c r="M115" s="15"/>
      <c r="N115" s="13">
        <v>0</v>
      </c>
      <c r="O115" s="14">
        <f>IFERROR(N115/N329, "NA")</f>
      </c>
      <c r="P115" s="15"/>
      <c r="Q115" s="13">
        <v>0</v>
      </c>
      <c r="R115" s="14">
        <f>IFERROR(Q115/Q329, "NA")</f>
      </c>
    </row>
    <row r="116" ht="16.5" customHeight="1">
      <c t="s" r="A116" s="22">
        <v>120</v>
      </c>
      <c r="B116" s="13">
        <v>0</v>
      </c>
      <c r="C116" s="14">
        <f>IFERROR(B116/B329, "NA")</f>
      </c>
      <c r="D116" s="15"/>
      <c r="E116" s="13">
        <v>0</v>
      </c>
      <c r="F116" s="14">
        <f>IFERROR(E116/E329, "NA")</f>
      </c>
      <c r="G116" s="15"/>
      <c r="H116" s="13">
        <v>0</v>
      </c>
      <c r="I116" s="14">
        <f>IFERROR(H116/H329, "NA")</f>
      </c>
      <c r="J116" s="15"/>
      <c r="K116" s="13">
        <v>0</v>
      </c>
      <c r="L116" s="14">
        <f>IFERROR(K116/K329, "NA")</f>
      </c>
      <c r="M116" s="15"/>
      <c r="N116" s="13">
        <v>0</v>
      </c>
      <c r="O116" s="14">
        <f>IFERROR(N116/N329, "NA")</f>
      </c>
      <c r="P116" s="15"/>
      <c r="Q116" s="13">
        <v>0</v>
      </c>
      <c r="R116" s="14">
        <f>IFERROR(Q116/Q329, "NA")</f>
      </c>
    </row>
    <row r="117" ht="16.5" customHeight="1">
      <c t="s" r="A117" s="22">
        <v>121</v>
      </c>
      <c r="B117" s="13">
        <v>0</v>
      </c>
      <c r="C117" s="14">
        <f>IFERROR(B117/B329, "NA")</f>
      </c>
      <c r="D117" s="15"/>
      <c r="E117" s="13">
        <v>0</v>
      </c>
      <c r="F117" s="14">
        <f>IFERROR(E117/E329, "NA")</f>
      </c>
      <c r="G117" s="15"/>
      <c r="H117" s="13">
        <v>0</v>
      </c>
      <c r="I117" s="14">
        <f>IFERROR(H117/H329, "NA")</f>
      </c>
      <c r="J117" s="15"/>
      <c r="K117" s="13">
        <v>0</v>
      </c>
      <c r="L117" s="14">
        <f>IFERROR(K117/K329, "NA")</f>
      </c>
      <c r="M117" s="15"/>
      <c r="N117" s="13">
        <v>0</v>
      </c>
      <c r="O117" s="14">
        <f>IFERROR(N117/N329, "NA")</f>
      </c>
      <c r="P117" s="15"/>
      <c r="Q117" s="13">
        <v>0</v>
      </c>
      <c r="R117" s="14">
        <f>IFERROR(Q117/Q329, "NA")</f>
      </c>
    </row>
    <row r="118" ht="16.5" customHeight="1">
      <c t="s" r="A118" s="22">
        <v>122</v>
      </c>
      <c r="B118" s="13">
        <v>0</v>
      </c>
      <c r="C118" s="14">
        <f>IFERROR(B118/B329, "NA")</f>
      </c>
      <c r="D118" s="15"/>
      <c r="E118" s="13">
        <v>815.48000000000002</v>
      </c>
      <c r="F118" s="14">
        <f>IFERROR(E118/E329, "NA")</f>
      </c>
      <c r="G118" s="15"/>
      <c r="H118" s="13">
        <v>0</v>
      </c>
      <c r="I118" s="14">
        <f>IFERROR(H118/H329, "NA")</f>
      </c>
      <c r="J118" s="15"/>
      <c r="K118" s="13">
        <v>3104.1100000000001</v>
      </c>
      <c r="L118" s="14">
        <f>IFERROR(K118/K329, "NA")</f>
      </c>
      <c r="M118" s="15"/>
      <c r="N118" s="13">
        <v>0</v>
      </c>
      <c r="O118" s="14">
        <f>IFERROR(N118/N329, "NA")</f>
      </c>
      <c r="P118" s="15"/>
      <c r="Q118" s="13">
        <v>0</v>
      </c>
      <c r="R118" s="14">
        <f>IFERROR(Q118/Q329, "NA")</f>
      </c>
    </row>
    <row r="119" ht="16.5" customHeight="1">
      <c t="s" r="A119" s="23">
        <v>123</v>
      </c>
      <c r="B119" s="17">
        <f>IFERROR(B84+B85+B86+B87+B88+B89+B90+B91+B92+B93+B94+B95+B96+B97+B98+B99+B100+B101+B102+B103+B104+B105+B106+B107+B108+B109+B110+B111+B112+B113+B114+B115+B116+B117+B118, "NA")</f>
      </c>
      <c r="C119" s="18">
        <f>IFERROR(B119/B329, "NA")</f>
      </c>
      <c r="D119" s="8"/>
      <c r="E119" s="17">
        <f>IFERROR(E84+E85+E86+E87+E88+E89+E90+E91+E92+E93+E94+E95+E96+E97+E98+E99+E100+E101+E102+E103+E104+E105+E106+E107+E108+E109+E110+E111+E112+E113+E114+E115+E116+E117+E118, "NA")</f>
      </c>
      <c r="F119" s="18">
        <f>IFERROR(E119/E329, "NA")</f>
      </c>
      <c r="G119" s="8"/>
      <c r="H119" s="17">
        <f>IFERROR(H84+H85+H86+H87+H88+H89+H90+H91+H92+H93+H94+H95+H96+H97+H98+H99+H100+H101+H102+H103+H104+H105+H106+H107+H108+H109+H110+H111+H112+H113+H114+H115+H116+H117+H118, "NA")</f>
      </c>
      <c r="I119" s="18">
        <f>IFERROR(H119/H329, "NA")</f>
      </c>
      <c r="J119" s="8"/>
      <c r="K119" s="17">
        <f>IFERROR(K84+K85+K86+K87+K88+K89+K90+K91+K92+K93+K94+K95+K96+K97+K98+K99+K100+K101+K102+K103+K104+K105+K106+K107+K108+K109+K110+K111+K112+K113+K114+K115+K116+K117+K118, "NA")</f>
      </c>
      <c r="L119" s="18">
        <f>IFERROR(K119/K329, "NA")</f>
      </c>
      <c r="M119" s="8"/>
      <c r="N119" s="17">
        <f>IFERROR(N84+N85+N86+N87+N88+N89+N90+N91+N92+N93+N94+N95+N96+N97+N98+N99+N100+N101+N102+N103+N104+N105+N106+N107+N108+N109+N110+N111+N112+N113+N114+N115+N116+N117+N118, "NA")</f>
      </c>
      <c r="O119" s="18">
        <f>IFERROR(N119/N329, "NA")</f>
      </c>
      <c r="P119" s="8"/>
      <c r="Q119" s="17">
        <f>IFERROR(Q84+Q85+Q86+Q87+Q88+Q89+Q90+Q91+Q92+Q93+Q94+Q95+Q96+Q97+Q98+Q99+Q100+Q101+Q102+Q103+Q104+Q105+Q106+Q107+Q108+Q109+Q110+Q111+Q112+Q113+Q114+Q115+Q116+Q117+Q118, "NA")</f>
      </c>
      <c r="R119" s="18">
        <f>IFERROR(Q119/Q329, "NA")</f>
      </c>
    </row>
    <row r="120" ht="16.5" customHeight="1">
      <c t="s" r="A120" s="16">
        <v>124</v>
      </c>
      <c r="B120" s="17">
        <f>IFERROR(B82+B84+B85+B86+B87+B88+B89+B90+B91+B92+B93+B94+B95+B96+B97+B98+B99+B100+B101+B102+B103+B104+B105+B106+B107+B108+B109+B110+B111+B112+B113+B114+B115+B116+B117+B118, "NA")</f>
      </c>
      <c r="C120" s="18">
        <f>IFERROR(B120/B329, "NA")</f>
      </c>
      <c r="D120" s="8"/>
      <c r="E120" s="17">
        <f>IFERROR(E82+E84+E85+E86+E87+E88+E89+E90+E91+E92+E93+E94+E95+E96+E97+E98+E99+E100+E101+E102+E103+E104+E105+E106+E107+E108+E109+E110+E111+E112+E113+E114+E115+E116+E117+E118, "NA")</f>
      </c>
      <c r="F120" s="18">
        <f>IFERROR(E120/E329, "NA")</f>
      </c>
      <c r="G120" s="8"/>
      <c r="H120" s="17">
        <f>IFERROR(H82+H84+H85+H86+H87+H88+H89+H90+H91+H92+H93+H94+H95+H96+H97+H98+H99+H100+H101+H102+H103+H104+H105+H106+H107+H108+H109+H110+H111+H112+H113+H114+H115+H116+H117+H118, "NA")</f>
      </c>
      <c r="I120" s="18">
        <f>IFERROR(H120/H329, "NA")</f>
      </c>
      <c r="J120" s="8"/>
      <c r="K120" s="17">
        <f>IFERROR(K82+K84+K85+K86+K87+K88+K89+K90+K91+K92+K93+K94+K95+K96+K97+K98+K99+K100+K101+K102+K103+K104+K105+K106+K107+K108+K109+K110+K111+K112+K113+K114+K115+K116+K117+K118, "NA")</f>
      </c>
      <c r="L120" s="18">
        <f>IFERROR(K120/K329, "NA")</f>
      </c>
      <c r="M120" s="8"/>
      <c r="N120" s="17">
        <f>IFERROR(N82+N84+N85+N86+N87+N88+N89+N90+N91+N92+N93+N94+N95+N96+N97+N98+N99+N100+N101+N102+N103+N104+N105+N106+N107+N108+N109+N110+N111+N112+N113+N114+N115+N116+N117+N118, "NA")</f>
      </c>
      <c r="O120" s="18">
        <f>IFERROR(N120/N329, "NA")</f>
      </c>
      <c r="P120" s="8"/>
      <c r="Q120" s="17">
        <f>IFERROR(Q82+Q84+Q85+Q86+Q87+Q88+Q89+Q90+Q91+Q92+Q93+Q94+Q95+Q96+Q97+Q98+Q99+Q100+Q101+Q102+Q103+Q104+Q105+Q106+Q107+Q108+Q109+Q110+Q111+Q112+Q113+Q114+Q115+Q116+Q117+Q118, "NA")</f>
      </c>
      <c r="R120" s="18">
        <f>IFERROR(Q120/Q329, "NA")</f>
      </c>
    </row>
    <row r="121" ht="16.5" customHeight="1">
      <c t="s" r="A121" s="11">
        <v>125</v>
      </c>
      <c r="B121" s="8"/>
      <c r="C121" s="9"/>
      <c r="D121" s="10"/>
      <c r="E121" s="8"/>
      <c r="F121" s="9"/>
      <c r="G121" s="10"/>
      <c r="H121" s="8"/>
      <c r="I121" s="9"/>
      <c r="J121" s="10"/>
      <c r="K121" s="8"/>
      <c r="L121" s="9"/>
      <c r="M121" s="10"/>
      <c r="N121" s="8"/>
      <c r="O121" s="9"/>
      <c r="P121" s="10"/>
      <c r="Q121" s="8"/>
      <c r="R121" s="9"/>
    </row>
    <row r="122" ht="16.5" customHeight="1">
      <c t="s" r="A122" s="12">
        <v>126</v>
      </c>
      <c r="B122" s="13">
        <v>0</v>
      </c>
      <c r="C122" s="14">
        <f>IFERROR(B122/B329, "NA")</f>
      </c>
      <c r="D122" s="15"/>
      <c r="E122" s="13">
        <v>0</v>
      </c>
      <c r="F122" s="14">
        <f>IFERROR(E122/E329, "NA")</f>
      </c>
      <c r="G122" s="15"/>
      <c r="H122" s="13">
        <v>0</v>
      </c>
      <c r="I122" s="14">
        <f>IFERROR(H122/H329, "NA")</f>
      </c>
      <c r="J122" s="15"/>
      <c r="K122" s="13">
        <v>0</v>
      </c>
      <c r="L122" s="14">
        <f>IFERROR(K122/K329, "NA")</f>
      </c>
      <c r="M122" s="15"/>
      <c r="N122" s="13">
        <v>0</v>
      </c>
      <c r="O122" s="14">
        <f>IFERROR(N122/N329, "NA")</f>
      </c>
      <c r="P122" s="15"/>
      <c r="Q122" s="13">
        <v>0</v>
      </c>
      <c r="R122" s="14">
        <f>IFERROR(Q122/Q329, "NA")</f>
      </c>
    </row>
    <row r="123" ht="16.5" customHeight="1">
      <c t="s" r="A123" s="12">
        <v>127</v>
      </c>
      <c r="B123" s="13">
        <v>7134.6300000000001</v>
      </c>
      <c r="C123" s="14">
        <f>IFERROR(B123/B329, "NA")</f>
      </c>
      <c r="D123" s="15"/>
      <c r="E123" s="13">
        <v>4913.4700000000003</v>
      </c>
      <c r="F123" s="14">
        <f>IFERROR(E123/E329, "NA")</f>
      </c>
      <c r="G123" s="15"/>
      <c r="H123" s="13">
        <v>471.14999999999998</v>
      </c>
      <c r="I123" s="14">
        <f>IFERROR(H123/H329, "NA")</f>
      </c>
      <c r="J123" s="15"/>
      <c r="K123" s="13">
        <v>4913.4700000000003</v>
      </c>
      <c r="L123" s="14">
        <f>IFERROR(K123/K329, "NA")</f>
      </c>
      <c r="M123" s="15"/>
      <c r="N123" s="13">
        <v>471.14999999999998</v>
      </c>
      <c r="O123" s="14">
        <f>IFERROR(N123/N329, "NA")</f>
      </c>
      <c r="P123" s="15"/>
      <c r="Q123" s="13">
        <v>-2692.3099999999999</v>
      </c>
      <c r="R123" s="14">
        <f>IFERROR(Q123/Q329, "NA")</f>
      </c>
    </row>
    <row r="124" ht="16.5" customHeight="1">
      <c t="s" r="A124" s="12">
        <v>128</v>
      </c>
      <c r="B124" s="13">
        <v>0</v>
      </c>
      <c r="C124" s="14">
        <f>IFERROR(B124/B329, "NA")</f>
      </c>
      <c r="D124" s="15"/>
      <c r="E124" s="13">
        <v>0</v>
      </c>
      <c r="F124" s="14">
        <f>IFERROR(E124/E329, "NA")</f>
      </c>
      <c r="G124" s="15"/>
      <c r="H124" s="13">
        <v>0</v>
      </c>
      <c r="I124" s="14">
        <f>IFERROR(H124/H329, "NA")</f>
      </c>
      <c r="J124" s="15"/>
      <c r="K124" s="13">
        <v>4442.3199999999997</v>
      </c>
      <c r="L124" s="14">
        <f>IFERROR(K124/K329, "NA")</f>
      </c>
      <c r="M124" s="15"/>
      <c r="N124" s="13">
        <v>4442.3199999999997</v>
      </c>
      <c r="O124" s="14">
        <f>IFERROR(N124/N329, "NA")</f>
      </c>
      <c r="P124" s="15"/>
      <c r="Q124" s="13">
        <v>0</v>
      </c>
      <c r="R124" s="14">
        <f>IFERROR(Q124/Q329, "NA")</f>
      </c>
    </row>
    <row r="125" ht="30.75" customHeight="1">
      <c t="s" r="A125" s="12">
        <v>129</v>
      </c>
      <c r="B125" s="13">
        <v>0</v>
      </c>
      <c r="C125" s="14">
        <f>IFERROR(B125/B329, "NA")</f>
      </c>
      <c r="D125" s="15"/>
      <c r="E125" s="13">
        <v>0</v>
      </c>
      <c r="F125" s="14">
        <f>IFERROR(E125/E329, "NA")</f>
      </c>
      <c r="G125" s="15"/>
      <c r="H125" s="13">
        <v>0</v>
      </c>
      <c r="I125" s="14">
        <f>IFERROR(H125/H329, "NA")</f>
      </c>
      <c r="J125" s="15"/>
      <c r="K125" s="13">
        <v>0</v>
      </c>
      <c r="L125" s="14">
        <f>IFERROR(K125/K329, "NA")</f>
      </c>
      <c r="M125" s="15"/>
      <c r="N125" s="13">
        <v>0</v>
      </c>
      <c r="O125" s="14">
        <f>IFERROR(N125/N329, "NA")</f>
      </c>
      <c r="P125" s="15"/>
      <c r="Q125" s="13">
        <v>0</v>
      </c>
      <c r="R125" s="14">
        <f>IFERROR(Q125/Q329, "NA")</f>
      </c>
    </row>
    <row r="126" ht="16.5" customHeight="1">
      <c t="s" r="A126" s="12">
        <v>130</v>
      </c>
      <c r="B126" s="13">
        <v>0</v>
      </c>
      <c r="C126" s="14">
        <f>IFERROR(B126/B329, "NA")</f>
      </c>
      <c r="D126" s="15"/>
      <c r="E126" s="13">
        <v>0</v>
      </c>
      <c r="F126" s="14">
        <f>IFERROR(E126/E329, "NA")</f>
      </c>
      <c r="G126" s="15"/>
      <c r="H126" s="13">
        <v>0</v>
      </c>
      <c r="I126" s="14">
        <f>IFERROR(H126/H329, "NA")</f>
      </c>
      <c r="J126" s="15"/>
      <c r="K126" s="13">
        <v>0</v>
      </c>
      <c r="L126" s="14">
        <f>IFERROR(K126/K329, "NA")</f>
      </c>
      <c r="M126" s="15"/>
      <c r="N126" s="13">
        <v>0</v>
      </c>
      <c r="O126" s="14">
        <f>IFERROR(N126/N329, "NA")</f>
      </c>
      <c r="P126" s="15"/>
      <c r="Q126" s="13">
        <v>0</v>
      </c>
      <c r="R126" s="14">
        <f>IFERROR(Q126/Q329, "NA")</f>
      </c>
    </row>
    <row r="127" ht="16.5" customHeight="1">
      <c t="s" r="A127" s="12">
        <v>131</v>
      </c>
      <c r="B127" s="13">
        <v>0</v>
      </c>
      <c r="C127" s="14">
        <f>IFERROR(B127/B329, "NA")</f>
      </c>
      <c r="D127" s="15"/>
      <c r="E127" s="13">
        <v>0</v>
      </c>
      <c r="F127" s="14">
        <f>IFERROR(E127/E329, "NA")</f>
      </c>
      <c r="G127" s="15"/>
      <c r="H127" s="13">
        <v>0</v>
      </c>
      <c r="I127" s="14">
        <f>IFERROR(H127/H329, "NA")</f>
      </c>
      <c r="J127" s="15"/>
      <c r="K127" s="13">
        <v>0</v>
      </c>
      <c r="L127" s="14">
        <f>IFERROR(K127/K329, "NA")</f>
      </c>
      <c r="M127" s="15"/>
      <c r="N127" s="13">
        <v>0</v>
      </c>
      <c r="O127" s="14">
        <f>IFERROR(N127/N329, "NA")</f>
      </c>
      <c r="P127" s="15"/>
      <c r="Q127" s="13">
        <v>0</v>
      </c>
      <c r="R127" s="14">
        <f>IFERROR(Q127/Q329, "NA")</f>
      </c>
    </row>
    <row r="128" ht="16.5" customHeight="1">
      <c t="s" r="A128" s="12">
        <v>132</v>
      </c>
      <c r="B128" s="13">
        <v>0</v>
      </c>
      <c r="C128" s="14">
        <f>IFERROR(B128/B329, "NA")</f>
      </c>
      <c r="D128" s="15"/>
      <c r="E128" s="13">
        <v>0</v>
      </c>
      <c r="F128" s="14">
        <f>IFERROR(E128/E329, "NA")</f>
      </c>
      <c r="G128" s="15"/>
      <c r="H128" s="13">
        <v>0</v>
      </c>
      <c r="I128" s="14">
        <f>IFERROR(H128/H329, "NA")</f>
      </c>
      <c r="J128" s="15"/>
      <c r="K128" s="13">
        <v>0</v>
      </c>
      <c r="L128" s="14">
        <f>IFERROR(K128/K329, "NA")</f>
      </c>
      <c r="M128" s="15"/>
      <c r="N128" s="13">
        <v>0</v>
      </c>
      <c r="O128" s="14">
        <f>IFERROR(N128/N329, "NA")</f>
      </c>
      <c r="P128" s="15"/>
      <c r="Q128" s="13">
        <v>0</v>
      </c>
      <c r="R128" s="14">
        <f>IFERROR(Q128/Q329, "NA")</f>
      </c>
    </row>
    <row r="129" ht="16.5" customHeight="1">
      <c t="s" r="A129" s="12">
        <v>133</v>
      </c>
      <c r="B129" s="13">
        <v>0</v>
      </c>
      <c r="C129" s="14">
        <f>IFERROR(B129/B329, "NA")</f>
      </c>
      <c r="D129" s="15"/>
      <c r="E129" s="13">
        <v>0</v>
      </c>
      <c r="F129" s="14">
        <f>IFERROR(E129/E329, "NA")</f>
      </c>
      <c r="G129" s="15"/>
      <c r="H129" s="13">
        <v>0</v>
      </c>
      <c r="I129" s="14">
        <f>IFERROR(H129/H329, "NA")</f>
      </c>
      <c r="J129" s="15"/>
      <c r="K129" s="13">
        <v>0</v>
      </c>
      <c r="L129" s="14">
        <f>IFERROR(K129/K329, "NA")</f>
      </c>
      <c r="M129" s="15"/>
      <c r="N129" s="13">
        <v>0</v>
      </c>
      <c r="O129" s="14">
        <f>IFERROR(N129/N329, "NA")</f>
      </c>
      <c r="P129" s="15"/>
      <c r="Q129" s="13">
        <v>0</v>
      </c>
      <c r="R129" s="14">
        <f>IFERROR(Q129/Q329, "NA")</f>
      </c>
    </row>
    <row r="130" ht="16.5" customHeight="1">
      <c t="s" r="A130" s="12">
        <v>134</v>
      </c>
      <c r="B130" s="13">
        <v>0</v>
      </c>
      <c r="C130" s="14">
        <f>IFERROR(B130/B329, "NA")</f>
      </c>
      <c r="D130" s="15"/>
      <c r="E130" s="13">
        <v>0</v>
      </c>
      <c r="F130" s="14">
        <f>IFERROR(E130/E329, "NA")</f>
      </c>
      <c r="G130" s="15"/>
      <c r="H130" s="13">
        <v>0</v>
      </c>
      <c r="I130" s="14">
        <f>IFERROR(H130/H329, "NA")</f>
      </c>
      <c r="J130" s="15"/>
      <c r="K130" s="13">
        <v>0</v>
      </c>
      <c r="L130" s="14">
        <f>IFERROR(K130/K329, "NA")</f>
      </c>
      <c r="M130" s="15"/>
      <c r="N130" s="13">
        <v>0</v>
      </c>
      <c r="O130" s="14">
        <f>IFERROR(N130/N329, "NA")</f>
      </c>
      <c r="P130" s="15"/>
      <c r="Q130" s="13">
        <v>0</v>
      </c>
      <c r="R130" s="14">
        <f>IFERROR(Q130/Q329, "NA")</f>
      </c>
    </row>
    <row r="131" ht="16.5" customHeight="1">
      <c t="s" r="A131" s="12">
        <v>135</v>
      </c>
      <c r="B131" s="13">
        <v>0</v>
      </c>
      <c r="C131" s="14">
        <f>IFERROR(B131/B329, "NA")</f>
      </c>
      <c r="D131" s="15"/>
      <c r="E131" s="13">
        <v>0</v>
      </c>
      <c r="F131" s="14">
        <f>IFERROR(E131/E329, "NA")</f>
      </c>
      <c r="G131" s="15"/>
      <c r="H131" s="13">
        <v>0</v>
      </c>
      <c r="I131" s="14">
        <f>IFERROR(H131/H329, "NA")</f>
      </c>
      <c r="J131" s="15"/>
      <c r="K131" s="13">
        <v>0</v>
      </c>
      <c r="L131" s="14">
        <f>IFERROR(K131/K329, "NA")</f>
      </c>
      <c r="M131" s="15"/>
      <c r="N131" s="13">
        <v>0</v>
      </c>
      <c r="O131" s="14">
        <f>IFERROR(N131/N329, "NA")</f>
      </c>
      <c r="P131" s="15"/>
      <c r="Q131" s="13">
        <v>0</v>
      </c>
      <c r="R131" s="14">
        <f>IFERROR(Q131/Q329, "NA")</f>
      </c>
    </row>
    <row r="132" ht="16.5" customHeight="1">
      <c t="s" r="A132" s="12">
        <v>136</v>
      </c>
      <c r="B132" s="13">
        <v>0</v>
      </c>
      <c r="C132" s="14">
        <f>IFERROR(B132/B329, "NA")</f>
      </c>
      <c r="D132" s="15"/>
      <c r="E132" s="13">
        <v>0</v>
      </c>
      <c r="F132" s="14">
        <f>IFERROR(E132/E329, "NA")</f>
      </c>
      <c r="G132" s="15"/>
      <c r="H132" s="13">
        <v>0</v>
      </c>
      <c r="I132" s="14">
        <f>IFERROR(H132/H329, "NA")</f>
      </c>
      <c r="J132" s="15"/>
      <c r="K132" s="13">
        <v>0</v>
      </c>
      <c r="L132" s="14">
        <f>IFERROR(K132/K329, "NA")</f>
      </c>
      <c r="M132" s="15"/>
      <c r="N132" s="13">
        <v>0</v>
      </c>
      <c r="O132" s="14">
        <f>IFERROR(N132/N329, "NA")</f>
      </c>
      <c r="P132" s="15"/>
      <c r="Q132" s="13">
        <v>0</v>
      </c>
      <c r="R132" s="14">
        <f>IFERROR(Q132/Q329, "NA")</f>
      </c>
    </row>
    <row r="133" ht="16.5" customHeight="1">
      <c t="s" r="A133" s="12">
        <v>137</v>
      </c>
      <c r="B133" s="13">
        <v>0</v>
      </c>
      <c r="C133" s="14">
        <f>IFERROR(B133/B329, "NA")</f>
      </c>
      <c r="D133" s="15"/>
      <c r="E133" s="13">
        <v>0</v>
      </c>
      <c r="F133" s="14">
        <f>IFERROR(E133/E329, "NA")</f>
      </c>
      <c r="G133" s="15"/>
      <c r="H133" s="13">
        <v>0</v>
      </c>
      <c r="I133" s="14">
        <f>IFERROR(H133/H329, "NA")</f>
      </c>
      <c r="J133" s="15"/>
      <c r="K133" s="13">
        <v>0</v>
      </c>
      <c r="L133" s="14">
        <f>IFERROR(K133/K329, "NA")</f>
      </c>
      <c r="M133" s="15"/>
      <c r="N133" s="13">
        <v>0</v>
      </c>
      <c r="O133" s="14">
        <f>IFERROR(N133/N329, "NA")</f>
      </c>
      <c r="P133" s="15"/>
      <c r="Q133" s="13">
        <v>0</v>
      </c>
      <c r="R133" s="14">
        <f>IFERROR(Q133/Q329, "NA")</f>
      </c>
    </row>
    <row r="134" ht="16.5" customHeight="1">
      <c t="s" r="A134" s="12">
        <v>138</v>
      </c>
      <c r="B134" s="13">
        <v>0</v>
      </c>
      <c r="C134" s="14">
        <f>IFERROR(B134/B329, "NA")</f>
      </c>
      <c r="D134" s="15"/>
      <c r="E134" s="13">
        <v>0</v>
      </c>
      <c r="F134" s="14">
        <f>IFERROR(E134/E329, "NA")</f>
      </c>
      <c r="G134" s="15"/>
      <c r="H134" s="13">
        <v>0</v>
      </c>
      <c r="I134" s="14">
        <f>IFERROR(H134/H329, "NA")</f>
      </c>
      <c r="J134" s="15"/>
      <c r="K134" s="13">
        <v>0</v>
      </c>
      <c r="L134" s="14">
        <f>IFERROR(K134/K329, "NA")</f>
      </c>
      <c r="M134" s="15"/>
      <c r="N134" s="13">
        <v>0</v>
      </c>
      <c r="O134" s="14">
        <f>IFERROR(N134/N329, "NA")</f>
      </c>
      <c r="P134" s="15"/>
      <c r="Q134" s="13">
        <v>0</v>
      </c>
      <c r="R134" s="14">
        <f>IFERROR(Q134/Q329, "NA")</f>
      </c>
    </row>
    <row r="135" ht="16.5" customHeight="1">
      <c t="s" r="A135" s="12">
        <v>139</v>
      </c>
      <c r="B135" s="13">
        <v>0</v>
      </c>
      <c r="C135" s="14">
        <f>IFERROR(B135/B329, "NA")</f>
      </c>
      <c r="D135" s="15"/>
      <c r="E135" s="13">
        <v>0</v>
      </c>
      <c r="F135" s="14">
        <f>IFERROR(E135/E329, "NA")</f>
      </c>
      <c r="G135" s="15"/>
      <c r="H135" s="13">
        <v>0</v>
      </c>
      <c r="I135" s="14">
        <f>IFERROR(H135/H329, "NA")</f>
      </c>
      <c r="J135" s="15"/>
      <c r="K135" s="13">
        <v>0</v>
      </c>
      <c r="L135" s="14">
        <f>IFERROR(K135/K329, "NA")</f>
      </c>
      <c r="M135" s="15"/>
      <c r="N135" s="13">
        <v>0</v>
      </c>
      <c r="O135" s="14">
        <f>IFERROR(N135/N329, "NA")</f>
      </c>
      <c r="P135" s="15"/>
      <c r="Q135" s="13">
        <v>0</v>
      </c>
      <c r="R135" s="14">
        <f>IFERROR(Q135/Q329, "NA")</f>
      </c>
    </row>
    <row r="136" ht="16.5" customHeight="1">
      <c t="s" r="A136" s="12">
        <v>140</v>
      </c>
      <c r="B136" s="13">
        <v>0</v>
      </c>
      <c r="C136" s="14">
        <f>IFERROR(B136/B329, "NA")</f>
      </c>
      <c r="D136" s="15"/>
      <c r="E136" s="13">
        <v>0</v>
      </c>
      <c r="F136" s="14">
        <f>IFERROR(E136/E329, "NA")</f>
      </c>
      <c r="G136" s="15"/>
      <c r="H136" s="13">
        <v>0</v>
      </c>
      <c r="I136" s="14">
        <f>IFERROR(H136/H329, "NA")</f>
      </c>
      <c r="J136" s="15"/>
      <c r="K136" s="13">
        <v>0</v>
      </c>
      <c r="L136" s="14">
        <f>IFERROR(K136/K329, "NA")</f>
      </c>
      <c r="M136" s="15"/>
      <c r="N136" s="13">
        <v>0</v>
      </c>
      <c r="O136" s="14">
        <f>IFERROR(N136/N329, "NA")</f>
      </c>
      <c r="P136" s="15"/>
      <c r="Q136" s="13">
        <v>0</v>
      </c>
      <c r="R136" s="14">
        <f>IFERROR(Q136/Q329, "NA")</f>
      </c>
    </row>
    <row r="137" ht="16.5" customHeight="1">
      <c t="s" r="A137" s="12">
        <v>141</v>
      </c>
      <c r="B137" s="13">
        <v>0</v>
      </c>
      <c r="C137" s="14">
        <f>IFERROR(B137/B329, "NA")</f>
      </c>
      <c r="D137" s="15"/>
      <c r="E137" s="13">
        <v>0</v>
      </c>
      <c r="F137" s="14">
        <f>IFERROR(E137/E329, "NA")</f>
      </c>
      <c r="G137" s="15"/>
      <c r="H137" s="13">
        <v>0</v>
      </c>
      <c r="I137" s="14">
        <f>IFERROR(H137/H329, "NA")</f>
      </c>
      <c r="J137" s="15"/>
      <c r="K137" s="13">
        <v>0</v>
      </c>
      <c r="L137" s="14">
        <f>IFERROR(K137/K329, "NA")</f>
      </c>
      <c r="M137" s="15"/>
      <c r="N137" s="13">
        <v>0</v>
      </c>
      <c r="O137" s="14">
        <f>IFERROR(N137/N329, "NA")</f>
      </c>
      <c r="P137" s="15"/>
      <c r="Q137" s="13">
        <v>0</v>
      </c>
      <c r="R137" s="14">
        <f>IFERROR(Q137/Q329, "NA")</f>
      </c>
    </row>
    <row r="138" ht="16.5" customHeight="1">
      <c t="s" r="A138" s="12">
        <v>142</v>
      </c>
      <c r="B138" s="13">
        <v>0</v>
      </c>
      <c r="C138" s="14">
        <f>IFERROR(B138/B329, "NA")</f>
      </c>
      <c r="D138" s="15"/>
      <c r="E138" s="13">
        <v>0</v>
      </c>
      <c r="F138" s="14">
        <f>IFERROR(E138/E329, "NA")</f>
      </c>
      <c r="G138" s="15"/>
      <c r="H138" s="13">
        <v>0</v>
      </c>
      <c r="I138" s="14">
        <f>IFERROR(H138/H329, "NA")</f>
      </c>
      <c r="J138" s="15"/>
      <c r="K138" s="13">
        <v>0</v>
      </c>
      <c r="L138" s="14">
        <f>IFERROR(K138/K329, "NA")</f>
      </c>
      <c r="M138" s="15"/>
      <c r="N138" s="13">
        <v>0</v>
      </c>
      <c r="O138" s="14">
        <f>IFERROR(N138/N329, "NA")</f>
      </c>
      <c r="P138" s="15"/>
      <c r="Q138" s="13">
        <v>0</v>
      </c>
      <c r="R138" s="14">
        <f>IFERROR(Q138/Q329, "NA")</f>
      </c>
    </row>
    <row r="139" ht="16.5" customHeight="1">
      <c t="s" r="A139" s="12">
        <v>143</v>
      </c>
      <c r="B139" s="13">
        <v>6478.6899999999996</v>
      </c>
      <c r="C139" s="14">
        <f>IFERROR(B139/B329, "NA")</f>
      </c>
      <c r="D139" s="15"/>
      <c r="E139" s="13">
        <v>6478.6899999999996</v>
      </c>
      <c r="F139" s="14">
        <f>IFERROR(E139/E329, "NA")</f>
      </c>
      <c r="G139" s="15"/>
      <c r="H139" s="13">
        <v>6478.6899999999996</v>
      </c>
      <c r="I139" s="14">
        <f>IFERROR(H139/H329, "NA")</f>
      </c>
      <c r="J139" s="15"/>
      <c r="K139" s="13">
        <v>6478.6899999999996</v>
      </c>
      <c r="L139" s="14">
        <f>IFERROR(K139/K329, "NA")</f>
      </c>
      <c r="M139" s="15"/>
      <c r="N139" s="13">
        <v>7272.1099999999997</v>
      </c>
      <c r="O139" s="14">
        <f>IFERROR(N139/N329, "NA")</f>
      </c>
      <c r="P139" s="15"/>
      <c r="Q139" s="13">
        <v>7272.1099999999997</v>
      </c>
      <c r="R139" s="14">
        <f>IFERROR(Q139/Q329, "NA")</f>
      </c>
    </row>
    <row r="140" ht="16.5" customHeight="1">
      <c t="s" r="A140" s="12">
        <v>144</v>
      </c>
      <c r="B140" s="13">
        <v>0</v>
      </c>
      <c r="C140" s="14">
        <f>IFERROR(B140/B329, "NA")</f>
      </c>
      <c r="D140" s="15"/>
      <c r="E140" s="13">
        <v>0</v>
      </c>
      <c r="F140" s="14">
        <f>IFERROR(E140/E329, "NA")</f>
      </c>
      <c r="G140" s="15"/>
      <c r="H140" s="13">
        <v>0</v>
      </c>
      <c r="I140" s="14">
        <f>IFERROR(H140/H329, "NA")</f>
      </c>
      <c r="J140" s="15"/>
      <c r="K140" s="13">
        <v>0</v>
      </c>
      <c r="L140" s="14">
        <f>IFERROR(K140/K329, "NA")</f>
      </c>
      <c r="M140" s="15"/>
      <c r="N140" s="13">
        <v>0</v>
      </c>
      <c r="O140" s="14">
        <f>IFERROR(N140/N329, "NA")</f>
      </c>
      <c r="P140" s="15"/>
      <c r="Q140" s="13">
        <v>0</v>
      </c>
      <c r="R140" s="14">
        <f>IFERROR(Q140/Q329, "NA")</f>
      </c>
    </row>
    <row r="141" ht="16.5" customHeight="1">
      <c t="s" r="A141" s="12">
        <v>145</v>
      </c>
      <c r="B141" s="13">
        <v>0</v>
      </c>
      <c r="C141" s="14">
        <f>IFERROR(B141/B329, "NA")</f>
      </c>
      <c r="D141" s="15"/>
      <c r="E141" s="13">
        <v>0</v>
      </c>
      <c r="F141" s="14">
        <f>IFERROR(E141/E329, "NA")</f>
      </c>
      <c r="G141" s="15"/>
      <c r="H141" s="13">
        <v>0</v>
      </c>
      <c r="I141" s="14">
        <f>IFERROR(H141/H329, "NA")</f>
      </c>
      <c r="J141" s="15"/>
      <c r="K141" s="13">
        <v>0</v>
      </c>
      <c r="L141" s="14">
        <f>IFERROR(K141/K329, "NA")</f>
      </c>
      <c r="M141" s="15"/>
      <c r="N141" s="13">
        <v>0</v>
      </c>
      <c r="O141" s="14">
        <f>IFERROR(N141/N329, "NA")</f>
      </c>
      <c r="P141" s="15"/>
      <c r="Q141" s="13">
        <v>0</v>
      </c>
      <c r="R141" s="14">
        <f>IFERROR(Q141/Q329, "NA")</f>
      </c>
    </row>
    <row r="142" ht="16.5" customHeight="1">
      <c t="s" r="A142" s="12">
        <v>146</v>
      </c>
      <c r="B142" s="13">
        <v>0</v>
      </c>
      <c r="C142" s="14">
        <f>IFERROR(B142/B329, "NA")</f>
      </c>
      <c r="D142" s="15"/>
      <c r="E142" s="13">
        <v>0</v>
      </c>
      <c r="F142" s="14">
        <f>IFERROR(E142/E329, "NA")</f>
      </c>
      <c r="G142" s="15"/>
      <c r="H142" s="13">
        <v>0</v>
      </c>
      <c r="I142" s="14">
        <f>IFERROR(H142/H329, "NA")</f>
      </c>
      <c r="J142" s="15"/>
      <c r="K142" s="13">
        <v>0</v>
      </c>
      <c r="L142" s="14">
        <f>IFERROR(K142/K329, "NA")</f>
      </c>
      <c r="M142" s="15"/>
      <c r="N142" s="13">
        <v>0</v>
      </c>
      <c r="O142" s="14">
        <f>IFERROR(N142/N329, "NA")</f>
      </c>
      <c r="P142" s="15"/>
      <c r="Q142" s="13">
        <v>0</v>
      </c>
      <c r="R142" s="14">
        <f>IFERROR(Q142/Q329, "NA")</f>
      </c>
    </row>
    <row r="143" ht="16.5" customHeight="1">
      <c t="s" r="A143" s="16">
        <v>147</v>
      </c>
      <c r="B143" s="17">
        <f>IFERROR(B122+B123+B124+B125+B126+B127+B128+B129+B130+B131+B132+B133+B134+B135+B136+B137+B138+B139+B140+B141+B142, "NA")</f>
      </c>
      <c r="C143" s="18">
        <f>IFERROR(B143/B329, "NA")</f>
      </c>
      <c r="D143" s="8"/>
      <c r="E143" s="17">
        <f>IFERROR(E122+E123+E124+E125+E126+E127+E128+E129+E130+E131+E132+E133+E134+E135+E136+E137+E138+E139+E140+E141+E142, "NA")</f>
      </c>
      <c r="F143" s="18">
        <f>IFERROR(E143/E329, "NA")</f>
      </c>
      <c r="G143" s="8"/>
      <c r="H143" s="17">
        <f>IFERROR(H122+H123+H124+H125+H126+H127+H128+H129+H130+H131+H132+H133+H134+H135+H136+H137+H138+H139+H140+H141+H142, "NA")</f>
      </c>
      <c r="I143" s="18">
        <f>IFERROR(H143/H329, "NA")</f>
      </c>
      <c r="J143" s="8"/>
      <c r="K143" s="17">
        <f>IFERROR(K122+K123+K124+K125+K126+K127+K128+K129+K130+K131+K132+K133+K134+K135+K136+K137+K138+K139+K140+K141+K142, "NA")</f>
      </c>
      <c r="L143" s="18">
        <f>IFERROR(K143/K329, "NA")</f>
      </c>
      <c r="M143" s="8"/>
      <c r="N143" s="17">
        <f>IFERROR(N122+N123+N124+N125+N126+N127+N128+N129+N130+N131+N132+N133+N134+N135+N136+N137+N138+N139+N140+N141+N142, "NA")</f>
      </c>
      <c r="O143" s="18">
        <f>IFERROR(N143/N329, "NA")</f>
      </c>
      <c r="P143" s="8"/>
      <c r="Q143" s="17">
        <f>IFERROR(Q122+Q123+Q124+Q125+Q126+Q127+Q128+Q129+Q130+Q131+Q132+Q133+Q134+Q135+Q136+Q137+Q138+Q139+Q140+Q141+Q142, "NA")</f>
      </c>
      <c r="R143" s="18">
        <f>IFERROR(Q143/Q329, "NA")</f>
      </c>
    </row>
    <row r="144" ht="16.5" customHeight="1">
      <c t="s" r="A144" s="11">
        <v>148</v>
      </c>
      <c r="B144" s="8"/>
      <c r="C144" s="9"/>
      <c r="D144" s="10"/>
      <c r="E144" s="8"/>
      <c r="F144" s="9"/>
      <c r="G144" s="10"/>
      <c r="H144" s="8"/>
      <c r="I144" s="9"/>
      <c r="J144" s="10"/>
      <c r="K144" s="8"/>
      <c r="L144" s="9"/>
      <c r="M144" s="10"/>
      <c r="N144" s="8"/>
      <c r="O144" s="9"/>
      <c r="P144" s="10"/>
      <c r="Q144" s="8"/>
      <c r="R144" s="9"/>
    </row>
    <row r="145" ht="16.5" customHeight="1">
      <c t="s" r="A145" s="12">
        <v>149</v>
      </c>
      <c r="B145" s="13">
        <v>0</v>
      </c>
      <c r="C145" s="14">
        <f>IFERROR(B145/B329, "NA")</f>
      </c>
      <c r="D145" s="15"/>
      <c r="E145" s="13">
        <v>0</v>
      </c>
      <c r="F145" s="14">
        <f>IFERROR(E145/E329, "NA")</f>
      </c>
      <c r="G145" s="15"/>
      <c r="H145" s="13">
        <v>0</v>
      </c>
      <c r="I145" s="14">
        <f>IFERROR(H145/H329, "NA")</f>
      </c>
      <c r="J145" s="15"/>
      <c r="K145" s="13">
        <v>0</v>
      </c>
      <c r="L145" s="14">
        <f>IFERROR(K145/K329, "NA")</f>
      </c>
      <c r="M145" s="15"/>
      <c r="N145" s="13">
        <v>0</v>
      </c>
      <c r="O145" s="14">
        <f>IFERROR(N145/N329, "NA")</f>
      </c>
      <c r="P145" s="15"/>
      <c r="Q145" s="13">
        <v>0</v>
      </c>
      <c r="R145" s="14">
        <f>IFERROR(Q145/Q329, "NA")</f>
      </c>
    </row>
    <row r="146" ht="16.5" customHeight="1">
      <c t="s" r="A146" s="12">
        <v>150</v>
      </c>
      <c r="B146" s="13">
        <v>3616.1700000000001</v>
      </c>
      <c r="C146" s="14">
        <f>IFERROR(B146/B329, "NA")</f>
      </c>
      <c r="D146" s="15"/>
      <c r="E146" s="13">
        <v>1344.79</v>
      </c>
      <c r="F146" s="14">
        <f>IFERROR(E146/E329, "NA")</f>
      </c>
      <c r="G146" s="15"/>
      <c r="H146" s="13">
        <v>5576.8999999999996</v>
      </c>
      <c r="I146" s="14">
        <f>IFERROR(H146/H329, "NA")</f>
      </c>
      <c r="J146" s="15"/>
      <c r="K146" s="13">
        <v>-1848.54</v>
      </c>
      <c r="L146" s="14">
        <f>IFERROR(K146/K329, "NA")</f>
      </c>
      <c r="M146" s="15"/>
      <c r="N146" s="13">
        <v>3154.5500000000002</v>
      </c>
      <c r="O146" s="14">
        <f>IFERROR(N146/N329, "NA")</f>
      </c>
      <c r="P146" s="15"/>
      <c r="Q146" s="13">
        <v>-3048.3099999999999</v>
      </c>
      <c r="R146" s="14">
        <f>IFERROR(Q146/Q329, "NA")</f>
      </c>
    </row>
    <row r="147" ht="16.5" customHeight="1">
      <c t="s" r="A147" s="12">
        <v>151</v>
      </c>
      <c r="B147" s="13">
        <v>1016.42</v>
      </c>
      <c r="C147" s="14">
        <f>IFERROR(B147/B329, "NA")</f>
      </c>
      <c r="D147" s="15"/>
      <c r="E147" s="13">
        <v>212.66999999999999</v>
      </c>
      <c r="F147" s="14">
        <f>IFERROR(E147/E329, "NA")</f>
      </c>
      <c r="G147" s="15"/>
      <c r="H147" s="13">
        <v>1048.72</v>
      </c>
      <c r="I147" s="14">
        <f>IFERROR(H147/H329, "NA")</f>
      </c>
      <c r="J147" s="15"/>
      <c r="K147" s="13">
        <v>-94.549999999999997</v>
      </c>
      <c r="L147" s="14">
        <f>IFERROR(K147/K329, "NA")</f>
      </c>
      <c r="M147" s="15"/>
      <c r="N147" s="13">
        <v>782.21000000000004</v>
      </c>
      <c r="O147" s="14">
        <f>IFERROR(N147/N329, "NA")</f>
      </c>
      <c r="P147" s="15"/>
      <c r="Q147" s="13">
        <v>-240.66</v>
      </c>
      <c r="R147" s="14">
        <f>IFERROR(Q147/Q329, "NA")</f>
      </c>
    </row>
    <row r="148" ht="16.5" customHeight="1">
      <c t="s" r="A148" s="12">
        <v>152</v>
      </c>
      <c r="B148" s="13">
        <v>0</v>
      </c>
      <c r="C148" s="14">
        <f>IFERROR(B148/B329, "NA")</f>
      </c>
      <c r="D148" s="15"/>
      <c r="E148" s="13">
        <v>0</v>
      </c>
      <c r="F148" s="14">
        <f>IFERROR(E148/E329, "NA")</f>
      </c>
      <c r="G148" s="15"/>
      <c r="H148" s="13">
        <v>0</v>
      </c>
      <c r="I148" s="14">
        <f>IFERROR(H148/H329, "NA")</f>
      </c>
      <c r="J148" s="15"/>
      <c r="K148" s="13">
        <v>372.25</v>
      </c>
      <c r="L148" s="14">
        <f>IFERROR(K148/K329, "NA")</f>
      </c>
      <c r="M148" s="15"/>
      <c r="N148" s="13">
        <v>0</v>
      </c>
      <c r="O148" s="14">
        <f>IFERROR(N148/N329, "NA")</f>
      </c>
      <c r="P148" s="15"/>
      <c r="Q148" s="13">
        <v>0</v>
      </c>
      <c r="R148" s="14">
        <f>IFERROR(Q148/Q329, "NA")</f>
      </c>
    </row>
    <row r="149" ht="16.5" customHeight="1">
      <c t="s" r="A149" s="12">
        <v>153</v>
      </c>
      <c r="B149" s="13">
        <v>1863.4400000000001</v>
      </c>
      <c r="C149" s="14">
        <f>IFERROR(B149/B329, "NA")</f>
      </c>
      <c r="D149" s="15"/>
      <c r="E149" s="13">
        <v>-475.87</v>
      </c>
      <c r="F149" s="14">
        <f>IFERROR(E149/E329, "NA")</f>
      </c>
      <c r="G149" s="15"/>
      <c r="H149" s="13">
        <v>1922.6500000000001</v>
      </c>
      <c r="I149" s="14">
        <f>IFERROR(H149/H329, "NA")</f>
      </c>
      <c r="J149" s="15"/>
      <c r="K149" s="13">
        <v>-839.33000000000004</v>
      </c>
      <c r="L149" s="14">
        <f>IFERROR(K149/K329, "NA")</f>
      </c>
      <c r="M149" s="15"/>
      <c r="N149" s="13">
        <v>1434.03</v>
      </c>
      <c r="O149" s="14">
        <f>IFERROR(N149/N329, "NA")</f>
      </c>
      <c r="P149" s="15"/>
      <c r="Q149" s="13">
        <v>-441.19999999999999</v>
      </c>
      <c r="R149" s="14">
        <f>IFERROR(Q149/Q329, "NA")</f>
      </c>
    </row>
    <row r="150" ht="16.5" customHeight="1">
      <c t="s" r="A150" s="12">
        <v>154</v>
      </c>
      <c r="B150" s="13">
        <v>1663.6500000000001</v>
      </c>
      <c r="C150" s="14">
        <f>IFERROR(B150/B329, "NA")</f>
      </c>
      <c r="D150" s="15"/>
      <c r="E150" s="13">
        <v>1663.6500000000001</v>
      </c>
      <c r="F150" s="14">
        <f>IFERROR(E150/E329, "NA")</f>
      </c>
      <c r="G150" s="15"/>
      <c r="H150" s="13">
        <v>1663.6500000000001</v>
      </c>
      <c r="I150" s="14">
        <f>IFERROR(H150/H329, "NA")</f>
      </c>
      <c r="J150" s="15"/>
      <c r="K150" s="13">
        <v>1663.6500000000001</v>
      </c>
      <c r="L150" s="14">
        <f>IFERROR(K150/K329, "NA")</f>
      </c>
      <c r="M150" s="15"/>
      <c r="N150" s="13">
        <v>1880.0999999999999</v>
      </c>
      <c r="O150" s="14">
        <f>IFERROR(N150/N329, "NA")</f>
      </c>
      <c r="P150" s="15"/>
      <c r="Q150" s="13">
        <v>767.5</v>
      </c>
      <c r="R150" s="14">
        <f>IFERROR(Q150/Q329, "NA")</f>
      </c>
    </row>
    <row r="151" ht="16.5" customHeight="1">
      <c t="s" r="A151" s="16">
        <v>155</v>
      </c>
      <c r="B151" s="17">
        <f>IFERROR(B145+B146+B147+B148+B149+B150, "NA")</f>
      </c>
      <c r="C151" s="18">
        <f>IFERROR(B151/B329, "NA")</f>
      </c>
      <c r="D151" s="8"/>
      <c r="E151" s="17">
        <f>IFERROR(E145+E146+E147+E148+E149+E150, "NA")</f>
      </c>
      <c r="F151" s="18">
        <f>IFERROR(E151/E329, "NA")</f>
      </c>
      <c r="G151" s="8"/>
      <c r="H151" s="17">
        <f>IFERROR(H145+H146+H147+H148+H149+H150, "NA")</f>
      </c>
      <c r="I151" s="18">
        <f>IFERROR(H151/H329, "NA")</f>
      </c>
      <c r="J151" s="8"/>
      <c r="K151" s="17">
        <f>IFERROR(K145+K146+K147+K148+K149+K150, "NA")</f>
      </c>
      <c r="L151" s="18">
        <f>IFERROR(K151/K329, "NA")</f>
      </c>
      <c r="M151" s="8"/>
      <c r="N151" s="17">
        <f>IFERROR(N145+N146+N147+N148+N149+N150, "NA")</f>
      </c>
      <c r="O151" s="18">
        <f>IFERROR(N151/N329, "NA")</f>
      </c>
      <c r="P151" s="8"/>
      <c r="Q151" s="17">
        <f>IFERROR(Q145+Q146+Q147+Q148+Q149+Q150, "NA")</f>
      </c>
      <c r="R151" s="18">
        <f>IFERROR(Q151/Q329, "NA")</f>
      </c>
    </row>
    <row r="152" ht="16.5" customHeight="1">
      <c t="s" r="A152" s="19">
        <v>156</v>
      </c>
      <c r="B152" s="13">
        <v>0</v>
      </c>
      <c r="C152" s="14">
        <f>IFERROR(B152/B329, "NA")</f>
      </c>
      <c r="D152" s="15"/>
      <c r="E152" s="13">
        <v>0</v>
      </c>
      <c r="F152" s="14">
        <f>IFERROR(E152/E329, "NA")</f>
      </c>
      <c r="G152" s="15"/>
      <c r="H152" s="13">
        <v>0</v>
      </c>
      <c r="I152" s="14">
        <f>IFERROR(H152/H329, "NA")</f>
      </c>
      <c r="J152" s="15"/>
      <c r="K152" s="13">
        <v>0</v>
      </c>
      <c r="L152" s="14">
        <f>IFERROR(K152/K329, "NA")</f>
      </c>
      <c r="M152" s="15"/>
      <c r="N152" s="13">
        <v>0</v>
      </c>
      <c r="O152" s="14">
        <f>IFERROR(N152/N329, "NA")</f>
      </c>
      <c r="P152" s="15"/>
      <c r="Q152" s="13">
        <v>0</v>
      </c>
      <c r="R152" s="14">
        <f>IFERROR(Q152/Q329, "NA")</f>
      </c>
    </row>
    <row r="153" ht="16.5" customHeight="1">
      <c t="s" r="A153" s="19">
        <v>157</v>
      </c>
      <c r="B153" s="13">
        <v>0</v>
      </c>
      <c r="C153" s="14">
        <f>IFERROR(B153/B329, "NA")</f>
      </c>
      <c r="D153" s="15"/>
      <c r="E153" s="13">
        <v>-628.76999999999998</v>
      </c>
      <c r="F153" s="14">
        <f>IFERROR(E153/E329, "NA")</f>
      </c>
      <c r="G153" s="15"/>
      <c r="H153" s="13">
        <v>3570.2399999999998</v>
      </c>
      <c r="I153" s="14">
        <f>IFERROR(H153/H329, "NA")</f>
      </c>
      <c r="J153" s="15"/>
      <c r="K153" s="13">
        <v>-628.76999999999998</v>
      </c>
      <c r="L153" s="14">
        <f>IFERROR(K153/K329, "NA")</f>
      </c>
      <c r="M153" s="15"/>
      <c r="N153" s="13">
        <v>3570.2399999999998</v>
      </c>
      <c r="O153" s="14">
        <f>IFERROR(N153/N329, "NA")</f>
      </c>
      <c r="P153" s="15"/>
      <c r="Q153" s="13">
        <v>0</v>
      </c>
      <c r="R153" s="14">
        <f>IFERROR(Q153/Q329, "NA")</f>
      </c>
    </row>
    <row r="154" ht="16.5" customHeight="1">
      <c t="s" r="A154" s="19">
        <v>158</v>
      </c>
      <c r="B154" s="13">
        <v>0</v>
      </c>
      <c r="C154" s="14">
        <f>IFERROR(B154/B329, "NA")</f>
      </c>
      <c r="D154" s="15"/>
      <c r="E154" s="13">
        <v>-107.77</v>
      </c>
      <c r="F154" s="14">
        <f>IFERROR(E154/E329, "NA")</f>
      </c>
      <c r="G154" s="15"/>
      <c r="H154" s="13">
        <v>0</v>
      </c>
      <c r="I154" s="14">
        <f>IFERROR(H154/H329, "NA")</f>
      </c>
      <c r="J154" s="15"/>
      <c r="K154" s="13">
        <v>-133.97999999999999</v>
      </c>
      <c r="L154" s="14">
        <f>IFERROR(K154/K329, "NA")</f>
      </c>
      <c r="M154" s="15"/>
      <c r="N154" s="13">
        <v>0</v>
      </c>
      <c r="O154" s="14">
        <f>IFERROR(N154/N329, "NA")</f>
      </c>
      <c r="P154" s="15"/>
      <c r="Q154" s="13">
        <v>0</v>
      </c>
      <c r="R154" s="14">
        <f>IFERROR(Q154/Q329, "NA")</f>
      </c>
    </row>
    <row r="155" ht="16.5" customHeight="1">
      <c t="s" r="A155" s="19">
        <v>159</v>
      </c>
      <c r="B155" s="13">
        <v>0</v>
      </c>
      <c r="C155" s="14">
        <f>IFERROR(B155/B329, "NA")</f>
      </c>
      <c r="D155" s="15"/>
      <c r="E155" s="13">
        <v>-5.9400000000000004</v>
      </c>
      <c r="F155" s="14">
        <f>IFERROR(E155/E329, "NA")</f>
      </c>
      <c r="G155" s="15"/>
      <c r="H155" s="13">
        <v>0</v>
      </c>
      <c r="I155" s="14">
        <f>IFERROR(H155/H329, "NA")</f>
      </c>
      <c r="J155" s="15"/>
      <c r="K155" s="13">
        <v>-5.9400000000000004</v>
      </c>
      <c r="L155" s="14">
        <f>IFERROR(K155/K329, "NA")</f>
      </c>
      <c r="M155" s="15"/>
      <c r="N155" s="13">
        <v>0</v>
      </c>
      <c r="O155" s="14">
        <f>IFERROR(N155/N329, "NA")</f>
      </c>
      <c r="P155" s="15"/>
      <c r="Q155" s="13">
        <v>0</v>
      </c>
      <c r="R155" s="14">
        <f>IFERROR(Q155/Q329, "NA")</f>
      </c>
    </row>
    <row r="156" ht="16.5" customHeight="1">
      <c t="s" r="A156" s="19">
        <v>160</v>
      </c>
      <c r="B156" s="13">
        <v>10.779999999999999</v>
      </c>
      <c r="C156" s="14">
        <f>IFERROR(B156/B329, "NA")</f>
      </c>
      <c r="D156" s="15"/>
      <c r="E156" s="13">
        <v>0</v>
      </c>
      <c r="F156" s="14">
        <f>IFERROR(E156/E329, "NA")</f>
      </c>
      <c r="G156" s="15"/>
      <c r="H156" s="13">
        <v>0</v>
      </c>
      <c r="I156" s="14">
        <f>IFERROR(H156/H329, "NA")</f>
      </c>
      <c r="J156" s="15"/>
      <c r="K156" s="13">
        <v>0</v>
      </c>
      <c r="L156" s="14">
        <f>IFERROR(K156/K329, "NA")</f>
      </c>
      <c r="M156" s="15"/>
      <c r="N156" s="13">
        <v>0</v>
      </c>
      <c r="O156" s="14">
        <f>IFERROR(N156/N329, "NA")</f>
      </c>
      <c r="P156" s="15"/>
      <c r="Q156" s="13">
        <v>0</v>
      </c>
      <c r="R156" s="14">
        <f>IFERROR(Q156/Q329, "NA")</f>
      </c>
    </row>
    <row r="157" ht="16.5" customHeight="1">
      <c t="s" r="A157" s="20">
        <v>161</v>
      </c>
      <c r="B157" s="17">
        <f>IFERROR(B55+B56+B57+B58+B59+B60+B61+B62+B63+B64+B66+B68+B69+B70+B71+B72+B73+B74+B75+B78+B79+B82+B84+B85+B86+B87+B88+B89+B90+B91+B92+B93+B94+B95+B96+B97+B98+B99+B100+B101+B102+B103+B104+B105+B106+B107+B108+B109+B110+B111+B112+B113+B114+B115+B116+B117+B118+B122+B123+B124+B125+B126+B127+B128+B129+B130+B131+B132+B133+B134+B135+B136+B137+B138+B139+B140+B141+B142+B145+B146+B147+B148+B149+B150+B152+B153+B154+B155+B156, "NA")</f>
      </c>
      <c r="C157" s="18">
        <f>IFERROR(B157/B329, "NA")</f>
      </c>
      <c r="D157" s="8"/>
      <c r="E157" s="17">
        <f>IFERROR(E55+E56+E57+E58+E59+E60+E61+E62+E63+E64+E66+E68+E69+E70+E71+E72+E73+E74+E75+E78+E79+E82+E84+E85+E86+E87+E88+E89+E90+E91+E92+E93+E94+E95+E96+E97+E98+E99+E100+E101+E102+E103+E104+E105+E106+E107+E108+E109+E110+E111+E112+E113+E114+E115+E116+E117+E118+E122+E123+E124+E125+E126+E127+E128+E129+E130+E131+E132+E133+E134+E135+E136+E137+E138+E139+E140+E141+E142+E145+E146+E147+E148+E149+E150+E152+E153+E154+E155+E156, "NA")</f>
      </c>
      <c r="F157" s="18">
        <f>IFERROR(E157/E329, "NA")</f>
      </c>
      <c r="G157" s="8"/>
      <c r="H157" s="17">
        <f>IFERROR(H55+H56+H57+H58+H59+H60+H61+H62+H63+H64+H66+H68+H69+H70+H71+H72+H73+H74+H75+H78+H79+H82+H84+H85+H86+H87+H88+H89+H90+H91+H92+H93+H94+H95+H96+H97+H98+H99+H100+H101+H102+H103+H104+H105+H106+H107+H108+H109+H110+H111+H112+H113+H114+H115+H116+H117+H118+H122+H123+H124+H125+H126+H127+H128+H129+H130+H131+H132+H133+H134+H135+H136+H137+H138+H139+H140+H141+H142+H145+H146+H147+H148+H149+H150+H152+H153+H154+H155+H156, "NA")</f>
      </c>
      <c r="I157" s="18">
        <f>IFERROR(H157/H329, "NA")</f>
      </c>
      <c r="J157" s="8"/>
      <c r="K157" s="17">
        <f>IFERROR(K55+K56+K57+K58+K59+K60+K61+K62+K63+K64+K66+K68+K69+K70+K71+K72+K73+K74+K75+K78+K79+K82+K84+K85+K86+K87+K88+K89+K90+K91+K92+K93+K94+K95+K96+K97+K98+K99+K100+K101+K102+K103+K104+K105+K106+K107+K108+K109+K110+K111+K112+K113+K114+K115+K116+K117+K118+K122+K123+K124+K125+K126+K127+K128+K129+K130+K131+K132+K133+K134+K135+K136+K137+K138+K139+K140+K141+K142+K145+K146+K147+K148+K149+K150+K152+K153+K154+K155+K156, "NA")</f>
      </c>
      <c r="L157" s="18">
        <f>IFERROR(K157/K329, "NA")</f>
      </c>
      <c r="M157" s="8"/>
      <c r="N157" s="17">
        <f>IFERROR(N55+N56+N57+N58+N59+N60+N61+N62+N63+N64+N66+N68+N69+N70+N71+N72+N73+N74+N75+N78+N79+N82+N84+N85+N86+N87+N88+N89+N90+N91+N92+N93+N94+N95+N96+N97+N98+N99+N100+N101+N102+N103+N104+N105+N106+N107+N108+N109+N110+N111+N112+N113+N114+N115+N116+N117+N118+N122+N123+N124+N125+N126+N127+N128+N129+N130+N131+N132+N133+N134+N135+N136+N137+N138+N139+N140+N141+N142+N145+N146+N147+N148+N149+N150+N152+N153+N154+N155+N156, "NA")</f>
      </c>
      <c r="O157" s="18">
        <f>IFERROR(N157/N329, "NA")</f>
      </c>
      <c r="P157" s="8"/>
      <c r="Q157" s="17">
        <f>IFERROR(Q55+Q56+Q57+Q58+Q59+Q60+Q61+Q62+Q63+Q64+Q66+Q68+Q69+Q70+Q71+Q72+Q73+Q74+Q75+Q78+Q79+Q82+Q84+Q85+Q86+Q87+Q88+Q89+Q90+Q91+Q92+Q93+Q94+Q95+Q96+Q97+Q98+Q99+Q100+Q101+Q102+Q103+Q104+Q105+Q106+Q107+Q108+Q109+Q110+Q111+Q112+Q113+Q114+Q115+Q116+Q117+Q118+Q122+Q123+Q124+Q125+Q126+Q127+Q128+Q129+Q130+Q131+Q132+Q133+Q134+Q135+Q136+Q137+Q138+Q139+Q140+Q141+Q142+Q145+Q146+Q147+Q148+Q149+Q150+Q152+Q153+Q154+Q155+Q156, "NA")</f>
      </c>
      <c r="R157" s="18">
        <f>IFERROR(Q157/Q329, "NA")</f>
      </c>
    </row>
    <row r="158" ht="16.5" customHeight="1">
      <c t="s" r="A158" s="7">
        <v>162</v>
      </c>
      <c r="B158" s="8"/>
      <c r="C158" s="9"/>
      <c r="D158" s="10"/>
      <c r="E158" s="8"/>
      <c r="F158" s="9"/>
      <c r="G158" s="10"/>
      <c r="H158" s="8"/>
      <c r="I158" s="9"/>
      <c r="J158" s="10"/>
      <c r="K158" s="8"/>
      <c r="L158" s="9"/>
      <c r="M158" s="10"/>
      <c r="N158" s="8"/>
      <c r="O158" s="9"/>
      <c r="P158" s="10"/>
      <c r="Q158" s="8"/>
      <c r="R158" s="9"/>
    </row>
    <row r="159" ht="16.5" customHeight="1">
      <c t="s" r="A159" s="11">
        <v>163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</row>
    <row r="160" ht="16.5" customHeight="1">
      <c t="s" r="A160" s="12">
        <v>164</v>
      </c>
      <c r="B160" s="13">
        <v>0</v>
      </c>
      <c r="C160" s="14">
        <f>IFERROR(B160/B329, "NA")</f>
      </c>
      <c r="D160" s="15"/>
      <c r="E160" s="13">
        <v>0</v>
      </c>
      <c r="F160" s="14">
        <f>IFERROR(E160/E329, "NA")</f>
      </c>
      <c r="G160" s="15"/>
      <c r="H160" s="13">
        <v>0</v>
      </c>
      <c r="I160" s="14">
        <f>IFERROR(H160/H329, "NA")</f>
      </c>
      <c r="J160" s="15"/>
      <c r="K160" s="13">
        <v>0</v>
      </c>
      <c r="L160" s="14">
        <f>IFERROR(K160/K329, "NA")</f>
      </c>
      <c r="M160" s="15"/>
      <c r="N160" s="13">
        <v>0</v>
      </c>
      <c r="O160" s="14">
        <f>IFERROR(N160/N329, "NA")</f>
      </c>
      <c r="P160" s="15"/>
      <c r="Q160" s="13">
        <v>0</v>
      </c>
      <c r="R160" s="14">
        <f>IFERROR(Q160/Q329, "NA")</f>
      </c>
    </row>
    <row r="161" ht="16.5" customHeight="1">
      <c t="s" r="A161" s="12">
        <v>165</v>
      </c>
      <c r="B161" s="13">
        <v>0</v>
      </c>
      <c r="C161" s="14">
        <f>IFERROR(B161/B329, "NA")</f>
      </c>
      <c r="D161" s="15"/>
      <c r="E161" s="13">
        <v>0</v>
      </c>
      <c r="F161" s="14">
        <f>IFERROR(E161/E329, "NA")</f>
      </c>
      <c r="G161" s="15"/>
      <c r="H161" s="13">
        <v>0</v>
      </c>
      <c r="I161" s="14">
        <f>IFERROR(H161/H329, "NA")</f>
      </c>
      <c r="J161" s="15"/>
      <c r="K161" s="13">
        <v>0</v>
      </c>
      <c r="L161" s="14">
        <f>IFERROR(K161/K329, "NA")</f>
      </c>
      <c r="M161" s="15"/>
      <c r="N161" s="13">
        <v>0</v>
      </c>
      <c r="O161" s="14">
        <f>IFERROR(N161/N329, "NA")</f>
      </c>
      <c r="P161" s="15"/>
      <c r="Q161" s="13">
        <v>0</v>
      </c>
      <c r="R161" s="14">
        <f>IFERROR(Q161/Q329, "NA")</f>
      </c>
    </row>
    <row r="162" ht="16.5" customHeight="1">
      <c t="s" r="A162" s="12">
        <v>166</v>
      </c>
      <c r="B162" s="13">
        <v>0</v>
      </c>
      <c r="C162" s="14">
        <f>IFERROR(B162/B329, "NA")</f>
      </c>
      <c r="D162" s="15"/>
      <c r="E162" s="13">
        <v>0</v>
      </c>
      <c r="F162" s="14">
        <f>IFERROR(E162/E329, "NA")</f>
      </c>
      <c r="G162" s="15"/>
      <c r="H162" s="13">
        <v>0</v>
      </c>
      <c r="I162" s="14">
        <f>IFERROR(H162/H329, "NA")</f>
      </c>
      <c r="J162" s="15"/>
      <c r="K162" s="13">
        <v>0</v>
      </c>
      <c r="L162" s="14">
        <f>IFERROR(K162/K329, "NA")</f>
      </c>
      <c r="M162" s="15"/>
      <c r="N162" s="13">
        <v>0</v>
      </c>
      <c r="O162" s="14">
        <f>IFERROR(N162/N329, "NA")</f>
      </c>
      <c r="P162" s="15"/>
      <c r="Q162" s="13">
        <v>0</v>
      </c>
      <c r="R162" s="14">
        <f>IFERROR(Q162/Q329, "NA")</f>
      </c>
    </row>
    <row r="163" ht="16.5" customHeight="1">
      <c t="s" r="A163" s="12">
        <v>167</v>
      </c>
      <c r="B163" s="13">
        <v>0</v>
      </c>
      <c r="C163" s="14">
        <f>IFERROR(B163/B329, "NA")</f>
      </c>
      <c r="D163" s="15"/>
      <c r="E163" s="13">
        <v>0</v>
      </c>
      <c r="F163" s="14">
        <f>IFERROR(E163/E329, "NA")</f>
      </c>
      <c r="G163" s="15"/>
      <c r="H163" s="13">
        <v>0</v>
      </c>
      <c r="I163" s="14">
        <f>IFERROR(H163/H329, "NA")</f>
      </c>
      <c r="J163" s="15"/>
      <c r="K163" s="13">
        <v>0</v>
      </c>
      <c r="L163" s="14">
        <f>IFERROR(K163/K329, "NA")</f>
      </c>
      <c r="M163" s="15"/>
      <c r="N163" s="13">
        <v>0</v>
      </c>
      <c r="O163" s="14">
        <f>IFERROR(N163/N329, "NA")</f>
      </c>
      <c r="P163" s="15"/>
      <c r="Q163" s="13">
        <v>0</v>
      </c>
      <c r="R163" s="14">
        <f>IFERROR(Q163/Q329, "NA")</f>
      </c>
    </row>
    <row r="164" ht="16.5" customHeight="1">
      <c t="s" r="A164" s="12">
        <v>168</v>
      </c>
      <c r="B164" s="13">
        <v>0</v>
      </c>
      <c r="C164" s="14">
        <f>IFERROR(B164/B329, "NA")</f>
      </c>
      <c r="D164" s="15"/>
      <c r="E164" s="13">
        <v>0</v>
      </c>
      <c r="F164" s="14">
        <f>IFERROR(E164/E329, "NA")</f>
      </c>
      <c r="G164" s="15"/>
      <c r="H164" s="13">
        <v>0</v>
      </c>
      <c r="I164" s="14">
        <f>IFERROR(H164/H329, "NA")</f>
      </c>
      <c r="J164" s="15"/>
      <c r="K164" s="13">
        <v>0</v>
      </c>
      <c r="L164" s="14">
        <f>IFERROR(K164/K329, "NA")</f>
      </c>
      <c r="M164" s="15"/>
      <c r="N164" s="13">
        <v>0</v>
      </c>
      <c r="O164" s="14">
        <f>IFERROR(N164/N329, "NA")</f>
      </c>
      <c r="P164" s="15"/>
      <c r="Q164" s="13">
        <v>0</v>
      </c>
      <c r="R164" s="14">
        <f>IFERROR(Q164/Q329, "NA")</f>
      </c>
    </row>
    <row r="165" ht="16.5" customHeight="1">
      <c t="s" r="A165" s="12">
        <v>169</v>
      </c>
      <c r="B165" s="13">
        <v>0</v>
      </c>
      <c r="C165" s="14">
        <f>IFERROR(B165/B329, "NA")</f>
      </c>
      <c r="D165" s="15"/>
      <c r="E165" s="13">
        <v>59.369999999999997</v>
      </c>
      <c r="F165" s="14">
        <f>IFERROR(E165/E329, "NA")</f>
      </c>
      <c r="G165" s="15"/>
      <c r="H165" s="13">
        <v>0</v>
      </c>
      <c r="I165" s="14">
        <f>IFERROR(H165/H329, "NA")</f>
      </c>
      <c r="J165" s="15"/>
      <c r="K165" s="13">
        <v>0</v>
      </c>
      <c r="L165" s="14">
        <f>IFERROR(K165/K329, "NA")</f>
      </c>
      <c r="M165" s="15"/>
      <c r="N165" s="13">
        <v>0</v>
      </c>
      <c r="O165" s="14">
        <f>IFERROR(N165/N329, "NA")</f>
      </c>
      <c r="P165" s="15"/>
      <c r="Q165" s="13">
        <v>0</v>
      </c>
      <c r="R165" s="14">
        <f>IFERROR(Q165/Q329, "NA")</f>
      </c>
    </row>
    <row r="166" ht="16.5" customHeight="1">
      <c t="s" r="A166" s="12">
        <v>170</v>
      </c>
      <c r="B166" s="13">
        <v>526.70000000000005</v>
      </c>
      <c r="C166" s="14">
        <f>IFERROR(B166/B329, "NA")</f>
      </c>
      <c r="D166" s="15"/>
      <c r="E166" s="13">
        <v>435.55000000000001</v>
      </c>
      <c r="F166" s="14">
        <f>IFERROR(E166/E329, "NA")</f>
      </c>
      <c r="G166" s="15"/>
      <c r="H166" s="13">
        <v>557.03999999999996</v>
      </c>
      <c r="I166" s="14">
        <f>IFERROR(H166/H329, "NA")</f>
      </c>
      <c r="J166" s="15"/>
      <c r="K166" s="13">
        <v>342.62</v>
      </c>
      <c r="L166" s="14">
        <f>IFERROR(K166/K329, "NA")</f>
      </c>
      <c r="M166" s="15"/>
      <c r="N166" s="13">
        <v>595.33000000000004</v>
      </c>
      <c r="O166" s="14">
        <f>IFERROR(N166/N329, "NA")</f>
      </c>
      <c r="P166" s="15"/>
      <c r="Q166" s="13">
        <v>0</v>
      </c>
      <c r="R166" s="14">
        <f>IFERROR(Q166/Q329, "NA")</f>
      </c>
    </row>
    <row r="167" ht="16.5" customHeight="1">
      <c t="s" r="A167" s="12">
        <v>171</v>
      </c>
      <c r="B167" s="13">
        <v>639.69000000000005</v>
      </c>
      <c r="C167" s="14">
        <f>IFERROR(B167/B329, "NA")</f>
      </c>
      <c r="D167" s="15"/>
      <c r="E167" s="13">
        <v>735.92999999999995</v>
      </c>
      <c r="F167" s="14">
        <f>IFERROR(E167/E329, "NA")</f>
      </c>
      <c r="G167" s="15"/>
      <c r="H167" s="13">
        <v>416.04000000000002</v>
      </c>
      <c r="I167" s="14">
        <f>IFERROR(H167/H329, "NA")</f>
      </c>
      <c r="J167" s="15"/>
      <c r="K167" s="13">
        <v>519.21000000000004</v>
      </c>
      <c r="L167" s="14">
        <f>IFERROR(K167/K329, "NA")</f>
      </c>
      <c r="M167" s="15"/>
      <c r="N167" s="13">
        <v>535.49000000000001</v>
      </c>
      <c r="O167" s="14">
        <f>IFERROR(N167/N329, "NA")</f>
      </c>
      <c r="P167" s="15"/>
      <c r="Q167" s="13">
        <v>0</v>
      </c>
      <c r="R167" s="14">
        <f>IFERROR(Q167/Q329, "NA")</f>
      </c>
    </row>
    <row r="168" ht="16.5" customHeight="1">
      <c t="s" r="A168" s="12">
        <v>172</v>
      </c>
      <c r="B168" s="13">
        <v>1014.47</v>
      </c>
      <c r="C168" s="14">
        <f>IFERROR(B168/B329, "NA")</f>
      </c>
      <c r="D168" s="15"/>
      <c r="E168" s="13">
        <v>1181.75</v>
      </c>
      <c r="F168" s="14">
        <f>IFERROR(E168/E329, "NA")</f>
      </c>
      <c r="G168" s="15"/>
      <c r="H168" s="13">
        <v>577.63999999999999</v>
      </c>
      <c r="I168" s="14">
        <f>IFERROR(H168/H329, "NA")</f>
      </c>
      <c r="J168" s="15"/>
      <c r="K168" s="13">
        <v>845.92999999999995</v>
      </c>
      <c r="L168" s="14">
        <f>IFERROR(K168/K329, "NA")</f>
      </c>
      <c r="M168" s="15"/>
      <c r="N168" s="13">
        <v>921.40999999999997</v>
      </c>
      <c r="O168" s="14">
        <f>IFERROR(N168/N329, "NA")</f>
      </c>
      <c r="P168" s="15"/>
      <c r="Q168" s="13">
        <v>0</v>
      </c>
      <c r="R168" s="14">
        <f>IFERROR(Q168/Q329, "NA")</f>
      </c>
    </row>
    <row r="169" ht="16.5" customHeight="1">
      <c t="s" r="A169" s="12">
        <v>173</v>
      </c>
      <c r="B169" s="13">
        <v>0</v>
      </c>
      <c r="C169" s="14">
        <f>IFERROR(B169/B329, "NA")</f>
      </c>
      <c r="D169" s="15"/>
      <c r="E169" s="13">
        <v>0</v>
      </c>
      <c r="F169" s="14">
        <f>IFERROR(E169/E329, "NA")</f>
      </c>
      <c r="G169" s="15"/>
      <c r="H169" s="13">
        <v>0</v>
      </c>
      <c r="I169" s="14">
        <f>IFERROR(H169/H329, "NA")</f>
      </c>
      <c r="J169" s="15"/>
      <c r="K169" s="13">
        <v>0</v>
      </c>
      <c r="L169" s="14">
        <f>IFERROR(K169/K329, "NA")</f>
      </c>
      <c r="M169" s="15"/>
      <c r="N169" s="13">
        <v>0</v>
      </c>
      <c r="O169" s="14">
        <f>IFERROR(N169/N329, "NA")</f>
      </c>
      <c r="P169" s="15"/>
      <c r="Q169" s="13">
        <v>0</v>
      </c>
      <c r="R169" s="14">
        <f>IFERROR(Q169/Q329, "NA")</f>
      </c>
    </row>
    <row r="170" ht="16.5" customHeight="1">
      <c t="s" r="A170" s="12">
        <v>174</v>
      </c>
      <c r="B170" s="13">
        <v>3845.2199999999998</v>
      </c>
      <c r="C170" s="14">
        <f>IFERROR(B170/B329, "NA")</f>
      </c>
      <c r="D170" s="15"/>
      <c r="E170" s="13">
        <v>246.08000000000001</v>
      </c>
      <c r="F170" s="14">
        <f>IFERROR(E170/E329, "NA")</f>
      </c>
      <c r="G170" s="15"/>
      <c r="H170" s="13">
        <v>1060.78</v>
      </c>
      <c r="I170" s="14">
        <f>IFERROR(H170/H329, "NA")</f>
      </c>
      <c r="J170" s="15"/>
      <c r="K170" s="13">
        <v>831.28999999999996</v>
      </c>
      <c r="L170" s="14">
        <f>IFERROR(K170/K329, "NA")</f>
      </c>
      <c r="M170" s="15"/>
      <c r="N170" s="13">
        <v>3844.0799999999999</v>
      </c>
      <c r="O170" s="14">
        <f>IFERROR(N170/N329, "NA")</f>
      </c>
      <c r="P170" s="15"/>
      <c r="Q170" s="13">
        <v>0</v>
      </c>
      <c r="R170" s="14">
        <f>IFERROR(Q170/Q329, "NA")</f>
      </c>
    </row>
    <row r="171" ht="16.5" customHeight="1">
      <c t="s" r="A171" s="12">
        <v>175</v>
      </c>
      <c r="B171" s="13">
        <v>0</v>
      </c>
      <c r="C171" s="14">
        <f>IFERROR(B171/B329, "NA")</f>
      </c>
      <c r="D171" s="15"/>
      <c r="E171" s="13">
        <v>25.890000000000001</v>
      </c>
      <c r="F171" s="14">
        <f>IFERROR(E171/E329, "NA")</f>
      </c>
      <c r="G171" s="15"/>
      <c r="H171" s="13">
        <v>0</v>
      </c>
      <c r="I171" s="14">
        <f>IFERROR(H171/H329, "NA")</f>
      </c>
      <c r="J171" s="15"/>
      <c r="K171" s="13">
        <v>91.209999999999994</v>
      </c>
      <c r="L171" s="14">
        <f>IFERROR(K171/K329, "NA")</f>
      </c>
      <c r="M171" s="15"/>
      <c r="N171" s="13">
        <v>0</v>
      </c>
      <c r="O171" s="14">
        <f>IFERROR(N171/N329, "NA")</f>
      </c>
      <c r="P171" s="15"/>
      <c r="Q171" s="13">
        <v>0</v>
      </c>
      <c r="R171" s="14">
        <f>IFERROR(Q171/Q329, "NA")</f>
      </c>
    </row>
    <row r="172" ht="16.5" customHeight="1">
      <c t="s" r="A172" s="12">
        <v>176</v>
      </c>
      <c r="B172" s="13">
        <v>0</v>
      </c>
      <c r="C172" s="14">
        <f>IFERROR(B172/B329, "NA")</f>
      </c>
      <c r="D172" s="15"/>
      <c r="E172" s="13">
        <v>0</v>
      </c>
      <c r="F172" s="14">
        <f>IFERROR(E172/E329, "NA")</f>
      </c>
      <c r="G172" s="15"/>
      <c r="H172" s="13">
        <v>0</v>
      </c>
      <c r="I172" s="14">
        <f>IFERROR(H172/H329, "NA")</f>
      </c>
      <c r="J172" s="15"/>
      <c r="K172" s="13">
        <v>0</v>
      </c>
      <c r="L172" s="14">
        <f>IFERROR(K172/K329, "NA")</f>
      </c>
      <c r="M172" s="15"/>
      <c r="N172" s="13">
        <v>0</v>
      </c>
      <c r="O172" s="14">
        <f>IFERROR(N172/N329, "NA")</f>
      </c>
      <c r="P172" s="15"/>
      <c r="Q172" s="13">
        <v>0</v>
      </c>
      <c r="R172" s="14">
        <f>IFERROR(Q172/Q329, "NA")</f>
      </c>
    </row>
    <row r="173" ht="16.5" customHeight="1">
      <c t="s" r="A173" s="12">
        <v>177</v>
      </c>
      <c r="B173" s="13">
        <v>0</v>
      </c>
      <c r="C173" s="14">
        <f>IFERROR(B173/B329, "NA")</f>
      </c>
      <c r="D173" s="15"/>
      <c r="E173" s="13">
        <v>0</v>
      </c>
      <c r="F173" s="14">
        <f>IFERROR(E173/E329, "NA")</f>
      </c>
      <c r="G173" s="15"/>
      <c r="H173" s="13">
        <v>0</v>
      </c>
      <c r="I173" s="14">
        <f>IFERROR(H173/H329, "NA")</f>
      </c>
      <c r="J173" s="15"/>
      <c r="K173" s="13">
        <v>0</v>
      </c>
      <c r="L173" s="14">
        <f>IFERROR(K173/K329, "NA")</f>
      </c>
      <c r="M173" s="15"/>
      <c r="N173" s="13">
        <v>0</v>
      </c>
      <c r="O173" s="14">
        <f>IFERROR(N173/N329, "NA")</f>
      </c>
      <c r="P173" s="15"/>
      <c r="Q173" s="13">
        <v>0</v>
      </c>
      <c r="R173" s="14">
        <f>IFERROR(Q173/Q329, "NA")</f>
      </c>
    </row>
    <row r="174" ht="16.5" customHeight="1">
      <c t="s" r="A174" s="12">
        <v>178</v>
      </c>
      <c r="B174" s="13">
        <v>0</v>
      </c>
      <c r="C174" s="14">
        <f>IFERROR(B174/B329, "NA")</f>
      </c>
      <c r="D174" s="15"/>
      <c r="E174" s="13">
        <v>0</v>
      </c>
      <c r="F174" s="14">
        <f>IFERROR(E174/E329, "NA")</f>
      </c>
      <c r="G174" s="15"/>
      <c r="H174" s="13">
        <v>0</v>
      </c>
      <c r="I174" s="14">
        <f>IFERROR(H174/H329, "NA")</f>
      </c>
      <c r="J174" s="15"/>
      <c r="K174" s="13">
        <v>0</v>
      </c>
      <c r="L174" s="14">
        <f>IFERROR(K174/K329, "NA")</f>
      </c>
      <c r="M174" s="15"/>
      <c r="N174" s="13">
        <v>0</v>
      </c>
      <c r="O174" s="14">
        <f>IFERROR(N174/N329, "NA")</f>
      </c>
      <c r="P174" s="15"/>
      <c r="Q174" s="13">
        <v>0</v>
      </c>
      <c r="R174" s="14">
        <f>IFERROR(Q174/Q329, "NA")</f>
      </c>
    </row>
    <row r="175" ht="16.5" customHeight="1">
      <c t="s" r="A175" s="12">
        <v>179</v>
      </c>
      <c r="B175" s="13">
        <v>700.80999999999995</v>
      </c>
      <c r="C175" s="14">
        <f>IFERROR(B175/B329, "NA")</f>
      </c>
      <c r="D175" s="15"/>
      <c r="E175" s="13">
        <v>1339.3299999999999</v>
      </c>
      <c r="F175" s="14">
        <f>IFERROR(E175/E329, "NA")</f>
      </c>
      <c r="G175" s="15"/>
      <c r="H175" s="13">
        <v>639.41999999999996</v>
      </c>
      <c r="I175" s="14">
        <f>IFERROR(H175/H329, "NA")</f>
      </c>
      <c r="J175" s="15"/>
      <c r="K175" s="13">
        <v>878.77999999999997</v>
      </c>
      <c r="L175" s="14">
        <f>IFERROR(K175/K329, "NA")</f>
      </c>
      <c r="M175" s="15"/>
      <c r="N175" s="13">
        <v>1186.1199999999999</v>
      </c>
      <c r="O175" s="14">
        <f>IFERROR(N175/N329, "NA")</f>
      </c>
      <c r="P175" s="15"/>
      <c r="Q175" s="13">
        <v>0</v>
      </c>
      <c r="R175" s="14">
        <f>IFERROR(Q175/Q329, "NA")</f>
      </c>
    </row>
    <row r="176" ht="16.5" customHeight="1">
      <c t="s" r="A176" s="12">
        <v>180</v>
      </c>
      <c r="B176" s="13">
        <v>821.84000000000003</v>
      </c>
      <c r="C176" s="14">
        <f>IFERROR(B176/B329, "NA")</f>
      </c>
      <c r="D176" s="15"/>
      <c r="E176" s="13">
        <v>921.28999999999996</v>
      </c>
      <c r="F176" s="14">
        <f>IFERROR(E176/E329, "NA")</f>
      </c>
      <c r="G176" s="15"/>
      <c r="H176" s="13">
        <v>673.07000000000005</v>
      </c>
      <c r="I176" s="14">
        <f>IFERROR(H176/H329, "NA")</f>
      </c>
      <c r="J176" s="15"/>
      <c r="K176" s="13">
        <v>611.30999999999995</v>
      </c>
      <c r="L176" s="14">
        <f>IFERROR(K176/K329, "NA")</f>
      </c>
      <c r="M176" s="15"/>
      <c r="N176" s="13">
        <v>1073</v>
      </c>
      <c r="O176" s="14">
        <f>IFERROR(N176/N329, "NA")</f>
      </c>
      <c r="P176" s="15"/>
      <c r="Q176" s="13">
        <v>0</v>
      </c>
      <c r="R176" s="14">
        <f>IFERROR(Q176/Q329, "NA")</f>
      </c>
    </row>
    <row r="177" ht="16.5" customHeight="1">
      <c t="s" r="A177" s="12">
        <v>181</v>
      </c>
      <c r="B177" s="13">
        <v>0</v>
      </c>
      <c r="C177" s="14">
        <f>IFERROR(B177/B329, "NA")</f>
      </c>
      <c r="D177" s="15"/>
      <c r="E177" s="13">
        <v>0</v>
      </c>
      <c r="F177" s="14">
        <f>IFERROR(E177/E329, "NA")</f>
      </c>
      <c r="G177" s="15"/>
      <c r="H177" s="13">
        <v>0</v>
      </c>
      <c r="I177" s="14">
        <f>IFERROR(H177/H329, "NA")</f>
      </c>
      <c r="J177" s="15"/>
      <c r="K177" s="13">
        <v>0</v>
      </c>
      <c r="L177" s="14">
        <f>IFERROR(K177/K329, "NA")</f>
      </c>
      <c r="M177" s="15"/>
      <c r="N177" s="13">
        <v>0</v>
      </c>
      <c r="O177" s="14">
        <f>IFERROR(N177/N329, "NA")</f>
      </c>
      <c r="P177" s="15"/>
      <c r="Q177" s="13">
        <v>0</v>
      </c>
      <c r="R177" s="14">
        <f>IFERROR(Q177/Q329, "NA")</f>
      </c>
    </row>
    <row r="178" ht="16.5" customHeight="1">
      <c t="s" r="A178" s="12">
        <v>182</v>
      </c>
      <c r="B178" s="13">
        <v>0</v>
      </c>
      <c r="C178" s="14">
        <f>IFERROR(B178/B329, "NA")</f>
      </c>
      <c r="D178" s="15"/>
      <c r="E178" s="13">
        <v>0</v>
      </c>
      <c r="F178" s="14">
        <f>IFERROR(E178/E329, "NA")</f>
      </c>
      <c r="G178" s="15"/>
      <c r="H178" s="13">
        <v>0</v>
      </c>
      <c r="I178" s="14">
        <f>IFERROR(H178/H329, "NA")</f>
      </c>
      <c r="J178" s="15"/>
      <c r="K178" s="13">
        <v>0</v>
      </c>
      <c r="L178" s="14">
        <f>IFERROR(K178/K329, "NA")</f>
      </c>
      <c r="M178" s="15"/>
      <c r="N178" s="13">
        <v>0</v>
      </c>
      <c r="O178" s="14">
        <f>IFERROR(N178/N329, "NA")</f>
      </c>
      <c r="P178" s="15"/>
      <c r="Q178" s="13">
        <v>0</v>
      </c>
      <c r="R178" s="14">
        <f>IFERROR(Q178/Q329, "NA")</f>
      </c>
    </row>
    <row r="179" ht="16.5" customHeight="1">
      <c t="s" r="A179" s="12">
        <v>183</v>
      </c>
      <c r="B179" s="13">
        <v>1919.9300000000001</v>
      </c>
      <c r="C179" s="14">
        <f>IFERROR(B179/B329, "NA")</f>
      </c>
      <c r="D179" s="15"/>
      <c r="E179" s="13">
        <v>0</v>
      </c>
      <c r="F179" s="14">
        <f>IFERROR(E179/E329, "NA")</f>
      </c>
      <c r="G179" s="15"/>
      <c r="H179" s="13">
        <v>0</v>
      </c>
      <c r="I179" s="14">
        <f>IFERROR(H179/H329, "NA")</f>
      </c>
      <c r="J179" s="15"/>
      <c r="K179" s="13">
        <v>0</v>
      </c>
      <c r="L179" s="14">
        <f>IFERROR(K179/K329, "NA")</f>
      </c>
      <c r="M179" s="15"/>
      <c r="N179" s="13">
        <v>0</v>
      </c>
      <c r="O179" s="14">
        <f>IFERROR(N179/N329, "NA")</f>
      </c>
      <c r="P179" s="15"/>
      <c r="Q179" s="13">
        <v>0</v>
      </c>
      <c r="R179" s="14">
        <f>IFERROR(Q179/Q329, "NA")</f>
      </c>
    </row>
    <row r="180" ht="16.5" customHeight="1">
      <c t="s" r="A180" s="12">
        <v>184</v>
      </c>
      <c r="B180" s="13">
        <v>0</v>
      </c>
      <c r="C180" s="14">
        <f>IFERROR(B180/B329, "NA")</f>
      </c>
      <c r="D180" s="15"/>
      <c r="E180" s="13">
        <v>0</v>
      </c>
      <c r="F180" s="14">
        <f>IFERROR(E180/E329, "NA")</f>
      </c>
      <c r="G180" s="15"/>
      <c r="H180" s="13">
        <v>0</v>
      </c>
      <c r="I180" s="14">
        <f>IFERROR(H180/H329, "NA")</f>
      </c>
      <c r="J180" s="15"/>
      <c r="K180" s="13">
        <v>0</v>
      </c>
      <c r="L180" s="14">
        <f>IFERROR(K180/K329, "NA")</f>
      </c>
      <c r="M180" s="15"/>
      <c r="N180" s="13">
        <v>509.88</v>
      </c>
      <c r="O180" s="14">
        <f>IFERROR(N180/N329, "NA")</f>
      </c>
      <c r="P180" s="15"/>
      <c r="Q180" s="13">
        <v>0</v>
      </c>
      <c r="R180" s="14">
        <f>IFERROR(Q180/Q329, "NA")</f>
      </c>
    </row>
    <row r="181" ht="16.5" customHeight="1">
      <c t="s" r="A181" s="12">
        <v>185</v>
      </c>
      <c r="B181" s="13">
        <v>0</v>
      </c>
      <c r="C181" s="14">
        <f>IFERROR(B181/B329, "NA")</f>
      </c>
      <c r="D181" s="15"/>
      <c r="E181" s="13">
        <v>0</v>
      </c>
      <c r="F181" s="14">
        <f>IFERROR(E181/E329, "NA")</f>
      </c>
      <c r="G181" s="15"/>
      <c r="H181" s="13">
        <v>0</v>
      </c>
      <c r="I181" s="14">
        <f>IFERROR(H181/H329, "NA")</f>
      </c>
      <c r="J181" s="15"/>
      <c r="K181" s="13">
        <v>0</v>
      </c>
      <c r="L181" s="14">
        <f>IFERROR(K181/K329, "NA")</f>
      </c>
      <c r="M181" s="15"/>
      <c r="N181" s="13">
        <v>0</v>
      </c>
      <c r="O181" s="14">
        <f>IFERROR(N181/N329, "NA")</f>
      </c>
      <c r="P181" s="15"/>
      <c r="Q181" s="13">
        <v>0</v>
      </c>
      <c r="R181" s="14">
        <f>IFERROR(Q181/Q329, "NA")</f>
      </c>
    </row>
    <row r="182" ht="16.5" customHeight="1">
      <c t="s" r="A182" s="12">
        <v>186</v>
      </c>
      <c r="B182" s="13">
        <v>0</v>
      </c>
      <c r="C182" s="14">
        <f>IFERROR(B182/B329, "NA")</f>
      </c>
      <c r="D182" s="15"/>
      <c r="E182" s="13">
        <v>0</v>
      </c>
      <c r="F182" s="14">
        <f>IFERROR(E182/E329, "NA")</f>
      </c>
      <c r="G182" s="15"/>
      <c r="H182" s="13">
        <v>0</v>
      </c>
      <c r="I182" s="14">
        <f>IFERROR(H182/H329, "NA")</f>
      </c>
      <c r="J182" s="15"/>
      <c r="K182" s="13">
        <v>36.270000000000003</v>
      </c>
      <c r="L182" s="14">
        <f>IFERROR(K182/K329, "NA")</f>
      </c>
      <c r="M182" s="15"/>
      <c r="N182" s="13">
        <v>52.859999999999999</v>
      </c>
      <c r="O182" s="14">
        <f>IFERROR(N182/N329, "NA")</f>
      </c>
      <c r="P182" s="15"/>
      <c r="Q182" s="13">
        <v>0</v>
      </c>
      <c r="R182" s="14">
        <f>IFERROR(Q182/Q329, "NA")</f>
      </c>
    </row>
    <row r="183" ht="16.5" customHeight="1">
      <c t="s" r="A183" s="12">
        <v>187</v>
      </c>
      <c r="B183" s="13">
        <v>0</v>
      </c>
      <c r="C183" s="14">
        <f>IFERROR(B183/B329, "NA")</f>
      </c>
      <c r="D183" s="15"/>
      <c r="E183" s="13">
        <v>0</v>
      </c>
      <c r="F183" s="14">
        <f>IFERROR(E183/E329, "NA")</f>
      </c>
      <c r="G183" s="15"/>
      <c r="H183" s="13">
        <v>0</v>
      </c>
      <c r="I183" s="14">
        <f>IFERROR(H183/H329, "NA")</f>
      </c>
      <c r="J183" s="15"/>
      <c r="K183" s="13">
        <v>0</v>
      </c>
      <c r="L183" s="14">
        <f>IFERROR(K183/K329, "NA")</f>
      </c>
      <c r="M183" s="15"/>
      <c r="N183" s="13">
        <v>0</v>
      </c>
      <c r="O183" s="14">
        <f>IFERROR(N183/N329, "NA")</f>
      </c>
      <c r="P183" s="15"/>
      <c r="Q183" s="13">
        <v>0</v>
      </c>
      <c r="R183" s="14">
        <f>IFERROR(Q183/Q329, "NA")</f>
      </c>
    </row>
    <row r="184" ht="16.5" customHeight="1">
      <c t="s" r="A184" s="12">
        <v>188</v>
      </c>
      <c r="B184" s="13">
        <v>142.84999999999999</v>
      </c>
      <c r="C184" s="14">
        <f>IFERROR(B184/B329, "NA")</f>
      </c>
      <c r="D184" s="15"/>
      <c r="E184" s="13">
        <v>200.77000000000001</v>
      </c>
      <c r="F184" s="14">
        <f>IFERROR(E184/E329, "NA")</f>
      </c>
      <c r="G184" s="15"/>
      <c r="H184" s="13">
        <v>6.8899999999999997</v>
      </c>
      <c r="I184" s="14">
        <f>IFERROR(H184/H329, "NA")</f>
      </c>
      <c r="J184" s="15"/>
      <c r="K184" s="13">
        <v>61.049999999999997</v>
      </c>
      <c r="L184" s="14">
        <f>IFERROR(K184/K329, "NA")</f>
      </c>
      <c r="M184" s="15"/>
      <c r="N184" s="13">
        <v>30.899999999999999</v>
      </c>
      <c r="O184" s="14">
        <f>IFERROR(N184/N329, "NA")</f>
      </c>
      <c r="P184" s="15"/>
      <c r="Q184" s="13">
        <v>0</v>
      </c>
      <c r="R184" s="14">
        <f>IFERROR(Q184/Q329, "NA")</f>
      </c>
    </row>
    <row r="185" ht="16.5" customHeight="1">
      <c t="s" r="A185" s="12">
        <v>189</v>
      </c>
      <c r="B185" s="13">
        <v>0</v>
      </c>
      <c r="C185" s="14">
        <f>IFERROR(B185/B329, "NA")</f>
      </c>
      <c r="D185" s="15"/>
      <c r="E185" s="13">
        <v>0</v>
      </c>
      <c r="F185" s="14">
        <f>IFERROR(E185/E329, "NA")</f>
      </c>
      <c r="G185" s="15"/>
      <c r="H185" s="13">
        <v>0</v>
      </c>
      <c r="I185" s="14">
        <f>IFERROR(H185/H329, "NA")</f>
      </c>
      <c r="J185" s="15"/>
      <c r="K185" s="13">
        <v>0</v>
      </c>
      <c r="L185" s="14">
        <f>IFERROR(K185/K329, "NA")</f>
      </c>
      <c r="M185" s="15"/>
      <c r="N185" s="13">
        <v>0</v>
      </c>
      <c r="O185" s="14">
        <f>IFERROR(N185/N329, "NA")</f>
      </c>
      <c r="P185" s="15"/>
      <c r="Q185" s="13">
        <v>0</v>
      </c>
      <c r="R185" s="14">
        <f>IFERROR(Q185/Q329, "NA")</f>
      </c>
    </row>
    <row r="186" ht="16.5" customHeight="1">
      <c t="s" r="A186" s="12">
        <v>190</v>
      </c>
      <c r="B186" s="13">
        <v>0</v>
      </c>
      <c r="C186" s="14">
        <f>IFERROR(B186/B329, "NA")</f>
      </c>
      <c r="D186" s="15"/>
      <c r="E186" s="13">
        <v>0</v>
      </c>
      <c r="F186" s="14">
        <f>IFERROR(E186/E329, "NA")</f>
      </c>
      <c r="G186" s="15"/>
      <c r="H186" s="13">
        <v>0</v>
      </c>
      <c r="I186" s="14">
        <f>IFERROR(H186/H329, "NA")</f>
      </c>
      <c r="J186" s="15"/>
      <c r="K186" s="13">
        <v>0</v>
      </c>
      <c r="L186" s="14">
        <f>IFERROR(K186/K329, "NA")</f>
      </c>
      <c r="M186" s="15"/>
      <c r="N186" s="13">
        <v>0</v>
      </c>
      <c r="O186" s="14">
        <f>IFERROR(N186/N329, "NA")</f>
      </c>
      <c r="P186" s="15"/>
      <c r="Q186" s="13">
        <v>0</v>
      </c>
      <c r="R186" s="14">
        <f>IFERROR(Q186/Q329, "NA")</f>
      </c>
    </row>
    <row r="187" ht="16.5" customHeight="1">
      <c t="s" r="A187" s="12">
        <v>191</v>
      </c>
      <c r="B187" s="13">
        <v>0</v>
      </c>
      <c r="C187" s="14">
        <f>IFERROR(B187/B329, "NA")</f>
      </c>
      <c r="D187" s="15"/>
      <c r="E187" s="13">
        <v>0</v>
      </c>
      <c r="F187" s="14">
        <f>IFERROR(E187/E329, "NA")</f>
      </c>
      <c r="G187" s="15"/>
      <c r="H187" s="13">
        <v>0</v>
      </c>
      <c r="I187" s="14">
        <f>IFERROR(H187/H329, "NA")</f>
      </c>
      <c r="J187" s="15"/>
      <c r="K187" s="13">
        <v>313.63</v>
      </c>
      <c r="L187" s="14">
        <f>IFERROR(K187/K329, "NA")</f>
      </c>
      <c r="M187" s="15"/>
      <c r="N187" s="13">
        <v>0</v>
      </c>
      <c r="O187" s="14">
        <f>IFERROR(N187/N329, "NA")</f>
      </c>
      <c r="P187" s="15"/>
      <c r="Q187" s="13">
        <v>0</v>
      </c>
      <c r="R187" s="14">
        <f>IFERROR(Q187/Q329, "NA")</f>
      </c>
    </row>
    <row r="188" ht="16.5" customHeight="1">
      <c t="s" r="A188" s="12">
        <v>192</v>
      </c>
      <c r="B188" s="13">
        <v>41.420000000000002</v>
      </c>
      <c r="C188" s="14">
        <f>IFERROR(B188/B329, "NA")</f>
      </c>
      <c r="D188" s="15"/>
      <c r="E188" s="13">
        <v>118.77</v>
      </c>
      <c r="F188" s="14">
        <f>IFERROR(E188/E329, "NA")</f>
      </c>
      <c r="G188" s="15"/>
      <c r="H188" s="13">
        <v>270.68000000000001</v>
      </c>
      <c r="I188" s="14">
        <f>IFERROR(H188/H329, "NA")</f>
      </c>
      <c r="J188" s="15"/>
      <c r="K188" s="13">
        <v>0</v>
      </c>
      <c r="L188" s="14">
        <f>IFERROR(K188/K329, "NA")</f>
      </c>
      <c r="M188" s="15"/>
      <c r="N188" s="13">
        <v>899.47000000000003</v>
      </c>
      <c r="O188" s="14">
        <f>IFERROR(N188/N329, "NA")</f>
      </c>
      <c r="P188" s="15"/>
      <c r="Q188" s="13">
        <v>0</v>
      </c>
      <c r="R188" s="14">
        <f>IFERROR(Q188/Q329, "NA")</f>
      </c>
    </row>
    <row r="189" ht="16.5" customHeight="1">
      <c t="s" r="A189" s="12">
        <v>193</v>
      </c>
      <c r="B189" s="13">
        <v>1349.0899999999999</v>
      </c>
      <c r="C189" s="14">
        <f>IFERROR(B189/B329, "NA")</f>
      </c>
      <c r="D189" s="15"/>
      <c r="E189" s="13">
        <v>839.08000000000004</v>
      </c>
      <c r="F189" s="14">
        <f>IFERROR(E189/E329, "NA")</f>
      </c>
      <c r="G189" s="15"/>
      <c r="H189" s="13">
        <v>732.98000000000002</v>
      </c>
      <c r="I189" s="14">
        <f>IFERROR(H189/H329, "NA")</f>
      </c>
      <c r="J189" s="15"/>
      <c r="K189" s="13">
        <v>6547.2700000000004</v>
      </c>
      <c r="L189" s="14">
        <f>IFERROR(K189/K329, "NA")</f>
      </c>
      <c r="M189" s="15"/>
      <c r="N189" s="13">
        <v>2203.8499999999999</v>
      </c>
      <c r="O189" s="14">
        <f>IFERROR(N189/N329, "NA")</f>
      </c>
      <c r="P189" s="15"/>
      <c r="Q189" s="13">
        <v>0</v>
      </c>
      <c r="R189" s="14">
        <f>IFERROR(Q189/Q329, "NA")</f>
      </c>
    </row>
    <row r="190" ht="16.5" customHeight="1">
      <c t="s" r="A190" s="12">
        <v>194</v>
      </c>
      <c r="B190" s="13">
        <v>0</v>
      </c>
      <c r="C190" s="14">
        <f>IFERROR(B190/B329, "NA")</f>
      </c>
      <c r="D190" s="15"/>
      <c r="E190" s="13">
        <v>0</v>
      </c>
      <c r="F190" s="14">
        <f>IFERROR(E190/E329, "NA")</f>
      </c>
      <c r="G190" s="15"/>
      <c r="H190" s="13">
        <v>0</v>
      </c>
      <c r="I190" s="14">
        <f>IFERROR(H190/H329, "NA")</f>
      </c>
      <c r="J190" s="15"/>
      <c r="K190" s="13">
        <v>0</v>
      </c>
      <c r="L190" s="14">
        <f>IFERROR(K190/K329, "NA")</f>
      </c>
      <c r="M190" s="15"/>
      <c r="N190" s="13">
        <v>0</v>
      </c>
      <c r="O190" s="14">
        <f>IFERROR(N190/N329, "NA")</f>
      </c>
      <c r="P190" s="15"/>
      <c r="Q190" s="13">
        <v>0</v>
      </c>
      <c r="R190" s="14">
        <f>IFERROR(Q190/Q329, "NA")</f>
      </c>
    </row>
    <row r="191" ht="16.5" customHeight="1">
      <c t="s" r="A191" s="12">
        <v>195</v>
      </c>
      <c r="B191" s="13">
        <v>0</v>
      </c>
      <c r="C191" s="14">
        <f>IFERROR(B191/B329, "NA")</f>
      </c>
      <c r="D191" s="15"/>
      <c r="E191" s="13">
        <v>0</v>
      </c>
      <c r="F191" s="14">
        <f>IFERROR(E191/E329, "NA")</f>
      </c>
      <c r="G191" s="15"/>
      <c r="H191" s="13">
        <v>0</v>
      </c>
      <c r="I191" s="14">
        <f>IFERROR(H191/H329, "NA")</f>
      </c>
      <c r="J191" s="15"/>
      <c r="K191" s="13">
        <v>0</v>
      </c>
      <c r="L191" s="14">
        <f>IFERROR(K191/K329, "NA")</f>
      </c>
      <c r="M191" s="15"/>
      <c r="N191" s="13">
        <v>0</v>
      </c>
      <c r="O191" s="14">
        <f>IFERROR(N191/N329, "NA")</f>
      </c>
      <c r="P191" s="15"/>
      <c r="Q191" s="13">
        <v>0</v>
      </c>
      <c r="R191" s="14">
        <f>IFERROR(Q191/Q329, "NA")</f>
      </c>
    </row>
    <row r="192" ht="16.5" customHeight="1">
      <c t="s" r="A192" s="12">
        <v>196</v>
      </c>
      <c r="B192" s="13">
        <v>462.5</v>
      </c>
      <c r="C192" s="14">
        <f>IFERROR(B192/B329, "NA")</f>
      </c>
      <c r="D192" s="15"/>
      <c r="E192" s="13">
        <v>0</v>
      </c>
      <c r="F192" s="14">
        <f>IFERROR(E192/E329, "NA")</f>
      </c>
      <c r="G192" s="15"/>
      <c r="H192" s="13">
        <v>1662.78</v>
      </c>
      <c r="I192" s="14">
        <f>IFERROR(H192/H329, "NA")</f>
      </c>
      <c r="J192" s="15"/>
      <c r="K192" s="13">
        <v>0</v>
      </c>
      <c r="L192" s="14">
        <f>IFERROR(K192/K329, "NA")</f>
      </c>
      <c r="M192" s="15"/>
      <c r="N192" s="13">
        <v>775.34000000000003</v>
      </c>
      <c r="O192" s="14">
        <f>IFERROR(N192/N329, "NA")</f>
      </c>
      <c r="P192" s="15"/>
      <c r="Q192" s="13">
        <v>0</v>
      </c>
      <c r="R192" s="14">
        <f>IFERROR(Q192/Q329, "NA")</f>
      </c>
    </row>
    <row r="193" ht="16.5" customHeight="1">
      <c t="s" r="A193" s="12">
        <v>197</v>
      </c>
      <c r="B193" s="13">
        <v>0</v>
      </c>
      <c r="C193" s="14">
        <f>IFERROR(B193/B329, "NA")</f>
      </c>
      <c r="D193" s="15"/>
      <c r="E193" s="13">
        <v>0</v>
      </c>
      <c r="F193" s="14">
        <f>IFERROR(E193/E329, "NA")</f>
      </c>
      <c r="G193" s="15"/>
      <c r="H193" s="13">
        <v>0</v>
      </c>
      <c r="I193" s="14">
        <f>IFERROR(H193/H329, "NA")</f>
      </c>
      <c r="J193" s="15"/>
      <c r="K193" s="13">
        <v>0</v>
      </c>
      <c r="L193" s="14">
        <f>IFERROR(K193/K329, "NA")</f>
      </c>
      <c r="M193" s="15"/>
      <c r="N193" s="13">
        <v>0</v>
      </c>
      <c r="O193" s="14">
        <f>IFERROR(N193/N329, "NA")</f>
      </c>
      <c r="P193" s="15"/>
      <c r="Q193" s="13">
        <v>0</v>
      </c>
      <c r="R193" s="14">
        <f>IFERROR(Q193/Q329, "NA")</f>
      </c>
    </row>
    <row r="194" ht="16.5" customHeight="1">
      <c t="s" r="A194" s="12">
        <v>198</v>
      </c>
      <c r="B194" s="13">
        <v>0</v>
      </c>
      <c r="C194" s="14">
        <f>IFERROR(B194/B329, "NA")</f>
      </c>
      <c r="D194" s="15"/>
      <c r="E194" s="13">
        <v>0</v>
      </c>
      <c r="F194" s="14">
        <f>IFERROR(E194/E329, "NA")</f>
      </c>
      <c r="G194" s="15"/>
      <c r="H194" s="13">
        <v>0</v>
      </c>
      <c r="I194" s="14">
        <f>IFERROR(H194/H329, "NA")</f>
      </c>
      <c r="J194" s="15"/>
      <c r="K194" s="13">
        <v>3268.8000000000002</v>
      </c>
      <c r="L194" s="14">
        <f>IFERROR(K194/K329, "NA")</f>
      </c>
      <c r="M194" s="15"/>
      <c r="N194" s="13">
        <v>0</v>
      </c>
      <c r="O194" s="14">
        <f>IFERROR(N194/N329, "NA")</f>
      </c>
      <c r="P194" s="15"/>
      <c r="Q194" s="13">
        <v>0</v>
      </c>
      <c r="R194" s="14">
        <f>IFERROR(Q194/Q329, "NA")</f>
      </c>
    </row>
    <row r="195" ht="16.5" customHeight="1">
      <c t="s" r="A195" s="12">
        <v>199</v>
      </c>
      <c r="B195" s="13">
        <v>0</v>
      </c>
      <c r="C195" s="14">
        <f>IFERROR(B195/B329, "NA")</f>
      </c>
      <c r="D195" s="15"/>
      <c r="E195" s="13">
        <v>1298.8699999999999</v>
      </c>
      <c r="F195" s="14">
        <f>IFERROR(E195/E329, "NA")</f>
      </c>
      <c r="G195" s="15"/>
      <c r="H195" s="13">
        <v>188.81</v>
      </c>
      <c r="I195" s="14">
        <f>IFERROR(H195/H329, "NA")</f>
      </c>
      <c r="J195" s="15"/>
      <c r="K195" s="13">
        <v>45.780000000000001</v>
      </c>
      <c r="L195" s="14">
        <f>IFERROR(K195/K329, "NA")</f>
      </c>
      <c r="M195" s="15"/>
      <c r="N195" s="13">
        <v>0</v>
      </c>
      <c r="O195" s="14">
        <f>IFERROR(N195/N329, "NA")</f>
      </c>
      <c r="P195" s="15"/>
      <c r="Q195" s="13">
        <v>0</v>
      </c>
      <c r="R195" s="14">
        <f>IFERROR(Q195/Q329, "NA")</f>
      </c>
    </row>
    <row r="196" ht="16.5" customHeight="1">
      <c t="s" r="A196" s="12">
        <v>200</v>
      </c>
      <c r="B196" s="13">
        <v>6519.1199999999999</v>
      </c>
      <c r="C196" s="14">
        <f>IFERROR(B196/B329, "NA")</f>
      </c>
      <c r="D196" s="15"/>
      <c r="E196" s="13">
        <v>5775</v>
      </c>
      <c r="F196" s="14">
        <f>IFERROR(E196/E329, "NA")</f>
      </c>
      <c r="G196" s="15"/>
      <c r="H196" s="13">
        <v>600</v>
      </c>
      <c r="I196" s="14">
        <f>IFERROR(H196/H329, "NA")</f>
      </c>
      <c r="J196" s="15"/>
      <c r="K196" s="13">
        <v>5400</v>
      </c>
      <c r="L196" s="14">
        <f>IFERROR(K196/K329, "NA")</f>
      </c>
      <c r="M196" s="15"/>
      <c r="N196" s="13">
        <v>28350</v>
      </c>
      <c r="O196" s="14">
        <f>IFERROR(N196/N329, "NA")</f>
      </c>
      <c r="P196" s="15"/>
      <c r="Q196" s="13">
        <v>40000</v>
      </c>
      <c r="R196" s="14">
        <f>IFERROR(Q196/Q329, "NA")</f>
      </c>
    </row>
    <row r="197" ht="16.5" customHeight="1">
      <c t="s" r="A197" s="12">
        <v>201</v>
      </c>
      <c r="B197" s="13">
        <v>0</v>
      </c>
      <c r="C197" s="14">
        <f>IFERROR(B197/B329, "NA")</f>
      </c>
      <c r="D197" s="15"/>
      <c r="E197" s="13">
        <v>0</v>
      </c>
      <c r="F197" s="14">
        <f>IFERROR(E197/E329, "NA")</f>
      </c>
      <c r="G197" s="15"/>
      <c r="H197" s="13">
        <v>0</v>
      </c>
      <c r="I197" s="14">
        <f>IFERROR(H197/H329, "NA")</f>
      </c>
      <c r="J197" s="15"/>
      <c r="K197" s="13">
        <v>0</v>
      </c>
      <c r="L197" s="14">
        <f>IFERROR(K197/K329, "NA")</f>
      </c>
      <c r="M197" s="15"/>
      <c r="N197" s="13">
        <v>0</v>
      </c>
      <c r="O197" s="14">
        <f>IFERROR(N197/N329, "NA")</f>
      </c>
      <c r="P197" s="15"/>
      <c r="Q197" s="13">
        <v>0</v>
      </c>
      <c r="R197" s="14">
        <f>IFERROR(Q197/Q329, "NA")</f>
      </c>
    </row>
    <row r="198" ht="16.5" customHeight="1">
      <c t="s" r="A198" s="12">
        <v>202</v>
      </c>
      <c r="B198" s="13">
        <v>0</v>
      </c>
      <c r="C198" s="14">
        <f>IFERROR(B198/B329, "NA")</f>
      </c>
      <c r="D198" s="15"/>
      <c r="E198" s="13">
        <v>0</v>
      </c>
      <c r="F198" s="14">
        <f>IFERROR(E198/E329, "NA")</f>
      </c>
      <c r="G198" s="15"/>
      <c r="H198" s="13">
        <v>0</v>
      </c>
      <c r="I198" s="14">
        <f>IFERROR(H198/H329, "NA")</f>
      </c>
      <c r="J198" s="15"/>
      <c r="K198" s="13">
        <v>0</v>
      </c>
      <c r="L198" s="14">
        <f>IFERROR(K198/K329, "NA")</f>
      </c>
      <c r="M198" s="15"/>
      <c r="N198" s="13">
        <v>0</v>
      </c>
      <c r="O198" s="14">
        <f>IFERROR(N198/N329, "NA")</f>
      </c>
      <c r="P198" s="15"/>
      <c r="Q198" s="13">
        <v>0</v>
      </c>
      <c r="R198" s="14">
        <f>IFERROR(Q198/Q329, "NA")</f>
      </c>
    </row>
    <row r="199" ht="16.5" customHeight="1">
      <c t="s" r="A199" s="12">
        <v>203</v>
      </c>
      <c r="B199" s="13">
        <v>0</v>
      </c>
      <c r="C199" s="14">
        <f>IFERROR(B199/B329, "NA")</f>
      </c>
      <c r="D199" s="15"/>
      <c r="E199" s="13">
        <v>0</v>
      </c>
      <c r="F199" s="14">
        <f>IFERROR(E199/E329, "NA")</f>
      </c>
      <c r="G199" s="15"/>
      <c r="H199" s="13">
        <v>0</v>
      </c>
      <c r="I199" s="14">
        <f>IFERROR(H199/H329, "NA")</f>
      </c>
      <c r="J199" s="15"/>
      <c r="K199" s="13">
        <v>0</v>
      </c>
      <c r="L199" s="14">
        <f>IFERROR(K199/K329, "NA")</f>
      </c>
      <c r="M199" s="15"/>
      <c r="N199" s="13">
        <v>0</v>
      </c>
      <c r="O199" s="14">
        <f>IFERROR(N199/N329, "NA")</f>
      </c>
      <c r="P199" s="15"/>
      <c r="Q199" s="13">
        <v>0</v>
      </c>
      <c r="R199" s="14">
        <f>IFERROR(Q199/Q329, "NA")</f>
      </c>
    </row>
    <row r="200" ht="16.5" customHeight="1">
      <c t="s" r="A200" s="12">
        <v>204</v>
      </c>
      <c r="B200" s="13">
        <v>0</v>
      </c>
      <c r="C200" s="14">
        <f>IFERROR(B200/B329, "NA")</f>
      </c>
      <c r="D200" s="15"/>
      <c r="E200" s="13">
        <v>0</v>
      </c>
      <c r="F200" s="14">
        <f>IFERROR(E200/E329, "NA")</f>
      </c>
      <c r="G200" s="15"/>
      <c r="H200" s="13">
        <v>0</v>
      </c>
      <c r="I200" s="14">
        <f>IFERROR(H200/H329, "NA")</f>
      </c>
      <c r="J200" s="15"/>
      <c r="K200" s="13">
        <v>0</v>
      </c>
      <c r="L200" s="14">
        <f>IFERROR(K200/K329, "NA")</f>
      </c>
      <c r="M200" s="15"/>
      <c r="N200" s="13">
        <v>0</v>
      </c>
      <c r="O200" s="14">
        <f>IFERROR(N200/N329, "NA")</f>
      </c>
      <c r="P200" s="15"/>
      <c r="Q200" s="13">
        <v>0</v>
      </c>
      <c r="R200" s="14">
        <f>IFERROR(Q200/Q329, "NA")</f>
      </c>
    </row>
    <row r="201" ht="16.5" customHeight="1">
      <c t="s" r="A201" s="12">
        <v>205</v>
      </c>
      <c r="B201" s="13">
        <v>0</v>
      </c>
      <c r="C201" s="14">
        <f>IFERROR(B201/B329, "NA")</f>
      </c>
      <c r="D201" s="15"/>
      <c r="E201" s="13">
        <v>0</v>
      </c>
      <c r="F201" s="14">
        <f>IFERROR(E201/E329, "NA")</f>
      </c>
      <c r="G201" s="15"/>
      <c r="H201" s="13">
        <v>0</v>
      </c>
      <c r="I201" s="14">
        <f>IFERROR(H201/H329, "NA")</f>
      </c>
      <c r="J201" s="15"/>
      <c r="K201" s="13">
        <v>0</v>
      </c>
      <c r="L201" s="14">
        <f>IFERROR(K201/K329, "NA")</f>
      </c>
      <c r="M201" s="15"/>
      <c r="N201" s="13">
        <v>0</v>
      </c>
      <c r="O201" s="14">
        <f>IFERROR(N201/N329, "NA")</f>
      </c>
      <c r="P201" s="15"/>
      <c r="Q201" s="13">
        <v>0</v>
      </c>
      <c r="R201" s="14">
        <f>IFERROR(Q201/Q329, "NA")</f>
      </c>
    </row>
    <row r="202" ht="16.5" customHeight="1">
      <c t="s" r="A202" s="12">
        <v>206</v>
      </c>
      <c r="B202" s="13">
        <v>0</v>
      </c>
      <c r="C202" s="14">
        <f>IFERROR(B202/B329, "NA")</f>
      </c>
      <c r="D202" s="15"/>
      <c r="E202" s="13">
        <v>0</v>
      </c>
      <c r="F202" s="14">
        <f>IFERROR(E202/E329, "NA")</f>
      </c>
      <c r="G202" s="15"/>
      <c r="H202" s="13">
        <v>0</v>
      </c>
      <c r="I202" s="14">
        <f>IFERROR(H202/H329, "NA")</f>
      </c>
      <c r="J202" s="15"/>
      <c r="K202" s="13">
        <v>0</v>
      </c>
      <c r="L202" s="14">
        <f>IFERROR(K202/K329, "NA")</f>
      </c>
      <c r="M202" s="15"/>
      <c r="N202" s="13">
        <v>0</v>
      </c>
      <c r="O202" s="14">
        <f>IFERROR(N202/N329, "NA")</f>
      </c>
      <c r="P202" s="15"/>
      <c r="Q202" s="13">
        <v>0</v>
      </c>
      <c r="R202" s="14">
        <f>IFERROR(Q202/Q329, "NA")</f>
      </c>
    </row>
    <row r="203" ht="16.5" customHeight="1">
      <c t="s" r="A203" s="12">
        <v>207</v>
      </c>
      <c r="B203" s="13">
        <v>0</v>
      </c>
      <c r="C203" s="14">
        <f>IFERROR(B203/B329, "NA")</f>
      </c>
      <c r="D203" s="15"/>
      <c r="E203" s="13">
        <v>0</v>
      </c>
      <c r="F203" s="14">
        <f>IFERROR(E203/E329, "NA")</f>
      </c>
      <c r="G203" s="15"/>
      <c r="H203" s="13">
        <v>0</v>
      </c>
      <c r="I203" s="14">
        <f>IFERROR(H203/H329, "NA")</f>
      </c>
      <c r="J203" s="15"/>
      <c r="K203" s="13">
        <v>0</v>
      </c>
      <c r="L203" s="14">
        <f>IFERROR(K203/K329, "NA")</f>
      </c>
      <c r="M203" s="15"/>
      <c r="N203" s="13">
        <v>0</v>
      </c>
      <c r="O203" s="14">
        <f>IFERROR(N203/N329, "NA")</f>
      </c>
      <c r="P203" s="15"/>
      <c r="Q203" s="13">
        <v>0</v>
      </c>
      <c r="R203" s="14">
        <f>IFERROR(Q203/Q329, "NA")</f>
      </c>
    </row>
    <row r="204" ht="16.5" customHeight="1">
      <c t="s" r="A204" s="12">
        <v>208</v>
      </c>
      <c r="B204" s="13">
        <v>0</v>
      </c>
      <c r="C204" s="14">
        <f>IFERROR(B204/B329, "NA")</f>
      </c>
      <c r="D204" s="15"/>
      <c r="E204" s="13">
        <v>0</v>
      </c>
      <c r="F204" s="14">
        <f>IFERROR(E204/E329, "NA")</f>
      </c>
      <c r="G204" s="15"/>
      <c r="H204" s="13">
        <v>0</v>
      </c>
      <c r="I204" s="14">
        <f>IFERROR(H204/H329, "NA")</f>
      </c>
      <c r="J204" s="15"/>
      <c r="K204" s="13">
        <v>0</v>
      </c>
      <c r="L204" s="14">
        <f>IFERROR(K204/K329, "NA")</f>
      </c>
      <c r="M204" s="15"/>
      <c r="N204" s="13">
        <v>0</v>
      </c>
      <c r="O204" s="14">
        <f>IFERROR(N204/N329, "NA")</f>
      </c>
      <c r="P204" s="15"/>
      <c r="Q204" s="13">
        <v>0</v>
      </c>
      <c r="R204" s="14">
        <f>IFERROR(Q204/Q329, "NA")</f>
      </c>
    </row>
    <row r="205" ht="16.5" customHeight="1">
      <c t="s" r="A205" s="12">
        <v>209</v>
      </c>
      <c r="B205" s="13">
        <v>0</v>
      </c>
      <c r="C205" s="14">
        <f>IFERROR(B205/B329, "NA")</f>
      </c>
      <c r="D205" s="15"/>
      <c r="E205" s="13">
        <v>0</v>
      </c>
      <c r="F205" s="14">
        <f>IFERROR(E205/E329, "NA")</f>
      </c>
      <c r="G205" s="15"/>
      <c r="H205" s="13">
        <v>0</v>
      </c>
      <c r="I205" s="14">
        <f>IFERROR(H205/H329, "NA")</f>
      </c>
      <c r="J205" s="15"/>
      <c r="K205" s="13">
        <v>0</v>
      </c>
      <c r="L205" s="14">
        <f>IFERROR(K205/K329, "NA")</f>
      </c>
      <c r="M205" s="15"/>
      <c r="N205" s="13">
        <v>0</v>
      </c>
      <c r="O205" s="14">
        <f>IFERROR(N205/N329, "NA")</f>
      </c>
      <c r="P205" s="15"/>
      <c r="Q205" s="13">
        <v>0</v>
      </c>
      <c r="R205" s="14">
        <f>IFERROR(Q205/Q329, "NA")</f>
      </c>
    </row>
    <row r="206" ht="16.5" customHeight="1">
      <c t="s" r="A206" s="12">
        <v>210</v>
      </c>
      <c r="B206" s="13">
        <v>0</v>
      </c>
      <c r="C206" s="14">
        <f>IFERROR(B206/B329, "NA")</f>
      </c>
      <c r="D206" s="15"/>
      <c r="E206" s="13">
        <v>0</v>
      </c>
      <c r="F206" s="14">
        <f>IFERROR(E206/E329, "NA")</f>
      </c>
      <c r="G206" s="15"/>
      <c r="H206" s="13">
        <v>0</v>
      </c>
      <c r="I206" s="14">
        <f>IFERROR(H206/H329, "NA")</f>
      </c>
      <c r="J206" s="15"/>
      <c r="K206" s="13">
        <v>0</v>
      </c>
      <c r="L206" s="14">
        <f>IFERROR(K206/K329, "NA")</f>
      </c>
      <c r="M206" s="15"/>
      <c r="N206" s="13">
        <v>0</v>
      </c>
      <c r="O206" s="14">
        <f>IFERROR(N206/N329, "NA")</f>
      </c>
      <c r="P206" s="15"/>
      <c r="Q206" s="13">
        <v>0</v>
      </c>
      <c r="R206" s="14">
        <f>IFERROR(Q206/Q329, "NA")</f>
      </c>
    </row>
    <row r="207" ht="16.5" customHeight="1">
      <c t="s" r="A207" s="12">
        <v>211</v>
      </c>
      <c r="B207" s="13">
        <v>0</v>
      </c>
      <c r="C207" s="14">
        <f>IFERROR(B207/B329, "NA")</f>
      </c>
      <c r="D207" s="15"/>
      <c r="E207" s="13">
        <v>0</v>
      </c>
      <c r="F207" s="14">
        <f>IFERROR(E207/E329, "NA")</f>
      </c>
      <c r="G207" s="15"/>
      <c r="H207" s="13">
        <v>0</v>
      </c>
      <c r="I207" s="14">
        <f>IFERROR(H207/H329, "NA")</f>
      </c>
      <c r="J207" s="15"/>
      <c r="K207" s="13">
        <v>0</v>
      </c>
      <c r="L207" s="14">
        <f>IFERROR(K207/K329, "NA")</f>
      </c>
      <c r="M207" s="15"/>
      <c r="N207" s="13">
        <v>0</v>
      </c>
      <c r="O207" s="14">
        <f>IFERROR(N207/N329, "NA")</f>
      </c>
      <c r="P207" s="15"/>
      <c r="Q207" s="13">
        <v>0</v>
      </c>
      <c r="R207" s="14">
        <f>IFERROR(Q207/Q329, "NA")</f>
      </c>
    </row>
    <row r="208" ht="16.5" customHeight="1">
      <c t="s" r="A208" s="12">
        <v>212</v>
      </c>
      <c r="B208" s="13">
        <v>0</v>
      </c>
      <c r="C208" s="14">
        <f>IFERROR(B208/B329, "NA")</f>
      </c>
      <c r="D208" s="15"/>
      <c r="E208" s="13">
        <v>0</v>
      </c>
      <c r="F208" s="14">
        <f>IFERROR(E208/E329, "NA")</f>
      </c>
      <c r="G208" s="15"/>
      <c r="H208" s="13">
        <v>0</v>
      </c>
      <c r="I208" s="14">
        <f>IFERROR(H208/H329, "NA")</f>
      </c>
      <c r="J208" s="15"/>
      <c r="K208" s="13">
        <v>0</v>
      </c>
      <c r="L208" s="14">
        <f>IFERROR(K208/K329, "NA")</f>
      </c>
      <c r="M208" s="15"/>
      <c r="N208" s="13">
        <v>0</v>
      </c>
      <c r="O208" s="14">
        <f>IFERROR(N208/N329, "NA")</f>
      </c>
      <c r="P208" s="15"/>
      <c r="Q208" s="13">
        <v>0</v>
      </c>
      <c r="R208" s="14">
        <f>IFERROR(Q208/Q329, "NA")</f>
      </c>
    </row>
    <row r="209" ht="16.5" customHeight="1">
      <c t="s" r="A209" s="16">
        <v>213</v>
      </c>
      <c r="B209" s="17">
        <f>IFERROR(B160+B161+B162+B163+B164+B165+B166+B167+B168+B169+B170+B171+B172+B173+B174+B175+B176+B177+B178+B179+B180+B181+B182+B183+B184+B185+B186+B187+B188+B189+B190+B191+B192+B193+B194+B195+B196+B197+B198+B199+B200+B201+B202+B203+B204+B205+B206+B207+B208, "NA")</f>
      </c>
      <c r="C209" s="18">
        <f>IFERROR(B209/B329, "NA")</f>
      </c>
      <c r="D209" s="8"/>
      <c r="E209" s="17">
        <f>IFERROR(E160+E161+E162+E163+E164+E165+E166+E167+E168+E169+E170+E171+E172+E173+E174+E175+E176+E177+E178+E179+E180+E181+E182+E183+E184+E185+E186+E187+E188+E189+E190+E191+E192+E193+E194+E195+E196+E197+E198+E199+E200+E201+E202+E203+E204+E205+E206+E207+E208, "NA")</f>
      </c>
      <c r="F209" s="18">
        <f>IFERROR(E209/E329, "NA")</f>
      </c>
      <c r="G209" s="8"/>
      <c r="H209" s="17">
        <f>IFERROR(H160+H161+H162+H163+H164+H165+H166+H167+H168+H169+H170+H171+H172+H173+H174+H175+H176+H177+H178+H179+H180+H181+H182+H183+H184+H185+H186+H187+H188+H189+H190+H191+H192+H193+H194+H195+H196+H197+H198+H199+H200+H201+H202+H203+H204+H205+H206+H207+H208, "NA")</f>
      </c>
      <c r="I209" s="18">
        <f>IFERROR(H209/H329, "NA")</f>
      </c>
      <c r="J209" s="8"/>
      <c r="K209" s="17">
        <f>IFERROR(K160+K161+K162+K163+K164+K165+K166+K167+K168+K169+K170+K171+K172+K173+K174+K175+K176+K177+K178+K179+K180+K181+K182+K183+K184+K185+K186+K187+K188+K189+K190+K191+K192+K193+K194+K195+K196+K197+K198+K199+K200+K201+K202+K203+K204+K205+K206+K207+K208, "NA")</f>
      </c>
      <c r="L209" s="18">
        <f>IFERROR(K209/K329, "NA")</f>
      </c>
      <c r="M209" s="8"/>
      <c r="N209" s="17">
        <f>IFERROR(N160+N161+N162+N163+N164+N165+N166+N167+N168+N169+N170+N171+N172+N173+N174+N175+N176+N177+N178+N179+N180+N181+N182+N183+N184+N185+N186+N187+N188+N189+N190+N191+N192+N193+N194+N195+N196+N197+N198+N199+N200+N201+N202+N203+N204+N205+N206+N207+N208, "NA")</f>
      </c>
      <c r="O209" s="18">
        <f>IFERROR(N209/N329, "NA")</f>
      </c>
      <c r="P209" s="8"/>
      <c r="Q209" s="17">
        <f>IFERROR(Q160+Q161+Q162+Q163+Q164+Q165+Q166+Q167+Q168+Q169+Q170+Q171+Q172+Q173+Q174+Q175+Q176+Q177+Q178+Q179+Q180+Q181+Q182+Q183+Q184+Q185+Q186+Q187+Q188+Q189+Q190+Q191+Q192+Q193+Q194+Q195+Q196+Q197+Q198+Q199+Q200+Q201+Q202+Q203+Q204+Q205+Q206+Q207+Q208, "NA")</f>
      </c>
      <c r="R209" s="18">
        <f>IFERROR(Q209/Q329, "NA")</f>
      </c>
    </row>
    <row r="210" ht="16.5" customHeight="1">
      <c t="s" r="A210" s="19">
        <v>214</v>
      </c>
      <c r="B210" s="13">
        <v>0</v>
      </c>
      <c r="C210" s="14">
        <f>IFERROR(B210/B329, "NA")</f>
      </c>
      <c r="D210" s="15"/>
      <c r="E210" s="13">
        <v>0</v>
      </c>
      <c r="F210" s="14">
        <f>IFERROR(E210/E329, "NA")</f>
      </c>
      <c r="G210" s="15"/>
      <c r="H210" s="13">
        <v>0</v>
      </c>
      <c r="I210" s="14">
        <f>IFERROR(H210/H329, "NA")</f>
      </c>
      <c r="J210" s="15"/>
      <c r="K210" s="13">
        <v>0</v>
      </c>
      <c r="L210" s="14">
        <f>IFERROR(K210/K329, "NA")</f>
      </c>
      <c r="M210" s="15"/>
      <c r="N210" s="13">
        <v>0</v>
      </c>
      <c r="O210" s="14">
        <f>IFERROR(N210/N329, "NA")</f>
      </c>
      <c r="P210" s="15"/>
      <c r="Q210" s="13">
        <v>0</v>
      </c>
      <c r="R210" s="14">
        <f>IFERROR(Q210/Q329, "NA")</f>
      </c>
    </row>
    <row r="211" ht="16.5" customHeight="1">
      <c t="s" r="A211" s="20">
        <v>215</v>
      </c>
      <c r="B211" s="17">
        <f>IFERROR(B160+B161+B162+B163+B164+B165+B166+B167+B168+B169+B170+B171+B172+B173+B174+B175+B176+B177+B178+B179+B180+B181+B182+B183+B184+B185+B186+B187+B188+B189+B190+B191+B192+B193+B194+B195+B196+B197+B198+B199+B200+B201+B202+B203+B204+B205+B206+B207+B208+B210, "NA")</f>
      </c>
      <c r="C211" s="18">
        <f>IFERROR(B211/B329, "NA")</f>
      </c>
      <c r="D211" s="8"/>
      <c r="E211" s="17">
        <f>IFERROR(E160+E161+E162+E163+E164+E165+E166+E167+E168+E169+E170+E171+E172+E173+E174+E175+E176+E177+E178+E179+E180+E181+E182+E183+E184+E185+E186+E187+E188+E189+E190+E191+E192+E193+E194+E195+E196+E197+E198+E199+E200+E201+E202+E203+E204+E205+E206+E207+E208+E210, "NA")</f>
      </c>
      <c r="F211" s="18">
        <f>IFERROR(E211/E329, "NA")</f>
      </c>
      <c r="G211" s="8"/>
      <c r="H211" s="17">
        <f>IFERROR(H160+H161+H162+H163+H164+H165+H166+H167+H168+H169+H170+H171+H172+H173+H174+H175+H176+H177+H178+H179+H180+H181+H182+H183+H184+H185+H186+H187+H188+H189+H190+H191+H192+H193+H194+H195+H196+H197+H198+H199+H200+H201+H202+H203+H204+H205+H206+H207+H208+H210, "NA")</f>
      </c>
      <c r="I211" s="18">
        <f>IFERROR(H211/H329, "NA")</f>
      </c>
      <c r="J211" s="8"/>
      <c r="K211" s="17">
        <f>IFERROR(K160+K161+K162+K163+K164+K165+K166+K167+K168+K169+K170+K171+K172+K173+K174+K175+K176+K177+K178+K179+K180+K181+K182+K183+K184+K185+K186+K187+K188+K189+K190+K191+K192+K193+K194+K195+K196+K197+K198+K199+K200+K201+K202+K203+K204+K205+K206+K207+K208+K210, "NA")</f>
      </c>
      <c r="L211" s="18">
        <f>IFERROR(K211/K329, "NA")</f>
      </c>
      <c r="M211" s="8"/>
      <c r="N211" s="17">
        <f>IFERROR(N160+N161+N162+N163+N164+N165+N166+N167+N168+N169+N170+N171+N172+N173+N174+N175+N176+N177+N178+N179+N180+N181+N182+N183+N184+N185+N186+N187+N188+N189+N190+N191+N192+N193+N194+N195+N196+N197+N198+N199+N200+N201+N202+N203+N204+N205+N206+N207+N208+N210, "NA")</f>
      </c>
      <c r="O211" s="18">
        <f>IFERROR(N211/N329, "NA")</f>
      </c>
      <c r="P211" s="8"/>
      <c r="Q211" s="17">
        <f>IFERROR(Q160+Q161+Q162+Q163+Q164+Q165+Q166+Q167+Q168+Q169+Q170+Q171+Q172+Q173+Q174+Q175+Q176+Q177+Q178+Q179+Q180+Q181+Q182+Q183+Q184+Q185+Q186+Q187+Q188+Q189+Q190+Q191+Q192+Q193+Q194+Q195+Q196+Q197+Q198+Q199+Q200+Q201+Q202+Q203+Q204+Q205+Q206+Q207+Q208+Q210, "NA")</f>
      </c>
      <c r="R211" s="18">
        <f>IFERROR(Q211/Q329, "NA")</f>
      </c>
    </row>
    <row r="212" ht="16.5" customHeight="1">
      <c t="s" r="A212" s="7">
        <v>216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</row>
    <row r="213" ht="16.5" customHeight="1">
      <c t="s" r="A213" s="11">
        <v>217</v>
      </c>
      <c r="B213" s="8"/>
      <c r="C213" s="9"/>
      <c r="D213" s="10"/>
      <c r="E213" s="8"/>
      <c r="F213" s="9"/>
      <c r="G213" s="10"/>
      <c r="H213" s="8"/>
      <c r="I213" s="9"/>
      <c r="J213" s="10"/>
      <c r="K213" s="8"/>
      <c r="L213" s="9"/>
      <c r="M213" s="10"/>
      <c r="N213" s="8"/>
      <c r="O213" s="9"/>
      <c r="P213" s="10"/>
      <c r="Q213" s="8"/>
      <c r="R213" s="9"/>
    </row>
    <row r="214" ht="16.5" customHeight="1">
      <c t="s" r="A214" s="12">
        <v>218</v>
      </c>
      <c r="B214" s="13">
        <v>0</v>
      </c>
      <c r="C214" s="14">
        <f>IFERROR(B214/B329, "NA")</f>
      </c>
      <c r="D214" s="15"/>
      <c r="E214" s="13">
        <v>0</v>
      </c>
      <c r="F214" s="14">
        <f>IFERROR(E214/E329, "NA")</f>
      </c>
      <c r="G214" s="15"/>
      <c r="H214" s="13">
        <v>0</v>
      </c>
      <c r="I214" s="14">
        <f>IFERROR(H214/H329, "NA")</f>
      </c>
      <c r="J214" s="15"/>
      <c r="K214" s="13">
        <v>0</v>
      </c>
      <c r="L214" s="14">
        <f>IFERROR(K214/K329, "NA")</f>
      </c>
      <c r="M214" s="15"/>
      <c r="N214" s="13">
        <v>0</v>
      </c>
      <c r="O214" s="14">
        <f>IFERROR(N214/N329, "NA")</f>
      </c>
      <c r="P214" s="15"/>
      <c r="Q214" s="13">
        <v>0</v>
      </c>
      <c r="R214" s="14">
        <f>IFERROR(Q214/Q329, "NA")</f>
      </c>
    </row>
    <row r="215" ht="16.5" customHeight="1">
      <c t="s" r="A215" s="12">
        <v>219</v>
      </c>
      <c r="B215" s="13">
        <v>2048.21</v>
      </c>
      <c r="C215" s="14">
        <f>IFERROR(B215/B329, "NA")</f>
      </c>
      <c r="D215" s="15"/>
      <c r="E215" s="13">
        <v>3059.77</v>
      </c>
      <c r="F215" s="14">
        <f>IFERROR(E215/E329, "NA")</f>
      </c>
      <c r="G215" s="15"/>
      <c r="H215" s="13">
        <v>2728.21</v>
      </c>
      <c r="I215" s="14">
        <f>IFERROR(H215/H329, "NA")</f>
      </c>
      <c r="J215" s="15"/>
      <c r="K215" s="13">
        <v>4486.9899999999998</v>
      </c>
      <c r="L215" s="14">
        <f>IFERROR(K215/K329, "NA")</f>
      </c>
      <c r="M215" s="15"/>
      <c r="N215" s="13">
        <v>3643.1700000000001</v>
      </c>
      <c r="O215" s="14">
        <f>IFERROR(N215/N329, "NA")</f>
      </c>
      <c r="P215" s="15"/>
      <c r="Q215" s="13">
        <v>2734.6100000000001</v>
      </c>
      <c r="R215" s="14">
        <f>IFERROR(Q215/Q329, "NA")</f>
      </c>
    </row>
    <row r="216" ht="16.5" customHeight="1">
      <c t="s" r="A216" s="12">
        <v>220</v>
      </c>
      <c r="B216" s="13">
        <v>0</v>
      </c>
      <c r="C216" s="14">
        <f>IFERROR(B216/B329, "NA")</f>
      </c>
      <c r="D216" s="15"/>
      <c r="E216" s="13">
        <v>0</v>
      </c>
      <c r="F216" s="14">
        <f>IFERROR(E216/E329, "NA")</f>
      </c>
      <c r="G216" s="15"/>
      <c r="H216" s="13">
        <v>0</v>
      </c>
      <c r="I216" s="14">
        <f>IFERROR(H216/H329, "NA")</f>
      </c>
      <c r="J216" s="15"/>
      <c r="K216" s="13">
        <v>0</v>
      </c>
      <c r="L216" s="14">
        <f>IFERROR(K216/K329, "NA")</f>
      </c>
      <c r="M216" s="15"/>
      <c r="N216" s="13">
        <v>92.25</v>
      </c>
      <c r="O216" s="14">
        <f>IFERROR(N216/N329, "NA")</f>
      </c>
      <c r="P216" s="15"/>
      <c r="Q216" s="13">
        <v>15.949999999999999</v>
      </c>
      <c r="R216" s="14">
        <f>IFERROR(Q216/Q329, "NA")</f>
      </c>
    </row>
    <row r="217" ht="16.5" customHeight="1">
      <c t="s" r="A217" s="12">
        <v>221</v>
      </c>
      <c r="B217" s="13">
        <v>1022.9</v>
      </c>
      <c r="C217" s="14">
        <f>IFERROR(B217/B329, "NA")</f>
      </c>
      <c r="D217" s="15"/>
      <c r="E217" s="13">
        <v>3121.5799999999999</v>
      </c>
      <c r="F217" s="14">
        <f>IFERROR(E217/E329, "NA")</f>
      </c>
      <c r="G217" s="15"/>
      <c r="H217" s="13">
        <v>873.5</v>
      </c>
      <c r="I217" s="14">
        <f>IFERROR(H217/H329, "NA")</f>
      </c>
      <c r="J217" s="15"/>
      <c r="K217" s="13">
        <v>5217.6000000000004</v>
      </c>
      <c r="L217" s="14">
        <f>IFERROR(K217/K329, "NA")</f>
      </c>
      <c r="M217" s="15"/>
      <c r="N217" s="13">
        <v>3358.1500000000001</v>
      </c>
      <c r="O217" s="14">
        <f>IFERROR(N217/N329, "NA")</f>
      </c>
      <c r="P217" s="15"/>
      <c r="Q217" s="13">
        <v>0</v>
      </c>
      <c r="R217" s="14">
        <f>IFERROR(Q217/Q329, "NA")</f>
      </c>
    </row>
    <row r="218" ht="16.5" customHeight="1">
      <c t="s" r="A218" s="12">
        <v>222</v>
      </c>
      <c r="B218" s="13">
        <v>169</v>
      </c>
      <c r="C218" s="14">
        <f>IFERROR(B218/B329, "NA")</f>
      </c>
      <c r="D218" s="15"/>
      <c r="E218" s="13">
        <v>0</v>
      </c>
      <c r="F218" s="14">
        <f>IFERROR(E218/E329, "NA")</f>
      </c>
      <c r="G218" s="15"/>
      <c r="H218" s="13">
        <v>151</v>
      </c>
      <c r="I218" s="14">
        <f>IFERROR(H218/H329, "NA")</f>
      </c>
      <c r="J218" s="15"/>
      <c r="K218" s="13">
        <v>0</v>
      </c>
      <c r="L218" s="14">
        <f>IFERROR(K218/K329, "NA")</f>
      </c>
      <c r="M218" s="15"/>
      <c r="N218" s="13">
        <v>302</v>
      </c>
      <c r="O218" s="14">
        <f>IFERROR(N218/N329, "NA")</f>
      </c>
      <c r="P218" s="15"/>
      <c r="Q218" s="13">
        <v>0</v>
      </c>
      <c r="R218" s="14">
        <f>IFERROR(Q218/Q329, "NA")</f>
      </c>
    </row>
    <row r="219" ht="16.5" customHeight="1">
      <c t="s" r="A219" s="12">
        <v>223</v>
      </c>
      <c r="B219" s="13">
        <v>0</v>
      </c>
      <c r="C219" s="14">
        <f>IFERROR(B219/B329, "NA")</f>
      </c>
      <c r="D219" s="15"/>
      <c r="E219" s="13">
        <v>0</v>
      </c>
      <c r="F219" s="14">
        <f>IFERROR(E219/E329, "NA")</f>
      </c>
      <c r="G219" s="15"/>
      <c r="H219" s="13">
        <v>0</v>
      </c>
      <c r="I219" s="14">
        <f>IFERROR(H219/H329, "NA")</f>
      </c>
      <c r="J219" s="15"/>
      <c r="K219" s="13">
        <v>0</v>
      </c>
      <c r="L219" s="14">
        <f>IFERROR(K219/K329, "NA")</f>
      </c>
      <c r="M219" s="15"/>
      <c r="N219" s="13">
        <v>0</v>
      </c>
      <c r="O219" s="14">
        <f>IFERROR(N219/N329, "NA")</f>
      </c>
      <c r="P219" s="15"/>
      <c r="Q219" s="13">
        <v>0</v>
      </c>
      <c r="R219" s="14">
        <f>IFERROR(Q219/Q329, "NA")</f>
      </c>
    </row>
    <row r="220" ht="16.5" customHeight="1">
      <c t="s" r="A220" s="12">
        <v>224</v>
      </c>
      <c r="B220" s="13">
        <v>160.50999999999999</v>
      </c>
      <c r="C220" s="14">
        <f>IFERROR(B220/B329, "NA")</f>
      </c>
      <c r="D220" s="15"/>
      <c r="E220" s="13">
        <v>230.83000000000001</v>
      </c>
      <c r="F220" s="14">
        <f>IFERROR(E220/E329, "NA")</f>
      </c>
      <c r="G220" s="15"/>
      <c r="H220" s="13">
        <v>193.69999999999999</v>
      </c>
      <c r="I220" s="14">
        <f>IFERROR(H220/H329, "NA")</f>
      </c>
      <c r="J220" s="15"/>
      <c r="K220" s="13">
        <v>499.95999999999998</v>
      </c>
      <c r="L220" s="14">
        <f>IFERROR(K220/K329, "NA")</f>
      </c>
      <c r="M220" s="15"/>
      <c r="N220" s="13">
        <v>152.09999999999999</v>
      </c>
      <c r="O220" s="14">
        <f>IFERROR(N220/N329, "NA")</f>
      </c>
      <c r="P220" s="15"/>
      <c r="Q220" s="13">
        <v>0</v>
      </c>
      <c r="R220" s="14">
        <f>IFERROR(Q220/Q329, "NA")</f>
      </c>
    </row>
    <row r="221" ht="16.5" customHeight="1">
      <c t="s" r="A221" s="12">
        <v>225</v>
      </c>
      <c r="B221" s="13">
        <v>0</v>
      </c>
      <c r="C221" s="14">
        <f>IFERROR(B221/B329, "NA")</f>
      </c>
      <c r="D221" s="15"/>
      <c r="E221" s="13">
        <v>0</v>
      </c>
      <c r="F221" s="14">
        <f>IFERROR(E221/E329, "NA")</f>
      </c>
      <c r="G221" s="15"/>
      <c r="H221" s="13">
        <v>0</v>
      </c>
      <c r="I221" s="14">
        <f>IFERROR(H221/H329, "NA")</f>
      </c>
      <c r="J221" s="15"/>
      <c r="K221" s="13">
        <v>0</v>
      </c>
      <c r="L221" s="14">
        <f>IFERROR(K221/K329, "NA")</f>
      </c>
      <c r="M221" s="15"/>
      <c r="N221" s="13">
        <v>0</v>
      </c>
      <c r="O221" s="14">
        <f>IFERROR(N221/N329, "NA")</f>
      </c>
      <c r="P221" s="15"/>
      <c r="Q221" s="13">
        <v>0</v>
      </c>
      <c r="R221" s="14">
        <f>IFERROR(Q221/Q329, "NA")</f>
      </c>
    </row>
    <row r="222" ht="16.5" customHeight="1">
      <c t="s" r="A222" s="12">
        <v>226</v>
      </c>
      <c r="B222" s="13">
        <v>0</v>
      </c>
      <c r="C222" s="14">
        <f>IFERROR(B222/B329, "NA")</f>
      </c>
      <c r="D222" s="15"/>
      <c r="E222" s="13">
        <v>0</v>
      </c>
      <c r="F222" s="14">
        <f>IFERROR(E222/E329, "NA")</f>
      </c>
      <c r="G222" s="15"/>
      <c r="H222" s="13">
        <v>0</v>
      </c>
      <c r="I222" s="14">
        <f>IFERROR(H222/H329, "NA")</f>
      </c>
      <c r="J222" s="15"/>
      <c r="K222" s="13">
        <v>0</v>
      </c>
      <c r="L222" s="14">
        <f>IFERROR(K222/K329, "NA")</f>
      </c>
      <c r="M222" s="15"/>
      <c r="N222" s="13">
        <v>0</v>
      </c>
      <c r="O222" s="14">
        <f>IFERROR(N222/N329, "NA")</f>
      </c>
      <c r="P222" s="15"/>
      <c r="Q222" s="13">
        <v>0</v>
      </c>
      <c r="R222" s="14">
        <f>IFERROR(Q222/Q329, "NA")</f>
      </c>
    </row>
    <row r="223" ht="16.5" customHeight="1">
      <c t="s" r="A223" s="12">
        <v>227</v>
      </c>
      <c r="B223" s="13">
        <v>0</v>
      </c>
      <c r="C223" s="14">
        <f>IFERROR(B223/B329, "NA")</f>
      </c>
      <c r="D223" s="15"/>
      <c r="E223" s="13">
        <v>0</v>
      </c>
      <c r="F223" s="14">
        <f>IFERROR(E223/E329, "NA")</f>
      </c>
      <c r="G223" s="15"/>
      <c r="H223" s="13">
        <v>0</v>
      </c>
      <c r="I223" s="14">
        <f>IFERROR(H223/H329, "NA")</f>
      </c>
      <c r="J223" s="15"/>
      <c r="K223" s="13">
        <v>0</v>
      </c>
      <c r="L223" s="14">
        <f>IFERROR(K223/K329, "NA")</f>
      </c>
      <c r="M223" s="15"/>
      <c r="N223" s="13">
        <v>0</v>
      </c>
      <c r="O223" s="14">
        <f>IFERROR(N223/N329, "NA")</f>
      </c>
      <c r="P223" s="15"/>
      <c r="Q223" s="13">
        <v>0</v>
      </c>
      <c r="R223" s="14">
        <f>IFERROR(Q223/Q329, "NA")</f>
      </c>
    </row>
    <row r="224" ht="16.5" customHeight="1">
      <c t="s" r="A224" s="12">
        <v>228</v>
      </c>
      <c r="B224" s="13">
        <v>0</v>
      </c>
      <c r="C224" s="14">
        <f>IFERROR(B224/B329, "NA")</f>
      </c>
      <c r="D224" s="15"/>
      <c r="E224" s="13">
        <v>0</v>
      </c>
      <c r="F224" s="14">
        <f>IFERROR(E224/E329, "NA")</f>
      </c>
      <c r="G224" s="15"/>
      <c r="H224" s="13">
        <v>0</v>
      </c>
      <c r="I224" s="14">
        <f>IFERROR(H224/H329, "NA")</f>
      </c>
      <c r="J224" s="15"/>
      <c r="K224" s="13">
        <v>79.890000000000001</v>
      </c>
      <c r="L224" s="14">
        <f>IFERROR(K224/K329, "NA")</f>
      </c>
      <c r="M224" s="15"/>
      <c r="N224" s="13">
        <v>117</v>
      </c>
      <c r="O224" s="14">
        <f>IFERROR(N224/N329, "NA")</f>
      </c>
      <c r="P224" s="15"/>
      <c r="Q224" s="13">
        <v>0</v>
      </c>
      <c r="R224" s="14">
        <f>IFERROR(Q224/Q329, "NA")</f>
      </c>
    </row>
    <row r="225" ht="16.5" customHeight="1">
      <c t="s" r="A225" s="12">
        <v>229</v>
      </c>
      <c r="B225" s="13">
        <v>0</v>
      </c>
      <c r="C225" s="14">
        <f>IFERROR(B225/B329, "NA")</f>
      </c>
      <c r="D225" s="15"/>
      <c r="E225" s="13">
        <v>0</v>
      </c>
      <c r="F225" s="14">
        <f>IFERROR(E225/E329, "NA")</f>
      </c>
      <c r="G225" s="15"/>
      <c r="H225" s="13">
        <v>0</v>
      </c>
      <c r="I225" s="14">
        <f>IFERROR(H225/H329, "NA")</f>
      </c>
      <c r="J225" s="15"/>
      <c r="K225" s="13">
        <v>728.16999999999996</v>
      </c>
      <c r="L225" s="14">
        <f>IFERROR(K225/K329, "NA")</f>
      </c>
      <c r="M225" s="15"/>
      <c r="N225" s="13">
        <v>0</v>
      </c>
      <c r="O225" s="14">
        <f>IFERROR(N225/N329, "NA")</f>
      </c>
      <c r="P225" s="15"/>
      <c r="Q225" s="13">
        <v>0</v>
      </c>
      <c r="R225" s="14">
        <f>IFERROR(Q225/Q329, "NA")</f>
      </c>
    </row>
    <row r="226" ht="16.5" customHeight="1">
      <c t="s" r="A226" s="12">
        <v>230</v>
      </c>
      <c r="B226" s="13">
        <v>-84.840000000000003</v>
      </c>
      <c r="C226" s="14">
        <f>IFERROR(B226/B329, "NA")</f>
      </c>
      <c r="D226" s="15"/>
      <c r="E226" s="13">
        <v>0.02</v>
      </c>
      <c r="F226" s="14">
        <f>IFERROR(E226/E329, "NA")</f>
      </c>
      <c r="G226" s="15"/>
      <c r="H226" s="13">
        <v>-5.0899999999999999</v>
      </c>
      <c r="I226" s="14">
        <f>IFERROR(H226/H329, "NA")</f>
      </c>
      <c r="J226" s="15"/>
      <c r="K226" s="13">
        <v>170.36000000000001</v>
      </c>
      <c r="L226" s="14">
        <f>IFERROR(K226/K329, "NA")</f>
      </c>
      <c r="M226" s="15"/>
      <c r="N226" s="13">
        <v>-340.66000000000003</v>
      </c>
      <c r="O226" s="14">
        <f>IFERROR(N226/N329, "NA")</f>
      </c>
      <c r="P226" s="15"/>
      <c r="Q226" s="13">
        <v>4817.8000000000002</v>
      </c>
      <c r="R226" s="14">
        <f>IFERROR(Q226/Q329, "NA")</f>
      </c>
    </row>
    <row r="227" ht="16.5" customHeight="1">
      <c t="s" r="A227" s="12">
        <v>231</v>
      </c>
      <c r="B227" s="13">
        <v>239.66999999999999</v>
      </c>
      <c r="C227" s="14">
        <f>IFERROR(B227/B329, "NA")</f>
      </c>
      <c r="D227" s="15"/>
      <c r="E227" s="13">
        <v>0</v>
      </c>
      <c r="F227" s="14">
        <f>IFERROR(E227/E329, "NA")</f>
      </c>
      <c r="G227" s="15"/>
      <c r="H227" s="13">
        <v>194.21000000000001</v>
      </c>
      <c r="I227" s="14">
        <f>IFERROR(H227/H329, "NA")</f>
      </c>
      <c r="J227" s="15"/>
      <c r="K227" s="13">
        <v>0</v>
      </c>
      <c r="L227" s="14">
        <f>IFERROR(K227/K329, "NA")</f>
      </c>
      <c r="M227" s="15"/>
      <c r="N227" s="13">
        <v>0</v>
      </c>
      <c r="O227" s="14">
        <f>IFERROR(N227/N329, "NA")</f>
      </c>
      <c r="P227" s="15"/>
      <c r="Q227" s="13">
        <v>0</v>
      </c>
      <c r="R227" s="14">
        <f>IFERROR(Q227/Q329, "NA")</f>
      </c>
    </row>
    <row r="228" ht="16.5" customHeight="1">
      <c t="s" r="A228" s="12">
        <v>232</v>
      </c>
      <c r="B228" s="13">
        <v>0</v>
      </c>
      <c r="C228" s="14">
        <f>IFERROR(B228/B329, "NA")</f>
      </c>
      <c r="D228" s="15"/>
      <c r="E228" s="13">
        <v>0</v>
      </c>
      <c r="F228" s="14">
        <f>IFERROR(E228/E329, "NA")</f>
      </c>
      <c r="G228" s="15"/>
      <c r="H228" s="13">
        <v>0</v>
      </c>
      <c r="I228" s="14">
        <f>IFERROR(H228/H329, "NA")</f>
      </c>
      <c r="J228" s="15"/>
      <c r="K228" s="13">
        <v>60</v>
      </c>
      <c r="L228" s="14">
        <f>IFERROR(K228/K329, "NA")</f>
      </c>
      <c r="M228" s="15"/>
      <c r="N228" s="13">
        <v>0</v>
      </c>
      <c r="O228" s="14">
        <f>IFERROR(N228/N329, "NA")</f>
      </c>
      <c r="P228" s="15"/>
      <c r="Q228" s="13">
        <v>0</v>
      </c>
      <c r="R228" s="14">
        <f>IFERROR(Q228/Q329, "NA")</f>
      </c>
    </row>
    <row r="229" ht="16.5" customHeight="1">
      <c t="s" r="A229" s="12">
        <v>233</v>
      </c>
      <c r="B229" s="13">
        <v>0</v>
      </c>
      <c r="C229" s="14">
        <f>IFERROR(B229/B329, "NA")</f>
      </c>
      <c r="D229" s="15"/>
      <c r="E229" s="13">
        <v>0</v>
      </c>
      <c r="F229" s="14">
        <f>IFERROR(E229/E329, "NA")</f>
      </c>
      <c r="G229" s="15"/>
      <c r="H229" s="13">
        <v>0</v>
      </c>
      <c r="I229" s="14">
        <f>IFERROR(H229/H329, "NA")</f>
      </c>
      <c r="J229" s="15"/>
      <c r="K229" s="13">
        <v>0</v>
      </c>
      <c r="L229" s="14">
        <f>IFERROR(K229/K329, "NA")</f>
      </c>
      <c r="M229" s="15"/>
      <c r="N229" s="13">
        <v>0</v>
      </c>
      <c r="O229" s="14">
        <f>IFERROR(N229/N329, "NA")</f>
      </c>
      <c r="P229" s="15"/>
      <c r="Q229" s="13">
        <v>0</v>
      </c>
      <c r="R229" s="14">
        <f>IFERROR(Q229/Q329, "NA")</f>
      </c>
    </row>
    <row r="230" ht="16.5" customHeight="1">
      <c t="s" r="A230" s="12">
        <v>234</v>
      </c>
      <c r="B230" s="13">
        <v>1744.98</v>
      </c>
      <c r="C230" s="14">
        <f>IFERROR(B230/B329, "NA")</f>
      </c>
      <c r="D230" s="15"/>
      <c r="E230" s="13">
        <v>50</v>
      </c>
      <c r="F230" s="14">
        <f>IFERROR(E230/E329, "NA")</f>
      </c>
      <c r="G230" s="15"/>
      <c r="H230" s="13">
        <v>0</v>
      </c>
      <c r="I230" s="14">
        <f>IFERROR(H230/H329, "NA")</f>
      </c>
      <c r="J230" s="15"/>
      <c r="K230" s="13">
        <v>809.91999999999996</v>
      </c>
      <c r="L230" s="14">
        <f>IFERROR(K230/K329, "NA")</f>
      </c>
      <c r="M230" s="15"/>
      <c r="N230" s="13">
        <v>0</v>
      </c>
      <c r="O230" s="14">
        <f>IFERROR(N230/N329, "NA")</f>
      </c>
      <c r="P230" s="15"/>
      <c r="Q230" s="13">
        <v>0</v>
      </c>
      <c r="R230" s="14">
        <f>IFERROR(Q230/Q329, "NA")</f>
      </c>
    </row>
    <row r="231" ht="16.5" customHeight="1">
      <c t="s" r="A231" s="12">
        <v>235</v>
      </c>
      <c r="B231" s="13">
        <v>0</v>
      </c>
      <c r="C231" s="14">
        <f>IFERROR(B231/B329, "NA")</f>
      </c>
      <c r="D231" s="15"/>
      <c r="E231" s="13">
        <v>0</v>
      </c>
      <c r="F231" s="14">
        <f>IFERROR(E231/E329, "NA")</f>
      </c>
      <c r="G231" s="15"/>
      <c r="H231" s="13">
        <v>0</v>
      </c>
      <c r="I231" s="14">
        <f>IFERROR(H231/H329, "NA")</f>
      </c>
      <c r="J231" s="15"/>
      <c r="K231" s="13">
        <v>0</v>
      </c>
      <c r="L231" s="14">
        <f>IFERROR(K231/K329, "NA")</f>
      </c>
      <c r="M231" s="15"/>
      <c r="N231" s="13">
        <v>0</v>
      </c>
      <c r="O231" s="14">
        <f>IFERROR(N231/N329, "NA")</f>
      </c>
      <c r="P231" s="15"/>
      <c r="Q231" s="13">
        <v>0</v>
      </c>
      <c r="R231" s="14">
        <f>IFERROR(Q231/Q329, "NA")</f>
      </c>
    </row>
    <row r="232" ht="16.5" customHeight="1">
      <c t="s" r="A232" s="12">
        <v>236</v>
      </c>
      <c r="B232" s="13">
        <v>0</v>
      </c>
      <c r="C232" s="14">
        <f>IFERROR(B232/B329, "NA")</f>
      </c>
      <c r="D232" s="15"/>
      <c r="E232" s="13">
        <v>0</v>
      </c>
      <c r="F232" s="14">
        <f>IFERROR(E232/E329, "NA")</f>
      </c>
      <c r="G232" s="15"/>
      <c r="H232" s="13">
        <v>0</v>
      </c>
      <c r="I232" s="14">
        <f>IFERROR(H232/H329, "NA")</f>
      </c>
      <c r="J232" s="15"/>
      <c r="K232" s="13">
        <v>0</v>
      </c>
      <c r="L232" s="14">
        <f>IFERROR(K232/K329, "NA")</f>
      </c>
      <c r="M232" s="15"/>
      <c r="N232" s="13">
        <v>0</v>
      </c>
      <c r="O232" s="14">
        <f>IFERROR(N232/N329, "NA")</f>
      </c>
      <c r="P232" s="15"/>
      <c r="Q232" s="13">
        <v>0</v>
      </c>
      <c r="R232" s="14">
        <f>IFERROR(Q232/Q329, "NA")</f>
      </c>
    </row>
    <row r="233" ht="16.5" customHeight="1">
      <c t="s" r="A233" s="12">
        <v>237</v>
      </c>
      <c r="B233" s="13">
        <v>0</v>
      </c>
      <c r="C233" s="14">
        <f>IFERROR(B233/B329, "NA")</f>
      </c>
      <c r="D233" s="15"/>
      <c r="E233" s="13">
        <v>51.259999999999998</v>
      </c>
      <c r="F233" s="14">
        <f>IFERROR(E233/E329, "NA")</f>
      </c>
      <c r="G233" s="15"/>
      <c r="H233" s="13">
        <v>0</v>
      </c>
      <c r="I233" s="14">
        <f>IFERROR(H233/H329, "NA")</f>
      </c>
      <c r="J233" s="15"/>
      <c r="K233" s="13">
        <v>0</v>
      </c>
      <c r="L233" s="14">
        <f>IFERROR(K233/K329, "NA")</f>
      </c>
      <c r="M233" s="15"/>
      <c r="N233" s="13">
        <v>0</v>
      </c>
      <c r="O233" s="14">
        <f>IFERROR(N233/N329, "NA")</f>
      </c>
      <c r="P233" s="15"/>
      <c r="Q233" s="13">
        <v>0</v>
      </c>
      <c r="R233" s="14">
        <f>IFERROR(Q233/Q329, "NA")</f>
      </c>
    </row>
    <row r="234" ht="16.5" customHeight="1">
      <c t="s" r="A234" s="12">
        <v>238</v>
      </c>
      <c r="B234" s="13">
        <v>0</v>
      </c>
      <c r="C234" s="14">
        <f>IFERROR(B234/B329, "NA")</f>
      </c>
      <c r="D234" s="15"/>
      <c r="E234" s="13">
        <v>0</v>
      </c>
      <c r="F234" s="14">
        <f>IFERROR(E234/E329, "NA")</f>
      </c>
      <c r="G234" s="15"/>
      <c r="H234" s="13">
        <v>0</v>
      </c>
      <c r="I234" s="14">
        <f>IFERROR(H234/H329, "NA")</f>
      </c>
      <c r="J234" s="15"/>
      <c r="K234" s="13">
        <v>38.119999999999997</v>
      </c>
      <c r="L234" s="14">
        <f>IFERROR(K234/K329, "NA")</f>
      </c>
      <c r="M234" s="15"/>
      <c r="N234" s="13">
        <v>0</v>
      </c>
      <c r="O234" s="14">
        <f>IFERROR(N234/N329, "NA")</f>
      </c>
      <c r="P234" s="15"/>
      <c r="Q234" s="13">
        <v>0</v>
      </c>
      <c r="R234" s="14">
        <f>IFERROR(Q234/Q329, "NA")</f>
      </c>
    </row>
    <row r="235" ht="16.5" customHeight="1">
      <c t="s" r="A235" s="12">
        <v>239</v>
      </c>
      <c r="B235" s="13">
        <v>0</v>
      </c>
      <c r="C235" s="14">
        <f>IFERROR(B235/B329, "NA")</f>
      </c>
      <c r="D235" s="15"/>
      <c r="E235" s="13">
        <v>0</v>
      </c>
      <c r="F235" s="14">
        <f>IFERROR(E235/E329, "NA")</f>
      </c>
      <c r="G235" s="15"/>
      <c r="H235" s="13">
        <v>0</v>
      </c>
      <c r="I235" s="14">
        <f>IFERROR(H235/H329, "NA")</f>
      </c>
      <c r="J235" s="15"/>
      <c r="K235" s="13">
        <v>196.99000000000001</v>
      </c>
      <c r="L235" s="14">
        <f>IFERROR(K235/K329, "NA")</f>
      </c>
      <c r="M235" s="15"/>
      <c r="N235" s="13">
        <v>0</v>
      </c>
      <c r="O235" s="14">
        <f>IFERROR(N235/N329, "NA")</f>
      </c>
      <c r="P235" s="15"/>
      <c r="Q235" s="13">
        <v>0</v>
      </c>
      <c r="R235" s="14">
        <f>IFERROR(Q235/Q329, "NA")</f>
      </c>
    </row>
    <row r="236" ht="16.5" customHeight="1">
      <c t="s" r="A236" s="12">
        <v>240</v>
      </c>
      <c r="B236" s="13">
        <v>0</v>
      </c>
      <c r="C236" s="14">
        <f>IFERROR(B236/B329, "NA")</f>
      </c>
      <c r="D236" s="15"/>
      <c r="E236" s="13">
        <v>0</v>
      </c>
      <c r="F236" s="14">
        <f>IFERROR(E236/E329, "NA")</f>
      </c>
      <c r="G236" s="15"/>
      <c r="H236" s="13">
        <v>0</v>
      </c>
      <c r="I236" s="14">
        <f>IFERROR(H236/H329, "NA")</f>
      </c>
      <c r="J236" s="15"/>
      <c r="K236" s="13">
        <v>0</v>
      </c>
      <c r="L236" s="14">
        <f>IFERROR(K236/K329, "NA")</f>
      </c>
      <c r="M236" s="15"/>
      <c r="N236" s="13">
        <v>0</v>
      </c>
      <c r="O236" s="14">
        <f>IFERROR(N236/N329, "NA")</f>
      </c>
      <c r="P236" s="15"/>
      <c r="Q236" s="13">
        <v>0</v>
      </c>
      <c r="R236" s="14">
        <f>IFERROR(Q236/Q329, "NA")</f>
      </c>
    </row>
    <row r="237" ht="16.5" customHeight="1">
      <c t="s" r="A237" s="12">
        <v>241</v>
      </c>
      <c r="B237" s="13">
        <v>0</v>
      </c>
      <c r="C237" s="14">
        <f>IFERROR(B237/B329, "NA")</f>
      </c>
      <c r="D237" s="15"/>
      <c r="E237" s="13">
        <v>0</v>
      </c>
      <c r="F237" s="14">
        <f>IFERROR(E237/E329, "NA")</f>
      </c>
      <c r="G237" s="15"/>
      <c r="H237" s="13">
        <v>0</v>
      </c>
      <c r="I237" s="14">
        <f>IFERROR(H237/H329, "NA")</f>
      </c>
      <c r="J237" s="15"/>
      <c r="K237" s="13">
        <v>0</v>
      </c>
      <c r="L237" s="14">
        <f>IFERROR(K237/K329, "NA")</f>
      </c>
      <c r="M237" s="15"/>
      <c r="N237" s="13">
        <v>0</v>
      </c>
      <c r="O237" s="14">
        <f>IFERROR(N237/N329, "NA")</f>
      </c>
      <c r="P237" s="15"/>
      <c r="Q237" s="13">
        <v>0</v>
      </c>
      <c r="R237" s="14">
        <f>IFERROR(Q237/Q329, "NA")</f>
      </c>
    </row>
    <row r="238" ht="16.5" customHeight="1">
      <c t="s" r="A238" s="12">
        <v>242</v>
      </c>
      <c r="B238" s="13">
        <v>0</v>
      </c>
      <c r="C238" s="14">
        <f>IFERROR(B238/B329, "NA")</f>
      </c>
      <c r="D238" s="15"/>
      <c r="E238" s="13">
        <v>0</v>
      </c>
      <c r="F238" s="14">
        <f>IFERROR(E238/E329, "NA")</f>
      </c>
      <c r="G238" s="15"/>
      <c r="H238" s="13">
        <v>0</v>
      </c>
      <c r="I238" s="14">
        <f>IFERROR(H238/H329, "NA")</f>
      </c>
      <c r="J238" s="15"/>
      <c r="K238" s="13">
        <v>0</v>
      </c>
      <c r="L238" s="14">
        <f>IFERROR(K238/K329, "NA")</f>
      </c>
      <c r="M238" s="15"/>
      <c r="N238" s="13">
        <v>0</v>
      </c>
      <c r="O238" s="14">
        <f>IFERROR(N238/N329, "NA")</f>
      </c>
      <c r="P238" s="15"/>
      <c r="Q238" s="13">
        <v>0</v>
      </c>
      <c r="R238" s="14">
        <f>IFERROR(Q238/Q329, "NA")</f>
      </c>
    </row>
    <row r="239" ht="16.5" customHeight="1">
      <c t="s" r="A239" s="12">
        <v>243</v>
      </c>
      <c r="B239" s="13">
        <v>0</v>
      </c>
      <c r="C239" s="14">
        <f>IFERROR(B239/B329, "NA")</f>
      </c>
      <c r="D239" s="15"/>
      <c r="E239" s="13">
        <v>0</v>
      </c>
      <c r="F239" s="14">
        <f>IFERROR(E239/E329, "NA")</f>
      </c>
      <c r="G239" s="15"/>
      <c r="H239" s="13">
        <v>0</v>
      </c>
      <c r="I239" s="14">
        <f>IFERROR(H239/H329, "NA")</f>
      </c>
      <c r="J239" s="15"/>
      <c r="K239" s="13">
        <v>0</v>
      </c>
      <c r="L239" s="14">
        <f>IFERROR(K239/K329, "NA")</f>
      </c>
      <c r="M239" s="15"/>
      <c r="N239" s="13">
        <v>0</v>
      </c>
      <c r="O239" s="14">
        <f>IFERROR(N239/N329, "NA")</f>
      </c>
      <c r="P239" s="15"/>
      <c r="Q239" s="13">
        <v>0</v>
      </c>
      <c r="R239" s="14">
        <f>IFERROR(Q239/Q329, "NA")</f>
      </c>
    </row>
    <row r="240" ht="16.5" customHeight="1">
      <c t="s" r="A240" s="12">
        <v>244</v>
      </c>
      <c r="B240" s="13">
        <v>0</v>
      </c>
      <c r="C240" s="14">
        <f>IFERROR(B240/B329, "NA")</f>
      </c>
      <c r="D240" s="15"/>
      <c r="E240" s="13">
        <v>0</v>
      </c>
      <c r="F240" s="14">
        <f>IFERROR(E240/E329, "NA")</f>
      </c>
      <c r="G240" s="15"/>
      <c r="H240" s="13">
        <v>0</v>
      </c>
      <c r="I240" s="14">
        <f>IFERROR(H240/H329, "NA")</f>
      </c>
      <c r="J240" s="15"/>
      <c r="K240" s="13">
        <v>0</v>
      </c>
      <c r="L240" s="14">
        <f>IFERROR(K240/K329, "NA")</f>
      </c>
      <c r="M240" s="15"/>
      <c r="N240" s="13">
        <v>0</v>
      </c>
      <c r="O240" s="14">
        <f>IFERROR(N240/N329, "NA")</f>
      </c>
      <c r="P240" s="15"/>
      <c r="Q240" s="13">
        <v>0</v>
      </c>
      <c r="R240" s="14">
        <f>IFERROR(Q240/Q329, "NA")</f>
      </c>
    </row>
    <row r="241" ht="16.5" customHeight="1">
      <c t="s" r="A241" s="16">
        <v>245</v>
      </c>
      <c r="B241" s="17">
        <f>IFERROR(B214+B215+B216+B217+B218+B219+B220+B221+B222+B223+B224+B225+B226+B227+B228+B229+B230+B231+B232+B233+B234+B235+B236+B237+B238+B239+B240, "NA")</f>
      </c>
      <c r="C241" s="18">
        <f>IFERROR(B241/B329, "NA")</f>
      </c>
      <c r="D241" s="8"/>
      <c r="E241" s="17">
        <f>IFERROR(E214+E215+E216+E217+E218+E219+E220+E221+E222+E223+E224+E225+E226+E227+E228+E229+E230+E231+E232+E233+E234+E235+E236+E237+E238+E239+E240, "NA")</f>
      </c>
      <c r="F241" s="18">
        <f>IFERROR(E241/E329, "NA")</f>
      </c>
      <c r="G241" s="8"/>
      <c r="H241" s="17">
        <f>IFERROR(H214+H215+H216+H217+H218+H219+H220+H221+H222+H223+H224+H225+H226+H227+H228+H229+H230+H231+H232+H233+H234+H235+H236+H237+H238+H239+H240, "NA")</f>
      </c>
      <c r="I241" s="18">
        <f>IFERROR(H241/H329, "NA")</f>
      </c>
      <c r="J241" s="8"/>
      <c r="K241" s="17">
        <f>IFERROR(K214+K215+K216+K217+K218+K219+K220+K221+K222+K223+K224+K225+K226+K227+K228+K229+K230+K231+K232+K233+K234+K235+K236+K237+K238+K239+K240, "NA")</f>
      </c>
      <c r="L241" s="18">
        <f>IFERROR(K241/K329, "NA")</f>
      </c>
      <c r="M241" s="8"/>
      <c r="N241" s="17">
        <f>IFERROR(N214+N215+N216+N217+N218+N219+N220+N221+N222+N223+N224+N225+N226+N227+N228+N229+N230+N231+N232+N233+N234+N235+N236+N237+N238+N239+N240, "NA")</f>
      </c>
      <c r="O241" s="18">
        <f>IFERROR(N241/N329, "NA")</f>
      </c>
      <c r="P241" s="8"/>
      <c r="Q241" s="17">
        <f>IFERROR(Q214+Q215+Q216+Q217+Q218+Q219+Q220+Q221+Q222+Q223+Q224+Q225+Q226+Q227+Q228+Q229+Q230+Q231+Q232+Q233+Q234+Q235+Q236+Q237+Q238+Q239+Q240, "NA")</f>
      </c>
      <c r="R241" s="18">
        <f>IFERROR(Q241/Q329, "NA")</f>
      </c>
    </row>
    <row r="242" ht="16.5" customHeight="1">
      <c t="s" r="A242" s="11">
        <v>246</v>
      </c>
      <c r="B242" s="8"/>
      <c r="C242" s="9"/>
      <c r="D242" s="10"/>
      <c r="E242" s="8"/>
      <c r="F242" s="9"/>
      <c r="G242" s="10"/>
      <c r="H242" s="8"/>
      <c r="I242" s="9"/>
      <c r="J242" s="10"/>
      <c r="K242" s="8"/>
      <c r="L242" s="9"/>
      <c r="M242" s="10"/>
      <c r="N242" s="8"/>
      <c r="O242" s="9"/>
      <c r="P242" s="10"/>
      <c r="Q242" s="8"/>
      <c r="R242" s="9"/>
    </row>
    <row r="243" ht="16.5" customHeight="1">
      <c t="s" r="A243" s="12">
        <v>247</v>
      </c>
      <c r="B243" s="13">
        <v>0</v>
      </c>
      <c r="C243" s="14">
        <f>IFERROR(B243/B329, "NA")</f>
      </c>
      <c r="D243" s="15"/>
      <c r="E243" s="13">
        <v>0</v>
      </c>
      <c r="F243" s="14">
        <f>IFERROR(E243/E329, "NA")</f>
      </c>
      <c r="G243" s="15"/>
      <c r="H243" s="13">
        <v>0</v>
      </c>
      <c r="I243" s="14">
        <f>IFERROR(H243/H329, "NA")</f>
      </c>
      <c r="J243" s="15"/>
      <c r="K243" s="13">
        <v>0</v>
      </c>
      <c r="L243" s="14">
        <f>IFERROR(K243/K329, "NA")</f>
      </c>
      <c r="M243" s="15"/>
      <c r="N243" s="13">
        <v>0</v>
      </c>
      <c r="O243" s="14">
        <f>IFERROR(N243/N329, "NA")</f>
      </c>
      <c r="P243" s="15"/>
      <c r="Q243" s="13">
        <v>0</v>
      </c>
      <c r="R243" s="14">
        <f>IFERROR(Q243/Q329, "NA")</f>
      </c>
    </row>
    <row r="244" ht="16.5" customHeight="1">
      <c t="s" r="A244" s="12">
        <v>248</v>
      </c>
      <c r="B244" s="13">
        <v>0</v>
      </c>
      <c r="C244" s="14">
        <f>IFERROR(B244/B329, "NA")</f>
      </c>
      <c r="D244" s="15"/>
      <c r="E244" s="13">
        <v>50</v>
      </c>
      <c r="F244" s="14">
        <f>IFERROR(E244/E329, "NA")</f>
      </c>
      <c r="G244" s="15"/>
      <c r="H244" s="13">
        <v>0</v>
      </c>
      <c r="I244" s="14">
        <f>IFERROR(H244/H329, "NA")</f>
      </c>
      <c r="J244" s="15"/>
      <c r="K244" s="13">
        <v>319.31</v>
      </c>
      <c r="L244" s="14">
        <f>IFERROR(K244/K329, "NA")</f>
      </c>
      <c r="M244" s="15"/>
      <c r="N244" s="13">
        <v>0</v>
      </c>
      <c r="O244" s="14">
        <f>IFERROR(N244/N329, "NA")</f>
      </c>
      <c r="P244" s="15"/>
      <c r="Q244" s="13">
        <v>0</v>
      </c>
      <c r="R244" s="14">
        <f>IFERROR(Q244/Q329, "NA")</f>
      </c>
    </row>
    <row r="245" ht="16.5" customHeight="1">
      <c t="s" r="A245" s="12">
        <v>249</v>
      </c>
      <c r="B245" s="13">
        <v>0</v>
      </c>
      <c r="C245" s="14">
        <f>IFERROR(B245/B329, "NA")</f>
      </c>
      <c r="D245" s="15"/>
      <c r="E245" s="13">
        <v>1991.2</v>
      </c>
      <c r="F245" s="14">
        <f>IFERROR(E245/E329, "NA")</f>
      </c>
      <c r="G245" s="15"/>
      <c r="H245" s="13">
        <v>0</v>
      </c>
      <c r="I245" s="14">
        <f>IFERROR(H245/H329, "NA")</f>
      </c>
      <c r="J245" s="15"/>
      <c r="K245" s="13">
        <v>0</v>
      </c>
      <c r="L245" s="14">
        <f>IFERROR(K245/K329, "NA")</f>
      </c>
      <c r="M245" s="15"/>
      <c r="N245" s="13">
        <v>0</v>
      </c>
      <c r="O245" s="14">
        <f>IFERROR(N245/N329, "NA")</f>
      </c>
      <c r="P245" s="15"/>
      <c r="Q245" s="13">
        <v>0</v>
      </c>
      <c r="R245" s="14">
        <f>IFERROR(Q245/Q329, "NA")</f>
      </c>
    </row>
    <row r="246" ht="16.5" customHeight="1">
      <c t="s" r="A246" s="12">
        <v>250</v>
      </c>
      <c r="B246" s="13">
        <v>0</v>
      </c>
      <c r="C246" s="14">
        <f>IFERROR(B246/B329, "NA")</f>
      </c>
      <c r="D246" s="15"/>
      <c r="E246" s="13">
        <v>0</v>
      </c>
      <c r="F246" s="14">
        <f>IFERROR(E246/E329, "NA")</f>
      </c>
      <c r="G246" s="15"/>
      <c r="H246" s="13">
        <v>0</v>
      </c>
      <c r="I246" s="14">
        <f>IFERROR(H246/H329, "NA")</f>
      </c>
      <c r="J246" s="15"/>
      <c r="K246" s="13">
        <v>0</v>
      </c>
      <c r="L246" s="14">
        <f>IFERROR(K246/K329, "NA")</f>
      </c>
      <c r="M246" s="15"/>
      <c r="N246" s="13">
        <v>0</v>
      </c>
      <c r="O246" s="14">
        <f>IFERROR(N246/N329, "NA")</f>
      </c>
      <c r="P246" s="15"/>
      <c r="Q246" s="13">
        <v>0</v>
      </c>
      <c r="R246" s="14">
        <f>IFERROR(Q246/Q329, "NA")</f>
      </c>
    </row>
    <row r="247" ht="16.5" customHeight="1">
      <c t="s" r="A247" s="12">
        <v>251</v>
      </c>
      <c r="B247" s="13">
        <v>0</v>
      </c>
      <c r="C247" s="14">
        <f>IFERROR(B247/B329, "NA")</f>
      </c>
      <c r="D247" s="15"/>
      <c r="E247" s="13">
        <v>0</v>
      </c>
      <c r="F247" s="14">
        <f>IFERROR(E247/E329, "NA")</f>
      </c>
      <c r="G247" s="15"/>
      <c r="H247" s="13">
        <v>0</v>
      </c>
      <c r="I247" s="14">
        <f>IFERROR(H247/H329, "NA")</f>
      </c>
      <c r="J247" s="15"/>
      <c r="K247" s="13">
        <v>0</v>
      </c>
      <c r="L247" s="14">
        <f>IFERROR(K247/K329, "NA")</f>
      </c>
      <c r="M247" s="15"/>
      <c r="N247" s="13">
        <v>7196.8699999999999</v>
      </c>
      <c r="O247" s="14">
        <f>IFERROR(N247/N329, "NA")</f>
      </c>
      <c r="P247" s="15"/>
      <c r="Q247" s="13">
        <v>0</v>
      </c>
      <c r="R247" s="14">
        <f>IFERROR(Q247/Q329, "NA")</f>
      </c>
    </row>
    <row r="248" ht="16.5" customHeight="1">
      <c t="s" r="A248" s="12">
        <v>252</v>
      </c>
      <c r="B248" s="13">
        <v>0</v>
      </c>
      <c r="C248" s="14">
        <f>IFERROR(B248/B329, "NA")</f>
      </c>
      <c r="D248" s="15"/>
      <c r="E248" s="13">
        <v>0</v>
      </c>
      <c r="F248" s="14">
        <f>IFERROR(E248/E329, "NA")</f>
      </c>
      <c r="G248" s="15"/>
      <c r="H248" s="13">
        <v>0</v>
      </c>
      <c r="I248" s="14">
        <f>IFERROR(H248/H329, "NA")</f>
      </c>
      <c r="J248" s="15"/>
      <c r="K248" s="13">
        <v>514.00999999999999</v>
      </c>
      <c r="L248" s="14">
        <f>IFERROR(K248/K329, "NA")</f>
      </c>
      <c r="M248" s="15"/>
      <c r="N248" s="13">
        <v>495.26999999999998</v>
      </c>
      <c r="O248" s="14">
        <f>IFERROR(N248/N329, "NA")</f>
      </c>
      <c r="P248" s="15"/>
      <c r="Q248" s="13">
        <v>0</v>
      </c>
      <c r="R248" s="14">
        <f>IFERROR(Q248/Q329, "NA")</f>
      </c>
    </row>
    <row r="249" ht="16.5" customHeight="1">
      <c t="s" r="A249" s="12">
        <v>253</v>
      </c>
      <c r="B249" s="13">
        <v>3173.4099999999999</v>
      </c>
      <c r="C249" s="14">
        <f>IFERROR(B249/B329, "NA")</f>
      </c>
      <c r="D249" s="15"/>
      <c r="E249" s="13">
        <v>0</v>
      </c>
      <c r="F249" s="14">
        <f>IFERROR(E249/E329, "NA")</f>
      </c>
      <c r="G249" s="15"/>
      <c r="H249" s="13">
        <v>0</v>
      </c>
      <c r="I249" s="14">
        <f>IFERROR(H249/H329, "NA")</f>
      </c>
      <c r="J249" s="15"/>
      <c r="K249" s="13">
        <v>0</v>
      </c>
      <c r="L249" s="14">
        <f>IFERROR(K249/K329, "NA")</f>
      </c>
      <c r="M249" s="15"/>
      <c r="N249" s="13">
        <v>3691.4699999999998</v>
      </c>
      <c r="O249" s="14">
        <f>IFERROR(N249/N329, "NA")</f>
      </c>
      <c r="P249" s="15"/>
      <c r="Q249" s="13">
        <v>0</v>
      </c>
      <c r="R249" s="14">
        <f>IFERROR(Q249/Q329, "NA")</f>
      </c>
    </row>
    <row r="250" ht="16.5" customHeight="1">
      <c t="s" r="A250" s="12">
        <v>254</v>
      </c>
      <c r="B250" s="13">
        <v>0</v>
      </c>
      <c r="C250" s="14">
        <f>IFERROR(B250/B329, "NA")</f>
      </c>
      <c r="D250" s="15"/>
      <c r="E250" s="13">
        <v>0</v>
      </c>
      <c r="F250" s="14">
        <f>IFERROR(E250/E329, "NA")</f>
      </c>
      <c r="G250" s="15"/>
      <c r="H250" s="13">
        <v>0</v>
      </c>
      <c r="I250" s="14">
        <f>IFERROR(H250/H329, "NA")</f>
      </c>
      <c r="J250" s="15"/>
      <c r="K250" s="13">
        <v>0</v>
      </c>
      <c r="L250" s="14">
        <f>IFERROR(K250/K329, "NA")</f>
      </c>
      <c r="M250" s="15"/>
      <c r="N250" s="13">
        <v>0</v>
      </c>
      <c r="O250" s="14">
        <f>IFERROR(N250/N329, "NA")</f>
      </c>
      <c r="P250" s="15"/>
      <c r="Q250" s="13">
        <v>0</v>
      </c>
      <c r="R250" s="14">
        <f>IFERROR(Q250/Q329, "NA")</f>
      </c>
    </row>
    <row r="251" ht="16.5" customHeight="1">
      <c t="s" r="A251" s="12">
        <v>255</v>
      </c>
      <c r="B251" s="13">
        <v>0</v>
      </c>
      <c r="C251" s="14">
        <f>IFERROR(B251/B329, "NA")</f>
      </c>
      <c r="D251" s="15"/>
      <c r="E251" s="13">
        <v>0</v>
      </c>
      <c r="F251" s="14">
        <f>IFERROR(E251/E329, "NA")</f>
      </c>
      <c r="G251" s="15"/>
      <c r="H251" s="13">
        <v>0</v>
      </c>
      <c r="I251" s="14">
        <f>IFERROR(H251/H329, "NA")</f>
      </c>
      <c r="J251" s="15"/>
      <c r="K251" s="13">
        <v>0</v>
      </c>
      <c r="L251" s="14">
        <f>IFERROR(K251/K329, "NA")</f>
      </c>
      <c r="M251" s="15"/>
      <c r="N251" s="13">
        <v>0</v>
      </c>
      <c r="O251" s="14">
        <f>IFERROR(N251/N329, "NA")</f>
      </c>
      <c r="P251" s="15"/>
      <c r="Q251" s="13">
        <v>0</v>
      </c>
      <c r="R251" s="14">
        <f>IFERROR(Q251/Q329, "NA")</f>
      </c>
    </row>
    <row r="252" ht="16.5" customHeight="1">
      <c t="s" r="A252" s="16">
        <v>256</v>
      </c>
      <c r="B252" s="17">
        <f>IFERROR(B243+B244+B245+B246+B247+B248+B249+B250+B251, "NA")</f>
      </c>
      <c r="C252" s="18">
        <f>IFERROR(B252/B329, "NA")</f>
      </c>
      <c r="D252" s="8"/>
      <c r="E252" s="17">
        <f>IFERROR(E243+E244+E245+E246+E247+E248+E249+E250+E251, "NA")</f>
      </c>
      <c r="F252" s="18">
        <f>IFERROR(E252/E329, "NA")</f>
      </c>
      <c r="G252" s="8"/>
      <c r="H252" s="17">
        <f>IFERROR(H243+H244+H245+H246+H247+H248+H249+H250+H251, "NA")</f>
      </c>
      <c r="I252" s="18">
        <f>IFERROR(H252/H329, "NA")</f>
      </c>
      <c r="J252" s="8"/>
      <c r="K252" s="17">
        <f>IFERROR(K243+K244+K245+K246+K247+K248+K249+K250+K251, "NA")</f>
      </c>
      <c r="L252" s="18">
        <f>IFERROR(K252/K329, "NA")</f>
      </c>
      <c r="M252" s="8"/>
      <c r="N252" s="17">
        <f>IFERROR(N243+N244+N245+N246+N247+N248+N249+N250+N251, "NA")</f>
      </c>
      <c r="O252" s="18">
        <f>IFERROR(N252/N329, "NA")</f>
      </c>
      <c r="P252" s="8"/>
      <c r="Q252" s="17">
        <f>IFERROR(Q243+Q244+Q245+Q246+Q247+Q248+Q249+Q250+Q251, "NA")</f>
      </c>
      <c r="R252" s="18">
        <f>IFERROR(Q252/Q329, "NA")</f>
      </c>
    </row>
    <row r="253" ht="16.5" customHeight="1">
      <c t="s" r="A253" s="11">
        <v>257</v>
      </c>
      <c r="B253" s="8"/>
      <c r="C253" s="9"/>
      <c r="D253" s="10"/>
      <c r="E253" s="8"/>
      <c r="F253" s="9"/>
      <c r="G253" s="10"/>
      <c r="H253" s="8"/>
      <c r="I253" s="9"/>
      <c r="J253" s="10"/>
      <c r="K253" s="8"/>
      <c r="L253" s="9"/>
      <c r="M253" s="10"/>
      <c r="N253" s="8"/>
      <c r="O253" s="9"/>
      <c r="P253" s="10"/>
      <c r="Q253" s="8"/>
      <c r="R253" s="9"/>
    </row>
    <row r="254" ht="16.5" customHeight="1">
      <c t="s" r="A254" s="12">
        <v>258</v>
      </c>
      <c r="B254" s="13">
        <v>0</v>
      </c>
      <c r="C254" s="14">
        <f>IFERROR(B254/B329, "NA")</f>
      </c>
      <c r="D254" s="15"/>
      <c r="E254" s="13">
        <v>0</v>
      </c>
      <c r="F254" s="14">
        <f>IFERROR(E254/E329, "NA")</f>
      </c>
      <c r="G254" s="15"/>
      <c r="H254" s="13">
        <v>0</v>
      </c>
      <c r="I254" s="14">
        <f>IFERROR(H254/H329, "NA")</f>
      </c>
      <c r="J254" s="15"/>
      <c r="K254" s="13">
        <v>0</v>
      </c>
      <c r="L254" s="14">
        <f>IFERROR(K254/K329, "NA")</f>
      </c>
      <c r="M254" s="15"/>
      <c r="N254" s="13">
        <v>0</v>
      </c>
      <c r="O254" s="14">
        <f>IFERROR(N254/N329, "NA")</f>
      </c>
      <c r="P254" s="15"/>
      <c r="Q254" s="13">
        <v>0</v>
      </c>
      <c r="R254" s="14">
        <f>IFERROR(Q254/Q329, "NA")</f>
      </c>
    </row>
    <row r="255" ht="16.5" customHeight="1">
      <c t="s" r="A255" s="12">
        <v>259</v>
      </c>
      <c r="B255" s="13">
        <v>0</v>
      </c>
      <c r="C255" s="14">
        <f>IFERROR(B255/B329, "NA")</f>
      </c>
      <c r="D255" s="15"/>
      <c r="E255" s="13">
        <v>0</v>
      </c>
      <c r="F255" s="14">
        <f>IFERROR(E255/E329, "NA")</f>
      </c>
      <c r="G255" s="15"/>
      <c r="H255" s="13">
        <v>0</v>
      </c>
      <c r="I255" s="14">
        <f>IFERROR(H255/H329, "NA")</f>
      </c>
      <c r="J255" s="15"/>
      <c r="K255" s="13">
        <v>0</v>
      </c>
      <c r="L255" s="14">
        <f>IFERROR(K255/K329, "NA")</f>
      </c>
      <c r="M255" s="15"/>
      <c r="N255" s="13">
        <v>0</v>
      </c>
      <c r="O255" s="14">
        <f>IFERROR(N255/N329, "NA")</f>
      </c>
      <c r="P255" s="15"/>
      <c r="Q255" s="13">
        <v>0</v>
      </c>
      <c r="R255" s="14">
        <f>IFERROR(Q255/Q329, "NA")</f>
      </c>
    </row>
    <row r="256" ht="16.5" customHeight="1">
      <c t="s" r="A256" s="12">
        <v>260</v>
      </c>
      <c r="B256" s="13">
        <v>0</v>
      </c>
      <c r="C256" s="14">
        <f>IFERROR(B256/B329, "NA")</f>
      </c>
      <c r="D256" s="15"/>
      <c r="E256" s="13">
        <v>0</v>
      </c>
      <c r="F256" s="14">
        <f>IFERROR(E256/E329, "NA")</f>
      </c>
      <c r="G256" s="15"/>
      <c r="H256" s="13">
        <v>0</v>
      </c>
      <c r="I256" s="14">
        <f>IFERROR(H256/H329, "NA")</f>
      </c>
      <c r="J256" s="15"/>
      <c r="K256" s="13">
        <v>0</v>
      </c>
      <c r="L256" s="14">
        <f>IFERROR(K256/K329, "NA")</f>
      </c>
      <c r="M256" s="15"/>
      <c r="N256" s="13">
        <v>0</v>
      </c>
      <c r="O256" s="14">
        <f>IFERROR(N256/N329, "NA")</f>
      </c>
      <c r="P256" s="15"/>
      <c r="Q256" s="13">
        <v>0</v>
      </c>
      <c r="R256" s="14">
        <f>IFERROR(Q256/Q329, "NA")</f>
      </c>
    </row>
    <row r="257" ht="16.5" customHeight="1">
      <c t="s" r="A257" s="12">
        <v>261</v>
      </c>
      <c r="B257" s="13">
        <v>0</v>
      </c>
      <c r="C257" s="14">
        <f>IFERROR(B257/B329, "NA")</f>
      </c>
      <c r="D257" s="15"/>
      <c r="E257" s="13">
        <v>0</v>
      </c>
      <c r="F257" s="14">
        <f>IFERROR(E257/E329, "NA")</f>
      </c>
      <c r="G257" s="15"/>
      <c r="H257" s="13">
        <v>0</v>
      </c>
      <c r="I257" s="14">
        <f>IFERROR(H257/H329, "NA")</f>
      </c>
      <c r="J257" s="15"/>
      <c r="K257" s="13">
        <v>0</v>
      </c>
      <c r="L257" s="14">
        <f>IFERROR(K257/K329, "NA")</f>
      </c>
      <c r="M257" s="15"/>
      <c r="N257" s="13">
        <v>0</v>
      </c>
      <c r="O257" s="14">
        <f>IFERROR(N257/N329, "NA")</f>
      </c>
      <c r="P257" s="15"/>
      <c r="Q257" s="13">
        <v>0</v>
      </c>
      <c r="R257" s="14">
        <f>IFERROR(Q257/Q329, "NA")</f>
      </c>
    </row>
    <row r="258" ht="16.5" customHeight="1">
      <c t="s" r="A258" s="12">
        <v>262</v>
      </c>
      <c r="B258" s="13">
        <v>0</v>
      </c>
      <c r="C258" s="14">
        <f>IFERROR(B258/B329, "NA")</f>
      </c>
      <c r="D258" s="15"/>
      <c r="E258" s="13">
        <v>0</v>
      </c>
      <c r="F258" s="14">
        <f>IFERROR(E258/E329, "NA")</f>
      </c>
      <c r="G258" s="15"/>
      <c r="H258" s="13">
        <v>0</v>
      </c>
      <c r="I258" s="14">
        <f>IFERROR(H258/H329, "NA")</f>
      </c>
      <c r="J258" s="15"/>
      <c r="K258" s="13">
        <v>0</v>
      </c>
      <c r="L258" s="14">
        <f>IFERROR(K258/K329, "NA")</f>
      </c>
      <c r="M258" s="15"/>
      <c r="N258" s="13">
        <v>0</v>
      </c>
      <c r="O258" s="14">
        <f>IFERROR(N258/N329, "NA")</f>
      </c>
      <c r="P258" s="15"/>
      <c r="Q258" s="13">
        <v>0</v>
      </c>
      <c r="R258" s="14">
        <f>IFERROR(Q258/Q329, "NA")</f>
      </c>
    </row>
    <row r="259" ht="16.5" customHeight="1">
      <c t="s" r="A259" s="12">
        <v>263</v>
      </c>
      <c r="B259" s="13">
        <v>0</v>
      </c>
      <c r="C259" s="14">
        <f>IFERROR(B259/B329, "NA")</f>
      </c>
      <c r="D259" s="15"/>
      <c r="E259" s="13">
        <v>0</v>
      </c>
      <c r="F259" s="14">
        <f>IFERROR(E259/E329, "NA")</f>
      </c>
      <c r="G259" s="15"/>
      <c r="H259" s="13">
        <v>0</v>
      </c>
      <c r="I259" s="14">
        <f>IFERROR(H259/H329, "NA")</f>
      </c>
      <c r="J259" s="15"/>
      <c r="K259" s="13">
        <v>0</v>
      </c>
      <c r="L259" s="14">
        <f>IFERROR(K259/K329, "NA")</f>
      </c>
      <c r="M259" s="15"/>
      <c r="N259" s="13">
        <v>0</v>
      </c>
      <c r="O259" s="14">
        <f>IFERROR(N259/N329, "NA")</f>
      </c>
      <c r="P259" s="15"/>
      <c r="Q259" s="13">
        <v>0</v>
      </c>
      <c r="R259" s="14">
        <f>IFERROR(Q259/Q329, "NA")</f>
      </c>
    </row>
    <row r="260" ht="16.5" customHeight="1">
      <c t="s" r="A260" s="12">
        <v>264</v>
      </c>
      <c r="B260" s="13">
        <v>0</v>
      </c>
      <c r="C260" s="14">
        <f>IFERROR(B260/B329, "NA")</f>
      </c>
      <c r="D260" s="15"/>
      <c r="E260" s="13">
        <v>0</v>
      </c>
      <c r="F260" s="14">
        <f>IFERROR(E260/E329, "NA")</f>
      </c>
      <c r="G260" s="15"/>
      <c r="H260" s="13">
        <v>0</v>
      </c>
      <c r="I260" s="14">
        <f>IFERROR(H260/H329, "NA")</f>
      </c>
      <c r="J260" s="15"/>
      <c r="K260" s="13">
        <v>0</v>
      </c>
      <c r="L260" s="14">
        <f>IFERROR(K260/K329, "NA")</f>
      </c>
      <c r="M260" s="15"/>
      <c r="N260" s="13">
        <v>0</v>
      </c>
      <c r="O260" s="14">
        <f>IFERROR(N260/N329, "NA")</f>
      </c>
      <c r="P260" s="15"/>
      <c r="Q260" s="13">
        <v>0</v>
      </c>
      <c r="R260" s="14">
        <f>IFERROR(Q260/Q329, "NA")</f>
      </c>
    </row>
    <row r="261" ht="16.5" customHeight="1">
      <c t="s" r="A261" s="12">
        <v>265</v>
      </c>
      <c r="B261" s="13">
        <v>0</v>
      </c>
      <c r="C261" s="14">
        <f>IFERROR(B261/B329, "NA")</f>
      </c>
      <c r="D261" s="15"/>
      <c r="E261" s="13">
        <v>0</v>
      </c>
      <c r="F261" s="14">
        <f>IFERROR(E261/E329, "NA")</f>
      </c>
      <c r="G261" s="15"/>
      <c r="H261" s="13">
        <v>0</v>
      </c>
      <c r="I261" s="14">
        <f>IFERROR(H261/H329, "NA")</f>
      </c>
      <c r="J261" s="15"/>
      <c r="K261" s="13">
        <v>0</v>
      </c>
      <c r="L261" s="14">
        <f>IFERROR(K261/K329, "NA")</f>
      </c>
      <c r="M261" s="15"/>
      <c r="N261" s="13">
        <v>0</v>
      </c>
      <c r="O261" s="14">
        <f>IFERROR(N261/N329, "NA")</f>
      </c>
      <c r="P261" s="15"/>
      <c r="Q261" s="13">
        <v>0</v>
      </c>
      <c r="R261" s="14">
        <f>IFERROR(Q261/Q329, "NA")</f>
      </c>
    </row>
    <row r="262" ht="16.5" customHeight="1">
      <c t="s" r="A262" s="12">
        <v>266</v>
      </c>
      <c r="B262" s="13">
        <v>0</v>
      </c>
      <c r="C262" s="14">
        <f>IFERROR(B262/B329, "NA")</f>
      </c>
      <c r="D262" s="15"/>
      <c r="E262" s="13">
        <v>0</v>
      </c>
      <c r="F262" s="14">
        <f>IFERROR(E262/E329, "NA")</f>
      </c>
      <c r="G262" s="15"/>
      <c r="H262" s="13">
        <v>0</v>
      </c>
      <c r="I262" s="14">
        <f>IFERROR(H262/H329, "NA")</f>
      </c>
      <c r="J262" s="15"/>
      <c r="K262" s="13">
        <v>0</v>
      </c>
      <c r="L262" s="14">
        <f>IFERROR(K262/K329, "NA")</f>
      </c>
      <c r="M262" s="15"/>
      <c r="N262" s="13">
        <v>0</v>
      </c>
      <c r="O262" s="14">
        <f>IFERROR(N262/N329, "NA")</f>
      </c>
      <c r="P262" s="15"/>
      <c r="Q262" s="13">
        <v>0</v>
      </c>
      <c r="R262" s="14">
        <f>IFERROR(Q262/Q329, "NA")</f>
      </c>
    </row>
    <row r="263" ht="16.5" customHeight="1">
      <c t="s" r="A263" s="16">
        <v>267</v>
      </c>
      <c r="B263" s="17">
        <f>IFERROR(B254+B255+B256+B257+B258+B259+B260+B261+B262, "NA")</f>
      </c>
      <c r="C263" s="18">
        <f>IFERROR(B263/B329, "NA")</f>
      </c>
      <c r="D263" s="8"/>
      <c r="E263" s="17">
        <f>IFERROR(E254+E255+E256+E257+E258+E259+E260+E261+E262, "NA")</f>
      </c>
      <c r="F263" s="18">
        <f>IFERROR(E263/E329, "NA")</f>
      </c>
      <c r="G263" s="8"/>
      <c r="H263" s="17">
        <f>IFERROR(H254+H255+H256+H257+H258+H259+H260+H261+H262, "NA")</f>
      </c>
      <c r="I263" s="18">
        <f>IFERROR(H263/H329, "NA")</f>
      </c>
      <c r="J263" s="8"/>
      <c r="K263" s="17">
        <f>IFERROR(K254+K255+K256+K257+K258+K259+K260+K261+K262, "NA")</f>
      </c>
      <c r="L263" s="18">
        <f>IFERROR(K263/K329, "NA")</f>
      </c>
      <c r="M263" s="8"/>
      <c r="N263" s="17">
        <f>IFERROR(N254+N255+N256+N257+N258+N259+N260+N261+N262, "NA")</f>
      </c>
      <c r="O263" s="18">
        <f>IFERROR(N263/N329, "NA")</f>
      </c>
      <c r="P263" s="8"/>
      <c r="Q263" s="17">
        <f>IFERROR(Q254+Q255+Q256+Q257+Q258+Q259+Q260+Q261+Q262, "NA")</f>
      </c>
      <c r="R263" s="18">
        <f>IFERROR(Q263/Q329, "NA")</f>
      </c>
    </row>
    <row r="264" ht="16.5" customHeight="1">
      <c t="s" r="A264" s="11">
        <v>268</v>
      </c>
      <c r="B264" s="8"/>
      <c r="C264" s="9"/>
      <c r="D264" s="10"/>
      <c r="E264" s="8"/>
      <c r="F264" s="9"/>
      <c r="G264" s="10"/>
      <c r="H264" s="8"/>
      <c r="I264" s="9"/>
      <c r="J264" s="10"/>
      <c r="K264" s="8"/>
      <c r="L264" s="9"/>
      <c r="M264" s="10"/>
      <c r="N264" s="8"/>
      <c r="O264" s="9"/>
      <c r="P264" s="10"/>
      <c r="Q264" s="8"/>
      <c r="R264" s="9"/>
    </row>
    <row r="265" ht="16.5" customHeight="1">
      <c t="s" r="A265" s="12">
        <v>269</v>
      </c>
      <c r="B265" s="13">
        <v>0</v>
      </c>
      <c r="C265" s="14">
        <f>IFERROR(B265/B329, "NA")</f>
      </c>
      <c r="D265" s="15"/>
      <c r="E265" s="13">
        <v>0</v>
      </c>
      <c r="F265" s="14">
        <f>IFERROR(E265/E329, "NA")</f>
      </c>
      <c r="G265" s="15"/>
      <c r="H265" s="13">
        <v>0</v>
      </c>
      <c r="I265" s="14">
        <f>IFERROR(H265/H329, "NA")</f>
      </c>
      <c r="J265" s="15"/>
      <c r="K265" s="13">
        <v>0</v>
      </c>
      <c r="L265" s="14">
        <f>IFERROR(K265/K329, "NA")</f>
      </c>
      <c r="M265" s="15"/>
      <c r="N265" s="13">
        <v>0</v>
      </c>
      <c r="O265" s="14">
        <f>IFERROR(N265/N329, "NA")</f>
      </c>
      <c r="P265" s="15"/>
      <c r="Q265" s="13">
        <v>0</v>
      </c>
      <c r="R265" s="14">
        <f>IFERROR(Q265/Q329, "NA")</f>
      </c>
    </row>
    <row r="266" ht="16.5" customHeight="1">
      <c t="s" r="A266" s="12">
        <v>270</v>
      </c>
      <c r="B266" s="13">
        <v>0</v>
      </c>
      <c r="C266" s="14">
        <f>IFERROR(B266/B329, "NA")</f>
      </c>
      <c r="D266" s="15"/>
      <c r="E266" s="13">
        <v>0</v>
      </c>
      <c r="F266" s="14">
        <f>IFERROR(E266/E329, "NA")</f>
      </c>
      <c r="G266" s="15"/>
      <c r="H266" s="13">
        <v>0</v>
      </c>
      <c r="I266" s="14">
        <f>IFERROR(H266/H329, "NA")</f>
      </c>
      <c r="J266" s="15"/>
      <c r="K266" s="13">
        <v>0</v>
      </c>
      <c r="L266" s="14">
        <f>IFERROR(K266/K329, "NA")</f>
      </c>
      <c r="M266" s="15"/>
      <c r="N266" s="13">
        <v>0</v>
      </c>
      <c r="O266" s="14">
        <f>IFERROR(N266/N329, "NA")</f>
      </c>
      <c r="P266" s="15"/>
      <c r="Q266" s="13">
        <v>0</v>
      </c>
      <c r="R266" s="14">
        <f>IFERROR(Q266/Q329, "NA")</f>
      </c>
    </row>
    <row r="267" ht="16.5" customHeight="1">
      <c t="s" r="A267" s="12">
        <v>271</v>
      </c>
      <c r="B267" s="13">
        <v>0</v>
      </c>
      <c r="C267" s="14">
        <f>IFERROR(B267/B329, "NA")</f>
      </c>
      <c r="D267" s="15"/>
      <c r="E267" s="13">
        <v>0</v>
      </c>
      <c r="F267" s="14">
        <f>IFERROR(E267/E329, "NA")</f>
      </c>
      <c r="G267" s="15"/>
      <c r="H267" s="13">
        <v>0</v>
      </c>
      <c r="I267" s="14">
        <f>IFERROR(H267/H329, "NA")</f>
      </c>
      <c r="J267" s="15"/>
      <c r="K267" s="13">
        <v>0</v>
      </c>
      <c r="L267" s="14">
        <f>IFERROR(K267/K329, "NA")</f>
      </c>
      <c r="M267" s="15"/>
      <c r="N267" s="13">
        <v>0</v>
      </c>
      <c r="O267" s="14">
        <f>IFERROR(N267/N329, "NA")</f>
      </c>
      <c r="P267" s="15"/>
      <c r="Q267" s="13">
        <v>0</v>
      </c>
      <c r="R267" s="14">
        <f>IFERROR(Q267/Q329, "NA")</f>
      </c>
    </row>
    <row r="268" ht="16.5" customHeight="1">
      <c t="s" r="A268" s="12">
        <v>272</v>
      </c>
      <c r="B268" s="13">
        <v>0</v>
      </c>
      <c r="C268" s="14">
        <f>IFERROR(B268/B329, "NA")</f>
      </c>
      <c r="D268" s="15"/>
      <c r="E268" s="13">
        <v>0</v>
      </c>
      <c r="F268" s="14">
        <f>IFERROR(E268/E329, "NA")</f>
      </c>
      <c r="G268" s="15"/>
      <c r="H268" s="13">
        <v>0</v>
      </c>
      <c r="I268" s="14">
        <f>IFERROR(H268/H329, "NA")</f>
      </c>
      <c r="J268" s="15"/>
      <c r="K268" s="13">
        <v>0</v>
      </c>
      <c r="L268" s="14">
        <f>IFERROR(K268/K329, "NA")</f>
      </c>
      <c r="M268" s="15"/>
      <c r="N268" s="13">
        <v>0</v>
      </c>
      <c r="O268" s="14">
        <f>IFERROR(N268/N329, "NA")</f>
      </c>
      <c r="P268" s="15"/>
      <c r="Q268" s="13">
        <v>0</v>
      </c>
      <c r="R268" s="14">
        <f>IFERROR(Q268/Q329, "NA")</f>
      </c>
    </row>
    <row r="269" ht="16.5" customHeight="1">
      <c t="s" r="A269" s="12">
        <v>273</v>
      </c>
      <c r="B269" s="13">
        <v>0</v>
      </c>
      <c r="C269" s="14">
        <f>IFERROR(B269/B329, "NA")</f>
      </c>
      <c r="D269" s="15"/>
      <c r="E269" s="13">
        <v>0</v>
      </c>
      <c r="F269" s="14">
        <f>IFERROR(E269/E329, "NA")</f>
      </c>
      <c r="G269" s="15"/>
      <c r="H269" s="13">
        <v>0</v>
      </c>
      <c r="I269" s="14">
        <f>IFERROR(H269/H329, "NA")</f>
      </c>
      <c r="J269" s="15"/>
      <c r="K269" s="13">
        <v>0</v>
      </c>
      <c r="L269" s="14">
        <f>IFERROR(K269/K329, "NA")</f>
      </c>
      <c r="M269" s="15"/>
      <c r="N269" s="13">
        <v>0</v>
      </c>
      <c r="O269" s="14">
        <f>IFERROR(N269/N329, "NA")</f>
      </c>
      <c r="P269" s="15"/>
      <c r="Q269" s="13">
        <v>0</v>
      </c>
      <c r="R269" s="14">
        <f>IFERROR(Q269/Q329, "NA")</f>
      </c>
    </row>
    <row r="270" ht="16.5" customHeight="1">
      <c t="s" r="A270" s="12">
        <v>274</v>
      </c>
      <c r="B270" s="13">
        <v>0</v>
      </c>
      <c r="C270" s="14">
        <f>IFERROR(B270/B329, "NA")</f>
      </c>
      <c r="D270" s="15"/>
      <c r="E270" s="13">
        <v>0</v>
      </c>
      <c r="F270" s="14">
        <f>IFERROR(E270/E329, "NA")</f>
      </c>
      <c r="G270" s="15"/>
      <c r="H270" s="13">
        <v>0</v>
      </c>
      <c r="I270" s="14">
        <f>IFERROR(H270/H329, "NA")</f>
      </c>
      <c r="J270" s="15"/>
      <c r="K270" s="13">
        <v>0</v>
      </c>
      <c r="L270" s="14">
        <f>IFERROR(K270/K329, "NA")</f>
      </c>
      <c r="M270" s="15"/>
      <c r="N270" s="13">
        <v>0</v>
      </c>
      <c r="O270" s="14">
        <f>IFERROR(N270/N329, "NA")</f>
      </c>
      <c r="P270" s="15"/>
      <c r="Q270" s="13">
        <v>0</v>
      </c>
      <c r="R270" s="14">
        <f>IFERROR(Q270/Q329, "NA")</f>
      </c>
    </row>
    <row r="271" ht="16.5" customHeight="1">
      <c t="s" r="A271" s="12">
        <v>275</v>
      </c>
      <c r="B271" s="13">
        <v>0</v>
      </c>
      <c r="C271" s="14">
        <f>IFERROR(B271/B329, "NA")</f>
      </c>
      <c r="D271" s="15"/>
      <c r="E271" s="13">
        <v>0</v>
      </c>
      <c r="F271" s="14">
        <f>IFERROR(E271/E329, "NA")</f>
      </c>
      <c r="G271" s="15"/>
      <c r="H271" s="13">
        <v>0</v>
      </c>
      <c r="I271" s="14">
        <f>IFERROR(H271/H329, "NA")</f>
      </c>
      <c r="J271" s="15"/>
      <c r="K271" s="13">
        <v>0</v>
      </c>
      <c r="L271" s="14">
        <f>IFERROR(K271/K329, "NA")</f>
      </c>
      <c r="M271" s="15"/>
      <c r="N271" s="13">
        <v>0</v>
      </c>
      <c r="O271" s="14">
        <f>IFERROR(N271/N329, "NA")</f>
      </c>
      <c r="P271" s="15"/>
      <c r="Q271" s="13">
        <v>0</v>
      </c>
      <c r="R271" s="14">
        <f>IFERROR(Q271/Q329, "NA")</f>
      </c>
    </row>
    <row r="272" ht="16.5" customHeight="1">
      <c t="s" r="A272" s="12">
        <v>276</v>
      </c>
      <c r="B272" s="13">
        <v>0</v>
      </c>
      <c r="C272" s="14">
        <f>IFERROR(B272/B329, "NA")</f>
      </c>
      <c r="D272" s="15"/>
      <c r="E272" s="13">
        <v>0</v>
      </c>
      <c r="F272" s="14">
        <f>IFERROR(E272/E329, "NA")</f>
      </c>
      <c r="G272" s="15"/>
      <c r="H272" s="13">
        <v>0</v>
      </c>
      <c r="I272" s="14">
        <f>IFERROR(H272/H329, "NA")</f>
      </c>
      <c r="J272" s="15"/>
      <c r="K272" s="13">
        <v>0</v>
      </c>
      <c r="L272" s="14">
        <f>IFERROR(K272/K329, "NA")</f>
      </c>
      <c r="M272" s="15"/>
      <c r="N272" s="13">
        <v>0</v>
      </c>
      <c r="O272" s="14">
        <f>IFERROR(N272/N329, "NA")</f>
      </c>
      <c r="P272" s="15"/>
      <c r="Q272" s="13">
        <v>0</v>
      </c>
      <c r="R272" s="14">
        <f>IFERROR(Q272/Q329, "NA")</f>
      </c>
    </row>
    <row r="273" ht="16.5" customHeight="1">
      <c t="s" r="A273" s="12">
        <v>277</v>
      </c>
      <c r="B273" s="13">
        <v>0</v>
      </c>
      <c r="C273" s="14">
        <f>IFERROR(B273/B329, "NA")</f>
      </c>
      <c r="D273" s="15"/>
      <c r="E273" s="13">
        <v>0</v>
      </c>
      <c r="F273" s="14">
        <f>IFERROR(E273/E329, "NA")</f>
      </c>
      <c r="G273" s="15"/>
      <c r="H273" s="13">
        <v>0</v>
      </c>
      <c r="I273" s="14">
        <f>IFERROR(H273/H329, "NA")</f>
      </c>
      <c r="J273" s="15"/>
      <c r="K273" s="13">
        <v>0</v>
      </c>
      <c r="L273" s="14">
        <f>IFERROR(K273/K329, "NA")</f>
      </c>
      <c r="M273" s="15"/>
      <c r="N273" s="13">
        <v>0</v>
      </c>
      <c r="O273" s="14">
        <f>IFERROR(N273/N329, "NA")</f>
      </c>
      <c r="P273" s="15"/>
      <c r="Q273" s="13">
        <v>0</v>
      </c>
      <c r="R273" s="14">
        <f>IFERROR(Q273/Q329, "NA")</f>
      </c>
    </row>
    <row r="274" ht="16.5" customHeight="1">
      <c t="s" r="A274" s="12">
        <v>278</v>
      </c>
      <c r="B274" s="13">
        <v>0</v>
      </c>
      <c r="C274" s="14">
        <f>IFERROR(B274/B329, "NA")</f>
      </c>
      <c r="D274" s="15"/>
      <c r="E274" s="13">
        <v>0</v>
      </c>
      <c r="F274" s="14">
        <f>IFERROR(E274/E329, "NA")</f>
      </c>
      <c r="G274" s="15"/>
      <c r="H274" s="13">
        <v>0</v>
      </c>
      <c r="I274" s="14">
        <f>IFERROR(H274/H329, "NA")</f>
      </c>
      <c r="J274" s="15"/>
      <c r="K274" s="13">
        <v>0</v>
      </c>
      <c r="L274" s="14">
        <f>IFERROR(K274/K329, "NA")</f>
      </c>
      <c r="M274" s="15"/>
      <c r="N274" s="13">
        <v>0</v>
      </c>
      <c r="O274" s="14">
        <f>IFERROR(N274/N329, "NA")</f>
      </c>
      <c r="P274" s="15"/>
      <c r="Q274" s="13">
        <v>0</v>
      </c>
      <c r="R274" s="14">
        <f>IFERROR(Q274/Q329, "NA")</f>
      </c>
    </row>
    <row r="275" ht="16.5" customHeight="1">
      <c t="s" r="A275" s="12">
        <v>279</v>
      </c>
      <c r="B275" s="13">
        <v>0</v>
      </c>
      <c r="C275" s="14">
        <f>IFERROR(B275/B329, "NA")</f>
      </c>
      <c r="D275" s="15"/>
      <c r="E275" s="13">
        <v>0</v>
      </c>
      <c r="F275" s="14">
        <f>IFERROR(E275/E329, "NA")</f>
      </c>
      <c r="G275" s="15"/>
      <c r="H275" s="13">
        <v>0</v>
      </c>
      <c r="I275" s="14">
        <f>IFERROR(H275/H329, "NA")</f>
      </c>
      <c r="J275" s="15"/>
      <c r="K275" s="13">
        <v>0</v>
      </c>
      <c r="L275" s="14">
        <f>IFERROR(K275/K329, "NA")</f>
      </c>
      <c r="M275" s="15"/>
      <c r="N275" s="13">
        <v>0</v>
      </c>
      <c r="O275" s="14">
        <f>IFERROR(N275/N329, "NA")</f>
      </c>
      <c r="P275" s="15"/>
      <c r="Q275" s="13">
        <v>0</v>
      </c>
      <c r="R275" s="14">
        <f>IFERROR(Q275/Q329, "NA")</f>
      </c>
    </row>
    <row r="276" ht="16.5" customHeight="1">
      <c t="s" r="A276" s="12">
        <v>280</v>
      </c>
      <c r="B276" s="13">
        <v>0</v>
      </c>
      <c r="C276" s="14">
        <f>IFERROR(B276/B329, "NA")</f>
      </c>
      <c r="D276" s="15"/>
      <c r="E276" s="13">
        <v>0</v>
      </c>
      <c r="F276" s="14">
        <f>IFERROR(E276/E329, "NA")</f>
      </c>
      <c r="G276" s="15"/>
      <c r="H276" s="13">
        <v>0</v>
      </c>
      <c r="I276" s="14">
        <f>IFERROR(H276/H329, "NA")</f>
      </c>
      <c r="J276" s="15"/>
      <c r="K276" s="13">
        <v>0</v>
      </c>
      <c r="L276" s="14">
        <f>IFERROR(K276/K329, "NA")</f>
      </c>
      <c r="M276" s="15"/>
      <c r="N276" s="13">
        <v>0</v>
      </c>
      <c r="O276" s="14">
        <f>IFERROR(N276/N329, "NA")</f>
      </c>
      <c r="P276" s="15"/>
      <c r="Q276" s="13">
        <v>0</v>
      </c>
      <c r="R276" s="14">
        <f>IFERROR(Q276/Q329, "NA")</f>
      </c>
    </row>
    <row r="277" ht="16.5" customHeight="1">
      <c t="s" r="A277" s="12">
        <v>281</v>
      </c>
      <c r="B277" s="13">
        <v>0</v>
      </c>
      <c r="C277" s="14">
        <f>IFERROR(B277/B329, "NA")</f>
      </c>
      <c r="D277" s="15"/>
      <c r="E277" s="13">
        <v>0</v>
      </c>
      <c r="F277" s="14">
        <f>IFERROR(E277/E329, "NA")</f>
      </c>
      <c r="G277" s="15"/>
      <c r="H277" s="13">
        <v>0</v>
      </c>
      <c r="I277" s="14">
        <f>IFERROR(H277/H329, "NA")</f>
      </c>
      <c r="J277" s="15"/>
      <c r="K277" s="13">
        <v>0</v>
      </c>
      <c r="L277" s="14">
        <f>IFERROR(K277/K329, "NA")</f>
      </c>
      <c r="M277" s="15"/>
      <c r="N277" s="13">
        <v>0</v>
      </c>
      <c r="O277" s="14">
        <f>IFERROR(N277/N329, "NA")</f>
      </c>
      <c r="P277" s="15"/>
      <c r="Q277" s="13">
        <v>0</v>
      </c>
      <c r="R277" s="14">
        <f>IFERROR(Q277/Q329, "NA")</f>
      </c>
    </row>
    <row r="278" ht="16.5" customHeight="1">
      <c t="s" r="A278" s="12">
        <v>282</v>
      </c>
      <c r="B278" s="13">
        <v>-5120.4499999999998</v>
      </c>
      <c r="C278" s="14">
        <f>IFERROR(B278/B329, "NA")</f>
      </c>
      <c r="D278" s="15"/>
      <c r="E278" s="13">
        <v>-3585.96</v>
      </c>
      <c r="F278" s="14">
        <f>IFERROR(E278/E329, "NA")</f>
      </c>
      <c r="G278" s="15"/>
      <c r="H278" s="13">
        <v>-1157.3699999999999</v>
      </c>
      <c r="I278" s="14">
        <f>IFERROR(H278/H329, "NA")</f>
      </c>
      <c r="J278" s="15"/>
      <c r="K278" s="13">
        <v>-4410.8400000000001</v>
      </c>
      <c r="L278" s="14">
        <f>IFERROR(K278/K329, "NA")</f>
      </c>
      <c r="M278" s="15"/>
      <c r="N278" s="13">
        <v>-4401.5299999999997</v>
      </c>
      <c r="O278" s="14">
        <f>IFERROR(N278/N329, "NA")</f>
      </c>
      <c r="P278" s="15"/>
      <c r="Q278" s="13">
        <v>-806.99000000000001</v>
      </c>
      <c r="R278" s="14">
        <f>IFERROR(Q278/Q329, "NA")</f>
      </c>
    </row>
    <row r="279" ht="16.5" customHeight="1">
      <c t="s" r="A279" s="12">
        <v>283</v>
      </c>
      <c r="B279" s="13">
        <v>0</v>
      </c>
      <c r="C279" s="14">
        <f>IFERROR(B279/B329, "NA")</f>
      </c>
      <c r="D279" s="15"/>
      <c r="E279" s="13">
        <v>0</v>
      </c>
      <c r="F279" s="14">
        <f>IFERROR(E279/E329, "NA")</f>
      </c>
      <c r="G279" s="15"/>
      <c r="H279" s="13">
        <v>0</v>
      </c>
      <c r="I279" s="14">
        <f>IFERROR(H279/H329, "NA")</f>
      </c>
      <c r="J279" s="15"/>
      <c r="K279" s="13">
        <v>0</v>
      </c>
      <c r="L279" s="14">
        <f>IFERROR(K279/K329, "NA")</f>
      </c>
      <c r="M279" s="15"/>
      <c r="N279" s="13">
        <v>0</v>
      </c>
      <c r="O279" s="14">
        <f>IFERROR(N279/N329, "NA")</f>
      </c>
      <c r="P279" s="15"/>
      <c r="Q279" s="13">
        <v>0</v>
      </c>
      <c r="R279" s="14">
        <f>IFERROR(Q279/Q329, "NA")</f>
      </c>
    </row>
    <row r="280" ht="16.5" customHeight="1">
      <c t="s" r="A280" s="12">
        <v>284</v>
      </c>
      <c r="B280" s="13">
        <v>0</v>
      </c>
      <c r="C280" s="14">
        <f>IFERROR(B280/B329, "NA")</f>
      </c>
      <c r="D280" s="15"/>
      <c r="E280" s="13">
        <v>0</v>
      </c>
      <c r="F280" s="14">
        <f>IFERROR(E280/E329, "NA")</f>
      </c>
      <c r="G280" s="15"/>
      <c r="H280" s="13">
        <v>0</v>
      </c>
      <c r="I280" s="14">
        <f>IFERROR(H280/H329, "NA")</f>
      </c>
      <c r="J280" s="15"/>
      <c r="K280" s="13">
        <v>0</v>
      </c>
      <c r="L280" s="14">
        <f>IFERROR(K280/K329, "NA")</f>
      </c>
      <c r="M280" s="15"/>
      <c r="N280" s="13">
        <v>0</v>
      </c>
      <c r="O280" s="14">
        <f>IFERROR(N280/N329, "NA")</f>
      </c>
      <c r="P280" s="15"/>
      <c r="Q280" s="13">
        <v>0</v>
      </c>
      <c r="R280" s="14">
        <f>IFERROR(Q280/Q329, "NA")</f>
      </c>
    </row>
    <row r="281" ht="16.5" customHeight="1">
      <c t="s" r="A281" s="12">
        <v>285</v>
      </c>
      <c r="B281" s="13">
        <v>0</v>
      </c>
      <c r="C281" s="14">
        <f>IFERROR(B281/B329, "NA")</f>
      </c>
      <c r="D281" s="15"/>
      <c r="E281" s="13">
        <v>0</v>
      </c>
      <c r="F281" s="14">
        <f>IFERROR(E281/E329, "NA")</f>
      </c>
      <c r="G281" s="15"/>
      <c r="H281" s="13">
        <v>0</v>
      </c>
      <c r="I281" s="14">
        <f>IFERROR(H281/H329, "NA")</f>
      </c>
      <c r="J281" s="15"/>
      <c r="K281" s="13">
        <v>0</v>
      </c>
      <c r="L281" s="14">
        <f>IFERROR(K281/K329, "NA")</f>
      </c>
      <c r="M281" s="15"/>
      <c r="N281" s="13">
        <v>0</v>
      </c>
      <c r="O281" s="14">
        <f>IFERROR(N281/N329, "NA")</f>
      </c>
      <c r="P281" s="15"/>
      <c r="Q281" s="13">
        <v>0</v>
      </c>
      <c r="R281" s="14">
        <f>IFERROR(Q281/Q329, "NA")</f>
      </c>
    </row>
    <row r="282" ht="16.5" customHeight="1">
      <c t="s" r="A282" s="12">
        <v>286</v>
      </c>
      <c r="B282" s="13">
        <v>0</v>
      </c>
      <c r="C282" s="14">
        <f>IFERROR(B282/B329, "NA")</f>
      </c>
      <c r="D282" s="15"/>
      <c r="E282" s="13">
        <v>0</v>
      </c>
      <c r="F282" s="14">
        <f>IFERROR(E282/E329, "NA")</f>
      </c>
      <c r="G282" s="15"/>
      <c r="H282" s="13">
        <v>0</v>
      </c>
      <c r="I282" s="14">
        <f>IFERROR(H282/H329, "NA")</f>
      </c>
      <c r="J282" s="15"/>
      <c r="K282" s="13">
        <v>0</v>
      </c>
      <c r="L282" s="14">
        <f>IFERROR(K282/K329, "NA")</f>
      </c>
      <c r="M282" s="15"/>
      <c r="N282" s="13">
        <v>0</v>
      </c>
      <c r="O282" s="14">
        <f>IFERROR(N282/N329, "NA")</f>
      </c>
      <c r="P282" s="15"/>
      <c r="Q282" s="13">
        <v>0</v>
      </c>
      <c r="R282" s="14">
        <f>IFERROR(Q282/Q329, "NA")</f>
      </c>
    </row>
    <row r="283" ht="16.5" customHeight="1">
      <c t="s" r="A283" s="16">
        <v>287</v>
      </c>
      <c r="B283" s="17">
        <f>IFERROR(B265+B266+B267+B268+B269+B270+B271+B272+B273+B274+B275+B276+B277+B278+B279+B280+B281+B282, "NA")</f>
      </c>
      <c r="C283" s="18">
        <f>IFERROR(B283/B329, "NA")</f>
      </c>
      <c r="D283" s="8"/>
      <c r="E283" s="17">
        <f>IFERROR(E265+E266+E267+E268+E269+E270+E271+E272+E273+E274+E275+E276+E277+E278+E279+E280+E281+E282, "NA")</f>
      </c>
      <c r="F283" s="18">
        <f>IFERROR(E283/E329, "NA")</f>
      </c>
      <c r="G283" s="8"/>
      <c r="H283" s="17">
        <f>IFERROR(H265+H266+H267+H268+H269+H270+H271+H272+H273+H274+H275+H276+H277+H278+H279+H280+H281+H282, "NA")</f>
      </c>
      <c r="I283" s="18">
        <f>IFERROR(H283/H329, "NA")</f>
      </c>
      <c r="J283" s="8"/>
      <c r="K283" s="17">
        <f>IFERROR(K265+K266+K267+K268+K269+K270+K271+K272+K273+K274+K275+K276+K277+K278+K279+K280+K281+K282, "NA")</f>
      </c>
      <c r="L283" s="18">
        <f>IFERROR(K283/K329, "NA")</f>
      </c>
      <c r="M283" s="8"/>
      <c r="N283" s="17">
        <f>IFERROR(N265+N266+N267+N268+N269+N270+N271+N272+N273+N274+N275+N276+N277+N278+N279+N280+N281+N282, "NA")</f>
      </c>
      <c r="O283" s="18">
        <f>IFERROR(N283/N329, "NA")</f>
      </c>
      <c r="P283" s="8"/>
      <c r="Q283" s="17">
        <f>IFERROR(Q265+Q266+Q267+Q268+Q269+Q270+Q271+Q272+Q273+Q274+Q275+Q276+Q277+Q278+Q279+Q280+Q281+Q282, "NA")</f>
      </c>
      <c r="R283" s="18">
        <f>IFERROR(Q283/Q329, "NA")</f>
      </c>
    </row>
    <row r="284" ht="16.5" customHeight="1">
      <c t="s" r="A284" s="20">
        <v>288</v>
      </c>
      <c r="B284" s="17">
        <f>IFERROR(B214+B215+B216+B217+B218+B219+B220+B221+B222+B223+B224+B225+B226+B227+B228+B229+B230+B231+B232+B233+B234+B235+B236+B237+B238+B239+B240+B243+B244+B245+B246+B247+B248+B249+B250+B251+B254+B255+B256+B257+B258+B259+B260+B261+B262+B265+B266+B267+B268+B269+B270+B271+B272+B273+B274+B275+B276+B277+B278+B279+B280+B281+B282, "NA")</f>
      </c>
      <c r="C284" s="18">
        <f>IFERROR(B284/B329, "NA")</f>
      </c>
      <c r="D284" s="8"/>
      <c r="E284" s="17">
        <f>IFERROR(E214+E215+E216+E217+E218+E219+E220+E221+E222+E223+E224+E225+E226+E227+E228+E229+E230+E231+E232+E233+E234+E235+E236+E237+E238+E239+E240+E243+E244+E245+E246+E247+E248+E249+E250+E251+E254+E255+E256+E257+E258+E259+E260+E261+E262+E265+E266+E267+E268+E269+E270+E271+E272+E273+E274+E275+E276+E277+E278+E279+E280+E281+E282, "NA")</f>
      </c>
      <c r="F284" s="18">
        <f>IFERROR(E284/E329, "NA")</f>
      </c>
      <c r="G284" s="8"/>
      <c r="H284" s="17">
        <f>IFERROR(H214+H215+H216+H217+H218+H219+H220+H221+H222+H223+H224+H225+H226+H227+H228+H229+H230+H231+H232+H233+H234+H235+H236+H237+H238+H239+H240+H243+H244+H245+H246+H247+H248+H249+H250+H251+H254+H255+H256+H257+H258+H259+H260+H261+H262+H265+H266+H267+H268+H269+H270+H271+H272+H273+H274+H275+H276+H277+H278+H279+H280+H281+H282, "NA")</f>
      </c>
      <c r="I284" s="18">
        <f>IFERROR(H284/H329, "NA")</f>
      </c>
      <c r="J284" s="8"/>
      <c r="K284" s="17">
        <f>IFERROR(K214+K215+K216+K217+K218+K219+K220+K221+K222+K223+K224+K225+K226+K227+K228+K229+K230+K231+K232+K233+K234+K235+K236+K237+K238+K239+K240+K243+K244+K245+K246+K247+K248+K249+K250+K251+K254+K255+K256+K257+K258+K259+K260+K261+K262+K265+K266+K267+K268+K269+K270+K271+K272+K273+K274+K275+K276+K277+K278+K279+K280+K281+K282, "NA")</f>
      </c>
      <c r="L284" s="18">
        <f>IFERROR(K284/K329, "NA")</f>
      </c>
      <c r="M284" s="8"/>
      <c r="N284" s="17">
        <f>IFERROR(N214+N215+N216+N217+N218+N219+N220+N221+N222+N223+N224+N225+N226+N227+N228+N229+N230+N231+N232+N233+N234+N235+N236+N237+N238+N239+N240+N243+N244+N245+N246+N247+N248+N249+N250+N251+N254+N255+N256+N257+N258+N259+N260+N261+N262+N265+N266+N267+N268+N269+N270+N271+N272+N273+N274+N275+N276+N277+N278+N279+N280+N281+N282, "NA")</f>
      </c>
      <c r="O284" s="18">
        <f>IFERROR(N284/N329, "NA")</f>
      </c>
      <c r="P284" s="8"/>
      <c r="Q284" s="17">
        <f>IFERROR(Q214+Q215+Q216+Q217+Q218+Q219+Q220+Q221+Q222+Q223+Q224+Q225+Q226+Q227+Q228+Q229+Q230+Q231+Q232+Q233+Q234+Q235+Q236+Q237+Q238+Q239+Q240+Q243+Q244+Q245+Q246+Q247+Q248+Q249+Q250+Q251+Q254+Q255+Q256+Q257+Q258+Q259+Q260+Q261+Q262+Q265+Q266+Q267+Q268+Q269+Q270+Q271+Q272+Q273+Q274+Q275+Q276+Q277+Q278+Q279+Q280+Q281+Q282, "NA")</f>
      </c>
      <c r="R284" s="18">
        <f>IFERROR(Q284/Q329, "NA")</f>
      </c>
    </row>
    <row r="285" ht="16.5" customHeight="1">
      <c t="s" r="A285" s="7">
        <v>289</v>
      </c>
      <c r="B285" s="8"/>
      <c r="C285" s="9"/>
      <c r="D285" s="10"/>
      <c r="E285" s="8"/>
      <c r="F285" s="9"/>
      <c r="G285" s="10"/>
      <c r="H285" s="8"/>
      <c r="I285" s="9"/>
      <c r="J285" s="10"/>
      <c r="K285" s="8"/>
      <c r="L285" s="9"/>
      <c r="M285" s="10"/>
      <c r="N285" s="8"/>
      <c r="O285" s="9"/>
      <c r="P285" s="10"/>
      <c r="Q285" s="8"/>
      <c r="R285" s="9"/>
    </row>
    <row r="286" ht="16.5" customHeight="1">
      <c t="s" r="A286" s="11">
        <v>290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</row>
    <row r="287" ht="16.5" customHeight="1">
      <c t="s" r="A287" s="12">
        <v>291</v>
      </c>
      <c r="B287" s="13">
        <v>0</v>
      </c>
      <c r="C287" s="14">
        <f>IFERROR(B287/B329, "NA")</f>
      </c>
      <c r="D287" s="15"/>
      <c r="E287" s="13">
        <v>0</v>
      </c>
      <c r="F287" s="14">
        <f>IFERROR(E287/E329, "NA")</f>
      </c>
      <c r="G287" s="15"/>
      <c r="H287" s="13">
        <v>0</v>
      </c>
      <c r="I287" s="14">
        <f>IFERROR(H287/H329, "NA")</f>
      </c>
      <c r="J287" s="15"/>
      <c r="K287" s="13">
        <v>0</v>
      </c>
      <c r="L287" s="14">
        <f>IFERROR(K287/K329, "NA")</f>
      </c>
      <c r="M287" s="15"/>
      <c r="N287" s="13">
        <v>0</v>
      </c>
      <c r="O287" s="14">
        <f>IFERROR(N287/N329, "NA")</f>
      </c>
      <c r="P287" s="15"/>
      <c r="Q287" s="13">
        <v>0</v>
      </c>
      <c r="R287" s="14">
        <f>IFERROR(Q287/Q329, "NA")</f>
      </c>
    </row>
    <row r="288" ht="16.5" customHeight="1">
      <c t="s" r="A288" s="12">
        <v>292</v>
      </c>
      <c r="B288" s="13">
        <v>0</v>
      </c>
      <c r="C288" s="14">
        <f>IFERROR(B288/B329, "NA")</f>
      </c>
      <c r="D288" s="15"/>
      <c r="E288" s="13">
        <v>0</v>
      </c>
      <c r="F288" s="14">
        <f>IFERROR(E288/E329, "NA")</f>
      </c>
      <c r="G288" s="15"/>
      <c r="H288" s="13">
        <v>0</v>
      </c>
      <c r="I288" s="14">
        <f>IFERROR(H288/H329, "NA")</f>
      </c>
      <c r="J288" s="15"/>
      <c r="K288" s="13">
        <v>0</v>
      </c>
      <c r="L288" s="14">
        <f>IFERROR(K288/K329, "NA")</f>
      </c>
      <c r="M288" s="15"/>
      <c r="N288" s="13">
        <v>0</v>
      </c>
      <c r="O288" s="14">
        <f>IFERROR(N288/N329, "NA")</f>
      </c>
      <c r="P288" s="15"/>
      <c r="Q288" s="13">
        <v>0</v>
      </c>
      <c r="R288" s="14">
        <f>IFERROR(Q288/Q329, "NA")</f>
      </c>
    </row>
    <row r="289" ht="16.5" customHeight="1">
      <c t="s" r="A289" s="12">
        <v>293</v>
      </c>
      <c r="B289" s="13">
        <v>485.12</v>
      </c>
      <c r="C289" s="14">
        <f>IFERROR(B289/B329, "NA")</f>
      </c>
      <c r="D289" s="15"/>
      <c r="E289" s="13">
        <v>0</v>
      </c>
      <c r="F289" s="14">
        <f>IFERROR(E289/E329, "NA")</f>
      </c>
      <c r="G289" s="15"/>
      <c r="H289" s="13">
        <v>0</v>
      </c>
      <c r="I289" s="14">
        <f>IFERROR(H289/H329, "NA")</f>
      </c>
      <c r="J289" s="15"/>
      <c r="K289" s="13">
        <v>0</v>
      </c>
      <c r="L289" s="14">
        <f>IFERROR(K289/K329, "NA")</f>
      </c>
      <c r="M289" s="15"/>
      <c r="N289" s="13">
        <v>600</v>
      </c>
      <c r="O289" s="14">
        <f>IFERROR(N289/N329, "NA")</f>
      </c>
      <c r="P289" s="15"/>
      <c r="Q289" s="13">
        <v>0</v>
      </c>
      <c r="R289" s="14">
        <f>IFERROR(Q289/Q329, "NA")</f>
      </c>
    </row>
    <row r="290" ht="16.5" customHeight="1">
      <c t="s" r="A290" s="12">
        <v>294</v>
      </c>
      <c r="B290" s="13">
        <v>0</v>
      </c>
      <c r="C290" s="14">
        <f>IFERROR(B290/B329, "NA")</f>
      </c>
      <c r="D290" s="15"/>
      <c r="E290" s="13">
        <v>0</v>
      </c>
      <c r="F290" s="14">
        <f>IFERROR(E290/E329, "NA")</f>
      </c>
      <c r="G290" s="15"/>
      <c r="H290" s="13">
        <v>0</v>
      </c>
      <c r="I290" s="14">
        <f>IFERROR(H290/H329, "NA")</f>
      </c>
      <c r="J290" s="15"/>
      <c r="K290" s="13">
        <v>0</v>
      </c>
      <c r="L290" s="14">
        <f>IFERROR(K290/K329, "NA")</f>
      </c>
      <c r="M290" s="15"/>
      <c r="N290" s="13">
        <v>0</v>
      </c>
      <c r="O290" s="14">
        <f>IFERROR(N290/N329, "NA")</f>
      </c>
      <c r="P290" s="15"/>
      <c r="Q290" s="13">
        <v>0</v>
      </c>
      <c r="R290" s="14">
        <f>IFERROR(Q290/Q329, "NA")</f>
      </c>
    </row>
    <row r="291" ht="16.5" customHeight="1">
      <c t="s" r="A291" s="12">
        <v>295</v>
      </c>
      <c r="B291" s="13">
        <v>8243.7199999999993</v>
      </c>
      <c r="C291" s="14">
        <f>IFERROR(B291/B329, "NA")</f>
      </c>
      <c r="D291" s="15"/>
      <c r="E291" s="13">
        <v>5844.25</v>
      </c>
      <c r="F291" s="14">
        <f>IFERROR(E291/E329, "NA")</f>
      </c>
      <c r="G291" s="15"/>
      <c r="H291" s="13">
        <v>1862.55</v>
      </c>
      <c r="I291" s="14">
        <f>IFERROR(H291/H329, "NA")</f>
      </c>
      <c r="J291" s="15"/>
      <c r="K291" s="13">
        <v>7232.6599999999999</v>
      </c>
      <c r="L291" s="14">
        <f>IFERROR(K291/K329, "NA")</f>
      </c>
      <c r="M291" s="15"/>
      <c r="N291" s="13">
        <v>7069.1000000000004</v>
      </c>
      <c r="O291" s="14">
        <f>IFERROR(N291/N329, "NA")</f>
      </c>
      <c r="P291" s="15"/>
      <c r="Q291" s="13">
        <v>0</v>
      </c>
      <c r="R291" s="14">
        <f>IFERROR(Q291/Q329, "NA")</f>
      </c>
    </row>
    <row r="292" ht="16.5" customHeight="1">
      <c t="s" r="A292" s="12">
        <v>296</v>
      </c>
      <c r="B292" s="13">
        <v>0</v>
      </c>
      <c r="C292" s="14">
        <f>IFERROR(B292/B329, "NA")</f>
      </c>
      <c r="D292" s="15"/>
      <c r="E292" s="13">
        <v>0</v>
      </c>
      <c r="F292" s="14">
        <f>IFERROR(E292/E329, "NA")</f>
      </c>
      <c r="G292" s="15"/>
      <c r="H292" s="13">
        <v>0</v>
      </c>
      <c r="I292" s="14">
        <f>IFERROR(H292/H329, "NA")</f>
      </c>
      <c r="J292" s="15"/>
      <c r="K292" s="13">
        <v>0</v>
      </c>
      <c r="L292" s="14">
        <f>IFERROR(K292/K329, "NA")</f>
      </c>
      <c r="M292" s="15"/>
      <c r="N292" s="13">
        <v>0</v>
      </c>
      <c r="O292" s="14">
        <f>IFERROR(N292/N329, "NA")</f>
      </c>
      <c r="P292" s="15"/>
      <c r="Q292" s="13">
        <v>0</v>
      </c>
      <c r="R292" s="14">
        <f>IFERROR(Q292/Q329, "NA")</f>
      </c>
    </row>
    <row r="293" ht="16.5" customHeight="1">
      <c t="s" r="A293" s="12">
        <v>297</v>
      </c>
      <c r="B293" s="13">
        <v>0</v>
      </c>
      <c r="C293" s="14">
        <f>IFERROR(B293/B329, "NA")</f>
      </c>
      <c r="D293" s="15"/>
      <c r="E293" s="13">
        <v>0</v>
      </c>
      <c r="F293" s="14">
        <f>IFERROR(E293/E329, "NA")</f>
      </c>
      <c r="G293" s="15"/>
      <c r="H293" s="13">
        <v>0</v>
      </c>
      <c r="I293" s="14">
        <f>IFERROR(H293/H329, "NA")</f>
      </c>
      <c r="J293" s="15"/>
      <c r="K293" s="13">
        <v>0</v>
      </c>
      <c r="L293" s="14">
        <f>IFERROR(K293/K329, "NA")</f>
      </c>
      <c r="M293" s="15"/>
      <c r="N293" s="13">
        <v>0</v>
      </c>
      <c r="O293" s="14">
        <f>IFERROR(N293/N329, "NA")</f>
      </c>
      <c r="P293" s="15"/>
      <c r="Q293" s="13">
        <v>0</v>
      </c>
      <c r="R293" s="14">
        <f>IFERROR(Q293/Q329, "NA")</f>
      </c>
    </row>
    <row r="294" ht="16.5" customHeight="1">
      <c t="s" r="A294" s="12">
        <v>298</v>
      </c>
      <c r="B294" s="13">
        <v>0</v>
      </c>
      <c r="C294" s="14">
        <f>IFERROR(B294/B329, "NA")</f>
      </c>
      <c r="D294" s="15"/>
      <c r="E294" s="13">
        <v>0</v>
      </c>
      <c r="F294" s="14">
        <f>IFERROR(E294/E329, "NA")</f>
      </c>
      <c r="G294" s="15"/>
      <c r="H294" s="13">
        <v>0</v>
      </c>
      <c r="I294" s="14">
        <f>IFERROR(H294/H329, "NA")</f>
      </c>
      <c r="J294" s="15"/>
      <c r="K294" s="13">
        <v>0</v>
      </c>
      <c r="L294" s="14">
        <f>IFERROR(K294/K329, "NA")</f>
      </c>
      <c r="M294" s="15"/>
      <c r="N294" s="13">
        <v>0</v>
      </c>
      <c r="O294" s="14">
        <f>IFERROR(N294/N329, "NA")</f>
      </c>
      <c r="P294" s="15"/>
      <c r="Q294" s="13">
        <v>0</v>
      </c>
      <c r="R294" s="14">
        <f>IFERROR(Q294/Q329, "NA")</f>
      </c>
    </row>
    <row r="295" ht="16.5" customHeight="1">
      <c t="s" r="A295" s="12">
        <v>299</v>
      </c>
      <c r="B295" s="13">
        <v>1306.0999999999999</v>
      </c>
      <c r="C295" s="14">
        <f>IFERROR(B295/B329, "NA")</f>
      </c>
      <c r="D295" s="15"/>
      <c r="E295" s="13">
        <v>0</v>
      </c>
      <c r="F295" s="14">
        <f>IFERROR(E295/E329, "NA")</f>
      </c>
      <c r="G295" s="15"/>
      <c r="H295" s="13">
        <v>400</v>
      </c>
      <c r="I295" s="14">
        <f>IFERROR(H295/H329, "NA")</f>
      </c>
      <c r="J295" s="15"/>
      <c r="K295" s="13">
        <v>0</v>
      </c>
      <c r="L295" s="14">
        <f>IFERROR(K295/K329, "NA")</f>
      </c>
      <c r="M295" s="15"/>
      <c r="N295" s="13">
        <v>324</v>
      </c>
      <c r="O295" s="14">
        <f>IFERROR(N295/N329, "NA")</f>
      </c>
      <c r="P295" s="15"/>
      <c r="Q295" s="13">
        <v>450</v>
      </c>
      <c r="R295" s="14">
        <f>IFERROR(Q295/Q329, "NA")</f>
      </c>
    </row>
    <row r="296" ht="16.5" customHeight="1">
      <c t="s" r="A296" s="12">
        <v>300</v>
      </c>
      <c r="B296" s="13">
        <v>0</v>
      </c>
      <c r="C296" s="14">
        <f>IFERROR(B296/B329, "NA")</f>
      </c>
      <c r="D296" s="15"/>
      <c r="E296" s="13">
        <v>0</v>
      </c>
      <c r="F296" s="14">
        <f>IFERROR(E296/E329, "NA")</f>
      </c>
      <c r="G296" s="15"/>
      <c r="H296" s="13">
        <v>0</v>
      </c>
      <c r="I296" s="14">
        <f>IFERROR(H296/H329, "NA")</f>
      </c>
      <c r="J296" s="15"/>
      <c r="K296" s="13">
        <v>0</v>
      </c>
      <c r="L296" s="14">
        <f>IFERROR(K296/K329, "NA")</f>
      </c>
      <c r="M296" s="15"/>
      <c r="N296" s="13">
        <v>0</v>
      </c>
      <c r="O296" s="14">
        <f>IFERROR(N296/N329, "NA")</f>
      </c>
      <c r="P296" s="15"/>
      <c r="Q296" s="13">
        <v>0</v>
      </c>
      <c r="R296" s="14">
        <f>IFERROR(Q296/Q329, "NA")</f>
      </c>
    </row>
    <row r="297" ht="16.5" customHeight="1">
      <c t="s" r="A297" s="12">
        <v>301</v>
      </c>
      <c r="B297" s="13">
        <v>0</v>
      </c>
      <c r="C297" s="14">
        <f>IFERROR(B297/B329, "NA")</f>
      </c>
      <c r="D297" s="15"/>
      <c r="E297" s="13">
        <v>0</v>
      </c>
      <c r="F297" s="14">
        <f>IFERROR(E297/E329, "NA")</f>
      </c>
      <c r="G297" s="15"/>
      <c r="H297" s="13">
        <v>0</v>
      </c>
      <c r="I297" s="14">
        <f>IFERROR(H297/H329, "NA")</f>
      </c>
      <c r="J297" s="15"/>
      <c r="K297" s="13">
        <v>0</v>
      </c>
      <c r="L297" s="14">
        <f>IFERROR(K297/K329, "NA")</f>
      </c>
      <c r="M297" s="15"/>
      <c r="N297" s="13">
        <v>0</v>
      </c>
      <c r="O297" s="14">
        <f>IFERROR(N297/N329, "NA")</f>
      </c>
      <c r="P297" s="15"/>
      <c r="Q297" s="13">
        <v>0</v>
      </c>
      <c r="R297" s="14">
        <f>IFERROR(Q297/Q329, "NA")</f>
      </c>
    </row>
    <row r="298" ht="16.5" customHeight="1">
      <c t="s" r="A298" s="12">
        <v>302</v>
      </c>
      <c r="B298" s="13">
        <v>0</v>
      </c>
      <c r="C298" s="14">
        <f>IFERROR(B298/B329, "NA")</f>
      </c>
      <c r="D298" s="15"/>
      <c r="E298" s="13">
        <v>0</v>
      </c>
      <c r="F298" s="14">
        <f>IFERROR(E298/E329, "NA")</f>
      </c>
      <c r="G298" s="15"/>
      <c r="H298" s="13">
        <v>0</v>
      </c>
      <c r="I298" s="14">
        <f>IFERROR(H298/H329, "NA")</f>
      </c>
      <c r="J298" s="15"/>
      <c r="K298" s="13">
        <v>0</v>
      </c>
      <c r="L298" s="14">
        <f>IFERROR(K298/K329, "NA")</f>
      </c>
      <c r="M298" s="15"/>
      <c r="N298" s="13">
        <v>0</v>
      </c>
      <c r="O298" s="14">
        <f>IFERROR(N298/N329, "NA")</f>
      </c>
      <c r="P298" s="15"/>
      <c r="Q298" s="13">
        <v>0</v>
      </c>
      <c r="R298" s="14">
        <f>IFERROR(Q298/Q329, "NA")</f>
      </c>
    </row>
    <row r="299" ht="16.5" customHeight="1">
      <c t="s" r="A299" s="12">
        <v>303</v>
      </c>
      <c r="B299" s="13">
        <v>0</v>
      </c>
      <c r="C299" s="14">
        <f>IFERROR(B299/B329, "NA")</f>
      </c>
      <c r="D299" s="15"/>
      <c r="E299" s="13">
        <v>0</v>
      </c>
      <c r="F299" s="14">
        <f>IFERROR(E299/E329, "NA")</f>
      </c>
      <c r="G299" s="15"/>
      <c r="H299" s="13">
        <v>0</v>
      </c>
      <c r="I299" s="14">
        <f>IFERROR(H299/H329, "NA")</f>
      </c>
      <c r="J299" s="15"/>
      <c r="K299" s="13">
        <v>0</v>
      </c>
      <c r="L299" s="14">
        <f>IFERROR(K299/K329, "NA")</f>
      </c>
      <c r="M299" s="15"/>
      <c r="N299" s="13">
        <v>0</v>
      </c>
      <c r="O299" s="14">
        <f>IFERROR(N299/N329, "NA")</f>
      </c>
      <c r="P299" s="15"/>
      <c r="Q299" s="13">
        <v>0</v>
      </c>
      <c r="R299" s="14">
        <f>IFERROR(Q299/Q329, "NA")</f>
      </c>
    </row>
    <row r="300" ht="16.5" customHeight="1">
      <c t="s" r="A300" s="12">
        <v>304</v>
      </c>
      <c r="B300" s="13">
        <v>0</v>
      </c>
      <c r="C300" s="14">
        <f>IFERROR(B300/B329, "NA")</f>
      </c>
      <c r="D300" s="15"/>
      <c r="E300" s="13">
        <v>0</v>
      </c>
      <c r="F300" s="14">
        <f>IFERROR(E300/E329, "NA")</f>
      </c>
      <c r="G300" s="15"/>
      <c r="H300" s="13">
        <v>0</v>
      </c>
      <c r="I300" s="14">
        <f>IFERROR(H300/H329, "NA")</f>
      </c>
      <c r="J300" s="15"/>
      <c r="K300" s="13">
        <v>0</v>
      </c>
      <c r="L300" s="14">
        <f>IFERROR(K300/K329, "NA")</f>
      </c>
      <c r="M300" s="15"/>
      <c r="N300" s="13">
        <v>0</v>
      </c>
      <c r="O300" s="14">
        <f>IFERROR(N300/N329, "NA")</f>
      </c>
      <c r="P300" s="15"/>
      <c r="Q300" s="13">
        <v>0</v>
      </c>
      <c r="R300" s="14">
        <f>IFERROR(Q300/Q329, "NA")</f>
      </c>
    </row>
    <row r="301" ht="16.5" customHeight="1">
      <c t="s" r="A301" s="12">
        <v>305</v>
      </c>
      <c r="B301" s="13">
        <v>0</v>
      </c>
      <c r="C301" s="14">
        <f>IFERROR(B301/B329, "NA")</f>
      </c>
      <c r="D301" s="15"/>
      <c r="E301" s="13">
        <v>0</v>
      </c>
      <c r="F301" s="14">
        <f>IFERROR(E301/E329, "NA")</f>
      </c>
      <c r="G301" s="15"/>
      <c r="H301" s="13">
        <v>0</v>
      </c>
      <c r="I301" s="14">
        <f>IFERROR(H301/H329, "NA")</f>
      </c>
      <c r="J301" s="15"/>
      <c r="K301" s="13">
        <v>0</v>
      </c>
      <c r="L301" s="14">
        <f>IFERROR(K301/K329, "NA")</f>
      </c>
      <c r="M301" s="15"/>
      <c r="N301" s="13">
        <v>0</v>
      </c>
      <c r="O301" s="14">
        <f>IFERROR(N301/N329, "NA")</f>
      </c>
      <c r="P301" s="15"/>
      <c r="Q301" s="13">
        <v>0</v>
      </c>
      <c r="R301" s="14">
        <f>IFERROR(Q301/Q329, "NA")</f>
      </c>
    </row>
    <row r="302" ht="16.5" customHeight="1">
      <c t="s" r="A302" s="12">
        <v>306</v>
      </c>
      <c r="B302" s="13">
        <v>0</v>
      </c>
      <c r="C302" s="14">
        <f>IFERROR(B302/B329, "NA")</f>
      </c>
      <c r="D302" s="15"/>
      <c r="E302" s="13">
        <v>0</v>
      </c>
      <c r="F302" s="14">
        <f>IFERROR(E302/E329, "NA")</f>
      </c>
      <c r="G302" s="15"/>
      <c r="H302" s="13">
        <v>0</v>
      </c>
      <c r="I302" s="14">
        <f>IFERROR(H302/H329, "NA")</f>
      </c>
      <c r="J302" s="15"/>
      <c r="K302" s="13">
        <v>0</v>
      </c>
      <c r="L302" s="14">
        <f>IFERROR(K302/K329, "NA")</f>
      </c>
      <c r="M302" s="15"/>
      <c r="N302" s="13">
        <v>0</v>
      </c>
      <c r="O302" s="14">
        <f>IFERROR(N302/N329, "NA")</f>
      </c>
      <c r="P302" s="15"/>
      <c r="Q302" s="13">
        <v>0</v>
      </c>
      <c r="R302" s="14">
        <f>IFERROR(Q302/Q329, "NA")</f>
      </c>
    </row>
    <row r="303" ht="16.5" customHeight="1">
      <c t="s" r="A303" s="12">
        <v>307</v>
      </c>
      <c r="B303" s="13">
        <v>0</v>
      </c>
      <c r="C303" s="14">
        <f>IFERROR(B303/B329, "NA")</f>
      </c>
      <c r="D303" s="15"/>
      <c r="E303" s="13">
        <v>0</v>
      </c>
      <c r="F303" s="14">
        <f>IFERROR(E303/E329, "NA")</f>
      </c>
      <c r="G303" s="15"/>
      <c r="H303" s="13">
        <v>0</v>
      </c>
      <c r="I303" s="14">
        <f>IFERROR(H303/H329, "NA")</f>
      </c>
      <c r="J303" s="15"/>
      <c r="K303" s="13">
        <v>0</v>
      </c>
      <c r="L303" s="14">
        <f>IFERROR(K303/K329, "NA")</f>
      </c>
      <c r="M303" s="15"/>
      <c r="N303" s="13">
        <v>0</v>
      </c>
      <c r="O303" s="14">
        <f>IFERROR(N303/N329, "NA")</f>
      </c>
      <c r="P303" s="15"/>
      <c r="Q303" s="13">
        <v>0</v>
      </c>
      <c r="R303" s="14">
        <f>IFERROR(Q303/Q329, "NA")</f>
      </c>
    </row>
    <row r="304" ht="16.5" customHeight="1">
      <c t="s" r="A304" s="12">
        <v>308</v>
      </c>
      <c r="B304" s="13">
        <v>0</v>
      </c>
      <c r="C304" s="14">
        <f>IFERROR(B304/B329, "NA")</f>
      </c>
      <c r="D304" s="15"/>
      <c r="E304" s="13">
        <v>0</v>
      </c>
      <c r="F304" s="14">
        <f>IFERROR(E304/E329, "NA")</f>
      </c>
      <c r="G304" s="15"/>
      <c r="H304" s="13">
        <v>0</v>
      </c>
      <c r="I304" s="14">
        <f>IFERROR(H304/H329, "NA")</f>
      </c>
      <c r="J304" s="15"/>
      <c r="K304" s="13">
        <v>0</v>
      </c>
      <c r="L304" s="14">
        <f>IFERROR(K304/K329, "NA")</f>
      </c>
      <c r="M304" s="15"/>
      <c r="N304" s="13">
        <v>0</v>
      </c>
      <c r="O304" s="14">
        <f>IFERROR(N304/N329, "NA")</f>
      </c>
      <c r="P304" s="15"/>
      <c r="Q304" s="13">
        <v>0</v>
      </c>
      <c r="R304" s="14">
        <f>IFERROR(Q304/Q329, "NA")</f>
      </c>
    </row>
    <row r="305" ht="30.75" customHeight="1">
      <c t="s" r="A305" s="12">
        <v>309</v>
      </c>
      <c r="B305" s="13">
        <v>0</v>
      </c>
      <c r="C305" s="14">
        <f>IFERROR(B305/B329, "NA")</f>
      </c>
      <c r="D305" s="15"/>
      <c r="E305" s="13">
        <v>0</v>
      </c>
      <c r="F305" s="14">
        <f>IFERROR(E305/E329, "NA")</f>
      </c>
      <c r="G305" s="15"/>
      <c r="H305" s="13">
        <v>0</v>
      </c>
      <c r="I305" s="14">
        <f>IFERROR(H305/H329, "NA")</f>
      </c>
      <c r="J305" s="15"/>
      <c r="K305" s="13">
        <v>0</v>
      </c>
      <c r="L305" s="14">
        <f>IFERROR(K305/K329, "NA")</f>
      </c>
      <c r="M305" s="15"/>
      <c r="N305" s="13">
        <v>0</v>
      </c>
      <c r="O305" s="14">
        <f>IFERROR(N305/N329, "NA")</f>
      </c>
      <c r="P305" s="15"/>
      <c r="Q305" s="13">
        <v>0</v>
      </c>
      <c r="R305" s="14">
        <f>IFERROR(Q305/Q329, "NA")</f>
      </c>
    </row>
    <row r="306" ht="16.5" customHeight="1">
      <c t="s" r="A306" s="12">
        <v>310</v>
      </c>
      <c r="B306" s="13">
        <v>0</v>
      </c>
      <c r="C306" s="14">
        <f>IFERROR(B306/B329, "NA")</f>
      </c>
      <c r="D306" s="15"/>
      <c r="E306" s="13">
        <v>0</v>
      </c>
      <c r="F306" s="14">
        <f>IFERROR(E306/E329, "NA")</f>
      </c>
      <c r="G306" s="15"/>
      <c r="H306" s="13">
        <v>0</v>
      </c>
      <c r="I306" s="14">
        <f>IFERROR(H306/H329, "NA")</f>
      </c>
      <c r="J306" s="15"/>
      <c r="K306" s="13">
        <v>0</v>
      </c>
      <c r="L306" s="14">
        <f>IFERROR(K306/K329, "NA")</f>
      </c>
      <c r="M306" s="15"/>
      <c r="N306" s="13">
        <v>0</v>
      </c>
      <c r="O306" s="14">
        <f>IFERROR(N306/N329, "NA")</f>
      </c>
      <c r="P306" s="15"/>
      <c r="Q306" s="13">
        <v>0</v>
      </c>
      <c r="R306" s="14">
        <f>IFERROR(Q306/Q329, "NA")</f>
      </c>
    </row>
    <row r="307" ht="16.5" customHeight="1">
      <c t="s" r="A307" s="12">
        <v>311</v>
      </c>
      <c r="B307" s="13">
        <v>0</v>
      </c>
      <c r="C307" s="14">
        <f>IFERROR(B307/B329, "NA")</f>
      </c>
      <c r="D307" s="15"/>
      <c r="E307" s="13">
        <v>0</v>
      </c>
      <c r="F307" s="14">
        <f>IFERROR(E307/E329, "NA")</f>
      </c>
      <c r="G307" s="15"/>
      <c r="H307" s="13">
        <v>0</v>
      </c>
      <c r="I307" s="14">
        <f>IFERROR(H307/H329, "NA")</f>
      </c>
      <c r="J307" s="15"/>
      <c r="K307" s="13">
        <v>0</v>
      </c>
      <c r="L307" s="14">
        <f>IFERROR(K307/K329, "NA")</f>
      </c>
      <c r="M307" s="15"/>
      <c r="N307" s="13">
        <v>0</v>
      </c>
      <c r="O307" s="14">
        <f>IFERROR(N307/N329, "NA")</f>
      </c>
      <c r="P307" s="15"/>
      <c r="Q307" s="13">
        <v>0</v>
      </c>
      <c r="R307" s="14">
        <f>IFERROR(Q307/Q329, "NA")</f>
      </c>
    </row>
    <row r="308" ht="16.5" customHeight="1">
      <c t="s" r="A308" s="12">
        <v>312</v>
      </c>
      <c r="B308" s="13">
        <v>0</v>
      </c>
      <c r="C308" s="14">
        <f>IFERROR(B308/B329, "NA")</f>
      </c>
      <c r="D308" s="15"/>
      <c r="E308" s="13">
        <v>0</v>
      </c>
      <c r="F308" s="14">
        <f>IFERROR(E308/E329, "NA")</f>
      </c>
      <c r="G308" s="15"/>
      <c r="H308" s="13">
        <v>0</v>
      </c>
      <c r="I308" s="14">
        <f>IFERROR(H308/H329, "NA")</f>
      </c>
      <c r="J308" s="15"/>
      <c r="K308" s="13">
        <v>0</v>
      </c>
      <c r="L308" s="14">
        <f>IFERROR(K308/K329, "NA")</f>
      </c>
      <c r="M308" s="15"/>
      <c r="N308" s="13">
        <v>0</v>
      </c>
      <c r="O308" s="14">
        <f>IFERROR(N308/N329, "NA")</f>
      </c>
      <c r="P308" s="15"/>
      <c r="Q308" s="13">
        <v>0</v>
      </c>
      <c r="R308" s="14">
        <f>IFERROR(Q308/Q329, "NA")</f>
      </c>
    </row>
    <row r="309" ht="16.5" customHeight="1">
      <c t="s" r="A309" s="12">
        <v>313</v>
      </c>
      <c r="B309" s="13">
        <v>0</v>
      </c>
      <c r="C309" s="14">
        <f>IFERROR(B309/B329, "NA")</f>
      </c>
      <c r="D309" s="15"/>
      <c r="E309" s="13">
        <v>0</v>
      </c>
      <c r="F309" s="14">
        <f>IFERROR(E309/E329, "NA")</f>
      </c>
      <c r="G309" s="15"/>
      <c r="H309" s="13">
        <v>0</v>
      </c>
      <c r="I309" s="14">
        <f>IFERROR(H309/H329, "NA")</f>
      </c>
      <c r="J309" s="15"/>
      <c r="K309" s="13">
        <v>0</v>
      </c>
      <c r="L309" s="14">
        <f>IFERROR(K309/K329, "NA")</f>
      </c>
      <c r="M309" s="15"/>
      <c r="N309" s="13">
        <v>0</v>
      </c>
      <c r="O309" s="14">
        <f>IFERROR(N309/N329, "NA")</f>
      </c>
      <c r="P309" s="15"/>
      <c r="Q309" s="13">
        <v>0</v>
      </c>
      <c r="R309" s="14">
        <f>IFERROR(Q309/Q329, "NA")</f>
      </c>
    </row>
    <row r="310" ht="16.5" customHeight="1">
      <c t="s" r="A310" s="12">
        <v>314</v>
      </c>
      <c r="B310" s="13">
        <v>0</v>
      </c>
      <c r="C310" s="14">
        <f>IFERROR(B310/B329, "NA")</f>
      </c>
      <c r="D310" s="15"/>
      <c r="E310" s="13">
        <v>0</v>
      </c>
      <c r="F310" s="14">
        <f>IFERROR(E310/E329, "NA")</f>
      </c>
      <c r="G310" s="15"/>
      <c r="H310" s="13">
        <v>0</v>
      </c>
      <c r="I310" s="14">
        <f>IFERROR(H310/H329, "NA")</f>
      </c>
      <c r="J310" s="15"/>
      <c r="K310" s="13">
        <v>0</v>
      </c>
      <c r="L310" s="14">
        <f>IFERROR(K310/K329, "NA")</f>
      </c>
      <c r="M310" s="15"/>
      <c r="N310" s="13">
        <v>0</v>
      </c>
      <c r="O310" s="14">
        <f>IFERROR(N310/N329, "NA")</f>
      </c>
      <c r="P310" s="15"/>
      <c r="Q310" s="13">
        <v>0</v>
      </c>
      <c r="R310" s="14">
        <f>IFERROR(Q310/Q329, "NA")</f>
      </c>
    </row>
    <row r="311" ht="16.5" customHeight="1">
      <c t="s" r="A311" s="12">
        <v>315</v>
      </c>
      <c r="B311" s="13">
        <v>0</v>
      </c>
      <c r="C311" s="14">
        <f>IFERROR(B311/B329, "NA")</f>
      </c>
      <c r="D311" s="15"/>
      <c r="E311" s="13">
        <v>0</v>
      </c>
      <c r="F311" s="14">
        <f>IFERROR(E311/E329, "NA")</f>
      </c>
      <c r="G311" s="15"/>
      <c r="H311" s="13">
        <v>0</v>
      </c>
      <c r="I311" s="14">
        <f>IFERROR(H311/H329, "NA")</f>
      </c>
      <c r="J311" s="15"/>
      <c r="K311" s="13">
        <v>0</v>
      </c>
      <c r="L311" s="14">
        <f>IFERROR(K311/K329, "NA")</f>
      </c>
      <c r="M311" s="15"/>
      <c r="N311" s="13">
        <v>0</v>
      </c>
      <c r="O311" s="14">
        <f>IFERROR(N311/N329, "NA")</f>
      </c>
      <c r="P311" s="15"/>
      <c r="Q311" s="13">
        <v>0</v>
      </c>
      <c r="R311" s="14">
        <f>IFERROR(Q311/Q329, "NA")</f>
      </c>
    </row>
    <row r="312" ht="16.5" customHeight="1">
      <c t="s" r="A312" s="12">
        <v>316</v>
      </c>
      <c r="B312" s="13">
        <v>0</v>
      </c>
      <c r="C312" s="14">
        <f>IFERROR(B312/B329, "NA")</f>
      </c>
      <c r="D312" s="15"/>
      <c r="E312" s="13">
        <v>0</v>
      </c>
      <c r="F312" s="14">
        <f>IFERROR(E312/E329, "NA")</f>
      </c>
      <c r="G312" s="15"/>
      <c r="H312" s="13">
        <v>0</v>
      </c>
      <c r="I312" s="14">
        <f>IFERROR(H312/H329, "NA")</f>
      </c>
      <c r="J312" s="15"/>
      <c r="K312" s="13">
        <v>0</v>
      </c>
      <c r="L312" s="14">
        <f>IFERROR(K312/K329, "NA")</f>
      </c>
      <c r="M312" s="15"/>
      <c r="N312" s="13">
        <v>0</v>
      </c>
      <c r="O312" s="14">
        <f>IFERROR(N312/N329, "NA")</f>
      </c>
      <c r="P312" s="15"/>
      <c r="Q312" s="13">
        <v>0</v>
      </c>
      <c r="R312" s="14">
        <f>IFERROR(Q312/Q329, "NA")</f>
      </c>
    </row>
    <row r="313" ht="16.5" customHeight="1">
      <c t="s" r="A313" s="12">
        <v>317</v>
      </c>
      <c r="B313" s="13">
        <v>0</v>
      </c>
      <c r="C313" s="14">
        <f>IFERROR(B313/B329, "NA")</f>
      </c>
      <c r="D313" s="15"/>
      <c r="E313" s="13">
        <v>0</v>
      </c>
      <c r="F313" s="14">
        <f>IFERROR(E313/E329, "NA")</f>
      </c>
      <c r="G313" s="15"/>
      <c r="H313" s="13">
        <v>0</v>
      </c>
      <c r="I313" s="14">
        <f>IFERROR(H313/H329, "NA")</f>
      </c>
      <c r="J313" s="15"/>
      <c r="K313" s="13">
        <v>0</v>
      </c>
      <c r="L313" s="14">
        <f>IFERROR(K313/K329, "NA")</f>
      </c>
      <c r="M313" s="15"/>
      <c r="N313" s="13">
        <v>0</v>
      </c>
      <c r="O313" s="14">
        <f>IFERROR(N313/N329, "NA")</f>
      </c>
      <c r="P313" s="15"/>
      <c r="Q313" s="13">
        <v>0</v>
      </c>
      <c r="R313" s="14">
        <f>IFERROR(Q313/Q329, "NA")</f>
      </c>
    </row>
    <row r="314" ht="16.5" customHeight="1">
      <c t="s" r="A314" s="12">
        <v>318</v>
      </c>
      <c r="B314" s="13">
        <v>0</v>
      </c>
      <c r="C314" s="14">
        <f>IFERROR(B314/B329, "NA")</f>
      </c>
      <c r="D314" s="15"/>
      <c r="E314" s="13">
        <v>0</v>
      </c>
      <c r="F314" s="14">
        <f>IFERROR(E314/E329, "NA")</f>
      </c>
      <c r="G314" s="15"/>
      <c r="H314" s="13">
        <v>0</v>
      </c>
      <c r="I314" s="14">
        <f>IFERROR(H314/H329, "NA")</f>
      </c>
      <c r="J314" s="15"/>
      <c r="K314" s="13">
        <v>0</v>
      </c>
      <c r="L314" s="14">
        <f>IFERROR(K314/K329, "NA")</f>
      </c>
      <c r="M314" s="15"/>
      <c r="N314" s="13">
        <v>0</v>
      </c>
      <c r="O314" s="14">
        <f>IFERROR(N314/N329, "NA")</f>
      </c>
      <c r="P314" s="15"/>
      <c r="Q314" s="13">
        <v>0</v>
      </c>
      <c r="R314" s="14">
        <f>IFERROR(Q314/Q329, "NA")</f>
      </c>
    </row>
    <row r="315" ht="16.5" customHeight="1">
      <c t="s" r="A315" s="12">
        <v>319</v>
      </c>
      <c r="B315" s="13">
        <v>0</v>
      </c>
      <c r="C315" s="14">
        <f>IFERROR(B315/B329, "NA")</f>
      </c>
      <c r="D315" s="15"/>
      <c r="E315" s="13">
        <v>0</v>
      </c>
      <c r="F315" s="14">
        <f>IFERROR(E315/E329, "NA")</f>
      </c>
      <c r="G315" s="15"/>
      <c r="H315" s="13">
        <v>0</v>
      </c>
      <c r="I315" s="14">
        <f>IFERROR(H315/H329, "NA")</f>
      </c>
      <c r="J315" s="15"/>
      <c r="K315" s="13">
        <v>0</v>
      </c>
      <c r="L315" s="14">
        <f>IFERROR(K315/K329, "NA")</f>
      </c>
      <c r="M315" s="15"/>
      <c r="N315" s="13">
        <v>0</v>
      </c>
      <c r="O315" s="14">
        <f>IFERROR(N315/N329, "NA")</f>
      </c>
      <c r="P315" s="15"/>
      <c r="Q315" s="13">
        <v>0</v>
      </c>
      <c r="R315" s="14">
        <f>IFERROR(Q315/Q329, "NA")</f>
      </c>
    </row>
    <row r="316" ht="16.5" customHeight="1">
      <c t="s" r="A316" s="16">
        <v>320</v>
      </c>
      <c r="B316" s="17">
        <f>IFERROR(B287+B288+B289+B290+B291+B292+B293+B294+B295+B296+B297+B298+B299+B300+B301+B302+B303+B304+B305+B306+B307+B308+B309+B310+B311+B312+B313+B314+B315, "NA")</f>
      </c>
      <c r="C316" s="18">
        <f>IFERROR(B316/B329, "NA")</f>
      </c>
      <c r="D316" s="8"/>
      <c r="E316" s="17">
        <f>IFERROR(E287+E288+E289+E290+E291+E292+E293+E294+E295+E296+E297+E298+E299+E300+E301+E302+E303+E304+E305+E306+E307+E308+E309+E310+E311+E312+E313+E314+E315, "NA")</f>
      </c>
      <c r="F316" s="18">
        <f>IFERROR(E316/E329, "NA")</f>
      </c>
      <c r="G316" s="8"/>
      <c r="H316" s="17">
        <f>IFERROR(H287+H288+H289+H290+H291+H292+H293+H294+H295+H296+H297+H298+H299+H300+H301+H302+H303+H304+H305+H306+H307+H308+H309+H310+H311+H312+H313+H314+H315, "NA")</f>
      </c>
      <c r="I316" s="18">
        <f>IFERROR(H316/H329, "NA")</f>
      </c>
      <c r="J316" s="8"/>
      <c r="K316" s="17">
        <f>IFERROR(K287+K288+K289+K290+K291+K292+K293+K294+K295+K296+K297+K298+K299+K300+K301+K302+K303+K304+K305+K306+K307+K308+K309+K310+K311+K312+K313+K314+K315, "NA")</f>
      </c>
      <c r="L316" s="18">
        <f>IFERROR(K316/K329, "NA")</f>
      </c>
      <c r="M316" s="8"/>
      <c r="N316" s="17">
        <f>IFERROR(N287+N288+N289+N290+N291+N292+N293+N294+N295+N296+N297+N298+N299+N300+N301+N302+N303+N304+N305+N306+N307+N308+N309+N310+N311+N312+N313+N314+N315, "NA")</f>
      </c>
      <c r="O316" s="18">
        <f>IFERROR(N316/N329, "NA")</f>
      </c>
      <c r="P316" s="8"/>
      <c r="Q316" s="17">
        <f>IFERROR(Q287+Q288+Q289+Q290+Q291+Q292+Q293+Q294+Q295+Q296+Q297+Q298+Q299+Q300+Q301+Q302+Q303+Q304+Q305+Q306+Q307+Q308+Q309+Q310+Q311+Q312+Q313+Q314+Q315, "NA")</f>
      </c>
      <c r="R316" s="18">
        <f>IFERROR(Q316/Q329, "NA")</f>
      </c>
    </row>
    <row r="317" ht="16.5" customHeight="1">
      <c t="s" r="A317" s="11">
        <v>321</v>
      </c>
      <c r="B317" s="8"/>
      <c r="C317" s="9"/>
      <c r="D317" s="10"/>
      <c r="E317" s="8"/>
      <c r="F317" s="9"/>
      <c r="G317" s="10"/>
      <c r="H317" s="8"/>
      <c r="I317" s="9"/>
      <c r="J317" s="10"/>
      <c r="K317" s="8"/>
      <c r="L317" s="9"/>
      <c r="M317" s="10"/>
      <c r="N317" s="8"/>
      <c r="O317" s="9"/>
      <c r="P317" s="10"/>
      <c r="Q317" s="8"/>
      <c r="R317" s="9"/>
    </row>
    <row r="318" ht="16.5" customHeight="1">
      <c t="s" r="A318" s="12">
        <v>322</v>
      </c>
      <c r="B318" s="13">
        <v>0</v>
      </c>
      <c r="C318" s="14">
        <f>IFERROR(B318/B329, "NA")</f>
      </c>
      <c r="D318" s="15"/>
      <c r="E318" s="13">
        <v>0</v>
      </c>
      <c r="F318" s="14">
        <f>IFERROR(E318/E329, "NA")</f>
      </c>
      <c r="G318" s="15"/>
      <c r="H318" s="13">
        <v>0</v>
      </c>
      <c r="I318" s="14">
        <f>IFERROR(H318/H329, "NA")</f>
      </c>
      <c r="J318" s="15"/>
      <c r="K318" s="13">
        <v>0</v>
      </c>
      <c r="L318" s="14">
        <f>IFERROR(K318/K329, "NA")</f>
      </c>
      <c r="M318" s="15"/>
      <c r="N318" s="13">
        <v>0</v>
      </c>
      <c r="O318" s="14">
        <f>IFERROR(N318/N329, "NA")</f>
      </c>
      <c r="P318" s="15"/>
      <c r="Q318" s="13">
        <v>0</v>
      </c>
      <c r="R318" s="14">
        <f>IFERROR(Q318/Q329, "NA")</f>
      </c>
    </row>
    <row r="319" ht="16.5" customHeight="1">
      <c t="s" r="A319" s="12">
        <v>323</v>
      </c>
      <c r="B319" s="13">
        <v>0</v>
      </c>
      <c r="C319" s="14">
        <f>IFERROR(B319/B329, "NA")</f>
      </c>
      <c r="D319" s="15"/>
      <c r="E319" s="13">
        <v>0</v>
      </c>
      <c r="F319" s="14">
        <f>IFERROR(E319/E329, "NA")</f>
      </c>
      <c r="G319" s="15"/>
      <c r="H319" s="13">
        <v>0</v>
      </c>
      <c r="I319" s="14">
        <f>IFERROR(H319/H329, "NA")</f>
      </c>
      <c r="J319" s="15"/>
      <c r="K319" s="13">
        <v>0</v>
      </c>
      <c r="L319" s="14">
        <f>IFERROR(K319/K329, "NA")</f>
      </c>
      <c r="M319" s="15"/>
      <c r="N319" s="13">
        <v>0</v>
      </c>
      <c r="O319" s="14">
        <f>IFERROR(N319/N329, "NA")</f>
      </c>
      <c r="P319" s="15"/>
      <c r="Q319" s="13">
        <v>0</v>
      </c>
      <c r="R319" s="14">
        <f>IFERROR(Q319/Q329, "NA")</f>
      </c>
    </row>
    <row r="320" ht="16.5" customHeight="1">
      <c t="s" r="A320" s="12">
        <v>324</v>
      </c>
      <c r="B320" s="13">
        <v>0</v>
      </c>
      <c r="C320" s="14">
        <f>IFERROR(B320/B329, "NA")</f>
      </c>
      <c r="D320" s="15"/>
      <c r="E320" s="13">
        <v>0</v>
      </c>
      <c r="F320" s="14">
        <f>IFERROR(E320/E329, "NA")</f>
      </c>
      <c r="G320" s="15"/>
      <c r="H320" s="13">
        <v>0</v>
      </c>
      <c r="I320" s="14">
        <f>IFERROR(H320/H329, "NA")</f>
      </c>
      <c r="J320" s="15"/>
      <c r="K320" s="13">
        <v>0</v>
      </c>
      <c r="L320" s="14">
        <f>IFERROR(K320/K329, "NA")</f>
      </c>
      <c r="M320" s="15"/>
      <c r="N320" s="13">
        <v>0</v>
      </c>
      <c r="O320" s="14">
        <f>IFERROR(N320/N329, "NA")</f>
      </c>
      <c r="P320" s="15"/>
      <c r="Q320" s="13">
        <v>0</v>
      </c>
      <c r="R320" s="14">
        <f>IFERROR(Q320/Q329, "NA")</f>
      </c>
    </row>
    <row r="321" ht="16.5" customHeight="1">
      <c t="s" r="A321" s="12">
        <v>325</v>
      </c>
      <c r="B321" s="13">
        <v>0</v>
      </c>
      <c r="C321" s="14">
        <f>IFERROR(B321/B329, "NA")</f>
      </c>
      <c r="D321" s="15"/>
      <c r="E321" s="13">
        <v>0</v>
      </c>
      <c r="F321" s="14">
        <f>IFERROR(E321/E329, "NA")</f>
      </c>
      <c r="G321" s="15"/>
      <c r="H321" s="13">
        <v>0</v>
      </c>
      <c r="I321" s="14">
        <f>IFERROR(H321/H329, "NA")</f>
      </c>
      <c r="J321" s="15"/>
      <c r="K321" s="13">
        <v>0</v>
      </c>
      <c r="L321" s="14">
        <f>IFERROR(K321/K329, "NA")</f>
      </c>
      <c r="M321" s="15"/>
      <c r="N321" s="13">
        <v>0</v>
      </c>
      <c r="O321" s="14">
        <f>IFERROR(N321/N329, "NA")</f>
      </c>
      <c r="P321" s="15"/>
      <c r="Q321" s="13">
        <v>0</v>
      </c>
      <c r="R321" s="14">
        <f>IFERROR(Q321/Q329, "NA")</f>
      </c>
    </row>
    <row r="322" ht="16.5" customHeight="1">
      <c t="s" r="A322" s="12">
        <v>326</v>
      </c>
      <c r="B322" s="13">
        <v>0</v>
      </c>
      <c r="C322" s="14">
        <f>IFERROR(B322/B329, "NA")</f>
      </c>
      <c r="D322" s="15"/>
      <c r="E322" s="13">
        <v>0</v>
      </c>
      <c r="F322" s="14">
        <f>IFERROR(E322/E329, "NA")</f>
      </c>
      <c r="G322" s="15"/>
      <c r="H322" s="13">
        <v>0</v>
      </c>
      <c r="I322" s="14">
        <f>IFERROR(H322/H329, "NA")</f>
      </c>
      <c r="J322" s="15"/>
      <c r="K322" s="13">
        <v>0</v>
      </c>
      <c r="L322" s="14">
        <f>IFERROR(K322/K329, "NA")</f>
      </c>
      <c r="M322" s="15"/>
      <c r="N322" s="13">
        <v>0</v>
      </c>
      <c r="O322" s="14">
        <f>IFERROR(N322/N329, "NA")</f>
      </c>
      <c r="P322" s="15"/>
      <c r="Q322" s="13">
        <v>0</v>
      </c>
      <c r="R322" s="14">
        <f>IFERROR(Q322/Q329, "NA")</f>
      </c>
    </row>
    <row r="323" ht="16.5" customHeight="1">
      <c t="s" r="A323" s="12">
        <v>327</v>
      </c>
      <c r="B323" s="13">
        <v>0</v>
      </c>
      <c r="C323" s="14">
        <f>IFERROR(B323/B329, "NA")</f>
      </c>
      <c r="D323" s="15"/>
      <c r="E323" s="13">
        <v>0</v>
      </c>
      <c r="F323" s="14">
        <f>IFERROR(E323/E329, "NA")</f>
      </c>
      <c r="G323" s="15"/>
      <c r="H323" s="13">
        <v>0</v>
      </c>
      <c r="I323" s="14">
        <f>IFERROR(H323/H329, "NA")</f>
      </c>
      <c r="J323" s="15"/>
      <c r="K323" s="13">
        <v>0</v>
      </c>
      <c r="L323" s="14">
        <f>IFERROR(K323/K329, "NA")</f>
      </c>
      <c r="M323" s="15"/>
      <c r="N323" s="13">
        <v>0</v>
      </c>
      <c r="O323" s="14">
        <f>IFERROR(N323/N329, "NA")</f>
      </c>
      <c r="P323" s="15"/>
      <c r="Q323" s="13">
        <v>0</v>
      </c>
      <c r="R323" s="14">
        <f>IFERROR(Q323/Q329, "NA")</f>
      </c>
    </row>
    <row r="324" ht="16.5" customHeight="1">
      <c t="s" r="A324" s="12">
        <v>328</v>
      </c>
      <c r="B324" s="13">
        <v>0</v>
      </c>
      <c r="C324" s="14">
        <f>IFERROR(B324/B329, "NA")</f>
      </c>
      <c r="D324" s="15"/>
      <c r="E324" s="13">
        <v>0</v>
      </c>
      <c r="F324" s="14">
        <f>IFERROR(E324/E329, "NA")</f>
      </c>
      <c r="G324" s="15"/>
      <c r="H324" s="13">
        <v>0</v>
      </c>
      <c r="I324" s="14">
        <f>IFERROR(H324/H329, "NA")</f>
      </c>
      <c r="J324" s="15"/>
      <c r="K324" s="13">
        <v>0</v>
      </c>
      <c r="L324" s="14">
        <f>IFERROR(K324/K329, "NA")</f>
      </c>
      <c r="M324" s="15"/>
      <c r="N324" s="13">
        <v>0</v>
      </c>
      <c r="O324" s="14">
        <f>IFERROR(N324/N329, "NA")</f>
      </c>
      <c r="P324" s="15"/>
      <c r="Q324" s="13">
        <v>2756</v>
      </c>
      <c r="R324" s="14">
        <f>IFERROR(Q324/Q329, "NA")</f>
      </c>
    </row>
    <row r="325" ht="16.5" customHeight="1">
      <c t="s" r="A325" s="12">
        <v>329</v>
      </c>
      <c r="B325" s="13">
        <v>0</v>
      </c>
      <c r="C325" s="14">
        <f>IFERROR(B325/B329, "NA")</f>
      </c>
      <c r="D325" s="15"/>
      <c r="E325" s="13">
        <v>0</v>
      </c>
      <c r="F325" s="14">
        <f>IFERROR(E325/E329, "NA")</f>
      </c>
      <c r="G325" s="15"/>
      <c r="H325" s="13">
        <v>0</v>
      </c>
      <c r="I325" s="14">
        <f>IFERROR(H325/H329, "NA")</f>
      </c>
      <c r="J325" s="15"/>
      <c r="K325" s="13">
        <v>0</v>
      </c>
      <c r="L325" s="14">
        <f>IFERROR(K325/K329, "NA")</f>
      </c>
      <c r="M325" s="15"/>
      <c r="N325" s="13">
        <v>0</v>
      </c>
      <c r="O325" s="14">
        <f>IFERROR(N325/N329, "NA")</f>
      </c>
      <c r="P325" s="15"/>
      <c r="Q325" s="13">
        <v>0</v>
      </c>
      <c r="R325" s="14">
        <f>IFERROR(Q325/Q329, "NA")</f>
      </c>
    </row>
    <row r="326" ht="16.5" customHeight="1">
      <c t="s" r="A326" s="16">
        <v>330</v>
      </c>
      <c r="B326" s="17">
        <f>IFERROR(B318+B319+B320+B321+B322+B323+B324+B325, "NA")</f>
      </c>
      <c r="C326" s="18">
        <f>IFERROR(B326/B329, "NA")</f>
      </c>
      <c r="D326" s="8"/>
      <c r="E326" s="17">
        <f>IFERROR(E318+E319+E320+E321+E322+E323+E324+E325, "NA")</f>
      </c>
      <c r="F326" s="18">
        <f>IFERROR(E326/E329, "NA")</f>
      </c>
      <c r="G326" s="8"/>
      <c r="H326" s="17">
        <f>IFERROR(H318+H319+H320+H321+H322+H323+H324+H325, "NA")</f>
      </c>
      <c r="I326" s="18">
        <f>IFERROR(H326/H329, "NA")</f>
      </c>
      <c r="J326" s="8"/>
      <c r="K326" s="17">
        <f>IFERROR(K318+K319+K320+K321+K322+K323+K324+K325, "NA")</f>
      </c>
      <c r="L326" s="18">
        <f>IFERROR(K326/K329, "NA")</f>
      </c>
      <c r="M326" s="8"/>
      <c r="N326" s="17">
        <f>IFERROR(N318+N319+N320+N321+N322+N323+N324+N325, "NA")</f>
      </c>
      <c r="O326" s="18">
        <f>IFERROR(N326/N329, "NA")</f>
      </c>
      <c r="P326" s="8"/>
      <c r="Q326" s="17">
        <f>IFERROR(Q318+Q319+Q320+Q321+Q322+Q323+Q324+Q325, "NA")</f>
      </c>
      <c r="R326" s="18">
        <f>IFERROR(Q326/Q329, "NA")</f>
      </c>
    </row>
    <row r="327" ht="16.5" customHeight="1">
      <c t="s" r="A327" s="20">
        <v>331</v>
      </c>
      <c r="B327" s="17">
        <f>IFERROR(B287+B288+B289+B290+B291+B292+B293+B294+B295+B296+B297+B298+B299+B300+B301+B302+B303+B304+B305+B306+B307+B308+B309+B310+B311+B312+B313+B314+B315+B318+B319+B320+B321+B322+B323+B324+B325, "NA")</f>
      </c>
      <c r="C327" s="18">
        <f>IFERROR(B327/B329, "NA")</f>
      </c>
      <c r="D327" s="8"/>
      <c r="E327" s="17">
        <f>IFERROR(E287+E288+E289+E290+E291+E292+E293+E294+E295+E296+E297+E298+E299+E300+E301+E302+E303+E304+E305+E306+E307+E308+E309+E310+E311+E312+E313+E314+E315+E318+E319+E320+E321+E322+E323+E324+E325, "NA")</f>
      </c>
      <c r="F327" s="18">
        <f>IFERROR(E327/E329, "NA")</f>
      </c>
      <c r="G327" s="8"/>
      <c r="H327" s="17">
        <f>IFERROR(H287+H288+H289+H290+H291+H292+H293+H294+H295+H296+H297+H298+H299+H300+H301+H302+H303+H304+H305+H306+H307+H308+H309+H310+H311+H312+H313+H314+H315+H318+H319+H320+H321+H322+H323+H324+H325, "NA")</f>
      </c>
      <c r="I327" s="18">
        <f>IFERROR(H327/H329, "NA")</f>
      </c>
      <c r="J327" s="8"/>
      <c r="K327" s="17">
        <f>IFERROR(K287+K288+K289+K290+K291+K292+K293+K294+K295+K296+K297+K298+K299+K300+K301+K302+K303+K304+K305+K306+K307+K308+K309+K310+K311+K312+K313+K314+K315+K318+K319+K320+K321+K322+K323+K324+K325, "NA")</f>
      </c>
      <c r="L327" s="18">
        <f>IFERROR(K327/K329, "NA")</f>
      </c>
      <c r="M327" s="8"/>
      <c r="N327" s="17">
        <f>IFERROR(N287+N288+N289+N290+N291+N292+N293+N294+N295+N296+N297+N298+N299+N300+N301+N302+N303+N304+N305+N306+N307+N308+N309+N310+N311+N312+N313+N314+N315+N318+N319+N320+N321+N322+N323+N324+N325, "NA")</f>
      </c>
      <c r="O327" s="18">
        <f>IFERROR(N327/N329, "NA")</f>
      </c>
      <c r="P327" s="8"/>
      <c r="Q327" s="17">
        <f>IFERROR(Q287+Q288+Q289+Q290+Q291+Q292+Q293+Q294+Q295+Q296+Q297+Q298+Q299+Q300+Q301+Q302+Q303+Q304+Q305+Q306+Q307+Q308+Q309+Q310+Q311+Q312+Q313+Q314+Q315+Q318+Q319+Q320+Q321+Q322+Q323+Q324+Q325, "NA")</f>
      </c>
      <c r="R327" s="18">
        <f>IFERROR(Q327/Q329, "NA")</f>
      </c>
    </row>
    <row r="328" ht="16.5" customHeight="1">
      <c t="s" r="A328" s="20">
        <v>332</v>
      </c>
      <c r="B328" s="17">
        <f>IFERROR(+B52-B157-B211-B284-B327, "NA")</f>
      </c>
      <c r="C328" s="18">
        <f>IFERROR(B328/B329, "NA")</f>
      </c>
      <c r="D328" s="8"/>
      <c r="E328" s="17">
        <f>IFERROR(+E52-E157-E211-E284-E327, "NA")</f>
      </c>
      <c r="F328" s="18">
        <f>IFERROR(E328/E329, "NA")</f>
      </c>
      <c r="G328" s="8"/>
      <c r="H328" s="17">
        <f>IFERROR(+H52-H157-H211-H284-H327, "NA")</f>
      </c>
      <c r="I328" s="18">
        <f>IFERROR(H328/H329, "NA")</f>
      </c>
      <c r="J328" s="8"/>
      <c r="K328" s="17">
        <f>IFERROR(+K52-K157-K211-K284-K327, "NA")</f>
      </c>
      <c r="L328" s="18">
        <f>IFERROR(K328/K329, "NA")</f>
      </c>
      <c r="M328" s="8"/>
      <c r="N328" s="17">
        <f>IFERROR(+N52-N157-N211-N284-N327, "NA")</f>
      </c>
      <c r="O328" s="18">
        <f>IFERROR(N328/N329, "NA")</f>
      </c>
      <c r="P328" s="8"/>
      <c r="Q328" s="17">
        <f>IFERROR(+Q52-Q157-Q211-Q284-Q327, "NA")</f>
      </c>
      <c r="R328" s="18">
        <f>IFERROR(Q328/Q329, "NA")</f>
      </c>
    </row>
    <row r="329" hidden="1">
      <c t="s" r="A329" s="24">
        <v>56</v>
      </c>
      <c r="B329" s="13">
        <v>153190.5</v>
      </c>
      <c r="C329" s="25"/>
      <c r="D329" s="15"/>
      <c r="E329" s="13">
        <v>108804</v>
      </c>
      <c r="F329" s="25"/>
      <c r="G329" s="15"/>
      <c r="H329" s="13">
        <v>35776</v>
      </c>
      <c r="I329" s="25"/>
      <c r="J329" s="15"/>
      <c r="K329" s="13">
        <v>207448.47</v>
      </c>
      <c r="L329" s="25"/>
      <c r="M329" s="15"/>
      <c r="N329" s="13">
        <v>132183.75</v>
      </c>
      <c r="O329" s="25"/>
      <c r="P329" s="15"/>
      <c r="Q329" s="13">
        <v>135264</v>
      </c>
      <c r="R329" s="25"/>
    </row>
    <row r="330"/>
    <row r="331"/>
    <row r="332">
      <c t="s" r="A332" s="26">
        <v>333</v>
      </c>
    </row>
    <row r="333">
      <c t="s" r="A333" s="26">
        <v>334</v>
      </c>
    </row>
    <row r="334">
      <c t="s" r="A334" s="26">
        <v>335</v>
      </c>
    </row>
  </sheetData>
  <mergeCells count="15">
    <mergeCell ref="A1:R1"/>
    <mergeCell ref="A2:R2"/>
    <mergeCell ref="A3:R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</mergeCells>
  <ignoredErrors>
    <ignoredError sqref="A1:R334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</row>
    <row r="3">
      <c t="s" r="A3" s="3">
        <v>337</v>
      </c>
      <c t="s" r="B3" s="3">
        <v>337</v>
      </c>
      <c t="s" r="C3" s="3">
        <v>337</v>
      </c>
      <c t="s" r="D3" s="3">
        <v>337</v>
      </c>
      <c t="s" r="E3" s="3">
        <v>337</v>
      </c>
      <c t="s" r="F3" s="3">
        <v>337</v>
      </c>
      <c t="s" r="G3" s="3">
        <v>337</v>
      </c>
      <c t="s" r="H3" s="3">
        <v>337</v>
      </c>
      <c t="s" r="I3" s="3">
        <v>337</v>
      </c>
      <c t="s" r="J3" s="3">
        <v>337</v>
      </c>
      <c t="s" r="K3" s="3">
        <v>337</v>
      </c>
      <c t="s" r="L3" s="3">
        <v>337</v>
      </c>
      <c t="s" r="M3" s="3">
        <v>337</v>
      </c>
      <c t="s" r="N3" s="3">
        <v>337</v>
      </c>
      <c t="s" r="O3" s="3">
        <v>337</v>
      </c>
      <c t="s" r="P3" s="3">
        <v>337</v>
      </c>
      <c t="s" r="Q3" s="3">
        <v>337</v>
      </c>
      <c t="s" r="R3" s="3">
        <v>337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8</v>
      </c>
      <c t="s" r="O5" s="6">
        <v>3</v>
      </c>
      <c t="s" r="P5" s="4">
        <v>3</v>
      </c>
      <c t="s" r="Q5" s="5">
        <v>9</v>
      </c>
      <c t="s" r="R5" s="6">
        <v>3</v>
      </c>
    </row>
    <row r="6" ht="16.5" customHeight="1">
      <c t="s" r="A6" s="7">
        <v>10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</row>
    <row r="8" ht="16.5" customHeight="1">
      <c t="s" r="A8" s="12">
        <v>12</v>
      </c>
      <c r="B8" s="13">
        <v>318068</v>
      </c>
      <c r="C8" s="14">
        <f>IFERROR(B8/B329, "NA")</f>
      </c>
      <c r="D8" s="15"/>
      <c r="E8" s="13">
        <v>320861.5</v>
      </c>
      <c r="F8" s="14">
        <f>IFERROR(E8/E329, "NA")</f>
      </c>
      <c r="G8" s="15"/>
      <c r="H8" s="13">
        <v>380017</v>
      </c>
      <c r="I8" s="14">
        <f>IFERROR(H8/H329, "NA")</f>
      </c>
      <c r="J8" s="15"/>
      <c r="K8" s="13">
        <v>386085.46000000002</v>
      </c>
      <c r="L8" s="14">
        <f>IFERROR(K8/K329, "NA")</f>
      </c>
      <c r="M8" s="15"/>
      <c r="N8" s="13">
        <v>463477.5</v>
      </c>
      <c r="O8" s="14">
        <f>IFERROR(N8/N329, "NA")</f>
      </c>
      <c r="P8" s="15"/>
      <c r="Q8" s="13">
        <v>382794.5</v>
      </c>
      <c r="R8" s="14">
        <f>IFERROR(Q8/Q329, "NA")</f>
      </c>
    </row>
    <row r="9" ht="16.5" customHeight="1">
      <c t="s" r="A9" s="12">
        <v>13</v>
      </c>
      <c r="B9" s="13">
        <v>0</v>
      </c>
      <c r="C9" s="14">
        <f>IFERROR(B9/B329, "NA")</f>
      </c>
      <c r="D9" s="15"/>
      <c r="E9" s="13">
        <v>0</v>
      </c>
      <c r="F9" s="14">
        <f>IFERROR(E9/E329, "NA")</f>
      </c>
      <c r="G9" s="15"/>
      <c r="H9" s="13">
        <v>0</v>
      </c>
      <c r="I9" s="14">
        <f>IFERROR(H9/H329, "NA")</f>
      </c>
      <c r="J9" s="15"/>
      <c r="K9" s="13">
        <v>0</v>
      </c>
      <c r="L9" s="14">
        <f>IFERROR(K9/K329, "NA")</f>
      </c>
      <c r="M9" s="15"/>
      <c r="N9" s="13">
        <v>0</v>
      </c>
      <c r="O9" s="14">
        <f>IFERROR(N9/N329, "NA")</f>
      </c>
      <c r="P9" s="15"/>
      <c r="Q9" s="13">
        <v>0</v>
      </c>
      <c r="R9" s="14">
        <f>IFERROR(Q9/Q329, "NA")</f>
      </c>
    </row>
    <row r="10" ht="16.5" customHeight="1">
      <c t="s" r="A10" s="16">
        <v>14</v>
      </c>
      <c r="B10" s="17">
        <f>IFERROR(B8+B9, "NA")</f>
      </c>
      <c r="C10" s="18">
        <f>IFERROR(B10/B329, "NA")</f>
      </c>
      <c r="D10" s="8"/>
      <c r="E10" s="17">
        <f>IFERROR(E8+E9, "NA")</f>
      </c>
      <c r="F10" s="18">
        <f>IFERROR(E10/E329, "NA")</f>
      </c>
      <c r="G10" s="8"/>
      <c r="H10" s="17">
        <f>IFERROR(H8+H9, "NA")</f>
      </c>
      <c r="I10" s="18">
        <f>IFERROR(H10/H329, "NA")</f>
      </c>
      <c r="J10" s="8"/>
      <c r="K10" s="17">
        <f>IFERROR(K8+K9, "NA")</f>
      </c>
      <c r="L10" s="18">
        <f>IFERROR(K10/K329, "NA")</f>
      </c>
      <c r="M10" s="8"/>
      <c r="N10" s="17">
        <f>IFERROR(N8+N9, "NA")</f>
      </c>
      <c r="O10" s="18">
        <f>IFERROR(N10/N329, "NA")</f>
      </c>
      <c r="P10" s="8"/>
      <c r="Q10" s="17">
        <f>IFERROR(Q8+Q9, "NA")</f>
      </c>
      <c r="R10" s="18">
        <f>IFERROR(Q10/Q329, "NA")</f>
      </c>
    </row>
    <row r="11" ht="16.5" customHeight="1">
      <c t="s" r="A11" s="19">
        <v>15</v>
      </c>
      <c r="B11" s="13">
        <v>21204</v>
      </c>
      <c r="C11" s="14">
        <f>IFERROR(B11/B329, "NA")</f>
      </c>
      <c r="D11" s="15"/>
      <c r="E11" s="13">
        <v>22097.970000000001</v>
      </c>
      <c r="F11" s="14">
        <f>IFERROR(E11/E329, "NA")</f>
      </c>
      <c r="G11" s="15"/>
      <c r="H11" s="13">
        <v>26501</v>
      </c>
      <c r="I11" s="14">
        <f>IFERROR(H11/H329, "NA")</f>
      </c>
      <c r="J11" s="15"/>
      <c r="K11" s="13">
        <v>27355</v>
      </c>
      <c r="L11" s="14">
        <f>IFERROR(K11/K329, "NA")</f>
      </c>
      <c r="M11" s="15"/>
      <c r="N11" s="13">
        <v>28711</v>
      </c>
      <c r="O11" s="14">
        <f>IFERROR(N11/N329, "NA")</f>
      </c>
      <c r="P11" s="15"/>
      <c r="Q11" s="13">
        <v>27035</v>
      </c>
      <c r="R11" s="14">
        <f>IFERROR(Q11/Q329, "NA")</f>
      </c>
    </row>
    <row r="12" ht="16.5" customHeight="1">
      <c t="s" r="A12" s="11">
        <v>16</v>
      </c>
      <c r="B12" s="8"/>
      <c r="C12" s="9"/>
      <c r="D12" s="10"/>
      <c r="E12" s="8"/>
      <c r="F12" s="9"/>
      <c r="G12" s="10"/>
      <c r="H12" s="8"/>
      <c r="I12" s="9"/>
      <c r="J12" s="10"/>
      <c r="K12" s="8"/>
      <c r="L12" s="9"/>
      <c r="M12" s="10"/>
      <c r="N12" s="8"/>
      <c r="O12" s="9"/>
      <c r="P12" s="10"/>
      <c r="Q12" s="8"/>
      <c r="R12" s="9"/>
    </row>
    <row r="13" ht="16.5" customHeight="1">
      <c t="s" r="A13" s="12">
        <v>17</v>
      </c>
      <c r="B13" s="13">
        <v>0</v>
      </c>
      <c r="C13" s="14">
        <f>IFERROR(B13/B329, "NA")</f>
      </c>
      <c r="D13" s="15"/>
      <c r="E13" s="13">
        <v>0</v>
      </c>
      <c r="F13" s="14">
        <f>IFERROR(E13/E329, "NA")</f>
      </c>
      <c r="G13" s="15"/>
      <c r="H13" s="13">
        <v>0</v>
      </c>
      <c r="I13" s="14">
        <f>IFERROR(H13/H329, "NA")</f>
      </c>
      <c r="J13" s="15"/>
      <c r="K13" s="13">
        <v>0</v>
      </c>
      <c r="L13" s="14">
        <f>IFERROR(K13/K329, "NA")</f>
      </c>
      <c r="M13" s="15"/>
      <c r="N13" s="13">
        <v>0</v>
      </c>
      <c r="O13" s="14">
        <f>IFERROR(N13/N329, "NA")</f>
      </c>
      <c r="P13" s="15"/>
      <c r="Q13" s="13">
        <v>0</v>
      </c>
      <c r="R13" s="14">
        <f>IFERROR(Q13/Q329, "NA")</f>
      </c>
    </row>
    <row r="14" ht="16.5" customHeight="1">
      <c t="s" r="A14" s="12">
        <v>18</v>
      </c>
      <c r="B14" s="13">
        <v>114214</v>
      </c>
      <c r="C14" s="14">
        <f>IFERROR(B14/B329, "NA")</f>
      </c>
      <c r="D14" s="15"/>
      <c r="E14" s="13">
        <v>105945</v>
      </c>
      <c r="F14" s="14">
        <f>IFERROR(E14/E329, "NA")</f>
      </c>
      <c r="G14" s="15"/>
      <c r="H14" s="13">
        <v>132509</v>
      </c>
      <c r="I14" s="14">
        <f>IFERROR(H14/H329, "NA")</f>
      </c>
      <c r="J14" s="15"/>
      <c r="K14" s="13">
        <v>128703</v>
      </c>
      <c r="L14" s="14">
        <f>IFERROR(K14/K329, "NA")</f>
      </c>
      <c r="M14" s="15"/>
      <c r="N14" s="13">
        <v>146439</v>
      </c>
      <c r="O14" s="14">
        <f>IFERROR(N14/N329, "NA")</f>
      </c>
      <c r="P14" s="15"/>
      <c r="Q14" s="13">
        <v>131251</v>
      </c>
      <c r="R14" s="14">
        <f>IFERROR(Q14/Q329, "NA")</f>
      </c>
    </row>
    <row r="15" ht="16.5" customHeight="1">
      <c t="s" r="A15" s="12">
        <v>19</v>
      </c>
      <c r="B15" s="13">
        <v>2140</v>
      </c>
      <c r="C15" s="14">
        <f>IFERROR(B15/B329, "NA")</f>
      </c>
      <c r="D15" s="15"/>
      <c r="E15" s="13">
        <v>2635</v>
      </c>
      <c r="F15" s="14">
        <f>IFERROR(E15/E329, "NA")</f>
      </c>
      <c r="G15" s="15"/>
      <c r="H15" s="13">
        <v>3795</v>
      </c>
      <c r="I15" s="14">
        <f>IFERROR(H15/H329, "NA")</f>
      </c>
      <c r="J15" s="15"/>
      <c r="K15" s="13">
        <v>3526</v>
      </c>
      <c r="L15" s="14">
        <f>IFERROR(K15/K329, "NA")</f>
      </c>
      <c r="M15" s="15"/>
      <c r="N15" s="13">
        <v>7870</v>
      </c>
      <c r="O15" s="14">
        <f>IFERROR(N15/N329, "NA")</f>
      </c>
      <c r="P15" s="15"/>
      <c r="Q15" s="13">
        <v>3742</v>
      </c>
      <c r="R15" s="14">
        <f>IFERROR(Q15/Q329, "NA")</f>
      </c>
    </row>
    <row r="16" ht="16.5" customHeight="1">
      <c t="s" r="A16" s="12">
        <v>20</v>
      </c>
      <c r="B16" s="13">
        <v>28830</v>
      </c>
      <c r="C16" s="14">
        <f>IFERROR(B16/B329, "NA")</f>
      </c>
      <c r="D16" s="15"/>
      <c r="E16" s="13">
        <v>22888</v>
      </c>
      <c r="F16" s="14">
        <f>IFERROR(E16/E329, "NA")</f>
      </c>
      <c r="G16" s="15"/>
      <c r="H16" s="13">
        <v>47426</v>
      </c>
      <c r="I16" s="14">
        <f>IFERROR(H16/H329, "NA")</f>
      </c>
      <c r="J16" s="15"/>
      <c r="K16" s="13">
        <v>39275</v>
      </c>
      <c r="L16" s="14">
        <f>IFERROR(K16/K329, "NA")</f>
      </c>
      <c r="M16" s="15"/>
      <c r="N16" s="13">
        <v>55956</v>
      </c>
      <c r="O16" s="14">
        <f>IFERROR(N16/N329, "NA")</f>
      </c>
      <c r="P16" s="15"/>
      <c r="Q16" s="13">
        <v>29144</v>
      </c>
      <c r="R16" s="14">
        <f>IFERROR(Q16/Q329, "NA")</f>
      </c>
    </row>
    <row r="17" ht="16.5" customHeight="1">
      <c t="s" r="A17" s="12">
        <v>21</v>
      </c>
      <c r="B17" s="13">
        <v>12250</v>
      </c>
      <c r="C17" s="14">
        <f>IFERROR(B17/B329, "NA")</f>
      </c>
      <c r="D17" s="15"/>
      <c r="E17" s="13">
        <v>14837</v>
      </c>
      <c r="F17" s="14">
        <f>IFERROR(E17/E329, "NA")</f>
      </c>
      <c r="G17" s="15"/>
      <c r="H17" s="13">
        <v>19431</v>
      </c>
      <c r="I17" s="14">
        <f>IFERROR(H17/H329, "NA")</f>
      </c>
      <c r="J17" s="15"/>
      <c r="K17" s="13">
        <v>18119</v>
      </c>
      <c r="L17" s="14">
        <f>IFERROR(K17/K329, "NA")</f>
      </c>
      <c r="M17" s="15"/>
      <c r="N17" s="13">
        <v>27564</v>
      </c>
      <c r="O17" s="14">
        <f>IFERROR(N17/N329, "NA")</f>
      </c>
      <c r="P17" s="15"/>
      <c r="Q17" s="13">
        <v>17716</v>
      </c>
      <c r="R17" s="14">
        <f>IFERROR(Q17/Q329, "NA")</f>
      </c>
    </row>
    <row r="18" ht="16.5" customHeight="1">
      <c t="s" r="A18" s="12">
        <v>22</v>
      </c>
      <c r="B18" s="13">
        <v>0</v>
      </c>
      <c r="C18" s="14">
        <f>IFERROR(B18/B329, "NA")</f>
      </c>
      <c r="D18" s="15"/>
      <c r="E18" s="13">
        <v>0</v>
      </c>
      <c r="F18" s="14">
        <f>IFERROR(E18/E329, "NA")</f>
      </c>
      <c r="G18" s="15"/>
      <c r="H18" s="13">
        <v>0</v>
      </c>
      <c r="I18" s="14">
        <f>IFERROR(H18/H329, "NA")</f>
      </c>
      <c r="J18" s="15"/>
      <c r="K18" s="13">
        <v>0</v>
      </c>
      <c r="L18" s="14">
        <f>IFERROR(K18/K329, "NA")</f>
      </c>
      <c r="M18" s="15"/>
      <c r="N18" s="13">
        <v>0</v>
      </c>
      <c r="O18" s="14">
        <f>IFERROR(N18/N329, "NA")</f>
      </c>
      <c r="P18" s="15"/>
      <c r="Q18" s="13">
        <v>0</v>
      </c>
      <c r="R18" s="14">
        <f>IFERROR(Q18/Q329, "NA")</f>
      </c>
    </row>
    <row r="19" ht="16.5" customHeight="1">
      <c t="s" r="A19" s="16">
        <v>23</v>
      </c>
      <c r="B19" s="17">
        <f>IFERROR(B13+B14+B15+B16+B17+B18, "NA")</f>
      </c>
      <c r="C19" s="18">
        <f>IFERROR(B19/B329, "NA")</f>
      </c>
      <c r="D19" s="8"/>
      <c r="E19" s="17">
        <f>IFERROR(E13+E14+E15+E16+E17+E18, "NA")</f>
      </c>
      <c r="F19" s="18">
        <f>IFERROR(E19/E329, "NA")</f>
      </c>
      <c r="G19" s="8"/>
      <c r="H19" s="17">
        <f>IFERROR(H13+H14+H15+H16+H17+H18, "NA")</f>
      </c>
      <c r="I19" s="18">
        <f>IFERROR(H19/H329, "NA")</f>
      </c>
      <c r="J19" s="8"/>
      <c r="K19" s="17">
        <f>IFERROR(K13+K14+K15+K16+K17+K18, "NA")</f>
      </c>
      <c r="L19" s="18">
        <f>IFERROR(K19/K329, "NA")</f>
      </c>
      <c r="M19" s="8"/>
      <c r="N19" s="17">
        <f>IFERROR(N13+N14+N15+N16+N17+N18, "NA")</f>
      </c>
      <c r="O19" s="18">
        <f>IFERROR(N19/N329, "NA")</f>
      </c>
      <c r="P19" s="8"/>
      <c r="Q19" s="17">
        <f>IFERROR(Q13+Q14+Q15+Q16+Q17+Q18, "NA")</f>
      </c>
      <c r="R19" s="18">
        <f>IFERROR(Q19/Q329, "NA")</f>
      </c>
    </row>
    <row r="20" ht="16.5" customHeight="1">
      <c t="s" r="A20" s="11">
        <v>24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</row>
    <row r="21" ht="16.5" customHeight="1">
      <c t="s" r="A21" s="12">
        <v>25</v>
      </c>
      <c r="B21" s="13">
        <v>0</v>
      </c>
      <c r="C21" s="14">
        <f>IFERROR(B21/B329, "NA")</f>
      </c>
      <c r="D21" s="15"/>
      <c r="E21" s="13">
        <v>0</v>
      </c>
      <c r="F21" s="14">
        <f>IFERROR(E21/E329, "NA")</f>
      </c>
      <c r="G21" s="15"/>
      <c r="H21" s="13">
        <v>0</v>
      </c>
      <c r="I21" s="14">
        <f>IFERROR(H21/H329, "NA")</f>
      </c>
      <c r="J21" s="15"/>
      <c r="K21" s="13">
        <v>0</v>
      </c>
      <c r="L21" s="14">
        <f>IFERROR(K21/K329, "NA")</f>
      </c>
      <c r="M21" s="15"/>
      <c r="N21" s="13">
        <v>0</v>
      </c>
      <c r="O21" s="14">
        <f>IFERROR(N21/N329, "NA")</f>
      </c>
      <c r="P21" s="15"/>
      <c r="Q21" s="13">
        <v>0</v>
      </c>
      <c r="R21" s="14">
        <f>IFERROR(Q21/Q329, "NA")</f>
      </c>
    </row>
    <row r="22" ht="16.5" customHeight="1">
      <c t="s" r="A22" s="12">
        <v>26</v>
      </c>
      <c r="B22" s="13">
        <v>95</v>
      </c>
      <c r="C22" s="14">
        <f>IFERROR(B22/B329, "NA")</f>
      </c>
      <c r="D22" s="15"/>
      <c r="E22" s="13">
        <v>504</v>
      </c>
      <c r="F22" s="14">
        <f>IFERROR(E22/E329, "NA")</f>
      </c>
      <c r="G22" s="15"/>
      <c r="H22" s="13">
        <v>181.5</v>
      </c>
      <c r="I22" s="14">
        <f>IFERROR(H22/H329, "NA")</f>
      </c>
      <c r="J22" s="15"/>
      <c r="K22" s="13">
        <v>45</v>
      </c>
      <c r="L22" s="14">
        <f>IFERROR(K22/K329, "NA")</f>
      </c>
      <c r="M22" s="15"/>
      <c r="N22" s="13">
        <v>250</v>
      </c>
      <c r="O22" s="14">
        <f>IFERROR(N22/N329, "NA")</f>
      </c>
      <c r="P22" s="15"/>
      <c r="Q22" s="13">
        <v>45</v>
      </c>
      <c r="R22" s="14">
        <f>IFERROR(Q22/Q329, "NA")</f>
      </c>
    </row>
    <row r="23" ht="16.5" customHeight="1">
      <c t="s" r="A23" s="12">
        <v>27</v>
      </c>
      <c r="B23" s="13">
        <v>139</v>
      </c>
      <c r="C23" s="14">
        <f>IFERROR(B23/B329, "NA")</f>
      </c>
      <c r="D23" s="15"/>
      <c r="E23" s="13">
        <v>10</v>
      </c>
      <c r="F23" s="14">
        <f>IFERROR(E23/E329, "NA")</f>
      </c>
      <c r="G23" s="15"/>
      <c r="H23" s="13">
        <v>0</v>
      </c>
      <c r="I23" s="14">
        <f>IFERROR(H23/H329, "NA")</f>
      </c>
      <c r="J23" s="15"/>
      <c r="K23" s="13">
        <v>446</v>
      </c>
      <c r="L23" s="14">
        <f>IFERROR(K23/K329, "NA")</f>
      </c>
      <c r="M23" s="15"/>
      <c r="N23" s="13">
        <v>52</v>
      </c>
      <c r="O23" s="14">
        <f>IFERROR(N23/N329, "NA")</f>
      </c>
      <c r="P23" s="15"/>
      <c r="Q23" s="13">
        <v>164</v>
      </c>
      <c r="R23" s="14">
        <f>IFERROR(Q23/Q329, "NA")</f>
      </c>
    </row>
    <row r="24" ht="16.5" customHeight="1">
      <c t="s" r="A24" s="12">
        <v>28</v>
      </c>
      <c r="B24" s="13">
        <v>0</v>
      </c>
      <c r="C24" s="14">
        <f>IFERROR(B24/B329, "NA")</f>
      </c>
      <c r="D24" s="15"/>
      <c r="E24" s="13">
        <v>0</v>
      </c>
      <c r="F24" s="14">
        <f>IFERROR(E24/E329, "NA")</f>
      </c>
      <c r="G24" s="15"/>
      <c r="H24" s="13">
        <v>0</v>
      </c>
      <c r="I24" s="14">
        <f>IFERROR(H24/H329, "NA")</f>
      </c>
      <c r="J24" s="15"/>
      <c r="K24" s="13">
        <v>0</v>
      </c>
      <c r="L24" s="14">
        <f>IFERROR(K24/K329, "NA")</f>
      </c>
      <c r="M24" s="15"/>
      <c r="N24" s="13">
        <v>0</v>
      </c>
      <c r="O24" s="14">
        <f>IFERROR(N24/N329, "NA")</f>
      </c>
      <c r="P24" s="15"/>
      <c r="Q24" s="13">
        <v>0</v>
      </c>
      <c r="R24" s="14">
        <f>IFERROR(Q24/Q329, "NA")</f>
      </c>
    </row>
    <row r="25" ht="16.5" customHeight="1">
      <c t="s" r="A25" s="12">
        <v>29</v>
      </c>
      <c r="B25" s="13">
        <v>0</v>
      </c>
      <c r="C25" s="14">
        <f>IFERROR(B25/B329, "NA")</f>
      </c>
      <c r="D25" s="15"/>
      <c r="E25" s="13">
        <v>0</v>
      </c>
      <c r="F25" s="14">
        <f>IFERROR(E25/E329, "NA")</f>
      </c>
      <c r="G25" s="15"/>
      <c r="H25" s="13">
        <v>0</v>
      </c>
      <c r="I25" s="14">
        <f>IFERROR(H25/H329, "NA")</f>
      </c>
      <c r="J25" s="15"/>
      <c r="K25" s="13">
        <v>0</v>
      </c>
      <c r="L25" s="14">
        <f>IFERROR(K25/K329, "NA")</f>
      </c>
      <c r="M25" s="15"/>
      <c r="N25" s="13">
        <v>0</v>
      </c>
      <c r="O25" s="14">
        <f>IFERROR(N25/N329, "NA")</f>
      </c>
      <c r="P25" s="15"/>
      <c r="Q25" s="13">
        <v>0</v>
      </c>
      <c r="R25" s="14">
        <f>IFERROR(Q25/Q329, "NA")</f>
      </c>
    </row>
    <row r="26" ht="16.5" customHeight="1">
      <c t="s" r="A26" s="12">
        <v>30</v>
      </c>
      <c r="B26" s="13">
        <v>0</v>
      </c>
      <c r="C26" s="14">
        <f>IFERROR(B26/B329, "NA")</f>
      </c>
      <c r="D26" s="15"/>
      <c r="E26" s="13">
        <v>0</v>
      </c>
      <c r="F26" s="14">
        <f>IFERROR(E26/E329, "NA")</f>
      </c>
      <c r="G26" s="15"/>
      <c r="H26" s="13">
        <v>0</v>
      </c>
      <c r="I26" s="14">
        <f>IFERROR(H26/H329, "NA")</f>
      </c>
      <c r="J26" s="15"/>
      <c r="K26" s="13">
        <v>0</v>
      </c>
      <c r="L26" s="14">
        <f>IFERROR(K26/K329, "NA")</f>
      </c>
      <c r="M26" s="15"/>
      <c r="N26" s="13">
        <v>0</v>
      </c>
      <c r="O26" s="14">
        <f>IFERROR(N26/N329, "NA")</f>
      </c>
      <c r="P26" s="15"/>
      <c r="Q26" s="13">
        <v>0</v>
      </c>
      <c r="R26" s="14">
        <f>IFERROR(Q26/Q329, "NA")</f>
      </c>
    </row>
    <row r="27" ht="16.5" customHeight="1">
      <c t="s" r="A27" s="12">
        <v>31</v>
      </c>
      <c r="B27" s="13">
        <v>0</v>
      </c>
      <c r="C27" s="14">
        <f>IFERROR(B27/B329, "NA")</f>
      </c>
      <c r="D27" s="15"/>
      <c r="E27" s="13">
        <v>0</v>
      </c>
      <c r="F27" s="14">
        <f>IFERROR(E27/E329, "NA")</f>
      </c>
      <c r="G27" s="15"/>
      <c r="H27" s="13">
        <v>0</v>
      </c>
      <c r="I27" s="14">
        <f>IFERROR(H27/H329, "NA")</f>
      </c>
      <c r="J27" s="15"/>
      <c r="K27" s="13">
        <v>0</v>
      </c>
      <c r="L27" s="14">
        <f>IFERROR(K27/K329, "NA")</f>
      </c>
      <c r="M27" s="15"/>
      <c r="N27" s="13">
        <v>0</v>
      </c>
      <c r="O27" s="14">
        <f>IFERROR(N27/N329, "NA")</f>
      </c>
      <c r="P27" s="15"/>
      <c r="Q27" s="13">
        <v>0</v>
      </c>
      <c r="R27" s="14">
        <f>IFERROR(Q27/Q329, "NA")</f>
      </c>
    </row>
    <row r="28" ht="16.5" customHeight="1">
      <c t="s" r="A28" s="12">
        <v>32</v>
      </c>
      <c r="B28" s="13">
        <v>0</v>
      </c>
      <c r="C28" s="14">
        <f>IFERROR(B28/B329, "NA")</f>
      </c>
      <c r="D28" s="15"/>
      <c r="E28" s="13">
        <v>0</v>
      </c>
      <c r="F28" s="14">
        <f>IFERROR(E28/E329, "NA")</f>
      </c>
      <c r="G28" s="15"/>
      <c r="H28" s="13">
        <v>0</v>
      </c>
      <c r="I28" s="14">
        <f>IFERROR(H28/H329, "NA")</f>
      </c>
      <c r="J28" s="15"/>
      <c r="K28" s="13">
        <v>0</v>
      </c>
      <c r="L28" s="14">
        <f>IFERROR(K28/K329, "NA")</f>
      </c>
      <c r="M28" s="15"/>
      <c r="N28" s="13">
        <v>0</v>
      </c>
      <c r="O28" s="14">
        <f>IFERROR(N28/N329, "NA")</f>
      </c>
      <c r="P28" s="15"/>
      <c r="Q28" s="13">
        <v>0</v>
      </c>
      <c r="R28" s="14">
        <f>IFERROR(Q28/Q329, "NA")</f>
      </c>
    </row>
    <row r="29" ht="16.5" customHeight="1">
      <c t="s" r="A29" s="12">
        <v>33</v>
      </c>
      <c r="B29" s="13">
        <v>0</v>
      </c>
      <c r="C29" s="14">
        <f>IFERROR(B29/B329, "NA")</f>
      </c>
      <c r="D29" s="15"/>
      <c r="E29" s="13">
        <v>0</v>
      </c>
      <c r="F29" s="14">
        <f>IFERROR(E29/E329, "NA")</f>
      </c>
      <c r="G29" s="15"/>
      <c r="H29" s="13">
        <v>0</v>
      </c>
      <c r="I29" s="14">
        <f>IFERROR(H29/H329, "NA")</f>
      </c>
      <c r="J29" s="15"/>
      <c r="K29" s="13">
        <v>0</v>
      </c>
      <c r="L29" s="14">
        <f>IFERROR(K29/K329, "NA")</f>
      </c>
      <c r="M29" s="15"/>
      <c r="N29" s="13">
        <v>0</v>
      </c>
      <c r="O29" s="14">
        <f>IFERROR(N29/N329, "NA")</f>
      </c>
      <c r="P29" s="15"/>
      <c r="Q29" s="13">
        <v>0</v>
      </c>
      <c r="R29" s="14">
        <f>IFERROR(Q29/Q329, "NA")</f>
      </c>
    </row>
    <row r="30" ht="16.5" customHeight="1">
      <c t="s" r="A30" s="16">
        <v>34</v>
      </c>
      <c r="B30" s="17">
        <f>IFERROR(B21+B22+B23+B24+B25+B26+B27+B28+B29, "NA")</f>
      </c>
      <c r="C30" s="18">
        <f>IFERROR(B30/B329, "NA")</f>
      </c>
      <c r="D30" s="8"/>
      <c r="E30" s="17">
        <f>IFERROR(E21+E22+E23+E24+E25+E26+E27+E28+E29, "NA")</f>
      </c>
      <c r="F30" s="18">
        <f>IFERROR(E30/E329, "NA")</f>
      </c>
      <c r="G30" s="8"/>
      <c r="H30" s="17">
        <f>IFERROR(H21+H22+H23+H24+H25+H26+H27+H28+H29, "NA")</f>
      </c>
      <c r="I30" s="18">
        <f>IFERROR(H30/H329, "NA")</f>
      </c>
      <c r="J30" s="8"/>
      <c r="K30" s="17">
        <f>IFERROR(K21+K22+K23+K24+K25+K26+K27+K28+K29, "NA")</f>
      </c>
      <c r="L30" s="18">
        <f>IFERROR(K30/K329, "NA")</f>
      </c>
      <c r="M30" s="8"/>
      <c r="N30" s="17">
        <f>IFERROR(N21+N22+N23+N24+N25+N26+N27+N28+N29, "NA")</f>
      </c>
      <c r="O30" s="18">
        <f>IFERROR(N30/N329, "NA")</f>
      </c>
      <c r="P30" s="8"/>
      <c r="Q30" s="17">
        <f>IFERROR(Q21+Q22+Q23+Q24+Q25+Q26+Q27+Q28+Q29, "NA")</f>
      </c>
      <c r="R30" s="18">
        <f>IFERROR(Q30/Q329, "NA")</f>
      </c>
    </row>
    <row r="31" ht="16.5" customHeight="1">
      <c t="s" r="A31" s="11">
        <v>35</v>
      </c>
      <c r="B31" s="8"/>
      <c r="C31" s="9"/>
      <c r="D31" s="10"/>
      <c r="E31" s="8"/>
      <c r="F31" s="9"/>
      <c r="G31" s="10"/>
      <c r="H31" s="8"/>
      <c r="I31" s="9"/>
      <c r="J31" s="10"/>
      <c r="K31" s="8"/>
      <c r="L31" s="9"/>
      <c r="M31" s="10"/>
      <c r="N31" s="8"/>
      <c r="O31" s="9"/>
      <c r="P31" s="10"/>
      <c r="Q31" s="8"/>
      <c r="R31" s="9"/>
    </row>
    <row r="32" ht="16.5" customHeight="1">
      <c t="s" r="A32" s="12">
        <v>36</v>
      </c>
      <c r="B32" s="13">
        <v>0</v>
      </c>
      <c r="C32" s="14">
        <f>IFERROR(B32/B329, "NA")</f>
      </c>
      <c r="D32" s="15"/>
      <c r="E32" s="13">
        <v>0</v>
      </c>
      <c r="F32" s="14">
        <f>IFERROR(E32/E329, "NA")</f>
      </c>
      <c r="G32" s="15"/>
      <c r="H32" s="13">
        <v>0</v>
      </c>
      <c r="I32" s="14">
        <f>IFERROR(H32/H329, "NA")</f>
      </c>
      <c r="J32" s="15"/>
      <c r="K32" s="13">
        <v>0</v>
      </c>
      <c r="L32" s="14">
        <f>IFERROR(K32/K329, "NA")</f>
      </c>
      <c r="M32" s="15"/>
      <c r="N32" s="13">
        <v>0</v>
      </c>
      <c r="O32" s="14">
        <f>IFERROR(N32/N329, "NA")</f>
      </c>
      <c r="P32" s="15"/>
      <c r="Q32" s="13">
        <v>0</v>
      </c>
      <c r="R32" s="14">
        <f>IFERROR(Q32/Q329, "NA")</f>
      </c>
    </row>
    <row r="33" ht="16.5" customHeight="1">
      <c t="s" r="A33" s="12">
        <v>37</v>
      </c>
      <c r="B33" s="13">
        <v>0</v>
      </c>
      <c r="C33" s="14">
        <f>IFERROR(B33/B329, "NA")</f>
      </c>
      <c r="D33" s="15"/>
      <c r="E33" s="13">
        <v>0</v>
      </c>
      <c r="F33" s="14">
        <f>IFERROR(E33/E329, "NA")</f>
      </c>
      <c r="G33" s="15"/>
      <c r="H33" s="13">
        <v>0</v>
      </c>
      <c r="I33" s="14">
        <f>IFERROR(H33/H329, "NA")</f>
      </c>
      <c r="J33" s="15"/>
      <c r="K33" s="13">
        <v>0</v>
      </c>
      <c r="L33" s="14">
        <f>IFERROR(K33/K329, "NA")</f>
      </c>
      <c r="M33" s="15"/>
      <c r="N33" s="13">
        <v>0</v>
      </c>
      <c r="O33" s="14">
        <f>IFERROR(N33/N329, "NA")</f>
      </c>
      <c r="P33" s="15"/>
      <c r="Q33" s="13">
        <v>0</v>
      </c>
      <c r="R33" s="14">
        <f>IFERROR(Q33/Q329, "NA")</f>
      </c>
    </row>
    <row r="34" ht="16.5" customHeight="1">
      <c t="s" r="A34" s="12">
        <v>38</v>
      </c>
      <c r="B34" s="13">
        <v>0</v>
      </c>
      <c r="C34" s="14">
        <f>IFERROR(B34/B329, "NA")</f>
      </c>
      <c r="D34" s="15"/>
      <c r="E34" s="13">
        <v>0</v>
      </c>
      <c r="F34" s="14">
        <f>IFERROR(E34/E329, "NA")</f>
      </c>
      <c r="G34" s="15"/>
      <c r="H34" s="13">
        <v>0</v>
      </c>
      <c r="I34" s="14">
        <f>IFERROR(H34/H329, "NA")</f>
      </c>
      <c r="J34" s="15"/>
      <c r="K34" s="13">
        <v>0</v>
      </c>
      <c r="L34" s="14">
        <f>IFERROR(K34/K329, "NA")</f>
      </c>
      <c r="M34" s="15"/>
      <c r="N34" s="13">
        <v>0</v>
      </c>
      <c r="O34" s="14">
        <f>IFERROR(N34/N329, "NA")</f>
      </c>
      <c r="P34" s="15"/>
      <c r="Q34" s="13">
        <v>0</v>
      </c>
      <c r="R34" s="14">
        <f>IFERROR(Q34/Q329, "NA")</f>
      </c>
    </row>
    <row r="35" ht="16.5" customHeight="1">
      <c t="s" r="A35" s="12">
        <v>39</v>
      </c>
      <c r="B35" s="13">
        <v>0</v>
      </c>
      <c r="C35" s="14">
        <f>IFERROR(B35/B329, "NA")</f>
      </c>
      <c r="D35" s="15"/>
      <c r="E35" s="13">
        <v>0</v>
      </c>
      <c r="F35" s="14">
        <f>IFERROR(E35/E329, "NA")</f>
      </c>
      <c r="G35" s="15"/>
      <c r="H35" s="13">
        <v>0</v>
      </c>
      <c r="I35" s="14">
        <f>IFERROR(H35/H329, "NA")</f>
      </c>
      <c r="J35" s="15"/>
      <c r="K35" s="13">
        <v>0</v>
      </c>
      <c r="L35" s="14">
        <f>IFERROR(K35/K329, "NA")</f>
      </c>
      <c r="M35" s="15"/>
      <c r="N35" s="13">
        <v>0</v>
      </c>
      <c r="O35" s="14">
        <f>IFERROR(N35/N329, "NA")</f>
      </c>
      <c r="P35" s="15"/>
      <c r="Q35" s="13">
        <v>0</v>
      </c>
      <c r="R35" s="14">
        <f>IFERROR(Q35/Q329, "NA")</f>
      </c>
    </row>
    <row r="36" ht="16.5" customHeight="1">
      <c t="s" r="A36" s="12">
        <v>40</v>
      </c>
      <c r="B36" s="13">
        <v>0</v>
      </c>
      <c r="C36" s="14">
        <f>IFERROR(B36/B329, "NA")</f>
      </c>
      <c r="D36" s="15"/>
      <c r="E36" s="13">
        <v>0</v>
      </c>
      <c r="F36" s="14">
        <f>IFERROR(E36/E329, "NA")</f>
      </c>
      <c r="G36" s="15"/>
      <c r="H36" s="13">
        <v>0</v>
      </c>
      <c r="I36" s="14">
        <f>IFERROR(H36/H329, "NA")</f>
      </c>
      <c r="J36" s="15"/>
      <c r="K36" s="13">
        <v>0</v>
      </c>
      <c r="L36" s="14">
        <f>IFERROR(K36/K329, "NA")</f>
      </c>
      <c r="M36" s="15"/>
      <c r="N36" s="13">
        <v>0</v>
      </c>
      <c r="O36" s="14">
        <f>IFERROR(N36/N329, "NA")</f>
      </c>
      <c r="P36" s="15"/>
      <c r="Q36" s="13">
        <v>0</v>
      </c>
      <c r="R36" s="14">
        <f>IFERROR(Q36/Q329, "NA")</f>
      </c>
    </row>
    <row r="37" ht="16.5" customHeight="1">
      <c t="s" r="A37" s="16">
        <v>41</v>
      </c>
      <c r="B37" s="17">
        <f>IFERROR(B32+B33+B34+B35+B36, "NA")</f>
      </c>
      <c r="C37" s="18">
        <f>IFERROR(B37/B329, "NA")</f>
      </c>
      <c r="D37" s="8"/>
      <c r="E37" s="17">
        <f>IFERROR(E32+E33+E34+E35+E36, "NA")</f>
      </c>
      <c r="F37" s="18">
        <f>IFERROR(E37/E329, "NA")</f>
      </c>
      <c r="G37" s="8"/>
      <c r="H37" s="17">
        <f>IFERROR(H32+H33+H34+H35+H36, "NA")</f>
      </c>
      <c r="I37" s="18">
        <f>IFERROR(H37/H329, "NA")</f>
      </c>
      <c r="J37" s="8"/>
      <c r="K37" s="17">
        <f>IFERROR(K32+K33+K34+K35+K36, "NA")</f>
      </c>
      <c r="L37" s="18">
        <f>IFERROR(K37/K329, "NA")</f>
      </c>
      <c r="M37" s="8"/>
      <c r="N37" s="17">
        <f>IFERROR(N32+N33+N34+N35+N36, "NA")</f>
      </c>
      <c r="O37" s="18">
        <f>IFERROR(N37/N329, "NA")</f>
      </c>
      <c r="P37" s="8"/>
      <c r="Q37" s="17">
        <f>IFERROR(Q32+Q33+Q34+Q35+Q36, "NA")</f>
      </c>
      <c r="R37" s="18">
        <f>IFERROR(Q37/Q329, "NA")</f>
      </c>
    </row>
    <row r="38" ht="16.5" customHeight="1">
      <c t="s" r="A38" s="11">
        <v>42</v>
      </c>
      <c r="B38" s="8"/>
      <c r="C38" s="9"/>
      <c r="D38" s="10"/>
      <c r="E38" s="8"/>
      <c r="F38" s="9"/>
      <c r="G38" s="10"/>
      <c r="H38" s="8"/>
      <c r="I38" s="9"/>
      <c r="J38" s="10"/>
      <c r="K38" s="8"/>
      <c r="L38" s="9"/>
      <c r="M38" s="10"/>
      <c r="N38" s="8"/>
      <c r="O38" s="9"/>
      <c r="P38" s="10"/>
      <c r="Q38" s="8"/>
      <c r="R38" s="9"/>
    </row>
    <row r="39" ht="16.5" customHeight="1">
      <c t="s" r="A39" s="12">
        <v>43</v>
      </c>
      <c r="B39" s="13">
        <v>0</v>
      </c>
      <c r="C39" s="14">
        <f>IFERROR(B39/B329, "NA")</f>
      </c>
      <c r="D39" s="15"/>
      <c r="E39" s="13">
        <v>0</v>
      </c>
      <c r="F39" s="14">
        <f>IFERROR(E39/E329, "NA")</f>
      </c>
      <c r="G39" s="15"/>
      <c r="H39" s="13">
        <v>0</v>
      </c>
      <c r="I39" s="14">
        <f>IFERROR(H39/H329, "NA")</f>
      </c>
      <c r="J39" s="15"/>
      <c r="K39" s="13">
        <v>0</v>
      </c>
      <c r="L39" s="14">
        <f>IFERROR(K39/K329, "NA")</f>
      </c>
      <c r="M39" s="15"/>
      <c r="N39" s="13">
        <v>0</v>
      </c>
      <c r="O39" s="14">
        <f>IFERROR(N39/N329, "NA")</f>
      </c>
      <c r="P39" s="15"/>
      <c r="Q39" s="13">
        <v>0</v>
      </c>
      <c r="R39" s="14">
        <f>IFERROR(Q39/Q329, "NA")</f>
      </c>
    </row>
    <row r="40" ht="16.5" customHeight="1">
      <c t="s" r="A40" s="12">
        <v>44</v>
      </c>
      <c r="B40" s="13">
        <v>-99.25</v>
      </c>
      <c r="C40" s="14">
        <f>IFERROR(B40/B329, "NA")</f>
      </c>
      <c r="D40" s="15"/>
      <c r="E40" s="13">
        <v>-136</v>
      </c>
      <c r="F40" s="14">
        <f>IFERROR(E40/E329, "NA")</f>
      </c>
      <c r="G40" s="15"/>
      <c r="H40" s="13">
        <v>-50.25</v>
      </c>
      <c r="I40" s="14">
        <f>IFERROR(H40/H329, "NA")</f>
      </c>
      <c r="J40" s="15"/>
      <c r="K40" s="13">
        <v>-48.75</v>
      </c>
      <c r="L40" s="14">
        <f>IFERROR(K40/K329, "NA")</f>
      </c>
      <c r="M40" s="15"/>
      <c r="N40" s="13">
        <v>0</v>
      </c>
      <c r="O40" s="14">
        <f>IFERROR(N40/N329, "NA")</f>
      </c>
      <c r="P40" s="15"/>
      <c r="Q40" s="13">
        <v>-296.75</v>
      </c>
      <c r="R40" s="14">
        <f>IFERROR(Q40/Q329, "NA")</f>
      </c>
    </row>
    <row r="41" ht="16.5" customHeight="1">
      <c t="s" r="A41" s="12">
        <v>45</v>
      </c>
      <c r="B41" s="13">
        <v>-2195</v>
      </c>
      <c r="C41" s="14">
        <f>IFERROR(B41/B329, "NA")</f>
      </c>
      <c r="D41" s="15"/>
      <c r="E41" s="13">
        <v>-2024</v>
      </c>
      <c r="F41" s="14">
        <f>IFERROR(E41/E329, "NA")</f>
      </c>
      <c r="G41" s="15"/>
      <c r="H41" s="13">
        <v>-1747</v>
      </c>
      <c r="I41" s="14">
        <f>IFERROR(H41/H329, "NA")</f>
      </c>
      <c r="J41" s="15"/>
      <c r="K41" s="13">
        <v>-2017</v>
      </c>
      <c r="L41" s="14">
        <f>IFERROR(K41/K329, "NA")</f>
      </c>
      <c r="M41" s="15"/>
      <c r="N41" s="13">
        <v>-2210</v>
      </c>
      <c r="O41" s="14">
        <f>IFERROR(N41/N329, "NA")</f>
      </c>
      <c r="P41" s="15"/>
      <c r="Q41" s="13">
        <v>-2649</v>
      </c>
      <c r="R41" s="14">
        <f>IFERROR(Q41/Q329, "NA")</f>
      </c>
    </row>
    <row r="42" ht="16.5" customHeight="1">
      <c t="s" r="A42" s="12">
        <v>46</v>
      </c>
      <c r="B42" s="13">
        <v>-2360</v>
      </c>
      <c r="C42" s="14">
        <f>IFERROR(B42/B329, "NA")</f>
      </c>
      <c r="D42" s="15"/>
      <c r="E42" s="13">
        <v>-2234</v>
      </c>
      <c r="F42" s="14">
        <f>IFERROR(E42/E329, "NA")</f>
      </c>
      <c r="G42" s="15"/>
      <c r="H42" s="13">
        <v>-2255.5</v>
      </c>
      <c r="I42" s="14">
        <f>IFERROR(H42/H329, "NA")</f>
      </c>
      <c r="J42" s="15"/>
      <c r="K42" s="13">
        <v>-2106</v>
      </c>
      <c r="L42" s="14">
        <f>IFERROR(K42/K329, "NA")</f>
      </c>
      <c r="M42" s="15"/>
      <c r="N42" s="13">
        <v>-1523</v>
      </c>
      <c r="O42" s="14">
        <f>IFERROR(N42/N329, "NA")</f>
      </c>
      <c r="P42" s="15"/>
      <c r="Q42" s="13">
        <v>-2921</v>
      </c>
      <c r="R42" s="14">
        <f>IFERROR(Q42/Q329, "NA")</f>
      </c>
    </row>
    <row r="43" ht="16.5" customHeight="1">
      <c t="s" r="A43" s="12">
        <v>47</v>
      </c>
      <c r="B43" s="13">
        <v>-1812</v>
      </c>
      <c r="C43" s="14">
        <f>IFERROR(B43/B329, "NA")</f>
      </c>
      <c r="D43" s="15"/>
      <c r="E43" s="13">
        <v>-1840</v>
      </c>
      <c r="F43" s="14">
        <f>IFERROR(E43/E329, "NA")</f>
      </c>
      <c r="G43" s="15"/>
      <c r="H43" s="13">
        <v>-2743.5</v>
      </c>
      <c r="I43" s="14">
        <f>IFERROR(H43/H329, "NA")</f>
      </c>
      <c r="J43" s="15"/>
      <c r="K43" s="13">
        <v>-1500</v>
      </c>
      <c r="L43" s="14">
        <f>IFERROR(K43/K329, "NA")</f>
      </c>
      <c r="M43" s="15"/>
      <c r="N43" s="13">
        <v>-869</v>
      </c>
      <c r="O43" s="14">
        <f>IFERROR(N43/N329, "NA")</f>
      </c>
      <c r="P43" s="15"/>
      <c r="Q43" s="13">
        <v>-1172</v>
      </c>
      <c r="R43" s="14">
        <f>IFERROR(Q43/Q329, "NA")</f>
      </c>
    </row>
    <row r="44" ht="16.5" customHeight="1">
      <c t="s" r="A44" s="12">
        <v>48</v>
      </c>
      <c r="B44" s="13">
        <v>-67.400000000000006</v>
      </c>
      <c r="C44" s="14">
        <f>IFERROR(B44/B329, "NA")</f>
      </c>
      <c r="D44" s="15"/>
      <c r="E44" s="13">
        <v>-221.80000000000001</v>
      </c>
      <c r="F44" s="14">
        <f>IFERROR(E44/E329, "NA")</f>
      </c>
      <c r="G44" s="15"/>
      <c r="H44" s="13">
        <v>-160.40000000000001</v>
      </c>
      <c r="I44" s="14">
        <f>IFERROR(H44/H329, "NA")</f>
      </c>
      <c r="J44" s="15"/>
      <c r="K44" s="13">
        <v>-96</v>
      </c>
      <c r="L44" s="14">
        <f>IFERROR(K44/K329, "NA")</f>
      </c>
      <c r="M44" s="15"/>
      <c r="N44" s="13">
        <v>0</v>
      </c>
      <c r="O44" s="14">
        <f>IFERROR(N44/N329, "NA")</f>
      </c>
      <c r="P44" s="15"/>
      <c r="Q44" s="13">
        <v>0</v>
      </c>
      <c r="R44" s="14">
        <f>IFERROR(Q44/Q329, "NA")</f>
      </c>
    </row>
    <row r="45" ht="16.5" customHeight="1">
      <c t="s" r="A45" s="12">
        <v>49</v>
      </c>
      <c r="B45" s="13">
        <v>0</v>
      </c>
      <c r="C45" s="14">
        <f>IFERROR(B45/B329, "NA")</f>
      </c>
      <c r="D45" s="15"/>
      <c r="E45" s="13">
        <v>0</v>
      </c>
      <c r="F45" s="14">
        <f>IFERROR(E45/E329, "NA")</f>
      </c>
      <c r="G45" s="15"/>
      <c r="H45" s="13">
        <v>0</v>
      </c>
      <c r="I45" s="14">
        <f>IFERROR(H45/H329, "NA")</f>
      </c>
      <c r="J45" s="15"/>
      <c r="K45" s="13">
        <v>0</v>
      </c>
      <c r="L45" s="14">
        <f>IFERROR(K45/K329, "NA")</f>
      </c>
      <c r="M45" s="15"/>
      <c r="N45" s="13">
        <v>0</v>
      </c>
      <c r="O45" s="14">
        <f>IFERROR(N45/N329, "NA")</f>
      </c>
      <c r="P45" s="15"/>
      <c r="Q45" s="13">
        <v>0</v>
      </c>
      <c r="R45" s="14">
        <f>IFERROR(Q45/Q329, "NA")</f>
      </c>
    </row>
    <row r="46" ht="16.5" customHeight="1">
      <c t="s" r="A46" s="12">
        <v>50</v>
      </c>
      <c r="B46" s="13">
        <v>-295</v>
      </c>
      <c r="C46" s="14">
        <f>IFERROR(B46/B329, "NA")</f>
      </c>
      <c r="D46" s="15"/>
      <c r="E46" s="13">
        <v>-940</v>
      </c>
      <c r="F46" s="14">
        <f>IFERROR(E46/E329, "NA")</f>
      </c>
      <c r="G46" s="15"/>
      <c r="H46" s="13">
        <v>-968</v>
      </c>
      <c r="I46" s="14">
        <f>IFERROR(H46/H329, "NA")</f>
      </c>
      <c r="J46" s="15"/>
      <c r="K46" s="13">
        <v>-691</v>
      </c>
      <c r="L46" s="14">
        <f>IFERROR(K46/K329, "NA")</f>
      </c>
      <c r="M46" s="15"/>
      <c r="N46" s="13">
        <v>-937</v>
      </c>
      <c r="O46" s="14">
        <f>IFERROR(N46/N329, "NA")</f>
      </c>
      <c r="P46" s="15"/>
      <c r="Q46" s="13">
        <v>-813</v>
      </c>
      <c r="R46" s="14">
        <f>IFERROR(Q46/Q329, "NA")</f>
      </c>
    </row>
    <row r="47" ht="16.5" customHeight="1">
      <c t="s" r="A47" s="12">
        <v>51</v>
      </c>
      <c r="B47" s="13">
        <v>-3845</v>
      </c>
      <c r="C47" s="14">
        <f>IFERROR(B47/B329, "NA")</f>
      </c>
      <c r="D47" s="15"/>
      <c r="E47" s="13">
        <v>-3883</v>
      </c>
      <c r="F47" s="14">
        <f>IFERROR(E47/E329, "NA")</f>
      </c>
      <c r="G47" s="15"/>
      <c r="H47" s="13">
        <v>-4283</v>
      </c>
      <c r="I47" s="14">
        <f>IFERROR(H47/H329, "NA")</f>
      </c>
      <c r="J47" s="15"/>
      <c r="K47" s="13">
        <v>-4552</v>
      </c>
      <c r="L47" s="14">
        <f>IFERROR(K47/K329, "NA")</f>
      </c>
      <c r="M47" s="15"/>
      <c r="N47" s="13">
        <v>-4391</v>
      </c>
      <c r="O47" s="14">
        <f>IFERROR(N47/N329, "NA")</f>
      </c>
      <c r="P47" s="15"/>
      <c r="Q47" s="13">
        <v>-5447</v>
      </c>
      <c r="R47" s="14">
        <f>IFERROR(Q47/Q329, "NA")</f>
      </c>
    </row>
    <row r="48" ht="16.5" customHeight="1">
      <c t="s" r="A48" s="12">
        <v>52</v>
      </c>
      <c r="B48" s="13">
        <v>-1396</v>
      </c>
      <c r="C48" s="14">
        <f>IFERROR(B48/B329, "NA")</f>
      </c>
      <c r="D48" s="15"/>
      <c r="E48" s="13">
        <v>-1408</v>
      </c>
      <c r="F48" s="14">
        <f>IFERROR(E48/E329, "NA")</f>
      </c>
      <c r="G48" s="15"/>
      <c r="H48" s="13">
        <v>-1672</v>
      </c>
      <c r="I48" s="14">
        <f>IFERROR(H48/H329, "NA")</f>
      </c>
      <c r="J48" s="15"/>
      <c r="K48" s="13">
        <v>-1760</v>
      </c>
      <c r="L48" s="14">
        <f>IFERROR(K48/K329, "NA")</f>
      </c>
      <c r="M48" s="15"/>
      <c r="N48" s="13">
        <v>-1150</v>
      </c>
      <c r="O48" s="14">
        <f>IFERROR(N48/N329, "NA")</f>
      </c>
      <c r="P48" s="15"/>
      <c r="Q48" s="13">
        <v>-2237</v>
      </c>
      <c r="R48" s="14">
        <f>IFERROR(Q48/Q329, "NA")</f>
      </c>
    </row>
    <row r="49" ht="16.5" customHeight="1">
      <c t="s" r="A49" s="12">
        <v>53</v>
      </c>
      <c r="B49" s="13">
        <v>0</v>
      </c>
      <c r="C49" s="14">
        <f>IFERROR(B49/B329, "NA")</f>
      </c>
      <c r="D49" s="15"/>
      <c r="E49" s="13">
        <v>-10</v>
      </c>
      <c r="F49" s="14">
        <f>IFERROR(E49/E329, "NA")</f>
      </c>
      <c r="G49" s="15"/>
      <c r="H49" s="13">
        <v>0</v>
      </c>
      <c r="I49" s="14">
        <f>IFERROR(H49/H329, "NA")</f>
      </c>
      <c r="J49" s="15"/>
      <c r="K49" s="13">
        <v>0</v>
      </c>
      <c r="L49" s="14">
        <f>IFERROR(K49/K329, "NA")</f>
      </c>
      <c r="M49" s="15"/>
      <c r="N49" s="13">
        <v>0</v>
      </c>
      <c r="O49" s="14">
        <f>IFERROR(N49/N329, "NA")</f>
      </c>
      <c r="P49" s="15"/>
      <c r="Q49" s="13">
        <v>0</v>
      </c>
      <c r="R49" s="14">
        <f>IFERROR(Q49/Q329, "NA")</f>
      </c>
    </row>
    <row r="50" ht="16.5" customHeight="1">
      <c t="s" r="A50" s="12">
        <v>54</v>
      </c>
      <c r="B50" s="13">
        <v>-1690</v>
      </c>
      <c r="C50" s="14">
        <f>IFERROR(B50/B329, "NA")</f>
      </c>
      <c r="D50" s="15"/>
      <c r="E50" s="13">
        <v>0</v>
      </c>
      <c r="F50" s="14">
        <f>IFERROR(E50/E329, "NA")</f>
      </c>
      <c r="G50" s="15"/>
      <c r="H50" s="13">
        <v>-1363</v>
      </c>
      <c r="I50" s="14">
        <f>IFERROR(H50/H329, "NA")</f>
      </c>
      <c r="J50" s="15"/>
      <c r="K50" s="13">
        <v>-1936</v>
      </c>
      <c r="L50" s="14">
        <f>IFERROR(K50/K329, "NA")</f>
      </c>
      <c r="M50" s="15"/>
      <c r="N50" s="13">
        <v>-888</v>
      </c>
      <c r="O50" s="14">
        <f>IFERROR(N50/N329, "NA")</f>
      </c>
      <c r="P50" s="15"/>
      <c r="Q50" s="13">
        <v>0</v>
      </c>
      <c r="R50" s="14">
        <f>IFERROR(Q50/Q329, "NA")</f>
      </c>
    </row>
    <row r="51" ht="16.5" customHeight="1">
      <c t="s" r="A51" s="16">
        <v>55</v>
      </c>
      <c r="B51" s="17">
        <f>IFERROR(B39+B40+B41+B42+B43+B44+B45+B46+B47+B48+B49+B50, "NA")</f>
      </c>
      <c r="C51" s="18">
        <f>IFERROR(B51/B329, "NA")</f>
      </c>
      <c r="D51" s="8"/>
      <c r="E51" s="17">
        <f>IFERROR(E39+E40+E41+E42+E43+E44+E45+E46+E47+E48+E49+E50, "NA")</f>
      </c>
      <c r="F51" s="18">
        <f>IFERROR(E51/E329, "NA")</f>
      </c>
      <c r="G51" s="8"/>
      <c r="H51" s="17">
        <f>IFERROR(H39+H40+H41+H42+H43+H44+H45+H46+H47+H48+H49+H50, "NA")</f>
      </c>
      <c r="I51" s="18">
        <f>IFERROR(H51/H329, "NA")</f>
      </c>
      <c r="J51" s="8"/>
      <c r="K51" s="17">
        <f>IFERROR(K39+K40+K41+K42+K43+K44+K45+K46+K47+K48+K49+K50, "NA")</f>
      </c>
      <c r="L51" s="18">
        <f>IFERROR(K51/K329, "NA")</f>
      </c>
      <c r="M51" s="8"/>
      <c r="N51" s="17">
        <f>IFERROR(N39+N40+N41+N42+N43+N44+N45+N46+N47+N48+N49+N50, "NA")</f>
      </c>
      <c r="O51" s="18">
        <f>IFERROR(N51/N329, "NA")</f>
      </c>
      <c r="P51" s="8"/>
      <c r="Q51" s="17">
        <f>IFERROR(Q39+Q40+Q41+Q42+Q43+Q44+Q45+Q46+Q47+Q48+Q49+Q50, "NA")</f>
      </c>
      <c r="R51" s="18">
        <f>IFERROR(Q51/Q329, "NA")</f>
      </c>
    </row>
    <row r="52" ht="16.5" customHeight="1">
      <c t="s" r="A52" s="20">
        <v>56</v>
      </c>
      <c r="B52" s="17">
        <f>IFERROR(B8+B9+B11+B13+B14+B15+B16+B17+B18+B21+B22+B23+B24+B25+B26+B27+B28+B29+B32+B33+B34+B35+B36+B39+B40+B41+B42+B43+B44+B45+B46+B47+B48+B49+B50, "NA")</f>
      </c>
      <c r="C52" s="18">
        <f>IFERROR(B52/B329, "NA")</f>
      </c>
      <c r="D52" s="8"/>
      <c r="E52" s="17">
        <f>IFERROR(E8+E9+E11+E13+E14+E15+E16+E17+E18+E21+E22+E23+E24+E25+E26+E27+E28+E29+E32+E33+E34+E35+E36+E39+E40+E41+E42+E43+E44+E45+E46+E47+E48+E49+E50, "NA")</f>
      </c>
      <c r="F52" s="18">
        <f>IFERROR(E52/E329, "NA")</f>
      </c>
      <c r="G52" s="8"/>
      <c r="H52" s="17">
        <f>IFERROR(H8+H9+H11+H13+H14+H15+H16+H17+H18+H21+H22+H23+H24+H25+H26+H27+H28+H29+H32+H33+H34+H35+H36+H39+H40+H41+H42+H43+H44+H45+H46+H47+H48+H49+H50, "NA")</f>
      </c>
      <c r="I52" s="18">
        <f>IFERROR(H52/H329, "NA")</f>
      </c>
      <c r="J52" s="8"/>
      <c r="K52" s="17">
        <f>IFERROR(K8+K9+K11+K13+K14+K15+K16+K17+K18+K21+K22+K23+K24+K25+K26+K27+K28+K29+K32+K33+K34+K35+K36+K39+K40+K41+K42+K43+K44+K45+K46+K47+K48+K49+K50, "NA")</f>
      </c>
      <c r="L52" s="18">
        <f>IFERROR(K52/K329, "NA")</f>
      </c>
      <c r="M52" s="8"/>
      <c r="N52" s="17">
        <f>IFERROR(N8+N9+N11+N13+N14+N15+N16+N17+N18+N21+N22+N23+N24+N25+N26+N27+N28+N29+N32+N33+N34+N35+N36+N39+N40+N41+N42+N43+N44+N45+N46+N47+N48+N49+N50, "NA")</f>
      </c>
      <c r="O52" s="18">
        <f>IFERROR(N52/N329, "NA")</f>
      </c>
      <c r="P52" s="8"/>
      <c r="Q52" s="17">
        <f>IFERROR(Q8+Q9+Q11+Q13+Q14+Q15+Q16+Q17+Q18+Q21+Q22+Q23+Q24+Q25+Q26+Q27+Q28+Q29+Q32+Q33+Q34+Q35+Q36+Q39+Q40+Q41+Q42+Q43+Q44+Q45+Q46+Q47+Q48+Q49+Q50, "NA")</f>
      </c>
      <c r="R52" s="18">
        <f>IFERROR(Q52/Q329, "NA")</f>
      </c>
    </row>
    <row r="53" ht="16.5" customHeight="1">
      <c t="s" r="A53" s="7">
        <v>57</v>
      </c>
      <c r="B53" s="8"/>
      <c r="C53" s="9"/>
      <c r="D53" s="10"/>
      <c r="E53" s="8"/>
      <c r="F53" s="9"/>
      <c r="G53" s="10"/>
      <c r="H53" s="8"/>
      <c r="I53" s="9"/>
      <c r="J53" s="10"/>
      <c r="K53" s="8"/>
      <c r="L53" s="9"/>
      <c r="M53" s="10"/>
      <c r="N53" s="8"/>
      <c r="O53" s="9"/>
      <c r="P53" s="10"/>
      <c r="Q53" s="8"/>
      <c r="R53" s="9"/>
    </row>
    <row r="54" ht="16.5" customHeight="1">
      <c t="s" r="A54" s="11">
        <v>58</v>
      </c>
      <c r="B54" s="8"/>
      <c r="C54" s="9"/>
      <c r="D54" s="10"/>
      <c r="E54" s="8"/>
      <c r="F54" s="9"/>
      <c r="G54" s="10"/>
      <c r="H54" s="8"/>
      <c r="I54" s="9"/>
      <c r="J54" s="10"/>
      <c r="K54" s="8"/>
      <c r="L54" s="9"/>
      <c r="M54" s="10"/>
      <c r="N54" s="8"/>
      <c r="O54" s="9"/>
      <c r="P54" s="10"/>
      <c r="Q54" s="8"/>
      <c r="R54" s="9"/>
    </row>
    <row r="55" ht="16.5" customHeight="1">
      <c t="s" r="A55" s="12">
        <v>59</v>
      </c>
      <c r="B55" s="13">
        <v>0</v>
      </c>
      <c r="C55" s="14">
        <f>IFERROR(B55/B329, "NA")</f>
      </c>
      <c r="D55" s="15"/>
      <c r="E55" s="13">
        <v>0</v>
      </c>
      <c r="F55" s="14">
        <f>IFERROR(E55/E329, "NA")</f>
      </c>
      <c r="G55" s="15"/>
      <c r="H55" s="13">
        <v>0</v>
      </c>
      <c r="I55" s="14">
        <f>IFERROR(H55/H329, "NA")</f>
      </c>
      <c r="J55" s="15"/>
      <c r="K55" s="13">
        <v>0</v>
      </c>
      <c r="L55" s="14">
        <f>IFERROR(K55/K329, "NA")</f>
      </c>
      <c r="M55" s="15"/>
      <c r="N55" s="13">
        <v>0</v>
      </c>
      <c r="O55" s="14">
        <f>IFERROR(N55/N329, "NA")</f>
      </c>
      <c r="P55" s="15"/>
      <c r="Q55" s="13">
        <v>0</v>
      </c>
      <c r="R55" s="14">
        <f>IFERROR(Q55/Q329, "NA")</f>
      </c>
    </row>
    <row r="56" ht="16.5" customHeight="1">
      <c t="s" r="A56" s="12">
        <v>60</v>
      </c>
      <c r="B56" s="13">
        <v>13352.360000000001</v>
      </c>
      <c r="C56" s="14">
        <f>IFERROR(B56/B329, "NA")</f>
      </c>
      <c r="D56" s="15"/>
      <c r="E56" s="13">
        <v>15811.74</v>
      </c>
      <c r="F56" s="14">
        <f>IFERROR(E56/E329, "NA")</f>
      </c>
      <c r="G56" s="15"/>
      <c r="H56" s="13">
        <v>17573.009999999998</v>
      </c>
      <c r="I56" s="14">
        <f>IFERROR(H56/H329, "NA")</f>
      </c>
      <c r="J56" s="15"/>
      <c r="K56" s="13">
        <v>12210.65</v>
      </c>
      <c r="L56" s="14">
        <f>IFERROR(K56/K329, "NA")</f>
      </c>
      <c r="M56" s="15"/>
      <c r="N56" s="13">
        <v>12508.83</v>
      </c>
      <c r="O56" s="14">
        <f>IFERROR(N56/N329, "NA")</f>
      </c>
      <c r="P56" s="15"/>
      <c r="Q56" s="13">
        <v>20826.959999999999</v>
      </c>
      <c r="R56" s="14">
        <f>IFERROR(Q56/Q329, "NA")</f>
      </c>
    </row>
    <row r="57" ht="16.5" customHeight="1">
      <c t="s" r="A57" s="12">
        <v>61</v>
      </c>
      <c r="B57" s="13">
        <v>979.88999999999999</v>
      </c>
      <c r="C57" s="14">
        <f>IFERROR(B57/B329, "NA")</f>
      </c>
      <c r="D57" s="15"/>
      <c r="E57" s="13">
        <v>1963.3699999999999</v>
      </c>
      <c r="F57" s="14">
        <f>IFERROR(E57/E329, "NA")</f>
      </c>
      <c r="G57" s="15"/>
      <c r="H57" s="13">
        <v>1411.8599999999999</v>
      </c>
      <c r="I57" s="14">
        <f>IFERROR(H57/H329, "NA")</f>
      </c>
      <c r="J57" s="15"/>
      <c r="K57" s="13">
        <v>1880.3699999999999</v>
      </c>
      <c r="L57" s="14">
        <f>IFERROR(K57/K329, "NA")</f>
      </c>
      <c r="M57" s="15"/>
      <c r="N57" s="13">
        <v>1254.04</v>
      </c>
      <c r="O57" s="14">
        <f>IFERROR(N57/N329, "NA")</f>
      </c>
      <c r="P57" s="15"/>
      <c r="Q57" s="13">
        <v>1682.6099999999999</v>
      </c>
      <c r="R57" s="14">
        <f>IFERROR(Q57/Q329, "NA")</f>
      </c>
    </row>
    <row r="58" ht="16.5" customHeight="1">
      <c t="s" r="A58" s="12">
        <v>62</v>
      </c>
      <c r="B58" s="13">
        <v>18149.43</v>
      </c>
      <c r="C58" s="14">
        <f>IFERROR(B58/B329, "NA")</f>
      </c>
      <c r="D58" s="15"/>
      <c r="E58" s="13">
        <v>22597.5</v>
      </c>
      <c r="F58" s="14">
        <f>IFERROR(E58/E329, "NA")</f>
      </c>
      <c r="G58" s="15"/>
      <c r="H58" s="13">
        <v>20794.099999999999</v>
      </c>
      <c r="I58" s="14">
        <f>IFERROR(H58/H329, "NA")</f>
      </c>
      <c r="J58" s="15"/>
      <c r="K58" s="13">
        <v>19422.93</v>
      </c>
      <c r="L58" s="14">
        <f>IFERROR(K58/K329, "NA")</f>
      </c>
      <c r="M58" s="15"/>
      <c r="N58" s="13">
        <v>22010.790000000001</v>
      </c>
      <c r="O58" s="14">
        <f>IFERROR(N58/N329, "NA")</f>
      </c>
      <c r="P58" s="15"/>
      <c r="Q58" s="13">
        <v>25615.360000000001</v>
      </c>
      <c r="R58" s="14">
        <f>IFERROR(Q58/Q329, "NA")</f>
      </c>
    </row>
    <row r="59" ht="16.5" customHeight="1">
      <c t="s" r="A59" s="12">
        <v>63</v>
      </c>
      <c r="B59" s="13">
        <v>1298.6199999999999</v>
      </c>
      <c r="C59" s="14">
        <f>IFERROR(B59/B329, "NA")</f>
      </c>
      <c r="D59" s="15"/>
      <c r="E59" s="13">
        <v>1146.8699999999999</v>
      </c>
      <c r="F59" s="14">
        <f>IFERROR(E59/E329, "NA")</f>
      </c>
      <c r="G59" s="15"/>
      <c r="H59" s="13">
        <v>1559.3599999999999</v>
      </c>
      <c r="I59" s="14">
        <f>IFERROR(H59/H329, "NA")</f>
      </c>
      <c r="J59" s="15"/>
      <c r="K59" s="13">
        <v>349.13</v>
      </c>
      <c r="L59" s="14">
        <f>IFERROR(K59/K329, "NA")</f>
      </c>
      <c r="M59" s="15"/>
      <c r="N59" s="13">
        <v>1423.3599999999999</v>
      </c>
      <c r="O59" s="14">
        <f>IFERROR(N59/N329, "NA")</f>
      </c>
      <c r="P59" s="15"/>
      <c r="Q59" s="13">
        <v>1723.1500000000001</v>
      </c>
      <c r="R59" s="14">
        <f>IFERROR(Q59/Q329, "NA")</f>
      </c>
    </row>
    <row r="60" ht="16.5" customHeight="1">
      <c t="s" r="A60" s="12">
        <v>64</v>
      </c>
      <c r="B60" s="13">
        <v>27268.82</v>
      </c>
      <c r="C60" s="14">
        <f>IFERROR(B60/B329, "NA")</f>
      </c>
      <c r="D60" s="15"/>
      <c r="E60" s="13">
        <v>33670.160000000003</v>
      </c>
      <c r="F60" s="14">
        <f>IFERROR(E60/E329, "NA")</f>
      </c>
      <c r="G60" s="15"/>
      <c r="H60" s="13">
        <v>31166.66</v>
      </c>
      <c r="I60" s="14">
        <f>IFERROR(H60/H329, "NA")</f>
      </c>
      <c r="J60" s="15"/>
      <c r="K60" s="13">
        <v>39997.349999999999</v>
      </c>
      <c r="L60" s="14">
        <f>IFERROR(K60/K329, "NA")</f>
      </c>
      <c r="M60" s="15"/>
      <c r="N60" s="13">
        <v>41767.400000000001</v>
      </c>
      <c r="O60" s="14">
        <f>IFERROR(N60/N329, "NA")</f>
      </c>
      <c r="P60" s="15"/>
      <c r="Q60" s="13">
        <v>31722.299999999999</v>
      </c>
      <c r="R60" s="14">
        <f>IFERROR(Q60/Q329, "NA")</f>
      </c>
    </row>
    <row r="61" ht="16.5" customHeight="1">
      <c t="s" r="A61" s="12">
        <v>65</v>
      </c>
      <c r="B61" s="13">
        <v>12479.959999999999</v>
      </c>
      <c r="C61" s="14">
        <f>IFERROR(B61/B329, "NA")</f>
      </c>
      <c r="D61" s="15"/>
      <c r="E61" s="13">
        <v>14659.74</v>
      </c>
      <c r="F61" s="14">
        <f>IFERROR(E61/E329, "NA")</f>
      </c>
      <c r="G61" s="15"/>
      <c r="H61" s="13">
        <v>16846.209999999999</v>
      </c>
      <c r="I61" s="14">
        <f>IFERROR(H61/H329, "NA")</f>
      </c>
      <c r="J61" s="15"/>
      <c r="K61" s="13">
        <v>8837.3199999999997</v>
      </c>
      <c r="L61" s="14">
        <f>IFERROR(K61/K329, "NA")</f>
      </c>
      <c r="M61" s="15"/>
      <c r="N61" s="13">
        <v>15672.059999999999</v>
      </c>
      <c r="O61" s="14">
        <f>IFERROR(N61/N329, "NA")</f>
      </c>
      <c r="P61" s="15"/>
      <c r="Q61" s="13">
        <v>14334.139999999999</v>
      </c>
      <c r="R61" s="14">
        <f>IFERROR(Q61/Q329, "NA")</f>
      </c>
    </row>
    <row r="62" ht="16.5" customHeight="1">
      <c t="s" r="A62" s="12">
        <v>66</v>
      </c>
      <c r="B62" s="13">
        <v>444.23000000000002</v>
      </c>
      <c r="C62" s="14">
        <f>IFERROR(B62/B329, "NA")</f>
      </c>
      <c r="D62" s="15"/>
      <c r="E62" s="13">
        <v>347.37</v>
      </c>
      <c r="F62" s="14">
        <f>IFERROR(E62/E329, "NA")</f>
      </c>
      <c r="G62" s="15"/>
      <c r="H62" s="13">
        <v>131.65000000000001</v>
      </c>
      <c r="I62" s="14">
        <f>IFERROR(H62/H329, "NA")</f>
      </c>
      <c r="J62" s="15"/>
      <c r="K62" s="13">
        <v>270.69999999999999</v>
      </c>
      <c r="L62" s="14">
        <f>IFERROR(K62/K329, "NA")</f>
      </c>
      <c r="M62" s="15"/>
      <c r="N62" s="13">
        <v>300.93000000000001</v>
      </c>
      <c r="O62" s="14">
        <f>IFERROR(N62/N329, "NA")</f>
      </c>
      <c r="P62" s="15"/>
      <c r="Q62" s="13">
        <v>791.79999999999995</v>
      </c>
      <c r="R62" s="14">
        <f>IFERROR(Q62/Q329, "NA")</f>
      </c>
    </row>
    <row r="63" ht="16.5" customHeight="1">
      <c t="s" r="A63" s="12">
        <v>67</v>
      </c>
      <c r="B63" s="13">
        <v>2699.6700000000001</v>
      </c>
      <c r="C63" s="14">
        <f>IFERROR(B63/B329, "NA")</f>
      </c>
      <c r="D63" s="15"/>
      <c r="E63" s="13">
        <v>2612.8600000000001</v>
      </c>
      <c r="F63" s="14">
        <f>IFERROR(E63/E329, "NA")</f>
      </c>
      <c r="G63" s="15"/>
      <c r="H63" s="13">
        <v>3996.7800000000002</v>
      </c>
      <c r="I63" s="14">
        <f>IFERROR(H63/H329, "NA")</f>
      </c>
      <c r="J63" s="15"/>
      <c r="K63" s="13">
        <v>4871.1700000000001</v>
      </c>
      <c r="L63" s="14">
        <f>IFERROR(K63/K329, "NA")</f>
      </c>
      <c r="M63" s="15"/>
      <c r="N63" s="13">
        <v>3708.8499999999999</v>
      </c>
      <c r="O63" s="14">
        <f>IFERROR(N63/N329, "NA")</f>
      </c>
      <c r="P63" s="15"/>
      <c r="Q63" s="13">
        <v>5014.3000000000002</v>
      </c>
      <c r="R63" s="14">
        <f>IFERROR(Q63/Q329, "NA")</f>
      </c>
    </row>
    <row r="64" ht="16.5" customHeight="1">
      <c t="s" r="A64" s="12">
        <v>68</v>
      </c>
      <c r="B64" s="13">
        <v>0</v>
      </c>
      <c r="C64" s="14">
        <f>IFERROR(B64/B329, "NA")</f>
      </c>
      <c r="D64" s="15"/>
      <c r="E64" s="13">
        <v>0</v>
      </c>
      <c r="F64" s="14">
        <f>IFERROR(E64/E329, "NA")</f>
      </c>
      <c r="G64" s="15"/>
      <c r="H64" s="13">
        <v>0</v>
      </c>
      <c r="I64" s="14">
        <f>IFERROR(H64/H329, "NA")</f>
      </c>
      <c r="J64" s="15"/>
      <c r="K64" s="13">
        <v>0</v>
      </c>
      <c r="L64" s="14">
        <f>IFERROR(K64/K329, "NA")</f>
      </c>
      <c r="M64" s="15"/>
      <c r="N64" s="13">
        <v>0</v>
      </c>
      <c r="O64" s="14">
        <f>IFERROR(N64/N329, "NA")</f>
      </c>
      <c r="P64" s="15"/>
      <c r="Q64" s="13">
        <v>0</v>
      </c>
      <c r="R64" s="14">
        <f>IFERROR(Q64/Q329, "NA")</f>
      </c>
    </row>
    <row r="65" ht="16.5" customHeight="1">
      <c t="s" r="A65" s="16">
        <v>69</v>
      </c>
      <c r="B65" s="17">
        <f>IFERROR(B55+B56+B57+B58+B59+B60+B61+B62+B63+B64, "NA")</f>
      </c>
      <c r="C65" s="18">
        <f>IFERROR(B65/B329, "NA")</f>
      </c>
      <c r="D65" s="8"/>
      <c r="E65" s="17">
        <f>IFERROR(E55+E56+E57+E58+E59+E60+E61+E62+E63+E64, "NA")</f>
      </c>
      <c r="F65" s="18">
        <f>IFERROR(E65/E329, "NA")</f>
      </c>
      <c r="G65" s="8"/>
      <c r="H65" s="17">
        <f>IFERROR(H55+H56+H57+H58+H59+H60+H61+H62+H63+H64, "NA")</f>
      </c>
      <c r="I65" s="18">
        <f>IFERROR(H65/H329, "NA")</f>
      </c>
      <c r="J65" s="8"/>
      <c r="K65" s="17">
        <f>IFERROR(K55+K56+K57+K58+K59+K60+K61+K62+K63+K64, "NA")</f>
      </c>
      <c r="L65" s="18">
        <f>IFERROR(K65/K329, "NA")</f>
      </c>
      <c r="M65" s="8"/>
      <c r="N65" s="17">
        <f>IFERROR(N55+N56+N57+N58+N59+N60+N61+N62+N63+N64, "NA")</f>
      </c>
      <c r="O65" s="18">
        <f>IFERROR(N65/N329, "NA")</f>
      </c>
      <c r="P65" s="8"/>
      <c r="Q65" s="17">
        <f>IFERROR(Q55+Q56+Q57+Q58+Q59+Q60+Q61+Q62+Q63+Q64, "NA")</f>
      </c>
      <c r="R65" s="18">
        <f>IFERROR(Q65/Q329, "NA")</f>
      </c>
    </row>
    <row r="66" ht="16.5" customHeight="1">
      <c t="s" r="A66" s="19">
        <v>70</v>
      </c>
      <c r="B66" s="13">
        <v>3963.1999999999998</v>
      </c>
      <c r="C66" s="14">
        <f>IFERROR(B66/B329, "NA")</f>
      </c>
      <c r="D66" s="15"/>
      <c r="E66" s="13">
        <v>5519.9300000000003</v>
      </c>
      <c r="F66" s="14">
        <f>IFERROR(E66/E329, "NA")</f>
      </c>
      <c r="G66" s="15"/>
      <c r="H66" s="13">
        <v>4822.5900000000001</v>
      </c>
      <c r="I66" s="14">
        <f>IFERROR(H66/H329, "NA")</f>
      </c>
      <c r="J66" s="15"/>
      <c r="K66" s="13">
        <v>5123.8299999999999</v>
      </c>
      <c r="L66" s="14">
        <f>IFERROR(K66/K329, "NA")</f>
      </c>
      <c r="M66" s="15"/>
      <c r="N66" s="13">
        <v>6496.3199999999997</v>
      </c>
      <c r="O66" s="14">
        <f>IFERROR(N66/N329, "NA")</f>
      </c>
      <c r="P66" s="15"/>
      <c r="Q66" s="13">
        <v>6562.5100000000002</v>
      </c>
      <c r="R66" s="14">
        <f>IFERROR(Q66/Q329, "NA")</f>
      </c>
    </row>
    <row r="67" ht="16.5" customHeight="1">
      <c t="s" r="A67" s="11">
        <v>71</v>
      </c>
      <c r="B67" s="8"/>
      <c r="C67" s="9"/>
      <c r="D67" s="10"/>
      <c r="E67" s="8"/>
      <c r="F67" s="9"/>
      <c r="G67" s="10"/>
      <c r="H67" s="8"/>
      <c r="I67" s="9"/>
      <c r="J67" s="10"/>
      <c r="K67" s="8"/>
      <c r="L67" s="9"/>
      <c r="M67" s="10"/>
      <c r="N67" s="8"/>
      <c r="O67" s="9"/>
      <c r="P67" s="10"/>
      <c r="Q67" s="8"/>
      <c r="R67" s="9"/>
    </row>
    <row r="68" ht="16.5" customHeight="1">
      <c t="s" r="A68" s="12">
        <v>72</v>
      </c>
      <c r="B68" s="13">
        <v>0</v>
      </c>
      <c r="C68" s="14">
        <f>IFERROR(B68/B329, "NA")</f>
      </c>
      <c r="D68" s="15"/>
      <c r="E68" s="13">
        <v>0</v>
      </c>
      <c r="F68" s="14">
        <f>IFERROR(E68/E329, "NA")</f>
      </c>
      <c r="G68" s="15"/>
      <c r="H68" s="13">
        <v>0</v>
      </c>
      <c r="I68" s="14">
        <f>IFERROR(H68/H329, "NA")</f>
      </c>
      <c r="J68" s="15"/>
      <c r="K68" s="13">
        <v>0</v>
      </c>
      <c r="L68" s="14">
        <f>IFERROR(K68/K329, "NA")</f>
      </c>
      <c r="M68" s="15"/>
      <c r="N68" s="13">
        <v>0</v>
      </c>
      <c r="O68" s="14">
        <f>IFERROR(N68/N329, "NA")</f>
      </c>
      <c r="P68" s="15"/>
      <c r="Q68" s="13">
        <v>0</v>
      </c>
      <c r="R68" s="14">
        <f>IFERROR(Q68/Q329, "NA")</f>
      </c>
    </row>
    <row r="69" ht="16.5" customHeight="1">
      <c t="s" r="A69" s="12">
        <v>73</v>
      </c>
      <c r="B69" s="13">
        <v>-21.829999999999998</v>
      </c>
      <c r="C69" s="14">
        <f>IFERROR(B69/B329, "NA")</f>
      </c>
      <c r="D69" s="15"/>
      <c r="E69" s="13">
        <v>481.25999999999999</v>
      </c>
      <c r="F69" s="14">
        <f>IFERROR(E69/E329, "NA")</f>
      </c>
      <c r="G69" s="15"/>
      <c r="H69" s="13">
        <v>-0.96999999999999997</v>
      </c>
      <c r="I69" s="14">
        <f>IFERROR(H69/H329, "NA")</f>
      </c>
      <c r="J69" s="15"/>
      <c r="K69" s="13">
        <v>315.80000000000001</v>
      </c>
      <c r="L69" s="14">
        <f>IFERROR(K69/K329, "NA")</f>
      </c>
      <c r="M69" s="15"/>
      <c r="N69" s="13">
        <v>613.15999999999997</v>
      </c>
      <c r="O69" s="14">
        <f>IFERROR(N69/N329, "NA")</f>
      </c>
      <c r="P69" s="15"/>
      <c r="Q69" s="13">
        <v>314</v>
      </c>
      <c r="R69" s="14">
        <f>IFERROR(Q69/Q329, "NA")</f>
      </c>
    </row>
    <row r="70" ht="16.5" customHeight="1">
      <c t="s" r="A70" s="12">
        <v>74</v>
      </c>
      <c r="B70" s="13">
        <v>0</v>
      </c>
      <c r="C70" s="14">
        <f>IFERROR(B70/B329, "NA")</f>
      </c>
      <c r="D70" s="15"/>
      <c r="E70" s="13">
        <v>0</v>
      </c>
      <c r="F70" s="14">
        <f>IFERROR(E70/E329, "NA")</f>
      </c>
      <c r="G70" s="15"/>
      <c r="H70" s="13">
        <v>0</v>
      </c>
      <c r="I70" s="14">
        <f>IFERROR(H70/H329, "NA")</f>
      </c>
      <c r="J70" s="15"/>
      <c r="K70" s="13">
        <v>8172</v>
      </c>
      <c r="L70" s="14">
        <f>IFERROR(K70/K329, "NA")</f>
      </c>
      <c r="M70" s="15"/>
      <c r="N70" s="13">
        <v>0</v>
      </c>
      <c r="O70" s="14">
        <f>IFERROR(N70/N329, "NA")</f>
      </c>
      <c r="P70" s="15"/>
      <c r="Q70" s="13">
        <v>138</v>
      </c>
      <c r="R70" s="14">
        <f>IFERROR(Q70/Q329, "NA")</f>
      </c>
    </row>
    <row r="71" ht="16.5" customHeight="1">
      <c t="s" r="A71" s="12">
        <v>75</v>
      </c>
      <c r="B71" s="13">
        <v>4714.2200000000003</v>
      </c>
      <c r="C71" s="14">
        <f>IFERROR(B71/B329, "NA")</f>
      </c>
      <c r="D71" s="15"/>
      <c r="E71" s="13">
        <v>6114.3800000000001</v>
      </c>
      <c r="F71" s="14">
        <f>IFERROR(E71/E329, "NA")</f>
      </c>
      <c r="G71" s="15"/>
      <c r="H71" s="13">
        <v>12384.450000000001</v>
      </c>
      <c r="I71" s="14">
        <f>IFERROR(H71/H329, "NA")</f>
      </c>
      <c r="J71" s="15"/>
      <c r="K71" s="13">
        <v>-1474.1900000000001</v>
      </c>
      <c r="L71" s="14">
        <f>IFERROR(K71/K329, "NA")</f>
      </c>
      <c r="M71" s="15"/>
      <c r="N71" s="13">
        <v>21556.869999999999</v>
      </c>
      <c r="O71" s="14">
        <f>IFERROR(N71/N329, "NA")</f>
      </c>
      <c r="P71" s="15"/>
      <c r="Q71" s="13">
        <v>35531.370000000003</v>
      </c>
      <c r="R71" s="14">
        <f>IFERROR(Q71/Q329, "NA")</f>
      </c>
    </row>
    <row r="72" ht="16.5" customHeight="1">
      <c t="s" r="A72" s="12">
        <v>76</v>
      </c>
      <c r="B72" s="13">
        <v>0</v>
      </c>
      <c r="C72" s="14">
        <f>IFERROR(B72/B329, "NA")</f>
      </c>
      <c r="D72" s="15"/>
      <c r="E72" s="13">
        <v>0</v>
      </c>
      <c r="F72" s="14">
        <f>IFERROR(E72/E329, "NA")</f>
      </c>
      <c r="G72" s="15"/>
      <c r="H72" s="13">
        <v>0</v>
      </c>
      <c r="I72" s="14">
        <f>IFERROR(H72/H329, "NA")</f>
      </c>
      <c r="J72" s="15"/>
      <c r="K72" s="13">
        <v>0</v>
      </c>
      <c r="L72" s="14">
        <f>IFERROR(K72/K329, "NA")</f>
      </c>
      <c r="M72" s="15"/>
      <c r="N72" s="13">
        <v>0</v>
      </c>
      <c r="O72" s="14">
        <f>IFERROR(N72/N329, "NA")</f>
      </c>
      <c r="P72" s="15"/>
      <c r="Q72" s="13">
        <v>0</v>
      </c>
      <c r="R72" s="14">
        <f>IFERROR(Q72/Q329, "NA")</f>
      </c>
    </row>
    <row r="73" ht="16.5" customHeight="1">
      <c t="s" r="A73" s="12">
        <v>77</v>
      </c>
      <c r="B73" s="13">
        <v>7496.1099999999997</v>
      </c>
      <c r="C73" s="14">
        <f>IFERROR(B73/B329, "NA")</f>
      </c>
      <c r="D73" s="15"/>
      <c r="E73" s="13">
        <v>11080.32</v>
      </c>
      <c r="F73" s="14">
        <f>IFERROR(E73/E329, "NA")</f>
      </c>
      <c r="G73" s="15"/>
      <c r="H73" s="13">
        <v>7360.8100000000004</v>
      </c>
      <c r="I73" s="14">
        <f>IFERROR(H73/H329, "NA")</f>
      </c>
      <c r="J73" s="15"/>
      <c r="K73" s="13">
        <v>14835.940000000001</v>
      </c>
      <c r="L73" s="14">
        <f>IFERROR(K73/K329, "NA")</f>
      </c>
      <c r="M73" s="15"/>
      <c r="N73" s="13">
        <v>941.71000000000004</v>
      </c>
      <c r="O73" s="14">
        <f>IFERROR(N73/N329, "NA")</f>
      </c>
      <c r="P73" s="15"/>
      <c r="Q73" s="13">
        <v>25091.43</v>
      </c>
      <c r="R73" s="14">
        <f>IFERROR(Q73/Q329, "NA")</f>
      </c>
    </row>
    <row r="74" ht="16.5" customHeight="1">
      <c t="s" r="A74" s="12">
        <v>78</v>
      </c>
      <c r="B74" s="13">
        <v>3555.3600000000001</v>
      </c>
      <c r="C74" s="14">
        <f>IFERROR(B74/B329, "NA")</f>
      </c>
      <c r="D74" s="15"/>
      <c r="E74" s="13">
        <v>6415.1300000000001</v>
      </c>
      <c r="F74" s="14">
        <f>IFERROR(E74/E329, "NA")</f>
      </c>
      <c r="G74" s="15"/>
      <c r="H74" s="13">
        <v>4976.1899999999996</v>
      </c>
      <c r="I74" s="14">
        <f>IFERROR(H74/H329, "NA")</f>
      </c>
      <c r="J74" s="15"/>
      <c r="K74" s="13">
        <v>3720.9000000000001</v>
      </c>
      <c r="L74" s="14">
        <f>IFERROR(K74/K329, "NA")</f>
      </c>
      <c r="M74" s="15"/>
      <c r="N74" s="13">
        <v>4950.0900000000001</v>
      </c>
      <c r="O74" s="14">
        <f>IFERROR(N74/N329, "NA")</f>
      </c>
      <c r="P74" s="15"/>
      <c r="Q74" s="13">
        <v>4714.4099999999999</v>
      </c>
      <c r="R74" s="14">
        <f>IFERROR(Q74/Q329, "NA")</f>
      </c>
    </row>
    <row r="75" ht="16.5" customHeight="1">
      <c t="s" r="A75" s="12">
        <v>79</v>
      </c>
      <c r="B75" s="13">
        <v>1263.73</v>
      </c>
      <c r="C75" s="14">
        <f>IFERROR(B75/B329, "NA")</f>
      </c>
      <c r="D75" s="15"/>
      <c r="E75" s="13">
        <v>2908.5700000000002</v>
      </c>
      <c r="F75" s="14">
        <f>IFERROR(E75/E329, "NA")</f>
      </c>
      <c r="G75" s="15"/>
      <c r="H75" s="13">
        <v>2070.0599999999999</v>
      </c>
      <c r="I75" s="14">
        <f>IFERROR(H75/H329, "NA")</f>
      </c>
      <c r="J75" s="15"/>
      <c r="K75" s="13">
        <v>2028.48</v>
      </c>
      <c r="L75" s="14">
        <f>IFERROR(K75/K329, "NA")</f>
      </c>
      <c r="M75" s="15"/>
      <c r="N75" s="13">
        <v>2822.1799999999998</v>
      </c>
      <c r="O75" s="14">
        <f>IFERROR(N75/N329, "NA")</f>
      </c>
      <c r="P75" s="15"/>
      <c r="Q75" s="13">
        <v>3330</v>
      </c>
      <c r="R75" s="14">
        <f>IFERROR(Q75/Q329, "NA")</f>
      </c>
    </row>
    <row r="76" ht="16.5" customHeight="1">
      <c t="s" r="A76" s="16">
        <v>80</v>
      </c>
      <c r="B76" s="17">
        <f>IFERROR(B68+B69+B70+B71+B72+B73+B74+B75, "NA")</f>
      </c>
      <c r="C76" s="18">
        <f>IFERROR(B76/B329, "NA")</f>
      </c>
      <c r="D76" s="8"/>
      <c r="E76" s="17">
        <f>IFERROR(E68+E69+E70+E71+E72+E73+E74+E75, "NA")</f>
      </c>
      <c r="F76" s="18">
        <f>IFERROR(E76/E329, "NA")</f>
      </c>
      <c r="G76" s="8"/>
      <c r="H76" s="17">
        <f>IFERROR(H68+H69+H70+H71+H72+H73+H74+H75, "NA")</f>
      </c>
      <c r="I76" s="18">
        <f>IFERROR(H76/H329, "NA")</f>
      </c>
      <c r="J76" s="8"/>
      <c r="K76" s="17">
        <f>IFERROR(K68+K69+K70+K71+K72+K73+K74+K75, "NA")</f>
      </c>
      <c r="L76" s="18">
        <f>IFERROR(K76/K329, "NA")</f>
      </c>
      <c r="M76" s="8"/>
      <c r="N76" s="17">
        <f>IFERROR(N68+N69+N70+N71+N72+N73+N74+N75, "NA")</f>
      </c>
      <c r="O76" s="18">
        <f>IFERROR(N76/N329, "NA")</f>
      </c>
      <c r="P76" s="8"/>
      <c r="Q76" s="17">
        <f>IFERROR(Q68+Q69+Q70+Q71+Q72+Q73+Q74+Q75, "NA")</f>
      </c>
      <c r="R76" s="18">
        <f>IFERROR(Q76/Q329, "NA")</f>
      </c>
    </row>
    <row r="77" ht="16.5" customHeight="1">
      <c t="s" r="A77" s="11">
        <v>81</v>
      </c>
      <c r="B77" s="8"/>
      <c r="C77" s="9"/>
      <c r="D77" s="10"/>
      <c r="E77" s="8"/>
      <c r="F77" s="9"/>
      <c r="G77" s="10"/>
      <c r="H77" s="8"/>
      <c r="I77" s="9"/>
      <c r="J77" s="10"/>
      <c r="K77" s="8"/>
      <c r="L77" s="9"/>
      <c r="M77" s="10"/>
      <c r="N77" s="8"/>
      <c r="O77" s="9"/>
      <c r="P77" s="10"/>
      <c r="Q77" s="8"/>
      <c r="R77" s="9"/>
    </row>
    <row r="78" ht="16.5" customHeight="1">
      <c t="s" r="A78" s="12">
        <v>82</v>
      </c>
      <c r="B78" s="13">
        <v>0</v>
      </c>
      <c r="C78" s="14">
        <f>IFERROR(B78/B329, "NA")</f>
      </c>
      <c r="D78" s="15"/>
      <c r="E78" s="13">
        <v>0</v>
      </c>
      <c r="F78" s="14">
        <f>IFERROR(E78/E329, "NA")</f>
      </c>
      <c r="G78" s="15"/>
      <c r="H78" s="13">
        <v>0</v>
      </c>
      <c r="I78" s="14">
        <f>IFERROR(H78/H329, "NA")</f>
      </c>
      <c r="J78" s="15"/>
      <c r="K78" s="13">
        <v>0</v>
      </c>
      <c r="L78" s="14">
        <f>IFERROR(K78/K329, "NA")</f>
      </c>
      <c r="M78" s="15"/>
      <c r="N78" s="13">
        <v>0</v>
      </c>
      <c r="O78" s="14">
        <f>IFERROR(N78/N329, "NA")</f>
      </c>
      <c r="P78" s="15"/>
      <c r="Q78" s="13">
        <v>2200</v>
      </c>
      <c r="R78" s="14">
        <f>IFERROR(Q78/Q329, "NA")</f>
      </c>
    </row>
    <row r="79" ht="16.5" customHeight="1">
      <c t="s" r="A79" s="12">
        <v>83</v>
      </c>
      <c r="B79" s="13">
        <v>0</v>
      </c>
      <c r="C79" s="14">
        <f>IFERROR(B79/B329, "NA")</f>
      </c>
      <c r="D79" s="15"/>
      <c r="E79" s="13">
        <v>0</v>
      </c>
      <c r="F79" s="14">
        <f>IFERROR(E79/E329, "NA")</f>
      </c>
      <c r="G79" s="15"/>
      <c r="H79" s="13">
        <v>0</v>
      </c>
      <c r="I79" s="14">
        <f>IFERROR(H79/H329, "NA")</f>
      </c>
      <c r="J79" s="15"/>
      <c r="K79" s="13">
        <v>0</v>
      </c>
      <c r="L79" s="14">
        <f>IFERROR(K79/K329, "NA")</f>
      </c>
      <c r="M79" s="15"/>
      <c r="N79" s="13">
        <v>0</v>
      </c>
      <c r="O79" s="14">
        <f>IFERROR(N79/N329, "NA")</f>
      </c>
      <c r="P79" s="15"/>
      <c r="Q79" s="13">
        <v>0</v>
      </c>
      <c r="R79" s="14">
        <f>IFERROR(Q79/Q329, "NA")</f>
      </c>
    </row>
    <row r="80" ht="16.5" customHeight="1">
      <c t="s" r="A80" s="16">
        <v>84</v>
      </c>
      <c r="B80" s="17">
        <f>IFERROR(B78+B79, "NA")</f>
      </c>
      <c r="C80" s="18">
        <f>IFERROR(B80/B329, "NA")</f>
      </c>
      <c r="D80" s="8"/>
      <c r="E80" s="17">
        <f>IFERROR(E78+E79, "NA")</f>
      </c>
      <c r="F80" s="18">
        <f>IFERROR(E80/E329, "NA")</f>
      </c>
      <c r="G80" s="8"/>
      <c r="H80" s="17">
        <f>IFERROR(H78+H79, "NA")</f>
      </c>
      <c r="I80" s="18">
        <f>IFERROR(H80/H329, "NA")</f>
      </c>
      <c r="J80" s="8"/>
      <c r="K80" s="17">
        <f>IFERROR(K78+K79, "NA")</f>
      </c>
      <c r="L80" s="18">
        <f>IFERROR(K80/K329, "NA")</f>
      </c>
      <c r="M80" s="8"/>
      <c r="N80" s="17">
        <f>IFERROR(N78+N79, "NA")</f>
      </c>
      <c r="O80" s="18">
        <f>IFERROR(N80/N329, "NA")</f>
      </c>
      <c r="P80" s="8"/>
      <c r="Q80" s="17">
        <f>IFERROR(Q78+Q79, "NA")</f>
      </c>
      <c r="R80" s="18">
        <f>IFERROR(Q80/Q329, "NA")</f>
      </c>
    </row>
    <row r="81" ht="16.5" customHeight="1">
      <c t="s" r="A81" s="11">
        <v>85</v>
      </c>
      <c r="B81" s="8"/>
      <c r="C81" s="9"/>
      <c r="D81" s="10"/>
      <c r="E81" s="8"/>
      <c r="F81" s="9"/>
      <c r="G81" s="10"/>
      <c r="H81" s="8"/>
      <c r="I81" s="9"/>
      <c r="J81" s="10"/>
      <c r="K81" s="8"/>
      <c r="L81" s="9"/>
      <c r="M81" s="10"/>
      <c r="N81" s="8"/>
      <c r="O81" s="9"/>
      <c r="P81" s="10"/>
      <c r="Q81" s="8"/>
      <c r="R81" s="9"/>
    </row>
    <row r="82" ht="16.5" customHeight="1">
      <c t="s" r="A82" s="12">
        <v>86</v>
      </c>
      <c r="B82" s="13">
        <v>0</v>
      </c>
      <c r="C82" s="14">
        <f>IFERROR(B82/B329, "NA")</f>
      </c>
      <c r="D82" s="15"/>
      <c r="E82" s="13">
        <v>0</v>
      </c>
      <c r="F82" s="14">
        <f>IFERROR(E82/E329, "NA")</f>
      </c>
      <c r="G82" s="15"/>
      <c r="H82" s="13">
        <v>0</v>
      </c>
      <c r="I82" s="14">
        <f>IFERROR(H82/H329, "NA")</f>
      </c>
      <c r="J82" s="15"/>
      <c r="K82" s="13">
        <v>0</v>
      </c>
      <c r="L82" s="14">
        <f>IFERROR(K82/K329, "NA")</f>
      </c>
      <c r="M82" s="15"/>
      <c r="N82" s="13">
        <v>0</v>
      </c>
      <c r="O82" s="14">
        <f>IFERROR(N82/N329, "NA")</f>
      </c>
      <c r="P82" s="15"/>
      <c r="Q82" s="13">
        <v>0</v>
      </c>
      <c r="R82" s="14">
        <f>IFERROR(Q82/Q329, "NA")</f>
      </c>
    </row>
    <row r="83" ht="16.5" customHeight="1">
      <c t="s" r="A83" s="21">
        <v>87</v>
      </c>
      <c r="B83" s="8"/>
      <c r="C83" s="9"/>
      <c r="D83" s="10"/>
      <c r="E83" s="8"/>
      <c r="F83" s="9"/>
      <c r="G83" s="10"/>
      <c r="H83" s="8"/>
      <c r="I83" s="9"/>
      <c r="J83" s="10"/>
      <c r="K83" s="8"/>
      <c r="L83" s="9"/>
      <c r="M83" s="10"/>
      <c r="N83" s="8"/>
      <c r="O83" s="9"/>
      <c r="P83" s="10"/>
      <c r="Q83" s="8"/>
      <c r="R83" s="9"/>
    </row>
    <row r="84" ht="16.5" customHeight="1">
      <c t="s" r="A84" s="22">
        <v>88</v>
      </c>
      <c r="B84" s="13">
        <v>0</v>
      </c>
      <c r="C84" s="14">
        <f>IFERROR(B84/B329, "NA")</f>
      </c>
      <c r="D84" s="15"/>
      <c r="E84" s="13">
        <v>0</v>
      </c>
      <c r="F84" s="14">
        <f>IFERROR(E84/E329, "NA")</f>
      </c>
      <c r="G84" s="15"/>
      <c r="H84" s="13">
        <v>0</v>
      </c>
      <c r="I84" s="14">
        <f>IFERROR(H84/H329, "NA")</f>
      </c>
      <c r="J84" s="15"/>
      <c r="K84" s="13">
        <v>0</v>
      </c>
      <c r="L84" s="14">
        <f>IFERROR(K84/K329, "NA")</f>
      </c>
      <c r="M84" s="15"/>
      <c r="N84" s="13">
        <v>0</v>
      </c>
      <c r="O84" s="14">
        <f>IFERROR(N84/N329, "NA")</f>
      </c>
      <c r="P84" s="15"/>
      <c r="Q84" s="13">
        <v>0</v>
      </c>
      <c r="R84" s="14">
        <f>IFERROR(Q84/Q329, "NA")</f>
      </c>
    </row>
    <row r="85" ht="16.5" customHeight="1">
      <c t="s" r="A85" s="22">
        <v>89</v>
      </c>
      <c r="B85" s="13">
        <v>13118.360000000001</v>
      </c>
      <c r="C85" s="14">
        <f>IFERROR(B85/B329, "NA")</f>
      </c>
      <c r="D85" s="15"/>
      <c r="E85" s="13">
        <v>11731.08</v>
      </c>
      <c r="F85" s="14">
        <f>IFERROR(E85/E329, "NA")</f>
      </c>
      <c r="G85" s="15"/>
      <c r="H85" s="13">
        <v>18251</v>
      </c>
      <c r="I85" s="14">
        <f>IFERROR(H85/H329, "NA")</f>
      </c>
      <c r="J85" s="15"/>
      <c r="K85" s="13">
        <v>9719.5900000000001</v>
      </c>
      <c r="L85" s="14">
        <f>IFERROR(K85/K329, "NA")</f>
      </c>
      <c r="M85" s="15"/>
      <c r="N85" s="13">
        <v>17877.32</v>
      </c>
      <c r="O85" s="14">
        <f>IFERROR(N85/N329, "NA")</f>
      </c>
      <c r="P85" s="15"/>
      <c r="Q85" s="13">
        <v>16412.919999999998</v>
      </c>
      <c r="R85" s="14">
        <f>IFERROR(Q85/Q329, "NA")</f>
      </c>
    </row>
    <row r="86" ht="16.5" customHeight="1">
      <c t="s" r="A86" s="22">
        <v>90</v>
      </c>
      <c r="B86" s="13">
        <v>6546.5299999999997</v>
      </c>
      <c r="C86" s="14">
        <f>IFERROR(B86/B329, "NA")</f>
      </c>
      <c r="D86" s="15"/>
      <c r="E86" s="13">
        <v>6484.5900000000001</v>
      </c>
      <c r="F86" s="14">
        <f>IFERROR(E86/E329, "NA")</f>
      </c>
      <c r="G86" s="15"/>
      <c r="H86" s="13">
        <v>7228.9799999999996</v>
      </c>
      <c r="I86" s="14">
        <f>IFERROR(H86/H329, "NA")</f>
      </c>
      <c r="J86" s="15"/>
      <c r="K86" s="13">
        <v>7073.9200000000001</v>
      </c>
      <c r="L86" s="14">
        <f>IFERROR(K86/K329, "NA")</f>
      </c>
      <c r="M86" s="15"/>
      <c r="N86" s="13">
        <v>7282.1400000000003</v>
      </c>
      <c r="O86" s="14">
        <f>IFERROR(N86/N329, "NA")</f>
      </c>
      <c r="P86" s="15"/>
      <c r="Q86" s="13">
        <v>7396.7799999999997</v>
      </c>
      <c r="R86" s="14">
        <f>IFERROR(Q86/Q329, "NA")</f>
      </c>
    </row>
    <row r="87" ht="16.5" customHeight="1">
      <c t="s" r="A87" s="22">
        <v>91</v>
      </c>
      <c r="B87" s="13">
        <v>1512.9400000000001</v>
      </c>
      <c r="C87" s="14">
        <f>IFERROR(B87/B329, "NA")</f>
      </c>
      <c r="D87" s="15"/>
      <c r="E87" s="13">
        <v>8052.0200000000004</v>
      </c>
      <c r="F87" s="14">
        <f>IFERROR(E87/E329, "NA")</f>
      </c>
      <c r="G87" s="15"/>
      <c r="H87" s="13">
        <v>2142.9400000000001</v>
      </c>
      <c r="I87" s="14">
        <f>IFERROR(H87/H329, "NA")</f>
      </c>
      <c r="J87" s="15"/>
      <c r="K87" s="13">
        <v>8771.3999999999996</v>
      </c>
      <c r="L87" s="14">
        <f>IFERROR(K87/K329, "NA")</f>
      </c>
      <c r="M87" s="15"/>
      <c r="N87" s="13">
        <v>1843.8499999999999</v>
      </c>
      <c r="O87" s="14">
        <f>IFERROR(N87/N329, "NA")</f>
      </c>
      <c r="P87" s="15"/>
      <c r="Q87" s="13">
        <v>3159.1599999999999</v>
      </c>
      <c r="R87" s="14">
        <f>IFERROR(Q87/Q329, "NA")</f>
      </c>
    </row>
    <row r="88" ht="16.5" customHeight="1">
      <c t="s" r="A88" s="22">
        <v>92</v>
      </c>
      <c r="B88" s="13">
        <v>5546.3599999999997</v>
      </c>
      <c r="C88" s="14">
        <f>IFERROR(B88/B329, "NA")</f>
      </c>
      <c r="D88" s="15"/>
      <c r="E88" s="13">
        <v>5130.2799999999997</v>
      </c>
      <c r="F88" s="14">
        <f>IFERROR(E88/E329, "NA")</f>
      </c>
      <c r="G88" s="15"/>
      <c r="H88" s="13">
        <v>5860.4700000000003</v>
      </c>
      <c r="I88" s="14">
        <f>IFERROR(H88/H329, "NA")</f>
      </c>
      <c r="J88" s="15"/>
      <c r="K88" s="13">
        <v>6608</v>
      </c>
      <c r="L88" s="14">
        <f>IFERROR(K88/K329, "NA")</f>
      </c>
      <c r="M88" s="15"/>
      <c r="N88" s="13">
        <v>5753.3900000000003</v>
      </c>
      <c r="O88" s="14">
        <f>IFERROR(N88/N329, "NA")</f>
      </c>
      <c r="P88" s="15"/>
      <c r="Q88" s="13">
        <v>6150.1899999999996</v>
      </c>
      <c r="R88" s="14">
        <f>IFERROR(Q88/Q329, "NA")</f>
      </c>
    </row>
    <row r="89" ht="16.5" customHeight="1">
      <c t="s" r="A89" s="22">
        <v>93</v>
      </c>
      <c r="B89" s="13">
        <v>10110.01</v>
      </c>
      <c r="C89" s="14">
        <f>IFERROR(B89/B329, "NA")</f>
      </c>
      <c r="D89" s="15"/>
      <c r="E89" s="13">
        <v>11825.6</v>
      </c>
      <c r="F89" s="14">
        <f>IFERROR(E89/E329, "NA")</f>
      </c>
      <c r="G89" s="15"/>
      <c r="H89" s="13">
        <v>12150.16</v>
      </c>
      <c r="I89" s="14">
        <f>IFERROR(H89/H329, "NA")</f>
      </c>
      <c r="J89" s="15"/>
      <c r="K89" s="13">
        <v>11281.860000000001</v>
      </c>
      <c r="L89" s="14">
        <f>IFERROR(K89/K329, "NA")</f>
      </c>
      <c r="M89" s="15"/>
      <c r="N89" s="13">
        <v>11966.120000000001</v>
      </c>
      <c r="O89" s="14">
        <f>IFERROR(N89/N329, "NA")</f>
      </c>
      <c r="P89" s="15"/>
      <c r="Q89" s="13">
        <v>11929.559999999999</v>
      </c>
      <c r="R89" s="14">
        <f>IFERROR(Q89/Q329, "NA")</f>
      </c>
    </row>
    <row r="90" ht="16.5" customHeight="1">
      <c t="s" r="A90" s="22">
        <v>94</v>
      </c>
      <c r="B90" s="13">
        <v>689.55999999999995</v>
      </c>
      <c r="C90" s="14">
        <f>IFERROR(B90/B329, "NA")</f>
      </c>
      <c r="D90" s="15"/>
      <c r="E90" s="13">
        <v>477.88</v>
      </c>
      <c r="F90" s="14">
        <f>IFERROR(E90/E329, "NA")</f>
      </c>
      <c r="G90" s="15"/>
      <c r="H90" s="13">
        <v>873.69000000000005</v>
      </c>
      <c r="I90" s="14">
        <f>IFERROR(H90/H329, "NA")</f>
      </c>
      <c r="J90" s="15"/>
      <c r="K90" s="13">
        <v>730.96000000000004</v>
      </c>
      <c r="L90" s="14">
        <f>IFERROR(K90/K329, "NA")</f>
      </c>
      <c r="M90" s="15"/>
      <c r="N90" s="13">
        <v>647.94000000000005</v>
      </c>
      <c r="O90" s="14">
        <f>IFERROR(N90/N329, "NA")</f>
      </c>
      <c r="P90" s="15"/>
      <c r="Q90" s="13">
        <v>828.75999999999999</v>
      </c>
      <c r="R90" s="14">
        <f>IFERROR(Q90/Q329, "NA")</f>
      </c>
    </row>
    <row r="91" ht="16.5" customHeight="1">
      <c t="s" r="A91" s="22">
        <v>95</v>
      </c>
      <c r="B91" s="13">
        <v>0</v>
      </c>
      <c r="C91" s="14">
        <f>IFERROR(B91/B329, "NA")</f>
      </c>
      <c r="D91" s="15"/>
      <c r="E91" s="13">
        <v>0</v>
      </c>
      <c r="F91" s="14">
        <f>IFERROR(E91/E329, "NA")</f>
      </c>
      <c r="G91" s="15"/>
      <c r="H91" s="13">
        <v>0</v>
      </c>
      <c r="I91" s="14">
        <f>IFERROR(H91/H329, "NA")</f>
      </c>
      <c r="J91" s="15"/>
      <c r="K91" s="13">
        <v>0</v>
      </c>
      <c r="L91" s="14">
        <f>IFERROR(K91/K329, "NA")</f>
      </c>
      <c r="M91" s="15"/>
      <c r="N91" s="13">
        <v>0</v>
      </c>
      <c r="O91" s="14">
        <f>IFERROR(N91/N329, "NA")</f>
      </c>
      <c r="P91" s="15"/>
      <c r="Q91" s="13">
        <v>0</v>
      </c>
      <c r="R91" s="14">
        <f>IFERROR(Q91/Q329, "NA")</f>
      </c>
    </row>
    <row r="92" ht="16.5" customHeight="1">
      <c t="s" r="A92" s="22">
        <v>96</v>
      </c>
      <c r="B92" s="13">
        <v>7342.5799999999999</v>
      </c>
      <c r="C92" s="14">
        <f>IFERROR(B92/B329, "NA")</f>
      </c>
      <c r="D92" s="15"/>
      <c r="E92" s="13">
        <v>8279.6000000000004</v>
      </c>
      <c r="F92" s="14">
        <f>IFERROR(E92/E329, "NA")</f>
      </c>
      <c r="G92" s="15"/>
      <c r="H92" s="13">
        <v>8399.0699999999997</v>
      </c>
      <c r="I92" s="14">
        <f>IFERROR(H92/H329, "NA")</f>
      </c>
      <c r="J92" s="15"/>
      <c r="K92" s="13">
        <v>7680.6199999999999</v>
      </c>
      <c r="L92" s="14">
        <f>IFERROR(K92/K329, "NA")</f>
      </c>
      <c r="M92" s="15"/>
      <c r="N92" s="13">
        <v>8253.3999999999996</v>
      </c>
      <c r="O92" s="14">
        <f>IFERROR(N92/N329, "NA")</f>
      </c>
      <c r="P92" s="15"/>
      <c r="Q92" s="13">
        <v>7510.5500000000002</v>
      </c>
      <c r="R92" s="14">
        <f>IFERROR(Q92/Q329, "NA")</f>
      </c>
    </row>
    <row r="93" ht="16.5" customHeight="1">
      <c t="s" r="A93" s="22">
        <v>97</v>
      </c>
      <c r="B93" s="13">
        <v>2974.6799999999998</v>
      </c>
      <c r="C93" s="14">
        <f>IFERROR(B93/B329, "NA")</f>
      </c>
      <c r="D93" s="15"/>
      <c r="E93" s="13">
        <v>3648.4899999999998</v>
      </c>
      <c r="F93" s="14">
        <f>IFERROR(E93/E329, "NA")</f>
      </c>
      <c r="G93" s="15"/>
      <c r="H93" s="13">
        <v>3713.7399999999998</v>
      </c>
      <c r="I93" s="14">
        <f>IFERROR(H93/H329, "NA")</f>
      </c>
      <c r="J93" s="15"/>
      <c r="K93" s="13">
        <v>4371.04</v>
      </c>
      <c r="L93" s="14">
        <f>IFERROR(K93/K329, "NA")</f>
      </c>
      <c r="M93" s="15"/>
      <c r="N93" s="13">
        <v>3890.1199999999999</v>
      </c>
      <c r="O93" s="14">
        <f>IFERROR(N93/N329, "NA")</f>
      </c>
      <c r="P93" s="15"/>
      <c r="Q93" s="13">
        <v>4281.04</v>
      </c>
      <c r="R93" s="14">
        <f>IFERROR(Q93/Q329, "NA")</f>
      </c>
    </row>
    <row r="94" ht="16.5" customHeight="1">
      <c t="s" r="A94" s="22">
        <v>98</v>
      </c>
      <c r="B94" s="13">
        <v>0</v>
      </c>
      <c r="C94" s="14">
        <f>IFERROR(B94/B329, "NA")</f>
      </c>
      <c r="D94" s="15"/>
      <c r="E94" s="13">
        <v>0</v>
      </c>
      <c r="F94" s="14">
        <f>IFERROR(E94/E329, "NA")</f>
      </c>
      <c r="G94" s="15"/>
      <c r="H94" s="13">
        <v>0</v>
      </c>
      <c r="I94" s="14">
        <f>IFERROR(H94/H329, "NA")</f>
      </c>
      <c r="J94" s="15"/>
      <c r="K94" s="13">
        <v>0</v>
      </c>
      <c r="L94" s="14">
        <f>IFERROR(K94/K329, "NA")</f>
      </c>
      <c r="M94" s="15"/>
      <c r="N94" s="13">
        <v>0</v>
      </c>
      <c r="O94" s="14">
        <f>IFERROR(N94/N329, "NA")</f>
      </c>
      <c r="P94" s="15"/>
      <c r="Q94" s="13">
        <v>0</v>
      </c>
      <c r="R94" s="14">
        <f>IFERROR(Q94/Q329, "NA")</f>
      </c>
    </row>
    <row r="95" ht="16.5" customHeight="1">
      <c t="s" r="A95" s="22">
        <v>99</v>
      </c>
      <c r="B95" s="13">
        <v>0</v>
      </c>
      <c r="C95" s="14">
        <f>IFERROR(B95/B329, "NA")</f>
      </c>
      <c r="D95" s="15"/>
      <c r="E95" s="13">
        <v>0</v>
      </c>
      <c r="F95" s="14">
        <f>IFERROR(E95/E329, "NA")</f>
      </c>
      <c r="G95" s="15"/>
      <c r="H95" s="13">
        <v>0</v>
      </c>
      <c r="I95" s="14">
        <f>IFERROR(H95/H329, "NA")</f>
      </c>
      <c r="J95" s="15"/>
      <c r="K95" s="13">
        <v>0</v>
      </c>
      <c r="L95" s="14">
        <f>IFERROR(K95/K329, "NA")</f>
      </c>
      <c r="M95" s="15"/>
      <c r="N95" s="13">
        <v>0</v>
      </c>
      <c r="O95" s="14">
        <f>IFERROR(N95/N329, "NA")</f>
      </c>
      <c r="P95" s="15"/>
      <c r="Q95" s="13">
        <v>0</v>
      </c>
      <c r="R95" s="14">
        <f>IFERROR(Q95/Q329, "NA")</f>
      </c>
    </row>
    <row r="96" ht="16.5" customHeight="1">
      <c t="s" r="A96" s="22">
        <v>100</v>
      </c>
      <c r="B96" s="13">
        <v>0</v>
      </c>
      <c r="C96" s="14">
        <f>IFERROR(B96/B329, "NA")</f>
      </c>
      <c r="D96" s="15"/>
      <c r="E96" s="13">
        <v>0</v>
      </c>
      <c r="F96" s="14">
        <f>IFERROR(E96/E329, "NA")</f>
      </c>
      <c r="G96" s="15"/>
      <c r="H96" s="13">
        <v>0</v>
      </c>
      <c r="I96" s="14">
        <f>IFERROR(H96/H329, "NA")</f>
      </c>
      <c r="J96" s="15"/>
      <c r="K96" s="13">
        <v>12428</v>
      </c>
      <c r="L96" s="14">
        <f>IFERROR(K96/K329, "NA")</f>
      </c>
      <c r="M96" s="15"/>
      <c r="N96" s="13">
        <v>0</v>
      </c>
      <c r="O96" s="14">
        <f>IFERROR(N96/N329, "NA")</f>
      </c>
      <c r="P96" s="15"/>
      <c r="Q96" s="13">
        <v>0</v>
      </c>
      <c r="R96" s="14">
        <f>IFERROR(Q96/Q329, "NA")</f>
      </c>
    </row>
    <row r="97" ht="16.5" customHeight="1">
      <c t="s" r="A97" s="22">
        <v>101</v>
      </c>
      <c r="B97" s="13">
        <v>3411.2199999999998</v>
      </c>
      <c r="C97" s="14">
        <f>IFERROR(B97/B329, "NA")</f>
      </c>
      <c r="D97" s="15"/>
      <c r="E97" s="13">
        <v>4464.8500000000004</v>
      </c>
      <c r="F97" s="14">
        <f>IFERROR(E97/E329, "NA")</f>
      </c>
      <c r="G97" s="15"/>
      <c r="H97" s="13">
        <v>4216.1499999999996</v>
      </c>
      <c r="I97" s="14">
        <f>IFERROR(H97/H329, "NA")</f>
      </c>
      <c r="J97" s="15"/>
      <c r="K97" s="13">
        <v>4394.1599999999999</v>
      </c>
      <c r="L97" s="14">
        <f>IFERROR(K97/K329, "NA")</f>
      </c>
      <c r="M97" s="15"/>
      <c r="N97" s="13">
        <v>5202.3900000000003</v>
      </c>
      <c r="O97" s="14">
        <f>IFERROR(N97/N329, "NA")</f>
      </c>
      <c r="P97" s="15"/>
      <c r="Q97" s="13">
        <v>5136.8800000000001</v>
      </c>
      <c r="R97" s="14">
        <f>IFERROR(Q97/Q329, "NA")</f>
      </c>
    </row>
    <row r="98" ht="16.5" customHeight="1">
      <c t="s" r="A98" s="22">
        <v>102</v>
      </c>
      <c r="B98" s="13">
        <v>2628</v>
      </c>
      <c r="C98" s="14">
        <f>IFERROR(B98/B329, "NA")</f>
      </c>
      <c r="D98" s="15"/>
      <c r="E98" s="13">
        <v>3143</v>
      </c>
      <c r="F98" s="14">
        <f>IFERROR(E98/E329, "NA")</f>
      </c>
      <c r="G98" s="15"/>
      <c r="H98" s="13">
        <v>3547</v>
      </c>
      <c r="I98" s="14">
        <f>IFERROR(H98/H329, "NA")</f>
      </c>
      <c r="J98" s="15"/>
      <c r="K98" s="13">
        <v>3182</v>
      </c>
      <c r="L98" s="14">
        <f>IFERROR(K98/K329, "NA")</f>
      </c>
      <c r="M98" s="15"/>
      <c r="N98" s="13">
        <v>3633</v>
      </c>
      <c r="O98" s="14">
        <f>IFERROR(N98/N329, "NA")</f>
      </c>
      <c r="P98" s="15"/>
      <c r="Q98" s="13">
        <v>0</v>
      </c>
      <c r="R98" s="14">
        <f>IFERROR(Q98/Q329, "NA")</f>
      </c>
    </row>
    <row r="99" ht="16.5" customHeight="1">
      <c t="s" r="A99" s="22">
        <v>103</v>
      </c>
      <c r="B99" s="13">
        <v>0</v>
      </c>
      <c r="C99" s="14">
        <f>IFERROR(B99/B329, "NA")</f>
      </c>
      <c r="D99" s="15"/>
      <c r="E99" s="13">
        <v>0</v>
      </c>
      <c r="F99" s="14">
        <f>IFERROR(E99/E329, "NA")</f>
      </c>
      <c r="G99" s="15"/>
      <c r="H99" s="13">
        <v>0</v>
      </c>
      <c r="I99" s="14">
        <f>IFERROR(H99/H329, "NA")</f>
      </c>
      <c r="J99" s="15"/>
      <c r="K99" s="13">
        <v>0</v>
      </c>
      <c r="L99" s="14">
        <f>IFERROR(K99/K329, "NA")</f>
      </c>
      <c r="M99" s="15"/>
      <c r="N99" s="13">
        <v>0</v>
      </c>
      <c r="O99" s="14">
        <f>IFERROR(N99/N329, "NA")</f>
      </c>
      <c r="P99" s="15"/>
      <c r="Q99" s="13">
        <v>0</v>
      </c>
      <c r="R99" s="14">
        <f>IFERROR(Q99/Q329, "NA")</f>
      </c>
    </row>
    <row r="100" ht="16.5" customHeight="1">
      <c t="s" r="A100" s="22">
        <v>104</v>
      </c>
      <c r="B100" s="13">
        <v>0</v>
      </c>
      <c r="C100" s="14">
        <f>IFERROR(B100/B329, "NA")</f>
      </c>
      <c r="D100" s="15"/>
      <c r="E100" s="13">
        <v>0</v>
      </c>
      <c r="F100" s="14">
        <f>IFERROR(E100/E329, "NA")</f>
      </c>
      <c r="G100" s="15"/>
      <c r="H100" s="13">
        <v>0</v>
      </c>
      <c r="I100" s="14">
        <f>IFERROR(H100/H329, "NA")</f>
      </c>
      <c r="J100" s="15"/>
      <c r="K100" s="13">
        <v>0</v>
      </c>
      <c r="L100" s="14">
        <f>IFERROR(K100/K329, "NA")</f>
      </c>
      <c r="M100" s="15"/>
      <c r="N100" s="13">
        <v>0</v>
      </c>
      <c r="O100" s="14">
        <f>IFERROR(N100/N329, "NA")</f>
      </c>
      <c r="P100" s="15"/>
      <c r="Q100" s="13">
        <v>0</v>
      </c>
      <c r="R100" s="14">
        <f>IFERROR(Q100/Q329, "NA")</f>
      </c>
    </row>
    <row r="101" ht="16.5" customHeight="1">
      <c t="s" r="A101" s="22">
        <v>105</v>
      </c>
      <c r="B101" s="13">
        <v>0</v>
      </c>
      <c r="C101" s="14">
        <f>IFERROR(B101/B329, "NA")</f>
      </c>
      <c r="D101" s="15"/>
      <c r="E101" s="13">
        <v>0</v>
      </c>
      <c r="F101" s="14">
        <f>IFERROR(E101/E329, "NA")</f>
      </c>
      <c r="G101" s="15"/>
      <c r="H101" s="13">
        <v>0</v>
      </c>
      <c r="I101" s="14">
        <f>IFERROR(H101/H329, "NA")</f>
      </c>
      <c r="J101" s="15"/>
      <c r="K101" s="13">
        <v>0</v>
      </c>
      <c r="L101" s="14">
        <f>IFERROR(K101/K329, "NA")</f>
      </c>
      <c r="M101" s="15"/>
      <c r="N101" s="13">
        <v>0</v>
      </c>
      <c r="O101" s="14">
        <f>IFERROR(N101/N329, "NA")</f>
      </c>
      <c r="P101" s="15"/>
      <c r="Q101" s="13">
        <v>0</v>
      </c>
      <c r="R101" s="14">
        <f>IFERROR(Q101/Q329, "NA")</f>
      </c>
    </row>
    <row r="102" ht="16.5" customHeight="1">
      <c t="s" r="A102" s="22">
        <v>106</v>
      </c>
      <c r="B102" s="13">
        <v>0</v>
      </c>
      <c r="C102" s="14">
        <f>IFERROR(B102/B329, "NA")</f>
      </c>
      <c r="D102" s="15"/>
      <c r="E102" s="13">
        <v>0</v>
      </c>
      <c r="F102" s="14">
        <f>IFERROR(E102/E329, "NA")</f>
      </c>
      <c r="G102" s="15"/>
      <c r="H102" s="13">
        <v>0</v>
      </c>
      <c r="I102" s="14">
        <f>IFERROR(H102/H329, "NA")</f>
      </c>
      <c r="J102" s="15"/>
      <c r="K102" s="13">
        <v>0</v>
      </c>
      <c r="L102" s="14">
        <f>IFERROR(K102/K329, "NA")</f>
      </c>
      <c r="M102" s="15"/>
      <c r="N102" s="13">
        <v>0</v>
      </c>
      <c r="O102" s="14">
        <f>IFERROR(N102/N329, "NA")</f>
      </c>
      <c r="P102" s="15"/>
      <c r="Q102" s="13">
        <v>0</v>
      </c>
      <c r="R102" s="14">
        <f>IFERROR(Q102/Q329, "NA")</f>
      </c>
    </row>
    <row r="103" ht="16.5" customHeight="1">
      <c t="s" r="A103" s="22">
        <v>107</v>
      </c>
      <c r="B103" s="13">
        <v>0</v>
      </c>
      <c r="C103" s="14">
        <f>IFERROR(B103/B329, "NA")</f>
      </c>
      <c r="D103" s="15"/>
      <c r="E103" s="13">
        <v>0</v>
      </c>
      <c r="F103" s="14">
        <f>IFERROR(E103/E329, "NA")</f>
      </c>
      <c r="G103" s="15"/>
      <c r="H103" s="13">
        <v>0</v>
      </c>
      <c r="I103" s="14">
        <f>IFERROR(H103/H329, "NA")</f>
      </c>
      <c r="J103" s="15"/>
      <c r="K103" s="13">
        <v>0</v>
      </c>
      <c r="L103" s="14">
        <f>IFERROR(K103/K329, "NA")</f>
      </c>
      <c r="M103" s="15"/>
      <c r="N103" s="13">
        <v>0</v>
      </c>
      <c r="O103" s="14">
        <f>IFERROR(N103/N329, "NA")</f>
      </c>
      <c r="P103" s="15"/>
      <c r="Q103" s="13">
        <v>0</v>
      </c>
      <c r="R103" s="14">
        <f>IFERROR(Q103/Q329, "NA")</f>
      </c>
    </row>
    <row r="104" ht="16.5" customHeight="1">
      <c t="s" r="A104" s="22">
        <v>108</v>
      </c>
      <c r="B104" s="13">
        <v>0</v>
      </c>
      <c r="C104" s="14">
        <f>IFERROR(B104/B329, "NA")</f>
      </c>
      <c r="D104" s="15"/>
      <c r="E104" s="13">
        <v>0</v>
      </c>
      <c r="F104" s="14">
        <f>IFERROR(E104/E329, "NA")</f>
      </c>
      <c r="G104" s="15"/>
      <c r="H104" s="13">
        <v>0</v>
      </c>
      <c r="I104" s="14">
        <f>IFERROR(H104/H329, "NA")</f>
      </c>
      <c r="J104" s="15"/>
      <c r="K104" s="13">
        <v>0</v>
      </c>
      <c r="L104" s="14">
        <f>IFERROR(K104/K329, "NA")</f>
      </c>
      <c r="M104" s="15"/>
      <c r="N104" s="13">
        <v>0</v>
      </c>
      <c r="O104" s="14">
        <f>IFERROR(N104/N329, "NA")</f>
      </c>
      <c r="P104" s="15"/>
      <c r="Q104" s="13">
        <v>0</v>
      </c>
      <c r="R104" s="14">
        <f>IFERROR(Q104/Q329, "NA")</f>
      </c>
    </row>
    <row r="105" ht="16.5" customHeight="1">
      <c t="s" r="A105" s="22">
        <v>109</v>
      </c>
      <c r="B105" s="13">
        <v>0</v>
      </c>
      <c r="C105" s="14">
        <f>IFERROR(B105/B329, "NA")</f>
      </c>
      <c r="D105" s="15"/>
      <c r="E105" s="13">
        <v>0</v>
      </c>
      <c r="F105" s="14">
        <f>IFERROR(E105/E329, "NA")</f>
      </c>
      <c r="G105" s="15"/>
      <c r="H105" s="13">
        <v>0</v>
      </c>
      <c r="I105" s="14">
        <f>IFERROR(H105/H329, "NA")</f>
      </c>
      <c r="J105" s="15"/>
      <c r="K105" s="13">
        <v>0</v>
      </c>
      <c r="L105" s="14">
        <f>IFERROR(K105/K329, "NA")</f>
      </c>
      <c r="M105" s="15"/>
      <c r="N105" s="13">
        <v>0</v>
      </c>
      <c r="O105" s="14">
        <f>IFERROR(N105/N329, "NA")</f>
      </c>
      <c r="P105" s="15"/>
      <c r="Q105" s="13">
        <v>0</v>
      </c>
      <c r="R105" s="14">
        <f>IFERROR(Q105/Q329, "NA")</f>
      </c>
    </row>
    <row r="106" ht="16.5" customHeight="1">
      <c t="s" r="A106" s="22">
        <v>110</v>
      </c>
      <c r="B106" s="13">
        <v>0</v>
      </c>
      <c r="C106" s="14">
        <f>IFERROR(B106/B329, "NA")</f>
      </c>
      <c r="D106" s="15"/>
      <c r="E106" s="13">
        <v>0</v>
      </c>
      <c r="F106" s="14">
        <f>IFERROR(E106/E329, "NA")</f>
      </c>
      <c r="G106" s="15"/>
      <c r="H106" s="13">
        <v>0</v>
      </c>
      <c r="I106" s="14">
        <f>IFERROR(H106/H329, "NA")</f>
      </c>
      <c r="J106" s="15"/>
      <c r="K106" s="13">
        <v>0</v>
      </c>
      <c r="L106" s="14">
        <f>IFERROR(K106/K329, "NA")</f>
      </c>
      <c r="M106" s="15"/>
      <c r="N106" s="13">
        <v>0</v>
      </c>
      <c r="O106" s="14">
        <f>IFERROR(N106/N329, "NA")</f>
      </c>
      <c r="P106" s="15"/>
      <c r="Q106" s="13">
        <v>0</v>
      </c>
      <c r="R106" s="14">
        <f>IFERROR(Q106/Q329, "NA")</f>
      </c>
    </row>
    <row r="107" ht="16.5" customHeight="1">
      <c t="s" r="A107" s="22">
        <v>111</v>
      </c>
      <c r="B107" s="13">
        <v>0</v>
      </c>
      <c r="C107" s="14">
        <f>IFERROR(B107/B329, "NA")</f>
      </c>
      <c r="D107" s="15"/>
      <c r="E107" s="13">
        <v>0</v>
      </c>
      <c r="F107" s="14">
        <f>IFERROR(E107/E329, "NA")</f>
      </c>
      <c r="G107" s="15"/>
      <c r="H107" s="13">
        <v>0</v>
      </c>
      <c r="I107" s="14">
        <f>IFERROR(H107/H329, "NA")</f>
      </c>
      <c r="J107" s="15"/>
      <c r="K107" s="13">
        <v>0</v>
      </c>
      <c r="L107" s="14">
        <f>IFERROR(K107/K329, "NA")</f>
      </c>
      <c r="M107" s="15"/>
      <c r="N107" s="13">
        <v>0</v>
      </c>
      <c r="O107" s="14">
        <f>IFERROR(N107/N329, "NA")</f>
      </c>
      <c r="P107" s="15"/>
      <c r="Q107" s="13">
        <v>0</v>
      </c>
      <c r="R107" s="14">
        <f>IFERROR(Q107/Q329, "NA")</f>
      </c>
    </row>
    <row r="108" ht="16.5" customHeight="1">
      <c t="s" r="A108" s="22">
        <v>112</v>
      </c>
      <c r="B108" s="13">
        <v>0</v>
      </c>
      <c r="C108" s="14">
        <f>IFERROR(B108/B329, "NA")</f>
      </c>
      <c r="D108" s="15"/>
      <c r="E108" s="13">
        <v>0</v>
      </c>
      <c r="F108" s="14">
        <f>IFERROR(E108/E329, "NA")</f>
      </c>
      <c r="G108" s="15"/>
      <c r="H108" s="13">
        <v>0</v>
      </c>
      <c r="I108" s="14">
        <f>IFERROR(H108/H329, "NA")</f>
      </c>
      <c r="J108" s="15"/>
      <c r="K108" s="13">
        <v>0</v>
      </c>
      <c r="L108" s="14">
        <f>IFERROR(K108/K329, "NA")</f>
      </c>
      <c r="M108" s="15"/>
      <c r="N108" s="13">
        <v>0</v>
      </c>
      <c r="O108" s="14">
        <f>IFERROR(N108/N329, "NA")</f>
      </c>
      <c r="P108" s="15"/>
      <c r="Q108" s="13">
        <v>0</v>
      </c>
      <c r="R108" s="14">
        <f>IFERROR(Q108/Q329, "NA")</f>
      </c>
    </row>
    <row r="109" ht="16.5" customHeight="1">
      <c t="s" r="A109" s="22">
        <v>113</v>
      </c>
      <c r="B109" s="13">
        <v>0</v>
      </c>
      <c r="C109" s="14">
        <f>IFERROR(B109/B329, "NA")</f>
      </c>
      <c r="D109" s="15"/>
      <c r="E109" s="13">
        <v>0</v>
      </c>
      <c r="F109" s="14">
        <f>IFERROR(E109/E329, "NA")</f>
      </c>
      <c r="G109" s="15"/>
      <c r="H109" s="13">
        <v>0</v>
      </c>
      <c r="I109" s="14">
        <f>IFERROR(H109/H329, "NA")</f>
      </c>
      <c r="J109" s="15"/>
      <c r="K109" s="13">
        <v>0</v>
      </c>
      <c r="L109" s="14">
        <f>IFERROR(K109/K329, "NA")</f>
      </c>
      <c r="M109" s="15"/>
      <c r="N109" s="13">
        <v>0</v>
      </c>
      <c r="O109" s="14">
        <f>IFERROR(N109/N329, "NA")</f>
      </c>
      <c r="P109" s="15"/>
      <c r="Q109" s="13">
        <v>0</v>
      </c>
      <c r="R109" s="14">
        <f>IFERROR(Q109/Q329, "NA")</f>
      </c>
    </row>
    <row r="110" ht="16.5" customHeight="1">
      <c t="s" r="A110" s="22">
        <v>114</v>
      </c>
      <c r="B110" s="13">
        <v>3347.6799999999998</v>
      </c>
      <c r="C110" s="14">
        <f>IFERROR(B110/B329, "NA")</f>
      </c>
      <c r="D110" s="15"/>
      <c r="E110" s="13">
        <v>3387.8699999999999</v>
      </c>
      <c r="F110" s="14">
        <f>IFERROR(E110/E329, "NA")</f>
      </c>
      <c r="G110" s="15"/>
      <c r="H110" s="13">
        <v>3373.98</v>
      </c>
      <c r="I110" s="14">
        <f>IFERROR(H110/H329, "NA")</f>
      </c>
      <c r="J110" s="15"/>
      <c r="K110" s="13">
        <v>3664.52</v>
      </c>
      <c r="L110" s="14">
        <f>IFERROR(K110/K329, "NA")</f>
      </c>
      <c r="M110" s="15"/>
      <c r="N110" s="13">
        <v>3351.6700000000001</v>
      </c>
      <c r="O110" s="14">
        <f>IFERROR(N110/N329, "NA")</f>
      </c>
      <c r="P110" s="15"/>
      <c r="Q110" s="13">
        <v>3561.8099999999999</v>
      </c>
      <c r="R110" s="14">
        <f>IFERROR(Q110/Q329, "NA")</f>
      </c>
    </row>
    <row r="111" ht="16.5" customHeight="1">
      <c t="s" r="A111" s="22">
        <v>115</v>
      </c>
      <c r="B111" s="13">
        <v>0</v>
      </c>
      <c r="C111" s="14">
        <f>IFERROR(B111/B329, "NA")</f>
      </c>
      <c r="D111" s="15"/>
      <c r="E111" s="13">
        <v>7688.3699999999999</v>
      </c>
      <c r="F111" s="14">
        <f>IFERROR(E111/E329, "NA")</f>
      </c>
      <c r="G111" s="15"/>
      <c r="H111" s="13">
        <v>0</v>
      </c>
      <c r="I111" s="14">
        <f>IFERROR(H111/H329, "NA")</f>
      </c>
      <c r="J111" s="15"/>
      <c r="K111" s="13">
        <v>4720.4099999999999</v>
      </c>
      <c r="L111" s="14">
        <f>IFERROR(K111/K329, "NA")</f>
      </c>
      <c r="M111" s="15"/>
      <c r="N111" s="13">
        <v>0</v>
      </c>
      <c r="O111" s="14">
        <f>IFERROR(N111/N329, "NA")</f>
      </c>
      <c r="P111" s="15"/>
      <c r="Q111" s="13">
        <v>0</v>
      </c>
      <c r="R111" s="14">
        <f>IFERROR(Q111/Q329, "NA")</f>
      </c>
    </row>
    <row r="112" ht="16.5" customHeight="1">
      <c t="s" r="A112" s="22">
        <v>116</v>
      </c>
      <c r="B112" s="13">
        <v>2160.8400000000001</v>
      </c>
      <c r="C112" s="14">
        <f>IFERROR(B112/B329, "NA")</f>
      </c>
      <c r="D112" s="15"/>
      <c r="E112" s="13">
        <v>1945.4000000000001</v>
      </c>
      <c r="F112" s="14">
        <f>IFERROR(E112/E329, "NA")</f>
      </c>
      <c r="G112" s="15"/>
      <c r="H112" s="13">
        <v>1648.5799999999999</v>
      </c>
      <c r="I112" s="14">
        <f>IFERROR(H112/H329, "NA")</f>
      </c>
      <c r="J112" s="15"/>
      <c r="K112" s="13">
        <v>1655.1199999999999</v>
      </c>
      <c r="L112" s="14">
        <f>IFERROR(K112/K329, "NA")</f>
      </c>
      <c r="M112" s="15"/>
      <c r="N112" s="13">
        <v>1588.74</v>
      </c>
      <c r="O112" s="14">
        <f>IFERROR(N112/N329, "NA")</f>
      </c>
      <c r="P112" s="15"/>
      <c r="Q112" s="13">
        <v>1629.76</v>
      </c>
      <c r="R112" s="14">
        <f>IFERROR(Q112/Q329, "NA")</f>
      </c>
    </row>
    <row r="113" ht="16.5" customHeight="1">
      <c t="s" r="A113" s="22">
        <v>117</v>
      </c>
      <c r="B113" s="13">
        <v>0</v>
      </c>
      <c r="C113" s="14">
        <f>IFERROR(B113/B329, "NA")</f>
      </c>
      <c r="D113" s="15"/>
      <c r="E113" s="13">
        <v>0</v>
      </c>
      <c r="F113" s="14">
        <f>IFERROR(E113/E329, "NA")</f>
      </c>
      <c r="G113" s="15"/>
      <c r="H113" s="13">
        <v>0</v>
      </c>
      <c r="I113" s="14">
        <f>IFERROR(H113/H329, "NA")</f>
      </c>
      <c r="J113" s="15"/>
      <c r="K113" s="13">
        <v>0</v>
      </c>
      <c r="L113" s="14">
        <f>IFERROR(K113/K329, "NA")</f>
      </c>
      <c r="M113" s="15"/>
      <c r="N113" s="13">
        <v>0</v>
      </c>
      <c r="O113" s="14">
        <f>IFERROR(N113/N329, "NA")</f>
      </c>
      <c r="P113" s="15"/>
      <c r="Q113" s="13">
        <v>0</v>
      </c>
      <c r="R113" s="14">
        <f>IFERROR(Q113/Q329, "NA")</f>
      </c>
    </row>
    <row r="114" ht="16.5" customHeight="1">
      <c t="s" r="A114" s="22">
        <v>118</v>
      </c>
      <c r="B114" s="13">
        <v>1262.21</v>
      </c>
      <c r="C114" s="14">
        <f>IFERROR(B114/B329, "NA")</f>
      </c>
      <c r="D114" s="15"/>
      <c r="E114" s="13">
        <v>1103.5699999999999</v>
      </c>
      <c r="F114" s="14">
        <f>IFERROR(E114/E329, "NA")</f>
      </c>
      <c r="G114" s="15"/>
      <c r="H114" s="13">
        <v>37.329999999999998</v>
      </c>
      <c r="I114" s="14">
        <f>IFERROR(H114/H329, "NA")</f>
      </c>
      <c r="J114" s="15"/>
      <c r="K114" s="13">
        <v>3671.9899999999998</v>
      </c>
      <c r="L114" s="14">
        <f>IFERROR(K114/K329, "NA")</f>
      </c>
      <c r="M114" s="15"/>
      <c r="N114" s="13">
        <v>948.59000000000003</v>
      </c>
      <c r="O114" s="14">
        <f>IFERROR(N114/N329, "NA")</f>
      </c>
      <c r="P114" s="15"/>
      <c r="Q114" s="13">
        <v>897.19000000000005</v>
      </c>
      <c r="R114" s="14">
        <f>IFERROR(Q114/Q329, "NA")</f>
      </c>
    </row>
    <row r="115" ht="16.5" customHeight="1">
      <c t="s" r="A115" s="22">
        <v>119</v>
      </c>
      <c r="B115" s="13">
        <v>0</v>
      </c>
      <c r="C115" s="14">
        <f>IFERROR(B115/B329, "NA")</f>
      </c>
      <c r="D115" s="15"/>
      <c r="E115" s="13">
        <v>0</v>
      </c>
      <c r="F115" s="14">
        <f>IFERROR(E115/E329, "NA")</f>
      </c>
      <c r="G115" s="15"/>
      <c r="H115" s="13">
        <v>0</v>
      </c>
      <c r="I115" s="14">
        <f>IFERROR(H115/H329, "NA")</f>
      </c>
      <c r="J115" s="15"/>
      <c r="K115" s="13">
        <v>0</v>
      </c>
      <c r="L115" s="14">
        <f>IFERROR(K115/K329, "NA")</f>
      </c>
      <c r="M115" s="15"/>
      <c r="N115" s="13">
        <v>0</v>
      </c>
      <c r="O115" s="14">
        <f>IFERROR(N115/N329, "NA")</f>
      </c>
      <c r="P115" s="15"/>
      <c r="Q115" s="13">
        <v>0</v>
      </c>
      <c r="R115" s="14">
        <f>IFERROR(Q115/Q329, "NA")</f>
      </c>
    </row>
    <row r="116" ht="16.5" customHeight="1">
      <c t="s" r="A116" s="22">
        <v>120</v>
      </c>
      <c r="B116" s="13">
        <v>0</v>
      </c>
      <c r="C116" s="14">
        <f>IFERROR(B116/B329, "NA")</f>
      </c>
      <c r="D116" s="15"/>
      <c r="E116" s="13">
        <v>0</v>
      </c>
      <c r="F116" s="14">
        <f>IFERROR(E116/E329, "NA")</f>
      </c>
      <c r="G116" s="15"/>
      <c r="H116" s="13">
        <v>0</v>
      </c>
      <c r="I116" s="14">
        <f>IFERROR(H116/H329, "NA")</f>
      </c>
      <c r="J116" s="15"/>
      <c r="K116" s="13">
        <v>0</v>
      </c>
      <c r="L116" s="14">
        <f>IFERROR(K116/K329, "NA")</f>
      </c>
      <c r="M116" s="15"/>
      <c r="N116" s="13">
        <v>0</v>
      </c>
      <c r="O116" s="14">
        <f>IFERROR(N116/N329, "NA")</f>
      </c>
      <c r="P116" s="15"/>
      <c r="Q116" s="13">
        <v>0</v>
      </c>
      <c r="R116" s="14">
        <f>IFERROR(Q116/Q329, "NA")</f>
      </c>
    </row>
    <row r="117" ht="16.5" customHeight="1">
      <c t="s" r="A117" s="22">
        <v>121</v>
      </c>
      <c r="B117" s="13">
        <v>0</v>
      </c>
      <c r="C117" s="14">
        <f>IFERROR(B117/B329, "NA")</f>
      </c>
      <c r="D117" s="15"/>
      <c r="E117" s="13">
        <v>0</v>
      </c>
      <c r="F117" s="14">
        <f>IFERROR(E117/E329, "NA")</f>
      </c>
      <c r="G117" s="15"/>
      <c r="H117" s="13">
        <v>0</v>
      </c>
      <c r="I117" s="14">
        <f>IFERROR(H117/H329, "NA")</f>
      </c>
      <c r="J117" s="15"/>
      <c r="K117" s="13">
        <v>0</v>
      </c>
      <c r="L117" s="14">
        <f>IFERROR(K117/K329, "NA")</f>
      </c>
      <c r="M117" s="15"/>
      <c r="N117" s="13">
        <v>0</v>
      </c>
      <c r="O117" s="14">
        <f>IFERROR(N117/N329, "NA")</f>
      </c>
      <c r="P117" s="15"/>
      <c r="Q117" s="13">
        <v>0</v>
      </c>
      <c r="R117" s="14">
        <f>IFERROR(Q117/Q329, "NA")</f>
      </c>
    </row>
    <row r="118" ht="16.5" customHeight="1">
      <c t="s" r="A118" s="22">
        <v>122</v>
      </c>
      <c r="B118" s="13">
        <v>0</v>
      </c>
      <c r="C118" s="14">
        <f>IFERROR(B118/B329, "NA")</f>
      </c>
      <c r="D118" s="15"/>
      <c r="E118" s="13">
        <v>10556.860000000001</v>
      </c>
      <c r="F118" s="14">
        <f>IFERROR(E118/E329, "NA")</f>
      </c>
      <c r="G118" s="15"/>
      <c r="H118" s="13">
        <v>0</v>
      </c>
      <c r="I118" s="14">
        <f>IFERROR(H118/H329, "NA")</f>
      </c>
      <c r="J118" s="15"/>
      <c r="K118" s="13">
        <v>6201.8900000000003</v>
      </c>
      <c r="L118" s="14">
        <f>IFERROR(K118/K329, "NA")</f>
      </c>
      <c r="M118" s="15"/>
      <c r="N118" s="13">
        <v>0</v>
      </c>
      <c r="O118" s="14">
        <f>IFERROR(N118/N329, "NA")</f>
      </c>
      <c r="P118" s="15"/>
      <c r="Q118" s="13">
        <v>0</v>
      </c>
      <c r="R118" s="14">
        <f>IFERROR(Q118/Q329, "NA")</f>
      </c>
    </row>
    <row r="119" ht="16.5" customHeight="1">
      <c t="s" r="A119" s="23">
        <v>123</v>
      </c>
      <c r="B119" s="17">
        <f>IFERROR(B84+B85+B86+B87+B88+B89+B90+B91+B92+B93+B94+B95+B96+B97+B98+B99+B100+B101+B102+B103+B104+B105+B106+B107+B108+B109+B110+B111+B112+B113+B114+B115+B116+B117+B118, "NA")</f>
      </c>
      <c r="C119" s="18">
        <f>IFERROR(B119/B329, "NA")</f>
      </c>
      <c r="D119" s="8"/>
      <c r="E119" s="17">
        <f>IFERROR(E84+E85+E86+E87+E88+E89+E90+E91+E92+E93+E94+E95+E96+E97+E98+E99+E100+E101+E102+E103+E104+E105+E106+E107+E108+E109+E110+E111+E112+E113+E114+E115+E116+E117+E118, "NA")</f>
      </c>
      <c r="F119" s="18">
        <f>IFERROR(E119/E329, "NA")</f>
      </c>
      <c r="G119" s="8"/>
      <c r="H119" s="17">
        <f>IFERROR(H84+H85+H86+H87+H88+H89+H90+H91+H92+H93+H94+H95+H96+H97+H98+H99+H100+H101+H102+H103+H104+H105+H106+H107+H108+H109+H110+H111+H112+H113+H114+H115+H116+H117+H118, "NA")</f>
      </c>
      <c r="I119" s="18">
        <f>IFERROR(H119/H329, "NA")</f>
      </c>
      <c r="J119" s="8"/>
      <c r="K119" s="17">
        <f>IFERROR(K84+K85+K86+K87+K88+K89+K90+K91+K92+K93+K94+K95+K96+K97+K98+K99+K100+K101+K102+K103+K104+K105+K106+K107+K108+K109+K110+K111+K112+K113+K114+K115+K116+K117+K118, "NA")</f>
      </c>
      <c r="L119" s="18">
        <f>IFERROR(K119/K329, "NA")</f>
      </c>
      <c r="M119" s="8"/>
      <c r="N119" s="17">
        <f>IFERROR(N84+N85+N86+N87+N88+N89+N90+N91+N92+N93+N94+N95+N96+N97+N98+N99+N100+N101+N102+N103+N104+N105+N106+N107+N108+N109+N110+N111+N112+N113+N114+N115+N116+N117+N118, "NA")</f>
      </c>
      <c r="O119" s="18">
        <f>IFERROR(N119/N329, "NA")</f>
      </c>
      <c r="P119" s="8"/>
      <c r="Q119" s="17">
        <f>IFERROR(Q84+Q85+Q86+Q87+Q88+Q89+Q90+Q91+Q92+Q93+Q94+Q95+Q96+Q97+Q98+Q99+Q100+Q101+Q102+Q103+Q104+Q105+Q106+Q107+Q108+Q109+Q110+Q111+Q112+Q113+Q114+Q115+Q116+Q117+Q118, "NA")</f>
      </c>
      <c r="R119" s="18">
        <f>IFERROR(Q119/Q329, "NA")</f>
      </c>
    </row>
    <row r="120" ht="16.5" customHeight="1">
      <c t="s" r="A120" s="16">
        <v>124</v>
      </c>
      <c r="B120" s="17">
        <f>IFERROR(B82+B84+B85+B86+B87+B88+B89+B90+B91+B92+B93+B94+B95+B96+B97+B98+B99+B100+B101+B102+B103+B104+B105+B106+B107+B108+B109+B110+B111+B112+B113+B114+B115+B116+B117+B118, "NA")</f>
      </c>
      <c r="C120" s="18">
        <f>IFERROR(B120/B329, "NA")</f>
      </c>
      <c r="D120" s="8"/>
      <c r="E120" s="17">
        <f>IFERROR(E82+E84+E85+E86+E87+E88+E89+E90+E91+E92+E93+E94+E95+E96+E97+E98+E99+E100+E101+E102+E103+E104+E105+E106+E107+E108+E109+E110+E111+E112+E113+E114+E115+E116+E117+E118, "NA")</f>
      </c>
      <c r="F120" s="18">
        <f>IFERROR(E120/E329, "NA")</f>
      </c>
      <c r="G120" s="8"/>
      <c r="H120" s="17">
        <f>IFERROR(H82+H84+H85+H86+H87+H88+H89+H90+H91+H92+H93+H94+H95+H96+H97+H98+H99+H100+H101+H102+H103+H104+H105+H106+H107+H108+H109+H110+H111+H112+H113+H114+H115+H116+H117+H118, "NA")</f>
      </c>
      <c r="I120" s="18">
        <f>IFERROR(H120/H329, "NA")</f>
      </c>
      <c r="J120" s="8"/>
      <c r="K120" s="17">
        <f>IFERROR(K82+K84+K85+K86+K87+K88+K89+K90+K91+K92+K93+K94+K95+K96+K97+K98+K99+K100+K101+K102+K103+K104+K105+K106+K107+K108+K109+K110+K111+K112+K113+K114+K115+K116+K117+K118, "NA")</f>
      </c>
      <c r="L120" s="18">
        <f>IFERROR(K120/K329, "NA")</f>
      </c>
      <c r="M120" s="8"/>
      <c r="N120" s="17">
        <f>IFERROR(N82+N84+N85+N86+N87+N88+N89+N90+N91+N92+N93+N94+N95+N96+N97+N98+N99+N100+N101+N102+N103+N104+N105+N106+N107+N108+N109+N110+N111+N112+N113+N114+N115+N116+N117+N118, "NA")</f>
      </c>
      <c r="O120" s="18">
        <f>IFERROR(N120/N329, "NA")</f>
      </c>
      <c r="P120" s="8"/>
      <c r="Q120" s="17">
        <f>IFERROR(Q82+Q84+Q85+Q86+Q87+Q88+Q89+Q90+Q91+Q92+Q93+Q94+Q95+Q96+Q97+Q98+Q99+Q100+Q101+Q102+Q103+Q104+Q105+Q106+Q107+Q108+Q109+Q110+Q111+Q112+Q113+Q114+Q115+Q116+Q117+Q118, "NA")</f>
      </c>
      <c r="R120" s="18">
        <f>IFERROR(Q120/Q329, "NA")</f>
      </c>
    </row>
    <row r="121" ht="16.5" customHeight="1">
      <c t="s" r="A121" s="11">
        <v>125</v>
      </c>
      <c r="B121" s="8"/>
      <c r="C121" s="9"/>
      <c r="D121" s="10"/>
      <c r="E121" s="8"/>
      <c r="F121" s="9"/>
      <c r="G121" s="10"/>
      <c r="H121" s="8"/>
      <c r="I121" s="9"/>
      <c r="J121" s="10"/>
      <c r="K121" s="8"/>
      <c r="L121" s="9"/>
      <c r="M121" s="10"/>
      <c r="N121" s="8"/>
      <c r="O121" s="9"/>
      <c r="P121" s="10"/>
      <c r="Q121" s="8"/>
      <c r="R121" s="9"/>
    </row>
    <row r="122" ht="16.5" customHeight="1">
      <c t="s" r="A122" s="12">
        <v>126</v>
      </c>
      <c r="B122" s="13">
        <v>0</v>
      </c>
      <c r="C122" s="14">
        <f>IFERROR(B122/B329, "NA")</f>
      </c>
      <c r="D122" s="15"/>
      <c r="E122" s="13">
        <v>0</v>
      </c>
      <c r="F122" s="14">
        <f>IFERROR(E122/E329, "NA")</f>
      </c>
      <c r="G122" s="15"/>
      <c r="H122" s="13">
        <v>0</v>
      </c>
      <c r="I122" s="14">
        <f>IFERROR(H122/H329, "NA")</f>
      </c>
      <c r="J122" s="15"/>
      <c r="K122" s="13">
        <v>0</v>
      </c>
      <c r="L122" s="14">
        <f>IFERROR(K122/K329, "NA")</f>
      </c>
      <c r="M122" s="15"/>
      <c r="N122" s="13">
        <v>0</v>
      </c>
      <c r="O122" s="14">
        <f>IFERROR(N122/N329, "NA")</f>
      </c>
      <c r="P122" s="15"/>
      <c r="Q122" s="13">
        <v>0</v>
      </c>
      <c r="R122" s="14">
        <f>IFERROR(Q122/Q329, "NA")</f>
      </c>
    </row>
    <row r="123" ht="16.5" customHeight="1">
      <c t="s" r="A123" s="12">
        <v>127</v>
      </c>
      <c r="B123" s="13">
        <v>13730.780000000001</v>
      </c>
      <c r="C123" s="14">
        <f>IFERROR(B123/B329, "NA")</f>
      </c>
      <c r="D123" s="15"/>
      <c r="E123" s="13">
        <v>8653.8700000000008</v>
      </c>
      <c r="F123" s="14">
        <f>IFERROR(E123/E329, "NA")</f>
      </c>
      <c r="G123" s="15"/>
      <c r="H123" s="13">
        <v>13730.780000000001</v>
      </c>
      <c r="I123" s="14">
        <f>IFERROR(H123/H329, "NA")</f>
      </c>
      <c r="J123" s="15"/>
      <c r="K123" s="13">
        <v>8653.8600000000006</v>
      </c>
      <c r="L123" s="14">
        <f>IFERROR(K123/K329, "NA")</f>
      </c>
      <c r="M123" s="15"/>
      <c r="N123" s="13">
        <v>13730.780000000001</v>
      </c>
      <c r="O123" s="14">
        <f>IFERROR(N123/N329, "NA")</f>
      </c>
      <c r="P123" s="15"/>
      <c r="Q123" s="13">
        <v>-8653.8500000000004</v>
      </c>
      <c r="R123" s="14">
        <f>IFERROR(Q123/Q329, "NA")</f>
      </c>
    </row>
    <row r="124" ht="16.5" customHeight="1">
      <c t="s" r="A124" s="12">
        <v>128</v>
      </c>
      <c r="B124" s="13">
        <v>21980.790000000001</v>
      </c>
      <c r="C124" s="14">
        <f>IFERROR(B124/B329, "NA")</f>
      </c>
      <c r="D124" s="15"/>
      <c r="E124" s="13">
        <v>22721.200000000001</v>
      </c>
      <c r="F124" s="14">
        <f>IFERROR(E124/E329, "NA")</f>
      </c>
      <c r="G124" s="15"/>
      <c r="H124" s="13">
        <v>16375.01</v>
      </c>
      <c r="I124" s="14">
        <f>IFERROR(H124/H329, "NA")</f>
      </c>
      <c r="J124" s="15"/>
      <c r="K124" s="13">
        <v>22721.200000000001</v>
      </c>
      <c r="L124" s="14">
        <f>IFERROR(K124/K329, "NA")</f>
      </c>
      <c r="M124" s="15"/>
      <c r="N124" s="13">
        <v>16375.01</v>
      </c>
      <c r="O124" s="14">
        <f>IFERROR(N124/N329, "NA")</f>
      </c>
      <c r="P124" s="15"/>
      <c r="Q124" s="13">
        <v>-10769.23</v>
      </c>
      <c r="R124" s="14">
        <f>IFERROR(Q124/Q329, "NA")</f>
      </c>
    </row>
    <row r="125" ht="30.75" customHeight="1">
      <c t="s" r="A125" s="12">
        <v>129</v>
      </c>
      <c r="B125" s="13">
        <v>0</v>
      </c>
      <c r="C125" s="14">
        <f>IFERROR(B125/B329, "NA")</f>
      </c>
      <c r="D125" s="15"/>
      <c r="E125" s="13">
        <v>0</v>
      </c>
      <c r="F125" s="14">
        <f>IFERROR(E125/E329, "NA")</f>
      </c>
      <c r="G125" s="15"/>
      <c r="H125" s="13">
        <v>0</v>
      </c>
      <c r="I125" s="14">
        <f>IFERROR(H125/H329, "NA")</f>
      </c>
      <c r="J125" s="15"/>
      <c r="K125" s="13">
        <v>0</v>
      </c>
      <c r="L125" s="14">
        <f>IFERROR(K125/K329, "NA")</f>
      </c>
      <c r="M125" s="15"/>
      <c r="N125" s="13">
        <v>0</v>
      </c>
      <c r="O125" s="14">
        <f>IFERROR(N125/N329, "NA")</f>
      </c>
      <c r="P125" s="15"/>
      <c r="Q125" s="13">
        <v>0</v>
      </c>
      <c r="R125" s="14">
        <f>IFERROR(Q125/Q329, "NA")</f>
      </c>
    </row>
    <row r="126" ht="16.5" customHeight="1">
      <c t="s" r="A126" s="12">
        <v>130</v>
      </c>
      <c r="B126" s="13">
        <v>0</v>
      </c>
      <c r="C126" s="14">
        <f>IFERROR(B126/B329, "NA")</f>
      </c>
      <c r="D126" s="15"/>
      <c r="E126" s="13">
        <v>0</v>
      </c>
      <c r="F126" s="14">
        <f>IFERROR(E126/E329, "NA")</f>
      </c>
      <c r="G126" s="15"/>
      <c r="H126" s="13">
        <v>0</v>
      </c>
      <c r="I126" s="14">
        <f>IFERROR(H126/H329, "NA")</f>
      </c>
      <c r="J126" s="15"/>
      <c r="K126" s="13">
        <v>0</v>
      </c>
      <c r="L126" s="14">
        <f>IFERROR(K126/K329, "NA")</f>
      </c>
      <c r="M126" s="15"/>
      <c r="N126" s="13">
        <v>0</v>
      </c>
      <c r="O126" s="14">
        <f>IFERROR(N126/N329, "NA")</f>
      </c>
      <c r="P126" s="15"/>
      <c r="Q126" s="13">
        <v>0</v>
      </c>
      <c r="R126" s="14">
        <f>IFERROR(Q126/Q329, "NA")</f>
      </c>
    </row>
    <row r="127" ht="16.5" customHeight="1">
      <c t="s" r="A127" s="12">
        <v>131</v>
      </c>
      <c r="B127" s="13">
        <v>0</v>
      </c>
      <c r="C127" s="14">
        <f>IFERROR(B127/B329, "NA")</f>
      </c>
      <c r="D127" s="15"/>
      <c r="E127" s="13">
        <v>0</v>
      </c>
      <c r="F127" s="14">
        <f>IFERROR(E127/E329, "NA")</f>
      </c>
      <c r="G127" s="15"/>
      <c r="H127" s="13">
        <v>0</v>
      </c>
      <c r="I127" s="14">
        <f>IFERROR(H127/H329, "NA")</f>
      </c>
      <c r="J127" s="15"/>
      <c r="K127" s="13">
        <v>0</v>
      </c>
      <c r="L127" s="14">
        <f>IFERROR(K127/K329, "NA")</f>
      </c>
      <c r="M127" s="15"/>
      <c r="N127" s="13">
        <v>0</v>
      </c>
      <c r="O127" s="14">
        <f>IFERROR(N127/N329, "NA")</f>
      </c>
      <c r="P127" s="15"/>
      <c r="Q127" s="13">
        <v>0</v>
      </c>
      <c r="R127" s="14">
        <f>IFERROR(Q127/Q329, "NA")</f>
      </c>
    </row>
    <row r="128" ht="16.5" customHeight="1">
      <c t="s" r="A128" s="12">
        <v>132</v>
      </c>
      <c r="B128" s="13">
        <v>0</v>
      </c>
      <c r="C128" s="14">
        <f>IFERROR(B128/B329, "NA")</f>
      </c>
      <c r="D128" s="15"/>
      <c r="E128" s="13">
        <v>0</v>
      </c>
      <c r="F128" s="14">
        <f>IFERROR(E128/E329, "NA")</f>
      </c>
      <c r="G128" s="15"/>
      <c r="H128" s="13">
        <v>0</v>
      </c>
      <c r="I128" s="14">
        <f>IFERROR(H128/H329, "NA")</f>
      </c>
      <c r="J128" s="15"/>
      <c r="K128" s="13">
        <v>0</v>
      </c>
      <c r="L128" s="14">
        <f>IFERROR(K128/K329, "NA")</f>
      </c>
      <c r="M128" s="15"/>
      <c r="N128" s="13">
        <v>0</v>
      </c>
      <c r="O128" s="14">
        <f>IFERROR(N128/N329, "NA")</f>
      </c>
      <c r="P128" s="15"/>
      <c r="Q128" s="13">
        <v>0</v>
      </c>
      <c r="R128" s="14">
        <f>IFERROR(Q128/Q329, "NA")</f>
      </c>
    </row>
    <row r="129" ht="16.5" customHeight="1">
      <c t="s" r="A129" s="12">
        <v>133</v>
      </c>
      <c r="B129" s="13">
        <v>0</v>
      </c>
      <c r="C129" s="14">
        <f>IFERROR(B129/B329, "NA")</f>
      </c>
      <c r="D129" s="15"/>
      <c r="E129" s="13">
        <v>0</v>
      </c>
      <c r="F129" s="14">
        <f>IFERROR(E129/E329, "NA")</f>
      </c>
      <c r="G129" s="15"/>
      <c r="H129" s="13">
        <v>0</v>
      </c>
      <c r="I129" s="14">
        <f>IFERROR(H129/H329, "NA")</f>
      </c>
      <c r="J129" s="15"/>
      <c r="K129" s="13">
        <v>0</v>
      </c>
      <c r="L129" s="14">
        <f>IFERROR(K129/K329, "NA")</f>
      </c>
      <c r="M129" s="15"/>
      <c r="N129" s="13">
        <v>0</v>
      </c>
      <c r="O129" s="14">
        <f>IFERROR(N129/N329, "NA")</f>
      </c>
      <c r="P129" s="15"/>
      <c r="Q129" s="13">
        <v>0</v>
      </c>
      <c r="R129" s="14">
        <f>IFERROR(Q129/Q329, "NA")</f>
      </c>
    </row>
    <row r="130" ht="16.5" customHeight="1">
      <c t="s" r="A130" s="12">
        <v>134</v>
      </c>
      <c r="B130" s="13">
        <v>0</v>
      </c>
      <c r="C130" s="14">
        <f>IFERROR(B130/B329, "NA")</f>
      </c>
      <c r="D130" s="15"/>
      <c r="E130" s="13">
        <v>0</v>
      </c>
      <c r="F130" s="14">
        <f>IFERROR(E130/E329, "NA")</f>
      </c>
      <c r="G130" s="15"/>
      <c r="H130" s="13">
        <v>0</v>
      </c>
      <c r="I130" s="14">
        <f>IFERROR(H130/H329, "NA")</f>
      </c>
      <c r="J130" s="15"/>
      <c r="K130" s="13">
        <v>0</v>
      </c>
      <c r="L130" s="14">
        <f>IFERROR(K130/K329, "NA")</f>
      </c>
      <c r="M130" s="15"/>
      <c r="N130" s="13">
        <v>0</v>
      </c>
      <c r="O130" s="14">
        <f>IFERROR(N130/N329, "NA")</f>
      </c>
      <c r="P130" s="15"/>
      <c r="Q130" s="13">
        <v>0</v>
      </c>
      <c r="R130" s="14">
        <f>IFERROR(Q130/Q329, "NA")</f>
      </c>
    </row>
    <row r="131" ht="16.5" customHeight="1">
      <c t="s" r="A131" s="12">
        <v>135</v>
      </c>
      <c r="B131" s="13">
        <v>0</v>
      </c>
      <c r="C131" s="14">
        <f>IFERROR(B131/B329, "NA")</f>
      </c>
      <c r="D131" s="15"/>
      <c r="E131" s="13">
        <v>0</v>
      </c>
      <c r="F131" s="14">
        <f>IFERROR(E131/E329, "NA")</f>
      </c>
      <c r="G131" s="15"/>
      <c r="H131" s="13">
        <v>0</v>
      </c>
      <c r="I131" s="14">
        <f>IFERROR(H131/H329, "NA")</f>
      </c>
      <c r="J131" s="15"/>
      <c r="K131" s="13">
        <v>0</v>
      </c>
      <c r="L131" s="14">
        <f>IFERROR(K131/K329, "NA")</f>
      </c>
      <c r="M131" s="15"/>
      <c r="N131" s="13">
        <v>0</v>
      </c>
      <c r="O131" s="14">
        <f>IFERROR(N131/N329, "NA")</f>
      </c>
      <c r="P131" s="15"/>
      <c r="Q131" s="13">
        <v>0</v>
      </c>
      <c r="R131" s="14">
        <f>IFERROR(Q131/Q329, "NA")</f>
      </c>
    </row>
    <row r="132" ht="16.5" customHeight="1">
      <c t="s" r="A132" s="12">
        <v>136</v>
      </c>
      <c r="B132" s="13">
        <v>0</v>
      </c>
      <c r="C132" s="14">
        <f>IFERROR(B132/B329, "NA")</f>
      </c>
      <c r="D132" s="15"/>
      <c r="E132" s="13">
        <v>0</v>
      </c>
      <c r="F132" s="14">
        <f>IFERROR(E132/E329, "NA")</f>
      </c>
      <c r="G132" s="15"/>
      <c r="H132" s="13">
        <v>0</v>
      </c>
      <c r="I132" s="14">
        <f>IFERROR(H132/H329, "NA")</f>
      </c>
      <c r="J132" s="15"/>
      <c r="K132" s="13">
        <v>0</v>
      </c>
      <c r="L132" s="14">
        <f>IFERROR(K132/K329, "NA")</f>
      </c>
      <c r="M132" s="15"/>
      <c r="N132" s="13">
        <v>0</v>
      </c>
      <c r="O132" s="14">
        <f>IFERROR(N132/N329, "NA")</f>
      </c>
      <c r="P132" s="15"/>
      <c r="Q132" s="13">
        <v>0</v>
      </c>
      <c r="R132" s="14">
        <f>IFERROR(Q132/Q329, "NA")</f>
      </c>
    </row>
    <row r="133" ht="16.5" customHeight="1">
      <c t="s" r="A133" s="12">
        <v>137</v>
      </c>
      <c r="B133" s="13">
        <v>0</v>
      </c>
      <c r="C133" s="14">
        <f>IFERROR(B133/B329, "NA")</f>
      </c>
      <c r="D133" s="15"/>
      <c r="E133" s="13">
        <v>0</v>
      </c>
      <c r="F133" s="14">
        <f>IFERROR(E133/E329, "NA")</f>
      </c>
      <c r="G133" s="15"/>
      <c r="H133" s="13">
        <v>0</v>
      </c>
      <c r="I133" s="14">
        <f>IFERROR(H133/H329, "NA")</f>
      </c>
      <c r="J133" s="15"/>
      <c r="K133" s="13">
        <v>0</v>
      </c>
      <c r="L133" s="14">
        <f>IFERROR(K133/K329, "NA")</f>
      </c>
      <c r="M133" s="15"/>
      <c r="N133" s="13">
        <v>0</v>
      </c>
      <c r="O133" s="14">
        <f>IFERROR(N133/N329, "NA")</f>
      </c>
      <c r="P133" s="15"/>
      <c r="Q133" s="13">
        <v>0</v>
      </c>
      <c r="R133" s="14">
        <f>IFERROR(Q133/Q329, "NA")</f>
      </c>
    </row>
    <row r="134" ht="16.5" customHeight="1">
      <c t="s" r="A134" s="12">
        <v>138</v>
      </c>
      <c r="B134" s="13">
        <v>0</v>
      </c>
      <c r="C134" s="14">
        <f>IFERROR(B134/B329, "NA")</f>
      </c>
      <c r="D134" s="15"/>
      <c r="E134" s="13">
        <v>0</v>
      </c>
      <c r="F134" s="14">
        <f>IFERROR(E134/E329, "NA")</f>
      </c>
      <c r="G134" s="15"/>
      <c r="H134" s="13">
        <v>0</v>
      </c>
      <c r="I134" s="14">
        <f>IFERROR(H134/H329, "NA")</f>
      </c>
      <c r="J134" s="15"/>
      <c r="K134" s="13">
        <v>0</v>
      </c>
      <c r="L134" s="14">
        <f>IFERROR(K134/K329, "NA")</f>
      </c>
      <c r="M134" s="15"/>
      <c r="N134" s="13">
        <v>0</v>
      </c>
      <c r="O134" s="14">
        <f>IFERROR(N134/N329, "NA")</f>
      </c>
      <c r="P134" s="15"/>
      <c r="Q134" s="13">
        <v>0</v>
      </c>
      <c r="R134" s="14">
        <f>IFERROR(Q134/Q329, "NA")</f>
      </c>
    </row>
    <row r="135" ht="16.5" customHeight="1">
      <c t="s" r="A135" s="12">
        <v>139</v>
      </c>
      <c r="B135" s="13">
        <v>0</v>
      </c>
      <c r="C135" s="14">
        <f>IFERROR(B135/B329, "NA")</f>
      </c>
      <c r="D135" s="15"/>
      <c r="E135" s="13">
        <v>0</v>
      </c>
      <c r="F135" s="14">
        <f>IFERROR(E135/E329, "NA")</f>
      </c>
      <c r="G135" s="15"/>
      <c r="H135" s="13">
        <v>0</v>
      </c>
      <c r="I135" s="14">
        <f>IFERROR(H135/H329, "NA")</f>
      </c>
      <c r="J135" s="15"/>
      <c r="K135" s="13">
        <v>0</v>
      </c>
      <c r="L135" s="14">
        <f>IFERROR(K135/K329, "NA")</f>
      </c>
      <c r="M135" s="15"/>
      <c r="N135" s="13">
        <v>0</v>
      </c>
      <c r="O135" s="14">
        <f>IFERROR(N135/N329, "NA")</f>
      </c>
      <c r="P135" s="15"/>
      <c r="Q135" s="13">
        <v>0</v>
      </c>
      <c r="R135" s="14">
        <f>IFERROR(Q135/Q329, "NA")</f>
      </c>
    </row>
    <row r="136" ht="16.5" customHeight="1">
      <c t="s" r="A136" s="12">
        <v>140</v>
      </c>
      <c r="B136" s="13">
        <v>0</v>
      </c>
      <c r="C136" s="14">
        <f>IFERROR(B136/B329, "NA")</f>
      </c>
      <c r="D136" s="15"/>
      <c r="E136" s="13">
        <v>0</v>
      </c>
      <c r="F136" s="14">
        <f>IFERROR(E136/E329, "NA")</f>
      </c>
      <c r="G136" s="15"/>
      <c r="H136" s="13">
        <v>0</v>
      </c>
      <c r="I136" s="14">
        <f>IFERROR(H136/H329, "NA")</f>
      </c>
      <c r="J136" s="15"/>
      <c r="K136" s="13">
        <v>0</v>
      </c>
      <c r="L136" s="14">
        <f>IFERROR(K136/K329, "NA")</f>
      </c>
      <c r="M136" s="15"/>
      <c r="N136" s="13">
        <v>0</v>
      </c>
      <c r="O136" s="14">
        <f>IFERROR(N136/N329, "NA")</f>
      </c>
      <c r="P136" s="15"/>
      <c r="Q136" s="13">
        <v>0</v>
      </c>
      <c r="R136" s="14">
        <f>IFERROR(Q136/Q329, "NA")</f>
      </c>
    </row>
    <row r="137" ht="16.5" customHeight="1">
      <c t="s" r="A137" s="12">
        <v>141</v>
      </c>
      <c r="B137" s="13">
        <v>0</v>
      </c>
      <c r="C137" s="14">
        <f>IFERROR(B137/B329, "NA")</f>
      </c>
      <c r="D137" s="15"/>
      <c r="E137" s="13">
        <v>0</v>
      </c>
      <c r="F137" s="14">
        <f>IFERROR(E137/E329, "NA")</f>
      </c>
      <c r="G137" s="15"/>
      <c r="H137" s="13">
        <v>0</v>
      </c>
      <c r="I137" s="14">
        <f>IFERROR(H137/H329, "NA")</f>
      </c>
      <c r="J137" s="15"/>
      <c r="K137" s="13">
        <v>0</v>
      </c>
      <c r="L137" s="14">
        <f>IFERROR(K137/K329, "NA")</f>
      </c>
      <c r="M137" s="15"/>
      <c r="N137" s="13">
        <v>0</v>
      </c>
      <c r="O137" s="14">
        <f>IFERROR(N137/N329, "NA")</f>
      </c>
      <c r="P137" s="15"/>
      <c r="Q137" s="13">
        <v>0</v>
      </c>
      <c r="R137" s="14">
        <f>IFERROR(Q137/Q329, "NA")</f>
      </c>
    </row>
    <row r="138" ht="16.5" customHeight="1">
      <c t="s" r="A138" s="12">
        <v>142</v>
      </c>
      <c r="B138" s="13">
        <v>0</v>
      </c>
      <c r="C138" s="14">
        <f>IFERROR(B138/B329, "NA")</f>
      </c>
      <c r="D138" s="15"/>
      <c r="E138" s="13">
        <v>0</v>
      </c>
      <c r="F138" s="14">
        <f>IFERROR(E138/E329, "NA")</f>
      </c>
      <c r="G138" s="15"/>
      <c r="H138" s="13">
        <v>0</v>
      </c>
      <c r="I138" s="14">
        <f>IFERROR(H138/H329, "NA")</f>
      </c>
      <c r="J138" s="15"/>
      <c r="K138" s="13">
        <v>0</v>
      </c>
      <c r="L138" s="14">
        <f>IFERROR(K138/K329, "NA")</f>
      </c>
      <c r="M138" s="15"/>
      <c r="N138" s="13">
        <v>0</v>
      </c>
      <c r="O138" s="14">
        <f>IFERROR(N138/N329, "NA")</f>
      </c>
      <c r="P138" s="15"/>
      <c r="Q138" s="13">
        <v>0</v>
      </c>
      <c r="R138" s="14">
        <f>IFERROR(Q138/Q329, "NA")</f>
      </c>
    </row>
    <row r="139" ht="16.5" customHeight="1">
      <c t="s" r="A139" s="12">
        <v>143</v>
      </c>
      <c r="B139" s="13">
        <v>19983.400000000001</v>
      </c>
      <c r="C139" s="14">
        <f>IFERROR(B139/B329, "NA")</f>
      </c>
      <c r="D139" s="15"/>
      <c r="E139" s="13">
        <v>19983.400000000001</v>
      </c>
      <c r="F139" s="14">
        <f>IFERROR(E139/E329, "NA")</f>
      </c>
      <c r="G139" s="15"/>
      <c r="H139" s="13">
        <v>19983.400000000001</v>
      </c>
      <c r="I139" s="14">
        <f>IFERROR(H139/H329, "NA")</f>
      </c>
      <c r="J139" s="15"/>
      <c r="K139" s="13">
        <v>19983.400000000001</v>
      </c>
      <c r="L139" s="14">
        <f>IFERROR(K139/K329, "NA")</f>
      </c>
      <c r="M139" s="15"/>
      <c r="N139" s="13">
        <v>22944.82</v>
      </c>
      <c r="O139" s="14">
        <f>IFERROR(N139/N329, "NA")</f>
      </c>
      <c r="P139" s="15"/>
      <c r="Q139" s="13">
        <v>22944.82</v>
      </c>
      <c r="R139" s="14">
        <f>IFERROR(Q139/Q329, "NA")</f>
      </c>
    </row>
    <row r="140" ht="16.5" customHeight="1">
      <c t="s" r="A140" s="12">
        <v>144</v>
      </c>
      <c r="B140" s="13">
        <v>0</v>
      </c>
      <c r="C140" s="14">
        <f>IFERROR(B140/B329, "NA")</f>
      </c>
      <c r="D140" s="15"/>
      <c r="E140" s="13">
        <v>0</v>
      </c>
      <c r="F140" s="14">
        <f>IFERROR(E140/E329, "NA")</f>
      </c>
      <c r="G140" s="15"/>
      <c r="H140" s="13">
        <v>0</v>
      </c>
      <c r="I140" s="14">
        <f>IFERROR(H140/H329, "NA")</f>
      </c>
      <c r="J140" s="15"/>
      <c r="K140" s="13">
        <v>0</v>
      </c>
      <c r="L140" s="14">
        <f>IFERROR(K140/K329, "NA")</f>
      </c>
      <c r="M140" s="15"/>
      <c r="N140" s="13">
        <v>0</v>
      </c>
      <c r="O140" s="14">
        <f>IFERROR(N140/N329, "NA")</f>
      </c>
      <c r="P140" s="15"/>
      <c r="Q140" s="13">
        <v>0</v>
      </c>
      <c r="R140" s="14">
        <f>IFERROR(Q140/Q329, "NA")</f>
      </c>
    </row>
    <row r="141" ht="16.5" customHeight="1">
      <c t="s" r="A141" s="12">
        <v>145</v>
      </c>
      <c r="B141" s="13">
        <v>16475.130000000001</v>
      </c>
      <c r="C141" s="14">
        <f>IFERROR(B141/B329, "NA")</f>
      </c>
      <c r="D141" s="15"/>
      <c r="E141" s="13">
        <v>12827.99</v>
      </c>
      <c r="F141" s="14">
        <f>IFERROR(E141/E329, "NA")</f>
      </c>
      <c r="G141" s="15"/>
      <c r="H141" s="13">
        <v>12855.25</v>
      </c>
      <c r="I141" s="14">
        <f>IFERROR(H141/H329, "NA")</f>
      </c>
      <c r="J141" s="15"/>
      <c r="K141" s="13">
        <v>13399.629999999999</v>
      </c>
      <c r="L141" s="14">
        <f>IFERROR(K141/K329, "NA")</f>
      </c>
      <c r="M141" s="15"/>
      <c r="N141" s="13">
        <v>10164.629999999999</v>
      </c>
      <c r="O141" s="14">
        <f>IFERROR(N141/N329, "NA")</f>
      </c>
      <c r="P141" s="15"/>
      <c r="Q141" s="13">
        <v>-12703.09</v>
      </c>
      <c r="R141" s="14">
        <f>IFERROR(Q141/Q329, "NA")</f>
      </c>
    </row>
    <row r="142" ht="16.5" customHeight="1">
      <c t="s" r="A142" s="12">
        <v>146</v>
      </c>
      <c r="B142" s="13">
        <v>0</v>
      </c>
      <c r="C142" s="14">
        <f>IFERROR(B142/B329, "NA")</f>
      </c>
      <c r="D142" s="15"/>
      <c r="E142" s="13">
        <v>0</v>
      </c>
      <c r="F142" s="14">
        <f>IFERROR(E142/E329, "NA")</f>
      </c>
      <c r="G142" s="15"/>
      <c r="H142" s="13">
        <v>0</v>
      </c>
      <c r="I142" s="14">
        <f>IFERROR(H142/H329, "NA")</f>
      </c>
      <c r="J142" s="15"/>
      <c r="K142" s="13">
        <v>25824</v>
      </c>
      <c r="L142" s="14">
        <f>IFERROR(K142/K329, "NA")</f>
      </c>
      <c r="M142" s="15"/>
      <c r="N142" s="13">
        <v>0</v>
      </c>
      <c r="O142" s="14">
        <f>IFERROR(N142/N329, "NA")</f>
      </c>
      <c r="P142" s="15"/>
      <c r="Q142" s="13">
        <v>0</v>
      </c>
      <c r="R142" s="14">
        <f>IFERROR(Q142/Q329, "NA")</f>
      </c>
    </row>
    <row r="143" ht="16.5" customHeight="1">
      <c t="s" r="A143" s="16">
        <v>147</v>
      </c>
      <c r="B143" s="17">
        <f>IFERROR(B122+B123+B124+B125+B126+B127+B128+B129+B130+B131+B132+B133+B134+B135+B136+B137+B138+B139+B140+B141+B142, "NA")</f>
      </c>
      <c r="C143" s="18">
        <f>IFERROR(B143/B329, "NA")</f>
      </c>
      <c r="D143" s="8"/>
      <c r="E143" s="17">
        <f>IFERROR(E122+E123+E124+E125+E126+E127+E128+E129+E130+E131+E132+E133+E134+E135+E136+E137+E138+E139+E140+E141+E142, "NA")</f>
      </c>
      <c r="F143" s="18">
        <f>IFERROR(E143/E329, "NA")</f>
      </c>
      <c r="G143" s="8"/>
      <c r="H143" s="17">
        <f>IFERROR(H122+H123+H124+H125+H126+H127+H128+H129+H130+H131+H132+H133+H134+H135+H136+H137+H138+H139+H140+H141+H142, "NA")</f>
      </c>
      <c r="I143" s="18">
        <f>IFERROR(H143/H329, "NA")</f>
      </c>
      <c r="J143" s="8"/>
      <c r="K143" s="17">
        <f>IFERROR(K122+K123+K124+K125+K126+K127+K128+K129+K130+K131+K132+K133+K134+K135+K136+K137+K138+K139+K140+K141+K142, "NA")</f>
      </c>
      <c r="L143" s="18">
        <f>IFERROR(K143/K329, "NA")</f>
      </c>
      <c r="M143" s="8"/>
      <c r="N143" s="17">
        <f>IFERROR(N122+N123+N124+N125+N126+N127+N128+N129+N130+N131+N132+N133+N134+N135+N136+N137+N138+N139+N140+N141+N142, "NA")</f>
      </c>
      <c r="O143" s="18">
        <f>IFERROR(N143/N329, "NA")</f>
      </c>
      <c r="P143" s="8"/>
      <c r="Q143" s="17">
        <f>IFERROR(Q122+Q123+Q124+Q125+Q126+Q127+Q128+Q129+Q130+Q131+Q132+Q133+Q134+Q135+Q136+Q137+Q138+Q139+Q140+Q141+Q142, "NA")</f>
      </c>
      <c r="R143" s="18">
        <f>IFERROR(Q143/Q329, "NA")</f>
      </c>
    </row>
    <row r="144" ht="16.5" customHeight="1">
      <c t="s" r="A144" s="11">
        <v>148</v>
      </c>
      <c r="B144" s="8"/>
      <c r="C144" s="9"/>
      <c r="D144" s="10"/>
      <c r="E144" s="8"/>
      <c r="F144" s="9"/>
      <c r="G144" s="10"/>
      <c r="H144" s="8"/>
      <c r="I144" s="9"/>
      <c r="J144" s="10"/>
      <c r="K144" s="8"/>
      <c r="L144" s="9"/>
      <c r="M144" s="10"/>
      <c r="N144" s="8"/>
      <c r="O144" s="9"/>
      <c r="P144" s="10"/>
      <c r="Q144" s="8"/>
      <c r="R144" s="9"/>
    </row>
    <row r="145" ht="16.5" customHeight="1">
      <c t="s" r="A145" s="12">
        <v>149</v>
      </c>
      <c r="B145" s="13">
        <v>0</v>
      </c>
      <c r="C145" s="14">
        <f>IFERROR(B145/B329, "NA")</f>
      </c>
      <c r="D145" s="15"/>
      <c r="E145" s="13">
        <v>0</v>
      </c>
      <c r="F145" s="14">
        <f>IFERROR(E145/E329, "NA")</f>
      </c>
      <c r="G145" s="15"/>
      <c r="H145" s="13">
        <v>0</v>
      </c>
      <c r="I145" s="14">
        <f>IFERROR(H145/H329, "NA")</f>
      </c>
      <c r="J145" s="15"/>
      <c r="K145" s="13">
        <v>0</v>
      </c>
      <c r="L145" s="14">
        <f>IFERROR(K145/K329, "NA")</f>
      </c>
      <c r="M145" s="15"/>
      <c r="N145" s="13">
        <v>0</v>
      </c>
      <c r="O145" s="14">
        <f>IFERROR(N145/N329, "NA")</f>
      </c>
      <c r="P145" s="15"/>
      <c r="Q145" s="13">
        <v>0</v>
      </c>
      <c r="R145" s="14">
        <f>IFERROR(Q145/Q329, "NA")</f>
      </c>
    </row>
    <row r="146" ht="16.5" customHeight="1">
      <c t="s" r="A146" s="12">
        <v>150</v>
      </c>
      <c r="B146" s="13">
        <v>18657.099999999999</v>
      </c>
      <c r="C146" s="14">
        <f>IFERROR(B146/B329, "NA")</f>
      </c>
      <c r="D146" s="15"/>
      <c r="E146" s="13">
        <v>8313.3500000000004</v>
      </c>
      <c r="F146" s="14">
        <f>IFERROR(E146/E329, "NA")</f>
      </c>
      <c r="G146" s="15"/>
      <c r="H146" s="13">
        <v>19215.040000000001</v>
      </c>
      <c r="I146" s="14">
        <f>IFERROR(H146/H329, "NA")</f>
      </c>
      <c r="J146" s="15"/>
      <c r="K146" s="13">
        <v>8989.9699999999993</v>
      </c>
      <c r="L146" s="14">
        <f>IFERROR(K146/K329, "NA")</f>
      </c>
      <c r="M146" s="15"/>
      <c r="N146" s="13">
        <v>20874.619999999999</v>
      </c>
      <c r="O146" s="14">
        <f>IFERROR(N146/N329, "NA")</f>
      </c>
      <c r="P146" s="15"/>
      <c r="Q146" s="13">
        <v>-20471.419999999998</v>
      </c>
      <c r="R146" s="14">
        <f>IFERROR(Q146/Q329, "NA")</f>
      </c>
    </row>
    <row r="147" ht="16.5" customHeight="1">
      <c t="s" r="A147" s="12">
        <v>151</v>
      </c>
      <c r="B147" s="13">
        <v>331.73000000000002</v>
      </c>
      <c r="C147" s="14">
        <f>IFERROR(B147/B329, "NA")</f>
      </c>
      <c r="D147" s="15"/>
      <c r="E147" s="13">
        <v>218.31</v>
      </c>
      <c r="F147" s="14">
        <f>IFERROR(E147/E329, "NA")</f>
      </c>
      <c r="G147" s="15"/>
      <c r="H147" s="13">
        <v>431.52999999999997</v>
      </c>
      <c r="I147" s="14">
        <f>IFERROR(H147/H329, "NA")</f>
      </c>
      <c r="J147" s="15"/>
      <c r="K147" s="13">
        <v>28.16</v>
      </c>
      <c r="L147" s="14">
        <f>IFERROR(K147/K329, "NA")</f>
      </c>
      <c r="M147" s="15"/>
      <c r="N147" s="13">
        <v>462.05000000000001</v>
      </c>
      <c r="O147" s="14">
        <f>IFERROR(N147/N329, "NA")</f>
      </c>
      <c r="P147" s="15"/>
      <c r="Q147" s="13">
        <v>-948.46000000000004</v>
      </c>
      <c r="R147" s="14">
        <f>IFERROR(Q147/Q329, "NA")</f>
      </c>
    </row>
    <row r="148" ht="16.5" customHeight="1">
      <c t="s" r="A148" s="12">
        <v>152</v>
      </c>
      <c r="B148" s="13">
        <v>0</v>
      </c>
      <c r="C148" s="14">
        <f>IFERROR(B148/B329, "NA")</f>
      </c>
      <c r="D148" s="15"/>
      <c r="E148" s="13">
        <v>6913.5699999999997</v>
      </c>
      <c r="F148" s="14">
        <f>IFERROR(E148/E329, "NA")</f>
      </c>
      <c r="G148" s="15"/>
      <c r="H148" s="13">
        <v>0</v>
      </c>
      <c r="I148" s="14">
        <f>IFERROR(H148/H329, "NA")</f>
      </c>
      <c r="J148" s="15"/>
      <c r="K148" s="13">
        <v>3128.1399999999999</v>
      </c>
      <c r="L148" s="14">
        <f>IFERROR(K148/K329, "NA")</f>
      </c>
      <c r="M148" s="15"/>
      <c r="N148" s="13">
        <v>0</v>
      </c>
      <c r="O148" s="14">
        <f>IFERROR(N148/N329, "NA")</f>
      </c>
      <c r="P148" s="15"/>
      <c r="Q148" s="13">
        <v>-1854.6099999999999</v>
      </c>
      <c r="R148" s="14">
        <f>IFERROR(Q148/Q329, "NA")</f>
      </c>
    </row>
    <row r="149" ht="16.5" customHeight="1">
      <c t="s" r="A149" s="12">
        <v>153</v>
      </c>
      <c r="B149" s="13">
        <v>1216.6400000000001</v>
      </c>
      <c r="C149" s="14">
        <f>IFERROR(B149/B329, "NA")</f>
      </c>
      <c r="D149" s="15"/>
      <c r="E149" s="13">
        <v>2952.3699999999999</v>
      </c>
      <c r="F149" s="14">
        <f>IFERROR(E149/E329, "NA")</f>
      </c>
      <c r="G149" s="15"/>
      <c r="H149" s="13">
        <v>1339.28</v>
      </c>
      <c r="I149" s="14">
        <f>IFERROR(H149/H329, "NA")</f>
      </c>
      <c r="J149" s="15"/>
      <c r="K149" s="13">
        <v>3151.2199999999998</v>
      </c>
      <c r="L149" s="14">
        <f>IFERROR(K149/K329, "NA")</f>
      </c>
      <c r="M149" s="15"/>
      <c r="N149" s="13">
        <v>1433.99</v>
      </c>
      <c r="O149" s="14">
        <f>IFERROR(N149/N329, "NA")</f>
      </c>
      <c r="P149" s="15"/>
      <c r="Q149" s="13">
        <v>-2943.5999999999999</v>
      </c>
      <c r="R149" s="14">
        <f>IFERROR(Q149/Q329, "NA")</f>
      </c>
    </row>
    <row r="150" ht="16.5" customHeight="1">
      <c t="s" r="A150" s="12">
        <v>154</v>
      </c>
      <c r="B150" s="13">
        <v>1998.23</v>
      </c>
      <c r="C150" s="14">
        <f>IFERROR(B150/B329, "NA")</f>
      </c>
      <c r="D150" s="15"/>
      <c r="E150" s="13">
        <v>1998.23</v>
      </c>
      <c r="F150" s="14">
        <f>IFERROR(E150/E329, "NA")</f>
      </c>
      <c r="G150" s="15"/>
      <c r="H150" s="13">
        <v>1998.23</v>
      </c>
      <c r="I150" s="14">
        <f>IFERROR(H150/H329, "NA")</f>
      </c>
      <c r="J150" s="15"/>
      <c r="K150" s="13">
        <v>1998.23</v>
      </c>
      <c r="L150" s="14">
        <f>IFERROR(K150/K329, "NA")</f>
      </c>
      <c r="M150" s="15"/>
      <c r="N150" s="13">
        <v>2421.5999999999999</v>
      </c>
      <c r="O150" s="14">
        <f>IFERROR(N150/N329, "NA")</f>
      </c>
      <c r="P150" s="15"/>
      <c r="Q150" s="13">
        <v>2421.5999999999999</v>
      </c>
      <c r="R150" s="14">
        <f>IFERROR(Q150/Q329, "NA")</f>
      </c>
    </row>
    <row r="151" ht="16.5" customHeight="1">
      <c t="s" r="A151" s="16">
        <v>155</v>
      </c>
      <c r="B151" s="17">
        <f>IFERROR(B145+B146+B147+B148+B149+B150, "NA")</f>
      </c>
      <c r="C151" s="18">
        <f>IFERROR(B151/B329, "NA")</f>
      </c>
      <c r="D151" s="8"/>
      <c r="E151" s="17">
        <f>IFERROR(E145+E146+E147+E148+E149+E150, "NA")</f>
      </c>
      <c r="F151" s="18">
        <f>IFERROR(E151/E329, "NA")</f>
      </c>
      <c r="G151" s="8"/>
      <c r="H151" s="17">
        <f>IFERROR(H145+H146+H147+H148+H149+H150, "NA")</f>
      </c>
      <c r="I151" s="18">
        <f>IFERROR(H151/H329, "NA")</f>
      </c>
      <c r="J151" s="8"/>
      <c r="K151" s="17">
        <f>IFERROR(K145+K146+K147+K148+K149+K150, "NA")</f>
      </c>
      <c r="L151" s="18">
        <f>IFERROR(K151/K329, "NA")</f>
      </c>
      <c r="M151" s="8"/>
      <c r="N151" s="17">
        <f>IFERROR(N145+N146+N147+N148+N149+N150, "NA")</f>
      </c>
      <c r="O151" s="18">
        <f>IFERROR(N151/N329, "NA")</f>
      </c>
      <c r="P151" s="8"/>
      <c r="Q151" s="17">
        <f>IFERROR(Q145+Q146+Q147+Q148+Q149+Q150, "NA")</f>
      </c>
      <c r="R151" s="18">
        <f>IFERROR(Q151/Q329, "NA")</f>
      </c>
    </row>
    <row r="152" ht="16.5" customHeight="1">
      <c t="s" r="A152" s="19">
        <v>156</v>
      </c>
      <c r="B152" s="13">
        <v>0</v>
      </c>
      <c r="C152" s="14">
        <f>IFERROR(B152/B329, "NA")</f>
      </c>
      <c r="D152" s="15"/>
      <c r="E152" s="13">
        <v>0</v>
      </c>
      <c r="F152" s="14">
        <f>IFERROR(E152/E329, "NA")</f>
      </c>
      <c r="G152" s="15"/>
      <c r="H152" s="13">
        <v>0</v>
      </c>
      <c r="I152" s="14">
        <f>IFERROR(H152/H329, "NA")</f>
      </c>
      <c r="J152" s="15"/>
      <c r="K152" s="13">
        <v>0</v>
      </c>
      <c r="L152" s="14">
        <f>IFERROR(K152/K329, "NA")</f>
      </c>
      <c r="M152" s="15"/>
      <c r="N152" s="13">
        <v>0</v>
      </c>
      <c r="O152" s="14">
        <f>IFERROR(N152/N329, "NA")</f>
      </c>
      <c r="P152" s="15"/>
      <c r="Q152" s="13">
        <v>0</v>
      </c>
      <c r="R152" s="14">
        <f>IFERROR(Q152/Q329, "NA")</f>
      </c>
    </row>
    <row r="153" ht="16.5" customHeight="1">
      <c t="s" r="A153" s="19">
        <v>157</v>
      </c>
      <c r="B153" s="13">
        <v>0</v>
      </c>
      <c r="C153" s="14">
        <f>IFERROR(B153/B329, "NA")</f>
      </c>
      <c r="D153" s="15"/>
      <c r="E153" s="13">
        <v>-6679.3199999999997</v>
      </c>
      <c r="F153" s="14">
        <f>IFERROR(E153/E329, "NA")</f>
      </c>
      <c r="G153" s="15"/>
      <c r="H153" s="13">
        <v>18702.91</v>
      </c>
      <c r="I153" s="14">
        <f>IFERROR(H153/H329, "NA")</f>
      </c>
      <c r="J153" s="15"/>
      <c r="K153" s="13">
        <v>-7146.96</v>
      </c>
      <c r="L153" s="14">
        <f>IFERROR(K153/K329, "NA")</f>
      </c>
      <c r="M153" s="15"/>
      <c r="N153" s="13">
        <v>18560.650000000001</v>
      </c>
      <c r="O153" s="14">
        <f>IFERROR(N153/N329, "NA")</f>
      </c>
      <c r="P153" s="15"/>
      <c r="Q153" s="13">
        <v>0</v>
      </c>
      <c r="R153" s="14">
        <f>IFERROR(Q153/Q329, "NA")</f>
      </c>
    </row>
    <row r="154" ht="16.5" customHeight="1">
      <c t="s" r="A154" s="19">
        <v>158</v>
      </c>
      <c r="B154" s="13">
        <v>0</v>
      </c>
      <c r="C154" s="14">
        <f>IFERROR(B154/B329, "NA")</f>
      </c>
      <c r="D154" s="15"/>
      <c r="E154" s="13">
        <v>-979.62</v>
      </c>
      <c r="F154" s="14">
        <f>IFERROR(E154/E329, "NA")</f>
      </c>
      <c r="G154" s="15"/>
      <c r="H154" s="13">
        <v>0</v>
      </c>
      <c r="I154" s="14">
        <f>IFERROR(H154/H329, "NA")</f>
      </c>
      <c r="J154" s="15"/>
      <c r="K154" s="13">
        <v>-967.98000000000002</v>
      </c>
      <c r="L154" s="14">
        <f>IFERROR(K154/K329, "NA")</f>
      </c>
      <c r="M154" s="15"/>
      <c r="N154" s="13">
        <v>0</v>
      </c>
      <c r="O154" s="14">
        <f>IFERROR(N154/N329, "NA")</f>
      </c>
      <c r="P154" s="15"/>
      <c r="Q154" s="13">
        <v>0</v>
      </c>
      <c r="R154" s="14">
        <f>IFERROR(Q154/Q329, "NA")</f>
      </c>
    </row>
    <row r="155" ht="16.5" customHeight="1">
      <c t="s" r="A155" s="19">
        <v>159</v>
      </c>
      <c r="B155" s="13">
        <v>0</v>
      </c>
      <c r="C155" s="14">
        <f>IFERROR(B155/B329, "NA")</f>
      </c>
      <c r="D155" s="15"/>
      <c r="E155" s="13">
        <v>-108.2</v>
      </c>
      <c r="F155" s="14">
        <f>IFERROR(E155/E329, "NA")</f>
      </c>
      <c r="G155" s="15"/>
      <c r="H155" s="13">
        <v>0</v>
      </c>
      <c r="I155" s="14">
        <f>IFERROR(H155/H329, "NA")</f>
      </c>
      <c r="J155" s="15"/>
      <c r="K155" s="13">
        <v>-102.26000000000001</v>
      </c>
      <c r="L155" s="14">
        <f>IFERROR(K155/K329, "NA")</f>
      </c>
      <c r="M155" s="15"/>
      <c r="N155" s="13">
        <v>0</v>
      </c>
      <c r="O155" s="14">
        <f>IFERROR(N155/N329, "NA")</f>
      </c>
      <c r="P155" s="15"/>
      <c r="Q155" s="13">
        <v>0</v>
      </c>
      <c r="R155" s="14">
        <f>IFERROR(Q155/Q329, "NA")</f>
      </c>
    </row>
    <row r="156" ht="16.5" customHeight="1">
      <c t="s" r="A156" s="19">
        <v>160</v>
      </c>
      <c r="B156" s="13">
        <v>92.120000000000005</v>
      </c>
      <c r="C156" s="14">
        <f>IFERROR(B156/B329, "NA")</f>
      </c>
      <c r="D156" s="15"/>
      <c r="E156" s="13">
        <v>0</v>
      </c>
      <c r="F156" s="14">
        <f>IFERROR(E156/E329, "NA")</f>
      </c>
      <c r="G156" s="15"/>
      <c r="H156" s="13">
        <v>0</v>
      </c>
      <c r="I156" s="14">
        <f>IFERROR(H156/H329, "NA")</f>
      </c>
      <c r="J156" s="15"/>
      <c r="K156" s="13">
        <v>0</v>
      </c>
      <c r="L156" s="14">
        <f>IFERROR(K156/K329, "NA")</f>
      </c>
      <c r="M156" s="15"/>
      <c r="N156" s="13">
        <v>0</v>
      </c>
      <c r="O156" s="14">
        <f>IFERROR(N156/N329, "NA")</f>
      </c>
      <c r="P156" s="15"/>
      <c r="Q156" s="13">
        <v>0</v>
      </c>
      <c r="R156" s="14">
        <f>IFERROR(Q156/Q329, "NA")</f>
      </c>
    </row>
    <row r="157" ht="16.5" customHeight="1">
      <c t="s" r="A157" s="20">
        <v>161</v>
      </c>
      <c r="B157" s="17">
        <f>IFERROR(B55+B56+B57+B58+B59+B60+B61+B62+B63+B64+B66+B68+B69+B70+B71+B72+B73+B74+B75+B78+B79+B82+B84+B85+B86+B87+B88+B89+B90+B91+B92+B93+B94+B95+B96+B97+B98+B99+B100+B101+B102+B103+B104+B105+B106+B107+B108+B109+B110+B111+B112+B113+B114+B115+B116+B117+B118+B122+B123+B124+B125+B126+B127+B128+B129+B130+B131+B132+B133+B134+B135+B136+B137+B138+B139+B140+B141+B142+B145+B146+B147+B148+B149+B150+B152+B153+B154+B155+B156, "NA")</f>
      </c>
      <c r="C157" s="18">
        <f>IFERROR(B157/B329, "NA")</f>
      </c>
      <c r="D157" s="8"/>
      <c r="E157" s="17">
        <f>IFERROR(E55+E56+E57+E58+E59+E60+E61+E62+E63+E64+E66+E68+E69+E70+E71+E72+E73+E74+E75+E78+E79+E82+E84+E85+E86+E87+E88+E89+E90+E91+E92+E93+E94+E95+E96+E97+E98+E99+E100+E101+E102+E103+E104+E105+E106+E107+E108+E109+E110+E111+E112+E113+E114+E115+E116+E117+E118+E122+E123+E124+E125+E126+E127+E128+E129+E130+E131+E132+E133+E134+E135+E136+E137+E138+E139+E140+E141+E142+E145+E146+E147+E148+E149+E150+E152+E153+E154+E155+E156, "NA")</f>
      </c>
      <c r="F157" s="18">
        <f>IFERROR(E157/E329, "NA")</f>
      </c>
      <c r="G157" s="8"/>
      <c r="H157" s="17">
        <f>IFERROR(H55+H56+H57+H58+H59+H60+H61+H62+H63+H64+H66+H68+H69+H70+H71+H72+H73+H74+H75+H78+H79+H82+H84+H85+H86+H87+H88+H89+H90+H91+H92+H93+H94+H95+H96+H97+H98+H99+H100+H101+H102+H103+H104+H105+H106+H107+H108+H109+H110+H111+H112+H113+H114+H115+H116+H117+H118+H122+H123+H124+H125+H126+H127+H128+H129+H130+H131+H132+H133+H134+H135+H136+H137+H138+H139+H140+H141+H142+H145+H146+H147+H148+H149+H150+H152+H153+H154+H155+H156, "NA")</f>
      </c>
      <c r="I157" s="18">
        <f>IFERROR(H157/H329, "NA")</f>
      </c>
      <c r="J157" s="8"/>
      <c r="K157" s="17">
        <f>IFERROR(K55+K56+K57+K58+K59+K60+K61+K62+K63+K64+K66+K68+K69+K70+K71+K72+K73+K74+K75+K78+K79+K82+K84+K85+K86+K87+K88+K89+K90+K91+K92+K93+K94+K95+K96+K97+K98+K99+K100+K101+K102+K103+K104+K105+K106+K107+K108+K109+K110+K111+K112+K113+K114+K115+K116+K117+K118+K122+K123+K124+K125+K126+K127+K128+K129+K130+K131+K132+K133+K134+K135+K136+K137+K138+K139+K140+K141+K142+K145+K146+K147+K148+K149+K150+K152+K153+K154+K155+K156, "NA")</f>
      </c>
      <c r="L157" s="18">
        <f>IFERROR(K157/K329, "NA")</f>
      </c>
      <c r="M157" s="8"/>
      <c r="N157" s="17">
        <f>IFERROR(N55+N56+N57+N58+N59+N60+N61+N62+N63+N64+N66+N68+N69+N70+N71+N72+N73+N74+N75+N78+N79+N82+N84+N85+N86+N87+N88+N89+N90+N91+N92+N93+N94+N95+N96+N97+N98+N99+N100+N101+N102+N103+N104+N105+N106+N107+N108+N109+N110+N111+N112+N113+N114+N115+N116+N117+N118+N122+N123+N124+N125+N126+N127+N128+N129+N130+N131+N132+N133+N134+N135+N136+N137+N138+N139+N140+N141+N142+N145+N146+N147+N148+N149+N150+N152+N153+N154+N155+N156, "NA")</f>
      </c>
      <c r="O157" s="18">
        <f>IFERROR(N157/N329, "NA")</f>
      </c>
      <c r="P157" s="8"/>
      <c r="Q157" s="17">
        <f>IFERROR(Q55+Q56+Q57+Q58+Q59+Q60+Q61+Q62+Q63+Q64+Q66+Q68+Q69+Q70+Q71+Q72+Q73+Q74+Q75+Q78+Q79+Q82+Q84+Q85+Q86+Q87+Q88+Q89+Q90+Q91+Q92+Q93+Q94+Q95+Q96+Q97+Q98+Q99+Q100+Q101+Q102+Q103+Q104+Q105+Q106+Q107+Q108+Q109+Q110+Q111+Q112+Q113+Q114+Q115+Q116+Q117+Q118+Q122+Q123+Q124+Q125+Q126+Q127+Q128+Q129+Q130+Q131+Q132+Q133+Q134+Q135+Q136+Q137+Q138+Q139+Q140+Q141+Q142+Q145+Q146+Q147+Q148+Q149+Q150+Q152+Q153+Q154+Q155+Q156, "NA")</f>
      </c>
      <c r="R157" s="18">
        <f>IFERROR(Q157/Q329, "NA")</f>
      </c>
    </row>
    <row r="158" ht="16.5" customHeight="1">
      <c t="s" r="A158" s="7">
        <v>162</v>
      </c>
      <c r="B158" s="8"/>
      <c r="C158" s="9"/>
      <c r="D158" s="10"/>
      <c r="E158" s="8"/>
      <c r="F158" s="9"/>
      <c r="G158" s="10"/>
      <c r="H158" s="8"/>
      <c r="I158" s="9"/>
      <c r="J158" s="10"/>
      <c r="K158" s="8"/>
      <c r="L158" s="9"/>
      <c r="M158" s="10"/>
      <c r="N158" s="8"/>
      <c r="O158" s="9"/>
      <c r="P158" s="10"/>
      <c r="Q158" s="8"/>
      <c r="R158" s="9"/>
    </row>
    <row r="159" ht="16.5" customHeight="1">
      <c t="s" r="A159" s="11">
        <v>163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</row>
    <row r="160" ht="16.5" customHeight="1">
      <c t="s" r="A160" s="12">
        <v>164</v>
      </c>
      <c r="B160" s="13">
        <v>0</v>
      </c>
      <c r="C160" s="14">
        <f>IFERROR(B160/B329, "NA")</f>
      </c>
      <c r="D160" s="15"/>
      <c r="E160" s="13">
        <v>0</v>
      </c>
      <c r="F160" s="14">
        <f>IFERROR(E160/E329, "NA")</f>
      </c>
      <c r="G160" s="15"/>
      <c r="H160" s="13">
        <v>0</v>
      </c>
      <c r="I160" s="14">
        <f>IFERROR(H160/H329, "NA")</f>
      </c>
      <c r="J160" s="15"/>
      <c r="K160" s="13">
        <v>0</v>
      </c>
      <c r="L160" s="14">
        <f>IFERROR(K160/K329, "NA")</f>
      </c>
      <c r="M160" s="15"/>
      <c r="N160" s="13">
        <v>0</v>
      </c>
      <c r="O160" s="14">
        <f>IFERROR(N160/N329, "NA")</f>
      </c>
      <c r="P160" s="15"/>
      <c r="Q160" s="13">
        <v>0</v>
      </c>
      <c r="R160" s="14">
        <f>IFERROR(Q160/Q329, "NA")</f>
      </c>
    </row>
    <row r="161" ht="16.5" customHeight="1">
      <c t="s" r="A161" s="12">
        <v>165</v>
      </c>
      <c r="B161" s="13">
        <v>0</v>
      </c>
      <c r="C161" s="14">
        <f>IFERROR(B161/B329, "NA")</f>
      </c>
      <c r="D161" s="15"/>
      <c r="E161" s="13">
        <v>0</v>
      </c>
      <c r="F161" s="14">
        <f>IFERROR(E161/E329, "NA")</f>
      </c>
      <c r="G161" s="15"/>
      <c r="H161" s="13">
        <v>0</v>
      </c>
      <c r="I161" s="14">
        <f>IFERROR(H161/H329, "NA")</f>
      </c>
      <c r="J161" s="15"/>
      <c r="K161" s="13">
        <v>0</v>
      </c>
      <c r="L161" s="14">
        <f>IFERROR(K161/K329, "NA")</f>
      </c>
      <c r="M161" s="15"/>
      <c r="N161" s="13">
        <v>0</v>
      </c>
      <c r="O161" s="14">
        <f>IFERROR(N161/N329, "NA")</f>
      </c>
      <c r="P161" s="15"/>
      <c r="Q161" s="13">
        <v>0</v>
      </c>
      <c r="R161" s="14">
        <f>IFERROR(Q161/Q329, "NA")</f>
      </c>
    </row>
    <row r="162" ht="16.5" customHeight="1">
      <c t="s" r="A162" s="12">
        <v>166</v>
      </c>
      <c r="B162" s="13">
        <v>0</v>
      </c>
      <c r="C162" s="14">
        <f>IFERROR(B162/B329, "NA")</f>
      </c>
      <c r="D162" s="15"/>
      <c r="E162" s="13">
        <v>3815.3899999999999</v>
      </c>
      <c r="F162" s="14">
        <f>IFERROR(E162/E329, "NA")</f>
      </c>
      <c r="G162" s="15"/>
      <c r="H162" s="13">
        <v>0</v>
      </c>
      <c r="I162" s="14">
        <f>IFERROR(H162/H329, "NA")</f>
      </c>
      <c r="J162" s="15"/>
      <c r="K162" s="13">
        <v>26832.139999999999</v>
      </c>
      <c r="L162" s="14">
        <f>IFERROR(K162/K329, "NA")</f>
      </c>
      <c r="M162" s="15"/>
      <c r="N162" s="13">
        <v>56194.879999999997</v>
      </c>
      <c r="O162" s="14">
        <f>IFERROR(N162/N329, "NA")</f>
      </c>
      <c r="P162" s="15"/>
      <c r="Q162" s="13">
        <v>0</v>
      </c>
      <c r="R162" s="14">
        <f>IFERROR(Q162/Q329, "NA")</f>
      </c>
    </row>
    <row r="163" ht="16.5" customHeight="1">
      <c t="s" r="A163" s="12">
        <v>167</v>
      </c>
      <c r="B163" s="13">
        <v>0</v>
      </c>
      <c r="C163" s="14">
        <f>IFERROR(B163/B329, "NA")</f>
      </c>
      <c r="D163" s="15"/>
      <c r="E163" s="13">
        <v>534.08000000000004</v>
      </c>
      <c r="F163" s="14">
        <f>IFERROR(E163/E329, "NA")</f>
      </c>
      <c r="G163" s="15"/>
      <c r="H163" s="13">
        <v>454.26999999999998</v>
      </c>
      <c r="I163" s="14">
        <f>IFERROR(H163/H329, "NA")</f>
      </c>
      <c r="J163" s="15"/>
      <c r="K163" s="13">
        <v>-3349.9699999999998</v>
      </c>
      <c r="L163" s="14">
        <f>IFERROR(K163/K329, "NA")</f>
      </c>
      <c r="M163" s="15"/>
      <c r="N163" s="13">
        <v>5477.5900000000001</v>
      </c>
      <c r="O163" s="14">
        <f>IFERROR(N163/N329, "NA")</f>
      </c>
      <c r="P163" s="15"/>
      <c r="Q163" s="13">
        <v>267.05000000000001</v>
      </c>
      <c r="R163" s="14">
        <f>IFERROR(Q163/Q329, "NA")</f>
      </c>
    </row>
    <row r="164" ht="16.5" customHeight="1">
      <c t="s" r="A164" s="12">
        <v>168</v>
      </c>
      <c r="B164" s="13">
        <v>0</v>
      </c>
      <c r="C164" s="14">
        <f>IFERROR(B164/B329, "NA")</f>
      </c>
      <c r="D164" s="15"/>
      <c r="E164" s="13">
        <v>5439.1000000000004</v>
      </c>
      <c r="F164" s="14">
        <f>IFERROR(E164/E329, "NA")</f>
      </c>
      <c r="G164" s="15"/>
      <c r="H164" s="13">
        <v>0</v>
      </c>
      <c r="I164" s="14">
        <f>IFERROR(H164/H329, "NA")</f>
      </c>
      <c r="J164" s="15"/>
      <c r="K164" s="13">
        <v>-436.42000000000002</v>
      </c>
      <c r="L164" s="14">
        <f>IFERROR(K164/K329, "NA")</f>
      </c>
      <c r="M164" s="15"/>
      <c r="N164" s="13">
        <v>0</v>
      </c>
      <c r="O164" s="14">
        <f>IFERROR(N164/N329, "NA")</f>
      </c>
      <c r="P164" s="15"/>
      <c r="Q164" s="13">
        <v>0</v>
      </c>
      <c r="R164" s="14">
        <f>IFERROR(Q164/Q329, "NA")</f>
      </c>
    </row>
    <row r="165" ht="16.5" customHeight="1">
      <c t="s" r="A165" s="12">
        <v>169</v>
      </c>
      <c r="B165" s="13">
        <v>0</v>
      </c>
      <c r="C165" s="14">
        <f>IFERROR(B165/B329, "NA")</f>
      </c>
      <c r="D165" s="15"/>
      <c r="E165" s="13">
        <v>411.13</v>
      </c>
      <c r="F165" s="14">
        <f>IFERROR(E165/E329, "NA")</f>
      </c>
      <c r="G165" s="15"/>
      <c r="H165" s="13">
        <v>70.319999999999993</v>
      </c>
      <c r="I165" s="14">
        <f>IFERROR(H165/H329, "NA")</f>
      </c>
      <c r="J165" s="15"/>
      <c r="K165" s="13">
        <v>169.52000000000001</v>
      </c>
      <c r="L165" s="14">
        <f>IFERROR(K165/K329, "NA")</f>
      </c>
      <c r="M165" s="15"/>
      <c r="N165" s="13">
        <v>284.08999999999997</v>
      </c>
      <c r="O165" s="14">
        <f>IFERROR(N165/N329, "NA")</f>
      </c>
      <c r="P165" s="15"/>
      <c r="Q165" s="13">
        <v>839.13999999999999</v>
      </c>
      <c r="R165" s="14">
        <f>IFERROR(Q165/Q329, "NA")</f>
      </c>
    </row>
    <row r="166" ht="16.5" customHeight="1">
      <c t="s" r="A166" s="12">
        <v>170</v>
      </c>
      <c r="B166" s="13">
        <v>1404.5999999999999</v>
      </c>
      <c r="C166" s="14">
        <f>IFERROR(B166/B329, "NA")</f>
      </c>
      <c r="D166" s="15"/>
      <c r="E166" s="13">
        <v>1458.9200000000001</v>
      </c>
      <c r="F166" s="14">
        <f>IFERROR(E166/E329, "NA")</f>
      </c>
      <c r="G166" s="15"/>
      <c r="H166" s="13">
        <v>1370.8800000000001</v>
      </c>
      <c r="I166" s="14">
        <f>IFERROR(H166/H329, "NA")</f>
      </c>
      <c r="J166" s="15"/>
      <c r="K166" s="13">
        <v>1620.55</v>
      </c>
      <c r="L166" s="14">
        <f>IFERROR(K166/K329, "NA")</f>
      </c>
      <c r="M166" s="15"/>
      <c r="N166" s="13">
        <v>1433.72</v>
      </c>
      <c r="O166" s="14">
        <f>IFERROR(N166/N329, "NA")</f>
      </c>
      <c r="P166" s="15"/>
      <c r="Q166" s="13">
        <v>3235</v>
      </c>
      <c r="R166" s="14">
        <f>IFERROR(Q166/Q329, "NA")</f>
      </c>
    </row>
    <row r="167" ht="16.5" customHeight="1">
      <c t="s" r="A167" s="12">
        <v>171</v>
      </c>
      <c r="B167" s="13">
        <v>335.47000000000003</v>
      </c>
      <c r="C167" s="14">
        <f>IFERROR(B167/B329, "NA")</f>
      </c>
      <c r="D167" s="15"/>
      <c r="E167" s="13">
        <v>1339.1700000000001</v>
      </c>
      <c r="F167" s="14">
        <f>IFERROR(E167/E329, "NA")</f>
      </c>
      <c r="G167" s="15"/>
      <c r="H167" s="13">
        <v>991.65999999999997</v>
      </c>
      <c r="I167" s="14">
        <f>IFERROR(H167/H329, "NA")</f>
      </c>
      <c r="J167" s="15"/>
      <c r="K167" s="13">
        <v>1256.8900000000001</v>
      </c>
      <c r="L167" s="14">
        <f>IFERROR(K167/K329, "NA")</f>
      </c>
      <c r="M167" s="15"/>
      <c r="N167" s="13">
        <v>1355.1700000000001</v>
      </c>
      <c r="O167" s="14">
        <f>IFERROR(N167/N329, "NA")</f>
      </c>
      <c r="P167" s="15"/>
      <c r="Q167" s="13">
        <v>1797.23</v>
      </c>
      <c r="R167" s="14">
        <f>IFERROR(Q167/Q329, "NA")</f>
      </c>
    </row>
    <row r="168" ht="16.5" customHeight="1">
      <c t="s" r="A168" s="12">
        <v>172</v>
      </c>
      <c r="B168" s="13">
        <v>2875.52</v>
      </c>
      <c r="C168" s="14">
        <f>IFERROR(B168/B329, "NA")</f>
      </c>
      <c r="D168" s="15"/>
      <c r="E168" s="13">
        <v>3661.6500000000001</v>
      </c>
      <c r="F168" s="14">
        <f>IFERROR(E168/E329, "NA")</f>
      </c>
      <c r="G168" s="15"/>
      <c r="H168" s="13">
        <v>5500.96</v>
      </c>
      <c r="I168" s="14">
        <f>IFERROR(H168/H329, "NA")</f>
      </c>
      <c r="J168" s="15"/>
      <c r="K168" s="13">
        <v>4111.2399999999998</v>
      </c>
      <c r="L168" s="14">
        <f>IFERROR(K168/K329, "NA")</f>
      </c>
      <c r="M168" s="15"/>
      <c r="N168" s="13">
        <v>3430.1599999999999</v>
      </c>
      <c r="O168" s="14">
        <f>IFERROR(N168/N329, "NA")</f>
      </c>
      <c r="P168" s="15"/>
      <c r="Q168" s="13">
        <v>3761.6900000000001</v>
      </c>
      <c r="R168" s="14">
        <f>IFERROR(Q168/Q329, "NA")</f>
      </c>
    </row>
    <row r="169" ht="16.5" customHeight="1">
      <c t="s" r="A169" s="12">
        <v>173</v>
      </c>
      <c r="B169" s="13">
        <v>3578.8000000000002</v>
      </c>
      <c r="C169" s="14">
        <f>IFERROR(B169/B329, "NA")</f>
      </c>
      <c r="D169" s="15"/>
      <c r="E169" s="13">
        <v>0</v>
      </c>
      <c r="F169" s="14">
        <f>IFERROR(E169/E329, "NA")</f>
      </c>
      <c r="G169" s="15"/>
      <c r="H169" s="13">
        <v>0</v>
      </c>
      <c r="I169" s="14">
        <f>IFERROR(H169/H329, "NA")</f>
      </c>
      <c r="J169" s="15"/>
      <c r="K169" s="13">
        <v>0</v>
      </c>
      <c r="L169" s="14">
        <f>IFERROR(K169/K329, "NA")</f>
      </c>
      <c r="M169" s="15"/>
      <c r="N169" s="13">
        <v>0</v>
      </c>
      <c r="O169" s="14">
        <f>IFERROR(N169/N329, "NA")</f>
      </c>
      <c r="P169" s="15"/>
      <c r="Q169" s="13">
        <v>0</v>
      </c>
      <c r="R169" s="14">
        <f>IFERROR(Q169/Q329, "NA")</f>
      </c>
    </row>
    <row r="170" ht="16.5" customHeight="1">
      <c t="s" r="A170" s="12">
        <v>174</v>
      </c>
      <c r="B170" s="13">
        <v>2298.8099999999999</v>
      </c>
      <c r="C170" s="14">
        <f>IFERROR(B170/B329, "NA")</f>
      </c>
      <c r="D170" s="15"/>
      <c r="E170" s="13">
        <v>2072.02</v>
      </c>
      <c r="F170" s="14">
        <f>IFERROR(E170/E329, "NA")</f>
      </c>
      <c r="G170" s="15"/>
      <c r="H170" s="13">
        <v>1624.6800000000001</v>
      </c>
      <c r="I170" s="14">
        <f>IFERROR(H170/H329, "NA")</f>
      </c>
      <c r="J170" s="15"/>
      <c r="K170" s="13">
        <v>9584.5699999999997</v>
      </c>
      <c r="L170" s="14">
        <f>IFERROR(K170/K329, "NA")</f>
      </c>
      <c r="M170" s="15"/>
      <c r="N170" s="13">
        <v>764.47000000000003</v>
      </c>
      <c r="O170" s="14">
        <f>IFERROR(N170/N329, "NA")</f>
      </c>
      <c r="P170" s="15"/>
      <c r="Q170" s="13">
        <v>1138.0899999999999</v>
      </c>
      <c r="R170" s="14">
        <f>IFERROR(Q170/Q329, "NA")</f>
      </c>
    </row>
    <row r="171" ht="16.5" customHeight="1">
      <c t="s" r="A171" s="12">
        <v>175</v>
      </c>
      <c r="B171" s="13">
        <v>0</v>
      </c>
      <c r="C171" s="14">
        <f>IFERROR(B171/B329, "NA")</f>
      </c>
      <c r="D171" s="15"/>
      <c r="E171" s="13">
        <v>0</v>
      </c>
      <c r="F171" s="14">
        <f>IFERROR(E171/E329, "NA")</f>
      </c>
      <c r="G171" s="15"/>
      <c r="H171" s="13">
        <v>636.67999999999995</v>
      </c>
      <c r="I171" s="14">
        <f>IFERROR(H171/H329, "NA")</f>
      </c>
      <c r="J171" s="15"/>
      <c r="K171" s="13">
        <v>147.34999999999999</v>
      </c>
      <c r="L171" s="14">
        <f>IFERROR(K171/K329, "NA")</f>
      </c>
      <c r="M171" s="15"/>
      <c r="N171" s="13">
        <v>3029</v>
      </c>
      <c r="O171" s="14">
        <f>IFERROR(N171/N329, "NA")</f>
      </c>
      <c r="P171" s="15"/>
      <c r="Q171" s="13">
        <v>0</v>
      </c>
      <c r="R171" s="14">
        <f>IFERROR(Q171/Q329, "NA")</f>
      </c>
    </row>
    <row r="172" ht="16.5" customHeight="1">
      <c t="s" r="A172" s="12">
        <v>176</v>
      </c>
      <c r="B172" s="13">
        <v>0</v>
      </c>
      <c r="C172" s="14">
        <f>IFERROR(B172/B329, "NA")</f>
      </c>
      <c r="D172" s="15"/>
      <c r="E172" s="13">
        <v>0</v>
      </c>
      <c r="F172" s="14">
        <f>IFERROR(E172/E329, "NA")</f>
      </c>
      <c r="G172" s="15"/>
      <c r="H172" s="13">
        <v>0</v>
      </c>
      <c r="I172" s="14">
        <f>IFERROR(H172/H329, "NA")</f>
      </c>
      <c r="J172" s="15"/>
      <c r="K172" s="13">
        <v>0</v>
      </c>
      <c r="L172" s="14">
        <f>IFERROR(K172/K329, "NA")</f>
      </c>
      <c r="M172" s="15"/>
      <c r="N172" s="13">
        <v>0</v>
      </c>
      <c r="O172" s="14">
        <f>IFERROR(N172/N329, "NA")</f>
      </c>
      <c r="P172" s="15"/>
      <c r="Q172" s="13">
        <v>0</v>
      </c>
      <c r="R172" s="14">
        <f>IFERROR(Q172/Q329, "NA")</f>
      </c>
    </row>
    <row r="173" ht="16.5" customHeight="1">
      <c t="s" r="A173" s="12">
        <v>177</v>
      </c>
      <c r="B173" s="13">
        <v>0</v>
      </c>
      <c r="C173" s="14">
        <f>IFERROR(B173/B329, "NA")</f>
      </c>
      <c r="D173" s="15"/>
      <c r="E173" s="13">
        <v>0</v>
      </c>
      <c r="F173" s="14">
        <f>IFERROR(E173/E329, "NA")</f>
      </c>
      <c r="G173" s="15"/>
      <c r="H173" s="13">
        <v>0</v>
      </c>
      <c r="I173" s="14">
        <f>IFERROR(H173/H329, "NA")</f>
      </c>
      <c r="J173" s="15"/>
      <c r="K173" s="13">
        <v>0</v>
      </c>
      <c r="L173" s="14">
        <f>IFERROR(K173/K329, "NA")</f>
      </c>
      <c r="M173" s="15"/>
      <c r="N173" s="13">
        <v>0</v>
      </c>
      <c r="O173" s="14">
        <f>IFERROR(N173/N329, "NA")</f>
      </c>
      <c r="P173" s="15"/>
      <c r="Q173" s="13">
        <v>0</v>
      </c>
      <c r="R173" s="14">
        <f>IFERROR(Q173/Q329, "NA")</f>
      </c>
    </row>
    <row r="174" ht="16.5" customHeight="1">
      <c t="s" r="A174" s="12">
        <v>178</v>
      </c>
      <c r="B174" s="13">
        <v>0</v>
      </c>
      <c r="C174" s="14">
        <f>IFERROR(B174/B329, "NA")</f>
      </c>
      <c r="D174" s="15"/>
      <c r="E174" s="13">
        <v>0</v>
      </c>
      <c r="F174" s="14">
        <f>IFERROR(E174/E329, "NA")</f>
      </c>
      <c r="G174" s="15"/>
      <c r="H174" s="13">
        <v>0</v>
      </c>
      <c r="I174" s="14">
        <f>IFERROR(H174/H329, "NA")</f>
      </c>
      <c r="J174" s="15"/>
      <c r="K174" s="13">
        <v>9560.4500000000007</v>
      </c>
      <c r="L174" s="14">
        <f>IFERROR(K174/K329, "NA")</f>
      </c>
      <c r="M174" s="15"/>
      <c r="N174" s="13">
        <v>0</v>
      </c>
      <c r="O174" s="14">
        <f>IFERROR(N174/N329, "NA")</f>
      </c>
      <c r="P174" s="15"/>
      <c r="Q174" s="13">
        <v>0</v>
      </c>
      <c r="R174" s="14">
        <f>IFERROR(Q174/Q329, "NA")</f>
      </c>
    </row>
    <row r="175" ht="16.5" customHeight="1">
      <c t="s" r="A175" s="12">
        <v>179</v>
      </c>
      <c r="B175" s="13">
        <v>1108.52</v>
      </c>
      <c r="C175" s="14">
        <f>IFERROR(B175/B329, "NA")</f>
      </c>
      <c r="D175" s="15"/>
      <c r="E175" s="13">
        <v>1783.3800000000001</v>
      </c>
      <c r="F175" s="14">
        <f>IFERROR(E175/E329, "NA")</f>
      </c>
      <c r="G175" s="15"/>
      <c r="H175" s="13">
        <v>1642.28</v>
      </c>
      <c r="I175" s="14">
        <f>IFERROR(H175/H329, "NA")</f>
      </c>
      <c r="J175" s="15"/>
      <c r="K175" s="13">
        <v>1614.99</v>
      </c>
      <c r="L175" s="14">
        <f>IFERROR(K175/K329, "NA")</f>
      </c>
      <c r="M175" s="15"/>
      <c r="N175" s="13">
        <v>1512.6400000000001</v>
      </c>
      <c r="O175" s="14">
        <f>IFERROR(N175/N329, "NA")</f>
      </c>
      <c r="P175" s="15"/>
      <c r="Q175" s="13">
        <v>2443.8499999999999</v>
      </c>
      <c r="R175" s="14">
        <f>IFERROR(Q175/Q329, "NA")</f>
      </c>
    </row>
    <row r="176" ht="16.5" customHeight="1">
      <c t="s" r="A176" s="12">
        <v>180</v>
      </c>
      <c r="B176" s="13">
        <v>110.83</v>
      </c>
      <c r="C176" s="14">
        <f>IFERROR(B176/B329, "NA")</f>
      </c>
      <c r="D176" s="15"/>
      <c r="E176" s="13">
        <v>1570.8099999999999</v>
      </c>
      <c r="F176" s="14">
        <f>IFERROR(E176/E329, "NA")</f>
      </c>
      <c r="G176" s="15"/>
      <c r="H176" s="13">
        <v>1557.23</v>
      </c>
      <c r="I176" s="14">
        <f>IFERROR(H176/H329, "NA")</f>
      </c>
      <c r="J176" s="15"/>
      <c r="K176" s="13">
        <v>1263.5</v>
      </c>
      <c r="L176" s="14">
        <f>IFERROR(K176/K329, "NA")</f>
      </c>
      <c r="M176" s="15"/>
      <c r="N176" s="13">
        <v>1647.6700000000001</v>
      </c>
      <c r="O176" s="14">
        <f>IFERROR(N176/N329, "NA")</f>
      </c>
      <c r="P176" s="15"/>
      <c r="Q176" s="13">
        <v>1883.7</v>
      </c>
      <c r="R176" s="14">
        <f>IFERROR(Q176/Q329, "NA")</f>
      </c>
    </row>
    <row r="177" ht="16.5" customHeight="1">
      <c t="s" r="A177" s="12">
        <v>181</v>
      </c>
      <c r="B177" s="13">
        <v>1934.2</v>
      </c>
      <c r="C177" s="14">
        <f>IFERROR(B177/B329, "NA")</f>
      </c>
      <c r="D177" s="15"/>
      <c r="E177" s="13">
        <v>2449.1500000000001</v>
      </c>
      <c r="F177" s="14">
        <f>IFERROR(E177/E329, "NA")</f>
      </c>
      <c r="G177" s="15"/>
      <c r="H177" s="13">
        <v>2644.7399999999998</v>
      </c>
      <c r="I177" s="14">
        <f>IFERROR(H177/H329, "NA")</f>
      </c>
      <c r="J177" s="15"/>
      <c r="K177" s="13">
        <v>2791.4000000000001</v>
      </c>
      <c r="L177" s="14">
        <f>IFERROR(K177/K329, "NA")</f>
      </c>
      <c r="M177" s="15"/>
      <c r="N177" s="13">
        <v>2809.21</v>
      </c>
      <c r="O177" s="14">
        <f>IFERROR(N177/N329, "NA")</f>
      </c>
      <c r="P177" s="15"/>
      <c r="Q177" s="13">
        <v>2690.96</v>
      </c>
      <c r="R177" s="14">
        <f>IFERROR(Q177/Q329, "NA")</f>
      </c>
    </row>
    <row r="178" ht="16.5" customHeight="1">
      <c t="s" r="A178" s="12">
        <v>182</v>
      </c>
      <c r="B178" s="13">
        <v>0</v>
      </c>
      <c r="C178" s="14">
        <f>IFERROR(B178/B329, "NA")</f>
      </c>
      <c r="D178" s="15"/>
      <c r="E178" s="13">
        <v>-726.71000000000004</v>
      </c>
      <c r="F178" s="14">
        <f>IFERROR(E178/E329, "NA")</f>
      </c>
      <c r="G178" s="15"/>
      <c r="H178" s="13">
        <v>0</v>
      </c>
      <c r="I178" s="14">
        <f>IFERROR(H178/H329, "NA")</f>
      </c>
      <c r="J178" s="15"/>
      <c r="K178" s="13">
        <v>-509.64999999999998</v>
      </c>
      <c r="L178" s="14">
        <f>IFERROR(K178/K329, "NA")</f>
      </c>
      <c r="M178" s="15"/>
      <c r="N178" s="13">
        <v>0</v>
      </c>
      <c r="O178" s="14">
        <f>IFERROR(N178/N329, "NA")</f>
      </c>
      <c r="P178" s="15"/>
      <c r="Q178" s="13">
        <v>0</v>
      </c>
      <c r="R178" s="14">
        <f>IFERROR(Q178/Q329, "NA")</f>
      </c>
    </row>
    <row r="179" ht="16.5" customHeight="1">
      <c t="s" r="A179" s="12">
        <v>183</v>
      </c>
      <c r="B179" s="13">
        <v>2487.2399999999998</v>
      </c>
      <c r="C179" s="14">
        <f>IFERROR(B179/B329, "NA")</f>
      </c>
      <c r="D179" s="15"/>
      <c r="E179" s="13">
        <v>0</v>
      </c>
      <c r="F179" s="14">
        <f>IFERROR(E179/E329, "NA")</f>
      </c>
      <c r="G179" s="15"/>
      <c r="H179" s="13">
        <v>0</v>
      </c>
      <c r="I179" s="14">
        <f>IFERROR(H179/H329, "NA")</f>
      </c>
      <c r="J179" s="15"/>
      <c r="K179" s="13">
        <v>0</v>
      </c>
      <c r="L179" s="14">
        <f>IFERROR(K179/K329, "NA")</f>
      </c>
      <c r="M179" s="15"/>
      <c r="N179" s="13">
        <v>1284</v>
      </c>
      <c r="O179" s="14">
        <f>IFERROR(N179/N329, "NA")</f>
      </c>
      <c r="P179" s="15"/>
      <c r="Q179" s="13">
        <v>4140</v>
      </c>
      <c r="R179" s="14">
        <f>IFERROR(Q179/Q329, "NA")</f>
      </c>
    </row>
    <row r="180" ht="16.5" customHeight="1">
      <c t="s" r="A180" s="12">
        <v>184</v>
      </c>
      <c r="B180" s="13">
        <v>8738</v>
      </c>
      <c r="C180" s="14">
        <f>IFERROR(B180/B329, "NA")</f>
      </c>
      <c r="D180" s="15"/>
      <c r="E180" s="13">
        <v>308.19999999999999</v>
      </c>
      <c r="F180" s="14">
        <f>IFERROR(E180/E329, "NA")</f>
      </c>
      <c r="G180" s="15"/>
      <c r="H180" s="13">
        <v>0</v>
      </c>
      <c r="I180" s="14">
        <f>IFERROR(H180/H329, "NA")</f>
      </c>
      <c r="J180" s="15"/>
      <c r="K180" s="13">
        <v>521.60000000000002</v>
      </c>
      <c r="L180" s="14">
        <f>IFERROR(K180/K329, "NA")</f>
      </c>
      <c r="M180" s="15"/>
      <c r="N180" s="13">
        <v>0</v>
      </c>
      <c r="O180" s="14">
        <f>IFERROR(N180/N329, "NA")</f>
      </c>
      <c r="P180" s="15"/>
      <c r="Q180" s="13">
        <v>0</v>
      </c>
      <c r="R180" s="14">
        <f>IFERROR(Q180/Q329, "NA")</f>
      </c>
    </row>
    <row r="181" ht="16.5" customHeight="1">
      <c t="s" r="A181" s="12">
        <v>185</v>
      </c>
      <c r="B181" s="13">
        <v>0</v>
      </c>
      <c r="C181" s="14">
        <f>IFERROR(B181/B329, "NA")</f>
      </c>
      <c r="D181" s="15"/>
      <c r="E181" s="13">
        <v>0</v>
      </c>
      <c r="F181" s="14">
        <f>IFERROR(E181/E329, "NA")</f>
      </c>
      <c r="G181" s="15"/>
      <c r="H181" s="13">
        <v>0</v>
      </c>
      <c r="I181" s="14">
        <f>IFERROR(H181/H329, "NA")</f>
      </c>
      <c r="J181" s="15"/>
      <c r="K181" s="13">
        <v>0</v>
      </c>
      <c r="L181" s="14">
        <f>IFERROR(K181/K329, "NA")</f>
      </c>
      <c r="M181" s="15"/>
      <c r="N181" s="13">
        <v>0</v>
      </c>
      <c r="O181" s="14">
        <f>IFERROR(N181/N329, "NA")</f>
      </c>
      <c r="P181" s="15"/>
      <c r="Q181" s="13">
        <v>0</v>
      </c>
      <c r="R181" s="14">
        <f>IFERROR(Q181/Q329, "NA")</f>
      </c>
    </row>
    <row r="182" ht="16.5" customHeight="1">
      <c t="s" r="A182" s="12">
        <v>186</v>
      </c>
      <c r="B182" s="13">
        <v>0</v>
      </c>
      <c r="C182" s="14">
        <f>IFERROR(B182/B329, "NA")</f>
      </c>
      <c r="D182" s="15"/>
      <c r="E182" s="13">
        <v>0</v>
      </c>
      <c r="F182" s="14">
        <f>IFERROR(E182/E329, "NA")</f>
      </c>
      <c r="G182" s="15"/>
      <c r="H182" s="13">
        <v>0</v>
      </c>
      <c r="I182" s="14">
        <f>IFERROR(H182/H329, "NA")</f>
      </c>
      <c r="J182" s="15"/>
      <c r="K182" s="13">
        <v>98.019999999999996</v>
      </c>
      <c r="L182" s="14">
        <f>IFERROR(K182/K329, "NA")</f>
      </c>
      <c r="M182" s="15"/>
      <c r="N182" s="13">
        <v>90</v>
      </c>
      <c r="O182" s="14">
        <f>IFERROR(N182/N329, "NA")</f>
      </c>
      <c r="P182" s="15"/>
      <c r="Q182" s="13">
        <v>0</v>
      </c>
      <c r="R182" s="14">
        <f>IFERROR(Q182/Q329, "NA")</f>
      </c>
    </row>
    <row r="183" ht="16.5" customHeight="1">
      <c t="s" r="A183" s="12">
        <v>187</v>
      </c>
      <c r="B183" s="13">
        <v>891.37</v>
      </c>
      <c r="C183" s="14">
        <f>IFERROR(B183/B329, "NA")</f>
      </c>
      <c r="D183" s="15"/>
      <c r="E183" s="13">
        <v>1189.48</v>
      </c>
      <c r="F183" s="14">
        <f>IFERROR(E183/E329, "NA")</f>
      </c>
      <c r="G183" s="15"/>
      <c r="H183" s="13">
        <v>1348.6199999999999</v>
      </c>
      <c r="I183" s="14">
        <f>IFERROR(H183/H329, "NA")</f>
      </c>
      <c r="J183" s="15"/>
      <c r="K183" s="13">
        <v>1568.23</v>
      </c>
      <c r="L183" s="14">
        <f>IFERROR(K183/K329, "NA")</f>
      </c>
      <c r="M183" s="15"/>
      <c r="N183" s="13">
        <v>1390.6600000000001</v>
      </c>
      <c r="O183" s="14">
        <f>IFERROR(N183/N329, "NA")</f>
      </c>
      <c r="P183" s="15"/>
      <c r="Q183" s="13">
        <v>2083.3800000000001</v>
      </c>
      <c r="R183" s="14">
        <f>IFERROR(Q183/Q329, "NA")</f>
      </c>
    </row>
    <row r="184" ht="16.5" customHeight="1">
      <c t="s" r="A184" s="12">
        <v>188</v>
      </c>
      <c r="B184" s="13">
        <v>-50.979999999999997</v>
      </c>
      <c r="C184" s="14">
        <f>IFERROR(B184/B329, "NA")</f>
      </c>
      <c r="D184" s="15"/>
      <c r="E184" s="13">
        <v>482.43000000000001</v>
      </c>
      <c r="F184" s="14">
        <f>IFERROR(E184/E329, "NA")</f>
      </c>
      <c r="G184" s="15"/>
      <c r="H184" s="13">
        <v>620.50999999999999</v>
      </c>
      <c r="I184" s="14">
        <f>IFERROR(H184/H329, "NA")</f>
      </c>
      <c r="J184" s="15"/>
      <c r="K184" s="13">
        <v>243.27000000000001</v>
      </c>
      <c r="L184" s="14">
        <f>IFERROR(K184/K329, "NA")</f>
      </c>
      <c r="M184" s="15"/>
      <c r="N184" s="13">
        <v>350.58999999999997</v>
      </c>
      <c r="O184" s="14">
        <f>IFERROR(N184/N329, "NA")</f>
      </c>
      <c r="P184" s="15"/>
      <c r="Q184" s="13">
        <v>133.66</v>
      </c>
      <c r="R184" s="14">
        <f>IFERROR(Q184/Q329, "NA")</f>
      </c>
    </row>
    <row r="185" ht="16.5" customHeight="1">
      <c t="s" r="A185" s="12">
        <v>189</v>
      </c>
      <c r="B185" s="13">
        <v>0</v>
      </c>
      <c r="C185" s="14">
        <f>IFERROR(B185/B329, "NA")</f>
      </c>
      <c r="D185" s="15"/>
      <c r="E185" s="13">
        <v>0</v>
      </c>
      <c r="F185" s="14">
        <f>IFERROR(E185/E329, "NA")</f>
      </c>
      <c r="G185" s="15"/>
      <c r="H185" s="13">
        <v>0</v>
      </c>
      <c r="I185" s="14">
        <f>IFERROR(H185/H329, "NA")</f>
      </c>
      <c r="J185" s="15"/>
      <c r="K185" s="13">
        <v>0</v>
      </c>
      <c r="L185" s="14">
        <f>IFERROR(K185/K329, "NA")</f>
      </c>
      <c r="M185" s="15"/>
      <c r="N185" s="13">
        <v>0</v>
      </c>
      <c r="O185" s="14">
        <f>IFERROR(N185/N329, "NA")</f>
      </c>
      <c r="P185" s="15"/>
      <c r="Q185" s="13">
        <v>0</v>
      </c>
      <c r="R185" s="14">
        <f>IFERROR(Q185/Q329, "NA")</f>
      </c>
    </row>
    <row r="186" ht="16.5" customHeight="1">
      <c t="s" r="A186" s="12">
        <v>190</v>
      </c>
      <c r="B186" s="13">
        <v>0</v>
      </c>
      <c r="C186" s="14">
        <f>IFERROR(B186/B329, "NA")</f>
      </c>
      <c r="D186" s="15"/>
      <c r="E186" s="13">
        <v>0</v>
      </c>
      <c r="F186" s="14">
        <f>IFERROR(E186/E329, "NA")</f>
      </c>
      <c r="G186" s="15"/>
      <c r="H186" s="13">
        <v>0</v>
      </c>
      <c r="I186" s="14">
        <f>IFERROR(H186/H329, "NA")</f>
      </c>
      <c r="J186" s="15"/>
      <c r="K186" s="13">
        <v>0</v>
      </c>
      <c r="L186" s="14">
        <f>IFERROR(K186/K329, "NA")</f>
      </c>
      <c r="M186" s="15"/>
      <c r="N186" s="13">
        <v>0</v>
      </c>
      <c r="O186" s="14">
        <f>IFERROR(N186/N329, "NA")</f>
      </c>
      <c r="P186" s="15"/>
      <c r="Q186" s="13">
        <v>0</v>
      </c>
      <c r="R186" s="14">
        <f>IFERROR(Q186/Q329, "NA")</f>
      </c>
    </row>
    <row r="187" ht="16.5" customHeight="1">
      <c t="s" r="A187" s="12">
        <v>191</v>
      </c>
      <c r="B187" s="13">
        <v>0</v>
      </c>
      <c r="C187" s="14">
        <f>IFERROR(B187/B329, "NA")</f>
      </c>
      <c r="D187" s="15"/>
      <c r="E187" s="13">
        <v>0</v>
      </c>
      <c r="F187" s="14">
        <f>IFERROR(E187/E329, "NA")</f>
      </c>
      <c r="G187" s="15"/>
      <c r="H187" s="13">
        <v>0</v>
      </c>
      <c r="I187" s="14">
        <f>IFERROR(H187/H329, "NA")</f>
      </c>
      <c r="J187" s="15"/>
      <c r="K187" s="13">
        <v>0</v>
      </c>
      <c r="L187" s="14">
        <f>IFERROR(K187/K329, "NA")</f>
      </c>
      <c r="M187" s="15"/>
      <c r="N187" s="13">
        <v>0</v>
      </c>
      <c r="O187" s="14">
        <f>IFERROR(N187/N329, "NA")</f>
      </c>
      <c r="P187" s="15"/>
      <c r="Q187" s="13">
        <v>0</v>
      </c>
      <c r="R187" s="14">
        <f>IFERROR(Q187/Q329, "NA")</f>
      </c>
    </row>
    <row r="188" ht="16.5" customHeight="1">
      <c t="s" r="A188" s="12">
        <v>192</v>
      </c>
      <c r="B188" s="13">
        <v>29.899999999999999</v>
      </c>
      <c r="C188" s="14">
        <f>IFERROR(B188/B329, "NA")</f>
      </c>
      <c r="D188" s="15"/>
      <c r="E188" s="13">
        <v>0</v>
      </c>
      <c r="F188" s="14">
        <f>IFERROR(E188/E329, "NA")</f>
      </c>
      <c r="G188" s="15"/>
      <c r="H188" s="13">
        <v>0</v>
      </c>
      <c r="I188" s="14">
        <f>IFERROR(H188/H329, "NA")</f>
      </c>
      <c r="J188" s="15"/>
      <c r="K188" s="13">
        <v>1091.0799999999999</v>
      </c>
      <c r="L188" s="14">
        <f>IFERROR(K188/K329, "NA")</f>
      </c>
      <c r="M188" s="15"/>
      <c r="N188" s="13">
        <v>153.00999999999999</v>
      </c>
      <c r="O188" s="14">
        <f>IFERROR(N188/N329, "NA")</f>
      </c>
      <c r="P188" s="15"/>
      <c r="Q188" s="13">
        <v>0</v>
      </c>
      <c r="R188" s="14">
        <f>IFERROR(Q188/Q329, "NA")</f>
      </c>
    </row>
    <row r="189" ht="16.5" customHeight="1">
      <c t="s" r="A189" s="12">
        <v>193</v>
      </c>
      <c r="B189" s="13">
        <v>2121.6500000000001</v>
      </c>
      <c r="C189" s="14">
        <f>IFERROR(B189/B329, "NA")</f>
      </c>
      <c r="D189" s="15"/>
      <c r="E189" s="13">
        <v>261.82999999999998</v>
      </c>
      <c r="F189" s="14">
        <f>IFERROR(E189/E329, "NA")</f>
      </c>
      <c r="G189" s="15"/>
      <c r="H189" s="13">
        <v>1070.21</v>
      </c>
      <c r="I189" s="14">
        <f>IFERROR(H189/H329, "NA")</f>
      </c>
      <c r="J189" s="15"/>
      <c r="K189" s="13">
        <v>24.609999999999999</v>
      </c>
      <c r="L189" s="14">
        <f>IFERROR(K189/K329, "NA")</f>
      </c>
      <c r="M189" s="15"/>
      <c r="N189" s="13">
        <v>742.42999999999995</v>
      </c>
      <c r="O189" s="14">
        <f>IFERROR(N189/N329, "NA")</f>
      </c>
      <c r="P189" s="15"/>
      <c r="Q189" s="13">
        <v>834</v>
      </c>
      <c r="R189" s="14">
        <f>IFERROR(Q189/Q329, "NA")</f>
      </c>
    </row>
    <row r="190" ht="16.5" customHeight="1">
      <c t="s" r="A190" s="12">
        <v>194</v>
      </c>
      <c r="B190" s="13">
        <v>0</v>
      </c>
      <c r="C190" s="14">
        <f>IFERROR(B190/B329, "NA")</f>
      </c>
      <c r="D190" s="15"/>
      <c r="E190" s="13">
        <v>0</v>
      </c>
      <c r="F190" s="14">
        <f>IFERROR(E190/E329, "NA")</f>
      </c>
      <c r="G190" s="15"/>
      <c r="H190" s="13">
        <v>0</v>
      </c>
      <c r="I190" s="14">
        <f>IFERROR(H190/H329, "NA")</f>
      </c>
      <c r="J190" s="15"/>
      <c r="K190" s="13">
        <v>0</v>
      </c>
      <c r="L190" s="14">
        <f>IFERROR(K190/K329, "NA")</f>
      </c>
      <c r="M190" s="15"/>
      <c r="N190" s="13">
        <v>0</v>
      </c>
      <c r="O190" s="14">
        <f>IFERROR(N190/N329, "NA")</f>
      </c>
      <c r="P190" s="15"/>
      <c r="Q190" s="13">
        <v>0</v>
      </c>
      <c r="R190" s="14">
        <f>IFERROR(Q190/Q329, "NA")</f>
      </c>
    </row>
    <row r="191" ht="16.5" customHeight="1">
      <c t="s" r="A191" s="12">
        <v>195</v>
      </c>
      <c r="B191" s="13">
        <v>0</v>
      </c>
      <c r="C191" s="14">
        <f>IFERROR(B191/B329, "NA")</f>
      </c>
      <c r="D191" s="15"/>
      <c r="E191" s="13">
        <v>0</v>
      </c>
      <c r="F191" s="14">
        <f>IFERROR(E191/E329, "NA")</f>
      </c>
      <c r="G191" s="15"/>
      <c r="H191" s="13">
        <v>0</v>
      </c>
      <c r="I191" s="14">
        <f>IFERROR(H191/H329, "NA")</f>
      </c>
      <c r="J191" s="15"/>
      <c r="K191" s="13">
        <v>0</v>
      </c>
      <c r="L191" s="14">
        <f>IFERROR(K191/K329, "NA")</f>
      </c>
      <c r="M191" s="15"/>
      <c r="N191" s="13">
        <v>0</v>
      </c>
      <c r="O191" s="14">
        <f>IFERROR(N191/N329, "NA")</f>
      </c>
      <c r="P191" s="15"/>
      <c r="Q191" s="13">
        <v>0</v>
      </c>
      <c r="R191" s="14">
        <f>IFERROR(Q191/Q329, "NA")</f>
      </c>
    </row>
    <row r="192" ht="16.5" customHeight="1">
      <c t="s" r="A192" s="12">
        <v>196</v>
      </c>
      <c r="B192" s="13">
        <v>2492.1500000000001</v>
      </c>
      <c r="C192" s="14">
        <f>IFERROR(B192/B329, "NA")</f>
      </c>
      <c r="D192" s="15"/>
      <c r="E192" s="13">
        <v>3384.9899999999998</v>
      </c>
      <c r="F192" s="14">
        <f>IFERROR(E192/E329, "NA")</f>
      </c>
      <c r="G192" s="15"/>
      <c r="H192" s="13">
        <v>302.39999999999998</v>
      </c>
      <c r="I192" s="14">
        <f>IFERROR(H192/H329, "NA")</f>
      </c>
      <c r="J192" s="15"/>
      <c r="K192" s="13">
        <v>86.489999999999995</v>
      </c>
      <c r="L192" s="14">
        <f>IFERROR(K192/K329, "NA")</f>
      </c>
      <c r="M192" s="15"/>
      <c r="N192" s="13">
        <v>1107.98</v>
      </c>
      <c r="O192" s="14">
        <f>IFERROR(N192/N329, "NA")</f>
      </c>
      <c r="P192" s="15"/>
      <c r="Q192" s="13">
        <v>37</v>
      </c>
      <c r="R192" s="14">
        <f>IFERROR(Q192/Q329, "NA")</f>
      </c>
    </row>
    <row r="193" ht="16.5" customHeight="1">
      <c t="s" r="A193" s="12">
        <v>197</v>
      </c>
      <c r="B193" s="13">
        <v>4561.1000000000004</v>
      </c>
      <c r="C193" s="14">
        <f>IFERROR(B193/B329, "NA")</f>
      </c>
      <c r="D193" s="15"/>
      <c r="E193" s="13">
        <v>4561.1000000000004</v>
      </c>
      <c r="F193" s="14">
        <f>IFERROR(E193/E329, "NA")</f>
      </c>
      <c r="G193" s="15"/>
      <c r="H193" s="13">
        <v>4561.1000000000004</v>
      </c>
      <c r="I193" s="14">
        <f>IFERROR(H193/H329, "NA")</f>
      </c>
      <c r="J193" s="15"/>
      <c r="K193" s="13">
        <v>4561.1000000000004</v>
      </c>
      <c r="L193" s="14">
        <f>IFERROR(K193/K329, "NA")</f>
      </c>
      <c r="M193" s="15"/>
      <c r="N193" s="13">
        <v>4561.1000000000004</v>
      </c>
      <c r="O193" s="14">
        <f>IFERROR(N193/N329, "NA")</f>
      </c>
      <c r="P193" s="15"/>
      <c r="Q193" s="13">
        <v>4561.1000000000004</v>
      </c>
      <c r="R193" s="14">
        <f>IFERROR(Q193/Q329, "NA")</f>
      </c>
    </row>
    <row r="194" ht="16.5" customHeight="1">
      <c t="s" r="A194" s="12">
        <v>198</v>
      </c>
      <c r="B194" s="13">
        <v>0</v>
      </c>
      <c r="C194" s="14">
        <f>IFERROR(B194/B329, "NA")</f>
      </c>
      <c r="D194" s="15"/>
      <c r="E194" s="13">
        <v>0</v>
      </c>
      <c r="F194" s="14">
        <f>IFERROR(E194/E329, "NA")</f>
      </c>
      <c r="G194" s="15"/>
      <c r="H194" s="13">
        <v>0</v>
      </c>
      <c r="I194" s="14">
        <f>IFERROR(H194/H329, "NA")</f>
      </c>
      <c r="J194" s="15"/>
      <c r="K194" s="13">
        <v>14684.6</v>
      </c>
      <c r="L194" s="14">
        <f>IFERROR(K194/K329, "NA")</f>
      </c>
      <c r="M194" s="15"/>
      <c r="N194" s="13">
        <v>0</v>
      </c>
      <c r="O194" s="14">
        <f>IFERROR(N194/N329, "NA")</f>
      </c>
      <c r="P194" s="15"/>
      <c r="Q194" s="13">
        <v>0</v>
      </c>
      <c r="R194" s="14">
        <f>IFERROR(Q194/Q329, "NA")</f>
      </c>
    </row>
    <row r="195" ht="16.5" customHeight="1">
      <c t="s" r="A195" s="12">
        <v>199</v>
      </c>
      <c r="B195" s="13">
        <v>0</v>
      </c>
      <c r="C195" s="14">
        <f>IFERROR(B195/B329, "NA")</f>
      </c>
      <c r="D195" s="15"/>
      <c r="E195" s="13">
        <v>0</v>
      </c>
      <c r="F195" s="14">
        <f>IFERROR(E195/E329, "NA")</f>
      </c>
      <c r="G195" s="15"/>
      <c r="H195" s="13">
        <v>0</v>
      </c>
      <c r="I195" s="14">
        <f>IFERROR(H195/H329, "NA")</f>
      </c>
      <c r="J195" s="15"/>
      <c r="K195" s="13">
        <v>1242.9300000000001</v>
      </c>
      <c r="L195" s="14">
        <f>IFERROR(K195/K329, "NA")</f>
      </c>
      <c r="M195" s="15"/>
      <c r="N195" s="13">
        <v>0</v>
      </c>
      <c r="O195" s="14">
        <f>IFERROR(N195/N329, "NA")</f>
      </c>
      <c r="P195" s="15"/>
      <c r="Q195" s="13">
        <v>0</v>
      </c>
      <c r="R195" s="14">
        <f>IFERROR(Q195/Q329, "NA")</f>
      </c>
    </row>
    <row r="196" ht="16.5" customHeight="1">
      <c t="s" r="A196" s="12">
        <v>200</v>
      </c>
      <c r="B196" s="13">
        <v>8730</v>
      </c>
      <c r="C196" s="14">
        <f>IFERROR(B196/B329, "NA")</f>
      </c>
      <c r="D196" s="15"/>
      <c r="E196" s="13">
        <v>8030</v>
      </c>
      <c r="F196" s="14">
        <f>IFERROR(E196/E329, "NA")</f>
      </c>
      <c r="G196" s="15"/>
      <c r="H196" s="13">
        <v>2728.7600000000002</v>
      </c>
      <c r="I196" s="14">
        <f>IFERROR(H196/H329, "NA")</f>
      </c>
      <c r="J196" s="15"/>
      <c r="K196" s="13">
        <v>6549.3000000000002</v>
      </c>
      <c r="L196" s="14">
        <f>IFERROR(K196/K329, "NA")</f>
      </c>
      <c r="M196" s="15"/>
      <c r="N196" s="13">
        <v>21776.490000000002</v>
      </c>
      <c r="O196" s="14">
        <f>IFERROR(N196/N329, "NA")</f>
      </c>
      <c r="P196" s="15"/>
      <c r="Q196" s="13">
        <v>0</v>
      </c>
      <c r="R196" s="14">
        <f>IFERROR(Q196/Q329, "NA")</f>
      </c>
    </row>
    <row r="197" ht="16.5" customHeight="1">
      <c t="s" r="A197" s="12">
        <v>201</v>
      </c>
      <c r="B197" s="13">
        <v>0</v>
      </c>
      <c r="C197" s="14">
        <f>IFERROR(B197/B329, "NA")</f>
      </c>
      <c r="D197" s="15"/>
      <c r="E197" s="13">
        <v>0</v>
      </c>
      <c r="F197" s="14">
        <f>IFERROR(E197/E329, "NA")</f>
      </c>
      <c r="G197" s="15"/>
      <c r="H197" s="13">
        <v>0</v>
      </c>
      <c r="I197" s="14">
        <f>IFERROR(H197/H329, "NA")</f>
      </c>
      <c r="J197" s="15"/>
      <c r="K197" s="13">
        <v>0</v>
      </c>
      <c r="L197" s="14">
        <f>IFERROR(K197/K329, "NA")</f>
      </c>
      <c r="M197" s="15"/>
      <c r="N197" s="13">
        <v>0</v>
      </c>
      <c r="O197" s="14">
        <f>IFERROR(N197/N329, "NA")</f>
      </c>
      <c r="P197" s="15"/>
      <c r="Q197" s="13">
        <v>0</v>
      </c>
      <c r="R197" s="14">
        <f>IFERROR(Q197/Q329, "NA")</f>
      </c>
    </row>
    <row r="198" ht="16.5" customHeight="1">
      <c t="s" r="A198" s="12">
        <v>202</v>
      </c>
      <c r="B198" s="13">
        <v>0</v>
      </c>
      <c r="C198" s="14">
        <f>IFERROR(B198/B329, "NA")</f>
      </c>
      <c r="D198" s="15"/>
      <c r="E198" s="13">
        <v>0</v>
      </c>
      <c r="F198" s="14">
        <f>IFERROR(E198/E329, "NA")</f>
      </c>
      <c r="G198" s="15"/>
      <c r="H198" s="13">
        <v>0</v>
      </c>
      <c r="I198" s="14">
        <f>IFERROR(H198/H329, "NA")</f>
      </c>
      <c r="J198" s="15"/>
      <c r="K198" s="13">
        <v>0</v>
      </c>
      <c r="L198" s="14">
        <f>IFERROR(K198/K329, "NA")</f>
      </c>
      <c r="M198" s="15"/>
      <c r="N198" s="13">
        <v>0</v>
      </c>
      <c r="O198" s="14">
        <f>IFERROR(N198/N329, "NA")</f>
      </c>
      <c r="P198" s="15"/>
      <c r="Q198" s="13">
        <v>0</v>
      </c>
      <c r="R198" s="14">
        <f>IFERROR(Q198/Q329, "NA")</f>
      </c>
    </row>
    <row r="199" ht="16.5" customHeight="1">
      <c t="s" r="A199" s="12">
        <v>203</v>
      </c>
      <c r="B199" s="13">
        <v>0</v>
      </c>
      <c r="C199" s="14">
        <f>IFERROR(B199/B329, "NA")</f>
      </c>
      <c r="D199" s="15"/>
      <c r="E199" s="13">
        <v>0</v>
      </c>
      <c r="F199" s="14">
        <f>IFERROR(E199/E329, "NA")</f>
      </c>
      <c r="G199" s="15"/>
      <c r="H199" s="13">
        <v>0</v>
      </c>
      <c r="I199" s="14">
        <f>IFERROR(H199/H329, "NA")</f>
      </c>
      <c r="J199" s="15"/>
      <c r="K199" s="13">
        <v>0</v>
      </c>
      <c r="L199" s="14">
        <f>IFERROR(K199/K329, "NA")</f>
      </c>
      <c r="M199" s="15"/>
      <c r="N199" s="13">
        <v>0</v>
      </c>
      <c r="O199" s="14">
        <f>IFERROR(N199/N329, "NA")</f>
      </c>
      <c r="P199" s="15"/>
      <c r="Q199" s="13">
        <v>0</v>
      </c>
      <c r="R199" s="14">
        <f>IFERROR(Q199/Q329, "NA")</f>
      </c>
    </row>
    <row r="200" ht="16.5" customHeight="1">
      <c t="s" r="A200" s="12">
        <v>204</v>
      </c>
      <c r="B200" s="13">
        <v>0</v>
      </c>
      <c r="C200" s="14">
        <f>IFERROR(B200/B329, "NA")</f>
      </c>
      <c r="D200" s="15"/>
      <c r="E200" s="13">
        <v>0</v>
      </c>
      <c r="F200" s="14">
        <f>IFERROR(E200/E329, "NA")</f>
      </c>
      <c r="G200" s="15"/>
      <c r="H200" s="13">
        <v>0</v>
      </c>
      <c r="I200" s="14">
        <f>IFERROR(H200/H329, "NA")</f>
      </c>
      <c r="J200" s="15"/>
      <c r="K200" s="13">
        <v>0</v>
      </c>
      <c r="L200" s="14">
        <f>IFERROR(K200/K329, "NA")</f>
      </c>
      <c r="M200" s="15"/>
      <c r="N200" s="13">
        <v>0</v>
      </c>
      <c r="O200" s="14">
        <f>IFERROR(N200/N329, "NA")</f>
      </c>
      <c r="P200" s="15"/>
      <c r="Q200" s="13">
        <v>0</v>
      </c>
      <c r="R200" s="14">
        <f>IFERROR(Q200/Q329, "NA")</f>
      </c>
    </row>
    <row r="201" ht="16.5" customHeight="1">
      <c t="s" r="A201" s="12">
        <v>205</v>
      </c>
      <c r="B201" s="13">
        <v>0</v>
      </c>
      <c r="C201" s="14">
        <f>IFERROR(B201/B329, "NA")</f>
      </c>
      <c r="D201" s="15"/>
      <c r="E201" s="13">
        <v>0</v>
      </c>
      <c r="F201" s="14">
        <f>IFERROR(E201/E329, "NA")</f>
      </c>
      <c r="G201" s="15"/>
      <c r="H201" s="13">
        <v>0</v>
      </c>
      <c r="I201" s="14">
        <f>IFERROR(H201/H329, "NA")</f>
      </c>
      <c r="J201" s="15"/>
      <c r="K201" s="13">
        <v>621.30999999999995</v>
      </c>
      <c r="L201" s="14">
        <f>IFERROR(K201/K329, "NA")</f>
      </c>
      <c r="M201" s="15"/>
      <c r="N201" s="13">
        <v>0</v>
      </c>
      <c r="O201" s="14">
        <f>IFERROR(N201/N329, "NA")</f>
      </c>
      <c r="P201" s="15"/>
      <c r="Q201" s="13">
        <v>0</v>
      </c>
      <c r="R201" s="14">
        <f>IFERROR(Q201/Q329, "NA")</f>
      </c>
    </row>
    <row r="202" ht="16.5" customHeight="1">
      <c t="s" r="A202" s="12">
        <v>206</v>
      </c>
      <c r="B202" s="13">
        <v>0</v>
      </c>
      <c r="C202" s="14">
        <f>IFERROR(B202/B329, "NA")</f>
      </c>
      <c r="D202" s="15"/>
      <c r="E202" s="13">
        <v>0</v>
      </c>
      <c r="F202" s="14">
        <f>IFERROR(E202/E329, "NA")</f>
      </c>
      <c r="G202" s="15"/>
      <c r="H202" s="13">
        <v>0</v>
      </c>
      <c r="I202" s="14">
        <f>IFERROR(H202/H329, "NA")</f>
      </c>
      <c r="J202" s="15"/>
      <c r="K202" s="13">
        <v>0</v>
      </c>
      <c r="L202" s="14">
        <f>IFERROR(K202/K329, "NA")</f>
      </c>
      <c r="M202" s="15"/>
      <c r="N202" s="13">
        <v>0</v>
      </c>
      <c r="O202" s="14">
        <f>IFERROR(N202/N329, "NA")</f>
      </c>
      <c r="P202" s="15"/>
      <c r="Q202" s="13">
        <v>0</v>
      </c>
      <c r="R202" s="14">
        <f>IFERROR(Q202/Q329, "NA")</f>
      </c>
    </row>
    <row r="203" ht="16.5" customHeight="1">
      <c t="s" r="A203" s="12">
        <v>207</v>
      </c>
      <c r="B203" s="13">
        <v>0</v>
      </c>
      <c r="C203" s="14">
        <f>IFERROR(B203/B329, "NA")</f>
      </c>
      <c r="D203" s="15"/>
      <c r="E203" s="13">
        <v>0</v>
      </c>
      <c r="F203" s="14">
        <f>IFERROR(E203/E329, "NA")</f>
      </c>
      <c r="G203" s="15"/>
      <c r="H203" s="13">
        <v>0</v>
      </c>
      <c r="I203" s="14">
        <f>IFERROR(H203/H329, "NA")</f>
      </c>
      <c r="J203" s="15"/>
      <c r="K203" s="13">
        <v>0</v>
      </c>
      <c r="L203" s="14">
        <f>IFERROR(K203/K329, "NA")</f>
      </c>
      <c r="M203" s="15"/>
      <c r="N203" s="13">
        <v>0</v>
      </c>
      <c r="O203" s="14">
        <f>IFERROR(N203/N329, "NA")</f>
      </c>
      <c r="P203" s="15"/>
      <c r="Q203" s="13">
        <v>0</v>
      </c>
      <c r="R203" s="14">
        <f>IFERROR(Q203/Q329, "NA")</f>
      </c>
    </row>
    <row r="204" ht="16.5" customHeight="1">
      <c t="s" r="A204" s="12">
        <v>208</v>
      </c>
      <c r="B204" s="13">
        <v>0</v>
      </c>
      <c r="C204" s="14">
        <f>IFERROR(B204/B329, "NA")</f>
      </c>
      <c r="D204" s="15"/>
      <c r="E204" s="13">
        <v>0</v>
      </c>
      <c r="F204" s="14">
        <f>IFERROR(E204/E329, "NA")</f>
      </c>
      <c r="G204" s="15"/>
      <c r="H204" s="13">
        <v>0</v>
      </c>
      <c r="I204" s="14">
        <f>IFERROR(H204/H329, "NA")</f>
      </c>
      <c r="J204" s="15"/>
      <c r="K204" s="13">
        <v>0</v>
      </c>
      <c r="L204" s="14">
        <f>IFERROR(K204/K329, "NA")</f>
      </c>
      <c r="M204" s="15"/>
      <c r="N204" s="13">
        <v>0</v>
      </c>
      <c r="O204" s="14">
        <f>IFERROR(N204/N329, "NA")</f>
      </c>
      <c r="P204" s="15"/>
      <c r="Q204" s="13">
        <v>0</v>
      </c>
      <c r="R204" s="14">
        <f>IFERROR(Q204/Q329, "NA")</f>
      </c>
    </row>
    <row r="205" ht="16.5" customHeight="1">
      <c t="s" r="A205" s="12">
        <v>209</v>
      </c>
      <c r="B205" s="13">
        <v>0</v>
      </c>
      <c r="C205" s="14">
        <f>IFERROR(B205/B329, "NA")</f>
      </c>
      <c r="D205" s="15"/>
      <c r="E205" s="13">
        <v>0</v>
      </c>
      <c r="F205" s="14">
        <f>IFERROR(E205/E329, "NA")</f>
      </c>
      <c r="G205" s="15"/>
      <c r="H205" s="13">
        <v>0</v>
      </c>
      <c r="I205" s="14">
        <f>IFERROR(H205/H329, "NA")</f>
      </c>
      <c r="J205" s="15"/>
      <c r="K205" s="13">
        <v>0</v>
      </c>
      <c r="L205" s="14">
        <f>IFERROR(K205/K329, "NA")</f>
      </c>
      <c r="M205" s="15"/>
      <c r="N205" s="13">
        <v>0</v>
      </c>
      <c r="O205" s="14">
        <f>IFERROR(N205/N329, "NA")</f>
      </c>
      <c r="P205" s="15"/>
      <c r="Q205" s="13">
        <v>0</v>
      </c>
      <c r="R205" s="14">
        <f>IFERROR(Q205/Q329, "NA")</f>
      </c>
    </row>
    <row r="206" ht="16.5" customHeight="1">
      <c t="s" r="A206" s="12">
        <v>210</v>
      </c>
      <c r="B206" s="13">
        <v>0</v>
      </c>
      <c r="C206" s="14">
        <f>IFERROR(B206/B329, "NA")</f>
      </c>
      <c r="D206" s="15"/>
      <c r="E206" s="13">
        <v>0</v>
      </c>
      <c r="F206" s="14">
        <f>IFERROR(E206/E329, "NA")</f>
      </c>
      <c r="G206" s="15"/>
      <c r="H206" s="13">
        <v>0</v>
      </c>
      <c r="I206" s="14">
        <f>IFERROR(H206/H329, "NA")</f>
      </c>
      <c r="J206" s="15"/>
      <c r="K206" s="13">
        <v>0</v>
      </c>
      <c r="L206" s="14">
        <f>IFERROR(K206/K329, "NA")</f>
      </c>
      <c r="M206" s="15"/>
      <c r="N206" s="13">
        <v>0</v>
      </c>
      <c r="O206" s="14">
        <f>IFERROR(N206/N329, "NA")</f>
      </c>
      <c r="P206" s="15"/>
      <c r="Q206" s="13">
        <v>0</v>
      </c>
      <c r="R206" s="14">
        <f>IFERROR(Q206/Q329, "NA")</f>
      </c>
    </row>
    <row r="207" ht="16.5" customHeight="1">
      <c t="s" r="A207" s="12">
        <v>211</v>
      </c>
      <c r="B207" s="13">
        <v>0</v>
      </c>
      <c r="C207" s="14">
        <f>IFERROR(B207/B329, "NA")</f>
      </c>
      <c r="D207" s="15"/>
      <c r="E207" s="13">
        <v>0</v>
      </c>
      <c r="F207" s="14">
        <f>IFERROR(E207/E329, "NA")</f>
      </c>
      <c r="G207" s="15"/>
      <c r="H207" s="13">
        <v>0</v>
      </c>
      <c r="I207" s="14">
        <f>IFERROR(H207/H329, "NA")</f>
      </c>
      <c r="J207" s="15"/>
      <c r="K207" s="13">
        <v>0</v>
      </c>
      <c r="L207" s="14">
        <f>IFERROR(K207/K329, "NA")</f>
      </c>
      <c r="M207" s="15"/>
      <c r="N207" s="13">
        <v>0</v>
      </c>
      <c r="O207" s="14">
        <f>IFERROR(N207/N329, "NA")</f>
      </c>
      <c r="P207" s="15"/>
      <c r="Q207" s="13">
        <v>0</v>
      </c>
      <c r="R207" s="14">
        <f>IFERROR(Q207/Q329, "NA")</f>
      </c>
    </row>
    <row r="208" ht="16.5" customHeight="1">
      <c t="s" r="A208" s="12">
        <v>212</v>
      </c>
      <c r="B208" s="13">
        <v>0</v>
      </c>
      <c r="C208" s="14">
        <f>IFERROR(B208/B329, "NA")</f>
      </c>
      <c r="D208" s="15"/>
      <c r="E208" s="13">
        <v>0</v>
      </c>
      <c r="F208" s="14">
        <f>IFERROR(E208/E329, "NA")</f>
      </c>
      <c r="G208" s="15"/>
      <c r="H208" s="13">
        <v>0</v>
      </c>
      <c r="I208" s="14">
        <f>IFERROR(H208/H329, "NA")</f>
      </c>
      <c r="J208" s="15"/>
      <c r="K208" s="13">
        <v>0</v>
      </c>
      <c r="L208" s="14">
        <f>IFERROR(K208/K329, "NA")</f>
      </c>
      <c r="M208" s="15"/>
      <c r="N208" s="13">
        <v>0</v>
      </c>
      <c r="O208" s="14">
        <f>IFERROR(N208/N329, "NA")</f>
      </c>
      <c r="P208" s="15"/>
      <c r="Q208" s="13">
        <v>0</v>
      </c>
      <c r="R208" s="14">
        <f>IFERROR(Q208/Q329, "NA")</f>
      </c>
    </row>
    <row r="209" ht="16.5" customHeight="1">
      <c t="s" r="A209" s="16">
        <v>213</v>
      </c>
      <c r="B209" s="17">
        <f>IFERROR(B160+B161+B162+B163+B164+B165+B166+B167+B168+B169+B170+B171+B172+B173+B174+B175+B176+B177+B178+B179+B180+B181+B182+B183+B184+B185+B186+B187+B188+B189+B190+B191+B192+B193+B194+B195+B196+B197+B198+B199+B200+B201+B202+B203+B204+B205+B206+B207+B208, "NA")</f>
      </c>
      <c r="C209" s="18">
        <f>IFERROR(B209/B329, "NA")</f>
      </c>
      <c r="D209" s="8"/>
      <c r="E209" s="17">
        <f>IFERROR(E160+E161+E162+E163+E164+E165+E166+E167+E168+E169+E170+E171+E172+E173+E174+E175+E176+E177+E178+E179+E180+E181+E182+E183+E184+E185+E186+E187+E188+E189+E190+E191+E192+E193+E194+E195+E196+E197+E198+E199+E200+E201+E202+E203+E204+E205+E206+E207+E208, "NA")</f>
      </c>
      <c r="F209" s="18">
        <f>IFERROR(E209/E329, "NA")</f>
      </c>
      <c r="G209" s="8"/>
      <c r="H209" s="17">
        <f>IFERROR(H160+H161+H162+H163+H164+H165+H166+H167+H168+H169+H170+H171+H172+H173+H174+H175+H176+H177+H178+H179+H180+H181+H182+H183+H184+H185+H186+H187+H188+H189+H190+H191+H192+H193+H194+H195+H196+H197+H198+H199+H200+H201+H202+H203+H204+H205+H206+H207+H208, "NA")</f>
      </c>
      <c r="I209" s="18">
        <f>IFERROR(H209/H329, "NA")</f>
      </c>
      <c r="J209" s="8"/>
      <c r="K209" s="17">
        <f>IFERROR(K160+K161+K162+K163+K164+K165+K166+K167+K168+K169+K170+K171+K172+K173+K174+K175+K176+K177+K178+K179+K180+K181+K182+K183+K184+K185+K186+K187+K188+K189+K190+K191+K192+K193+K194+K195+K196+K197+K198+K199+K200+K201+K202+K203+K204+K205+K206+K207+K208, "NA")</f>
      </c>
      <c r="L209" s="18">
        <f>IFERROR(K209/K329, "NA")</f>
      </c>
      <c r="M209" s="8"/>
      <c r="N209" s="17">
        <f>IFERROR(N160+N161+N162+N163+N164+N165+N166+N167+N168+N169+N170+N171+N172+N173+N174+N175+N176+N177+N178+N179+N180+N181+N182+N183+N184+N185+N186+N187+N188+N189+N190+N191+N192+N193+N194+N195+N196+N197+N198+N199+N200+N201+N202+N203+N204+N205+N206+N207+N208, "NA")</f>
      </c>
      <c r="O209" s="18">
        <f>IFERROR(N209/N329, "NA")</f>
      </c>
      <c r="P209" s="8"/>
      <c r="Q209" s="17">
        <f>IFERROR(Q160+Q161+Q162+Q163+Q164+Q165+Q166+Q167+Q168+Q169+Q170+Q171+Q172+Q173+Q174+Q175+Q176+Q177+Q178+Q179+Q180+Q181+Q182+Q183+Q184+Q185+Q186+Q187+Q188+Q189+Q190+Q191+Q192+Q193+Q194+Q195+Q196+Q197+Q198+Q199+Q200+Q201+Q202+Q203+Q204+Q205+Q206+Q207+Q208, "NA")</f>
      </c>
      <c r="R209" s="18">
        <f>IFERROR(Q209/Q329, "NA")</f>
      </c>
    </row>
    <row r="210" ht="16.5" customHeight="1">
      <c t="s" r="A210" s="19">
        <v>214</v>
      </c>
      <c r="B210" s="13">
        <v>0</v>
      </c>
      <c r="C210" s="14">
        <f>IFERROR(B210/B329, "NA")</f>
      </c>
      <c r="D210" s="15"/>
      <c r="E210" s="13">
        <v>0</v>
      </c>
      <c r="F210" s="14">
        <f>IFERROR(E210/E329, "NA")</f>
      </c>
      <c r="G210" s="15"/>
      <c r="H210" s="13">
        <v>0</v>
      </c>
      <c r="I210" s="14">
        <f>IFERROR(H210/H329, "NA")</f>
      </c>
      <c r="J210" s="15"/>
      <c r="K210" s="13">
        <v>0</v>
      </c>
      <c r="L210" s="14">
        <f>IFERROR(K210/K329, "NA")</f>
      </c>
      <c r="M210" s="15"/>
      <c r="N210" s="13">
        <v>0</v>
      </c>
      <c r="O210" s="14">
        <f>IFERROR(N210/N329, "NA")</f>
      </c>
      <c r="P210" s="15"/>
      <c r="Q210" s="13">
        <v>0</v>
      </c>
      <c r="R210" s="14">
        <f>IFERROR(Q210/Q329, "NA")</f>
      </c>
    </row>
    <row r="211" ht="16.5" customHeight="1">
      <c t="s" r="A211" s="20">
        <v>215</v>
      </c>
      <c r="B211" s="17">
        <f>IFERROR(B160+B161+B162+B163+B164+B165+B166+B167+B168+B169+B170+B171+B172+B173+B174+B175+B176+B177+B178+B179+B180+B181+B182+B183+B184+B185+B186+B187+B188+B189+B190+B191+B192+B193+B194+B195+B196+B197+B198+B199+B200+B201+B202+B203+B204+B205+B206+B207+B208+B210, "NA")</f>
      </c>
      <c r="C211" s="18">
        <f>IFERROR(B211/B329, "NA")</f>
      </c>
      <c r="D211" s="8"/>
      <c r="E211" s="17">
        <f>IFERROR(E160+E161+E162+E163+E164+E165+E166+E167+E168+E169+E170+E171+E172+E173+E174+E175+E176+E177+E178+E179+E180+E181+E182+E183+E184+E185+E186+E187+E188+E189+E190+E191+E192+E193+E194+E195+E196+E197+E198+E199+E200+E201+E202+E203+E204+E205+E206+E207+E208+E210, "NA")</f>
      </c>
      <c r="F211" s="18">
        <f>IFERROR(E211/E329, "NA")</f>
      </c>
      <c r="G211" s="8"/>
      <c r="H211" s="17">
        <f>IFERROR(H160+H161+H162+H163+H164+H165+H166+H167+H168+H169+H170+H171+H172+H173+H174+H175+H176+H177+H178+H179+H180+H181+H182+H183+H184+H185+H186+H187+H188+H189+H190+H191+H192+H193+H194+H195+H196+H197+H198+H199+H200+H201+H202+H203+H204+H205+H206+H207+H208+H210, "NA")</f>
      </c>
      <c r="I211" s="18">
        <f>IFERROR(H211/H329, "NA")</f>
      </c>
      <c r="J211" s="8"/>
      <c r="K211" s="17">
        <f>IFERROR(K160+K161+K162+K163+K164+K165+K166+K167+K168+K169+K170+K171+K172+K173+K174+K175+K176+K177+K178+K179+K180+K181+K182+K183+K184+K185+K186+K187+K188+K189+K190+K191+K192+K193+K194+K195+K196+K197+K198+K199+K200+K201+K202+K203+K204+K205+K206+K207+K208+K210, "NA")</f>
      </c>
      <c r="L211" s="18">
        <f>IFERROR(K211/K329, "NA")</f>
      </c>
      <c r="M211" s="8"/>
      <c r="N211" s="17">
        <f>IFERROR(N160+N161+N162+N163+N164+N165+N166+N167+N168+N169+N170+N171+N172+N173+N174+N175+N176+N177+N178+N179+N180+N181+N182+N183+N184+N185+N186+N187+N188+N189+N190+N191+N192+N193+N194+N195+N196+N197+N198+N199+N200+N201+N202+N203+N204+N205+N206+N207+N208+N210, "NA")</f>
      </c>
      <c r="O211" s="18">
        <f>IFERROR(N211/N329, "NA")</f>
      </c>
      <c r="P211" s="8"/>
      <c r="Q211" s="17">
        <f>IFERROR(Q160+Q161+Q162+Q163+Q164+Q165+Q166+Q167+Q168+Q169+Q170+Q171+Q172+Q173+Q174+Q175+Q176+Q177+Q178+Q179+Q180+Q181+Q182+Q183+Q184+Q185+Q186+Q187+Q188+Q189+Q190+Q191+Q192+Q193+Q194+Q195+Q196+Q197+Q198+Q199+Q200+Q201+Q202+Q203+Q204+Q205+Q206+Q207+Q208+Q210, "NA")</f>
      </c>
      <c r="R211" s="18">
        <f>IFERROR(Q211/Q329, "NA")</f>
      </c>
    </row>
    <row r="212" ht="16.5" customHeight="1">
      <c t="s" r="A212" s="7">
        <v>216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</row>
    <row r="213" ht="16.5" customHeight="1">
      <c t="s" r="A213" s="11">
        <v>217</v>
      </c>
      <c r="B213" s="8"/>
      <c r="C213" s="9"/>
      <c r="D213" s="10"/>
      <c r="E213" s="8"/>
      <c r="F213" s="9"/>
      <c r="G213" s="10"/>
      <c r="H213" s="8"/>
      <c r="I213" s="9"/>
      <c r="J213" s="10"/>
      <c r="K213" s="8"/>
      <c r="L213" s="9"/>
      <c r="M213" s="10"/>
      <c r="N213" s="8"/>
      <c r="O213" s="9"/>
      <c r="P213" s="10"/>
      <c r="Q213" s="8"/>
      <c r="R213" s="9"/>
    </row>
    <row r="214" ht="16.5" customHeight="1">
      <c t="s" r="A214" s="12">
        <v>218</v>
      </c>
      <c r="B214" s="13">
        <v>0</v>
      </c>
      <c r="C214" s="14">
        <f>IFERROR(B214/B329, "NA")</f>
      </c>
      <c r="D214" s="15"/>
      <c r="E214" s="13">
        <v>0</v>
      </c>
      <c r="F214" s="14">
        <f>IFERROR(E214/E329, "NA")</f>
      </c>
      <c r="G214" s="15"/>
      <c r="H214" s="13">
        <v>0</v>
      </c>
      <c r="I214" s="14">
        <f>IFERROR(H214/H329, "NA")</f>
      </c>
      <c r="J214" s="15"/>
      <c r="K214" s="13">
        <v>0</v>
      </c>
      <c r="L214" s="14">
        <f>IFERROR(K214/K329, "NA")</f>
      </c>
      <c r="M214" s="15"/>
      <c r="N214" s="13">
        <v>0</v>
      </c>
      <c r="O214" s="14">
        <f>IFERROR(N214/N329, "NA")</f>
      </c>
      <c r="P214" s="15"/>
      <c r="Q214" s="13">
        <v>0</v>
      </c>
      <c r="R214" s="14">
        <f>IFERROR(Q214/Q329, "NA")</f>
      </c>
    </row>
    <row r="215" ht="16.5" customHeight="1">
      <c t="s" r="A215" s="12">
        <v>219</v>
      </c>
      <c r="B215" s="13">
        <v>9198.7800000000007</v>
      </c>
      <c r="C215" s="14">
        <f>IFERROR(B215/B329, "NA")</f>
      </c>
      <c r="D215" s="15"/>
      <c r="E215" s="13">
        <v>22396.470000000001</v>
      </c>
      <c r="F215" s="14">
        <f>IFERROR(E215/E329, "NA")</f>
      </c>
      <c r="G215" s="15"/>
      <c r="H215" s="13">
        <v>20799.619999999999</v>
      </c>
      <c r="I215" s="14">
        <f>IFERROR(H215/H329, "NA")</f>
      </c>
      <c r="J215" s="15"/>
      <c r="K215" s="13">
        <v>24507.549999999999</v>
      </c>
      <c r="L215" s="14">
        <f>IFERROR(K215/K329, "NA")</f>
      </c>
      <c r="M215" s="15"/>
      <c r="N215" s="13">
        <v>25736.860000000001</v>
      </c>
      <c r="O215" s="14">
        <f>IFERROR(N215/N329, "NA")</f>
      </c>
      <c r="P215" s="15"/>
      <c r="Q215" s="13">
        <v>14621.459999999999</v>
      </c>
      <c r="R215" s="14">
        <f>IFERROR(Q215/Q329, "NA")</f>
      </c>
    </row>
    <row r="216" ht="16.5" customHeight="1">
      <c t="s" r="A216" s="12">
        <v>220</v>
      </c>
      <c r="B216" s="13">
        <v>0</v>
      </c>
      <c r="C216" s="14">
        <f>IFERROR(B216/B329, "NA")</f>
      </c>
      <c r="D216" s="15"/>
      <c r="E216" s="13">
        <v>265.05000000000001</v>
      </c>
      <c r="F216" s="14">
        <f>IFERROR(E216/E329, "NA")</f>
      </c>
      <c r="G216" s="15"/>
      <c r="H216" s="13">
        <v>111.54000000000001</v>
      </c>
      <c r="I216" s="14">
        <f>IFERROR(H216/H329, "NA")</f>
      </c>
      <c r="J216" s="15"/>
      <c r="K216" s="13">
        <v>30.98</v>
      </c>
      <c r="L216" s="14">
        <f>IFERROR(K216/K329, "NA")</f>
      </c>
      <c r="M216" s="15"/>
      <c r="N216" s="13">
        <v>-201.62</v>
      </c>
      <c r="O216" s="14">
        <f>IFERROR(N216/N329, "NA")</f>
      </c>
      <c r="P216" s="15"/>
      <c r="Q216" s="13">
        <v>58.659999999999997</v>
      </c>
      <c r="R216" s="14">
        <f>IFERROR(Q216/Q329, "NA")</f>
      </c>
    </row>
    <row r="217" ht="16.5" customHeight="1">
      <c t="s" r="A217" s="12">
        <v>221</v>
      </c>
      <c r="B217" s="13">
        <v>5963.0299999999997</v>
      </c>
      <c r="C217" s="14">
        <f>IFERROR(B217/B329, "NA")</f>
      </c>
      <c r="D217" s="15"/>
      <c r="E217" s="13">
        <v>4267.8000000000002</v>
      </c>
      <c r="F217" s="14">
        <f>IFERROR(E217/E329, "NA")</f>
      </c>
      <c r="G217" s="15"/>
      <c r="H217" s="13">
        <v>2122.8000000000002</v>
      </c>
      <c r="I217" s="14">
        <f>IFERROR(H217/H329, "NA")</f>
      </c>
      <c r="J217" s="15"/>
      <c r="K217" s="13">
        <v>8101.3000000000002</v>
      </c>
      <c r="L217" s="14">
        <f>IFERROR(K217/K329, "NA")</f>
      </c>
      <c r="M217" s="15"/>
      <c r="N217" s="13">
        <v>5644.4399999999996</v>
      </c>
      <c r="O217" s="14">
        <f>IFERROR(N217/N329, "NA")</f>
      </c>
      <c r="P217" s="15"/>
      <c r="Q217" s="13">
        <v>2342.8800000000001</v>
      </c>
      <c r="R217" s="14">
        <f>IFERROR(Q217/Q329, "NA")</f>
      </c>
    </row>
    <row r="218" ht="16.5" customHeight="1">
      <c t="s" r="A218" s="12">
        <v>222</v>
      </c>
      <c r="B218" s="13">
        <v>2877.6999999999998</v>
      </c>
      <c r="C218" s="14">
        <f>IFERROR(B218/B329, "NA")</f>
      </c>
      <c r="D218" s="15"/>
      <c r="E218" s="13">
        <v>0</v>
      </c>
      <c r="F218" s="14">
        <f>IFERROR(E218/E329, "NA")</f>
      </c>
      <c r="G218" s="15"/>
      <c r="H218" s="13">
        <v>2943.0599999999999</v>
      </c>
      <c r="I218" s="14">
        <f>IFERROR(H218/H329, "NA")</f>
      </c>
      <c r="J218" s="15"/>
      <c r="K218" s="13">
        <v>431.25</v>
      </c>
      <c r="L218" s="14">
        <f>IFERROR(K218/K329, "NA")</f>
      </c>
      <c r="M218" s="15"/>
      <c r="N218" s="13">
        <v>2578.2800000000002</v>
      </c>
      <c r="O218" s="14">
        <f>IFERROR(N218/N329, "NA")</f>
      </c>
      <c r="P218" s="15"/>
      <c r="Q218" s="13">
        <v>0</v>
      </c>
      <c r="R218" s="14">
        <f>IFERROR(Q218/Q329, "NA")</f>
      </c>
    </row>
    <row r="219" ht="16.5" customHeight="1">
      <c t="s" r="A219" s="12">
        <v>223</v>
      </c>
      <c r="B219" s="13">
        <v>1748.1600000000001</v>
      </c>
      <c r="C219" s="14">
        <f>IFERROR(B219/B329, "NA")</f>
      </c>
      <c r="D219" s="15"/>
      <c r="E219" s="13">
        <v>1902.7</v>
      </c>
      <c r="F219" s="14">
        <f>IFERROR(E219/E329, "NA")</f>
      </c>
      <c r="G219" s="15"/>
      <c r="H219" s="13">
        <v>1920.95</v>
      </c>
      <c r="I219" s="14">
        <f>IFERROR(H219/H329, "NA")</f>
      </c>
      <c r="J219" s="15"/>
      <c r="K219" s="13">
        <v>1873.3800000000001</v>
      </c>
      <c r="L219" s="14">
        <f>IFERROR(K219/K329, "NA")</f>
      </c>
      <c r="M219" s="15"/>
      <c r="N219" s="13">
        <v>15972.030000000001</v>
      </c>
      <c r="O219" s="14">
        <f>IFERROR(N219/N329, "NA")</f>
      </c>
      <c r="P219" s="15"/>
      <c r="Q219" s="13">
        <v>0</v>
      </c>
      <c r="R219" s="14">
        <f>IFERROR(Q219/Q329, "NA")</f>
      </c>
    </row>
    <row r="220" ht="16.5" customHeight="1">
      <c t="s" r="A220" s="12">
        <v>224</v>
      </c>
      <c r="B220" s="13">
        <v>129.53</v>
      </c>
      <c r="C220" s="14">
        <f>IFERROR(B220/B329, "NA")</f>
      </c>
      <c r="D220" s="15"/>
      <c r="E220" s="13">
        <v>0.62</v>
      </c>
      <c r="F220" s="14">
        <f>IFERROR(E220/E329, "NA")</f>
      </c>
      <c r="G220" s="15"/>
      <c r="H220" s="13">
        <v>64.120000000000005</v>
      </c>
      <c r="I220" s="14">
        <f>IFERROR(H220/H329, "NA")</f>
      </c>
      <c r="J220" s="15"/>
      <c r="K220" s="13">
        <v>6.2999999999999998</v>
      </c>
      <c r="L220" s="14">
        <f>IFERROR(K220/K329, "NA")</f>
      </c>
      <c r="M220" s="15"/>
      <c r="N220" s="13">
        <v>540.32000000000005</v>
      </c>
      <c r="O220" s="14">
        <f>IFERROR(N220/N329, "NA")</f>
      </c>
      <c r="P220" s="15"/>
      <c r="Q220" s="13">
        <v>387.73000000000002</v>
      </c>
      <c r="R220" s="14">
        <f>IFERROR(Q220/Q329, "NA")</f>
      </c>
    </row>
    <row r="221" ht="16.5" customHeight="1">
      <c t="s" r="A221" s="12">
        <v>225</v>
      </c>
      <c r="B221" s="13">
        <v>0</v>
      </c>
      <c r="C221" s="14">
        <f>IFERROR(B221/B329, "NA")</f>
      </c>
      <c r="D221" s="15"/>
      <c r="E221" s="13">
        <v>858.5</v>
      </c>
      <c r="F221" s="14">
        <f>IFERROR(E221/E329, "NA")</f>
      </c>
      <c r="G221" s="15"/>
      <c r="H221" s="13">
        <v>0</v>
      </c>
      <c r="I221" s="14">
        <f>IFERROR(H221/H329, "NA")</f>
      </c>
      <c r="J221" s="15"/>
      <c r="K221" s="13">
        <v>612.5</v>
      </c>
      <c r="L221" s="14">
        <f>IFERROR(K221/K329, "NA")</f>
      </c>
      <c r="M221" s="15"/>
      <c r="N221" s="13">
        <v>0</v>
      </c>
      <c r="O221" s="14">
        <f>IFERROR(N221/N329, "NA")</f>
      </c>
      <c r="P221" s="15"/>
      <c r="Q221" s="13">
        <v>0</v>
      </c>
      <c r="R221" s="14">
        <f>IFERROR(Q221/Q329, "NA")</f>
      </c>
    </row>
    <row r="222" ht="16.5" customHeight="1">
      <c t="s" r="A222" s="12">
        <v>226</v>
      </c>
      <c r="B222" s="13">
        <v>204.21000000000001</v>
      </c>
      <c r="C222" s="14">
        <f>IFERROR(B222/B329, "NA")</f>
      </c>
      <c r="D222" s="15"/>
      <c r="E222" s="13">
        <v>9.3599999999999994</v>
      </c>
      <c r="F222" s="14">
        <f>IFERROR(E222/E329, "NA")</f>
      </c>
      <c r="G222" s="15"/>
      <c r="H222" s="13">
        <v>0</v>
      </c>
      <c r="I222" s="14">
        <f>IFERROR(H222/H329, "NA")</f>
      </c>
      <c r="J222" s="15"/>
      <c r="K222" s="13">
        <v>-396</v>
      </c>
      <c r="L222" s="14">
        <f>IFERROR(K222/K329, "NA")</f>
      </c>
      <c r="M222" s="15"/>
      <c r="N222" s="13">
        <v>0</v>
      </c>
      <c r="O222" s="14">
        <f>IFERROR(N222/N329, "NA")</f>
      </c>
      <c r="P222" s="15"/>
      <c r="Q222" s="13">
        <v>0</v>
      </c>
      <c r="R222" s="14">
        <f>IFERROR(Q222/Q329, "NA")</f>
      </c>
    </row>
    <row r="223" ht="16.5" customHeight="1">
      <c t="s" r="A223" s="12">
        <v>227</v>
      </c>
      <c r="B223" s="13">
        <v>0</v>
      </c>
      <c r="C223" s="14">
        <f>IFERROR(B223/B329, "NA")</f>
      </c>
      <c r="D223" s="15"/>
      <c r="E223" s="13">
        <v>0</v>
      </c>
      <c r="F223" s="14">
        <f>IFERROR(E223/E329, "NA")</f>
      </c>
      <c r="G223" s="15"/>
      <c r="H223" s="13">
        <v>0</v>
      </c>
      <c r="I223" s="14">
        <f>IFERROR(H223/H329, "NA")</f>
      </c>
      <c r="J223" s="15"/>
      <c r="K223" s="13">
        <v>0</v>
      </c>
      <c r="L223" s="14">
        <f>IFERROR(K223/K329, "NA")</f>
      </c>
      <c r="M223" s="15"/>
      <c r="N223" s="13">
        <v>0</v>
      </c>
      <c r="O223" s="14">
        <f>IFERROR(N223/N329, "NA")</f>
      </c>
      <c r="P223" s="15"/>
      <c r="Q223" s="13">
        <v>0</v>
      </c>
      <c r="R223" s="14">
        <f>IFERROR(Q223/Q329, "NA")</f>
      </c>
    </row>
    <row r="224" ht="16.5" customHeight="1">
      <c t="s" r="A224" s="12">
        <v>228</v>
      </c>
      <c r="B224" s="13">
        <v>0</v>
      </c>
      <c r="C224" s="14">
        <f>IFERROR(B224/B329, "NA")</f>
      </c>
      <c r="D224" s="15"/>
      <c r="E224" s="13">
        <v>0</v>
      </c>
      <c r="F224" s="14">
        <f>IFERROR(E224/E329, "NA")</f>
      </c>
      <c r="G224" s="15"/>
      <c r="H224" s="13">
        <v>0</v>
      </c>
      <c r="I224" s="14">
        <f>IFERROR(H224/H329, "NA")</f>
      </c>
      <c r="J224" s="15"/>
      <c r="K224" s="13">
        <v>0</v>
      </c>
      <c r="L224" s="14">
        <f>IFERROR(K224/K329, "NA")</f>
      </c>
      <c r="M224" s="15"/>
      <c r="N224" s="13">
        <v>380.36000000000001</v>
      </c>
      <c r="O224" s="14">
        <f>IFERROR(N224/N329, "NA")</f>
      </c>
      <c r="P224" s="15"/>
      <c r="Q224" s="13">
        <v>0</v>
      </c>
      <c r="R224" s="14">
        <f>IFERROR(Q224/Q329, "NA")</f>
      </c>
    </row>
    <row r="225" ht="16.5" customHeight="1">
      <c t="s" r="A225" s="12">
        <v>229</v>
      </c>
      <c r="B225" s="13">
        <v>2812.5</v>
      </c>
      <c r="C225" s="14">
        <f>IFERROR(B225/B329, "NA")</f>
      </c>
      <c r="D225" s="15"/>
      <c r="E225" s="13">
        <v>0</v>
      </c>
      <c r="F225" s="14">
        <f>IFERROR(E225/E329, "NA")</f>
      </c>
      <c r="G225" s="15"/>
      <c r="H225" s="13">
        <v>2765</v>
      </c>
      <c r="I225" s="14">
        <f>IFERROR(H225/H329, "NA")</f>
      </c>
      <c r="J225" s="15"/>
      <c r="K225" s="13">
        <v>3754.2399999999998</v>
      </c>
      <c r="L225" s="14">
        <f>IFERROR(K225/K329, "NA")</f>
      </c>
      <c r="M225" s="15"/>
      <c r="N225" s="13">
        <v>0</v>
      </c>
      <c r="O225" s="14">
        <f>IFERROR(N225/N329, "NA")</f>
      </c>
      <c r="P225" s="15"/>
      <c r="Q225" s="13">
        <v>0</v>
      </c>
      <c r="R225" s="14">
        <f>IFERROR(Q225/Q329, "NA")</f>
      </c>
    </row>
    <row r="226" ht="16.5" customHeight="1">
      <c t="s" r="A226" s="12">
        <v>230</v>
      </c>
      <c r="B226" s="13">
        <v>-98.200000000000003</v>
      </c>
      <c r="C226" s="14">
        <f>IFERROR(B226/B329, "NA")</f>
      </c>
      <c r="D226" s="15"/>
      <c r="E226" s="13">
        <v>77.030000000000001</v>
      </c>
      <c r="F226" s="14">
        <f>IFERROR(E226/E329, "NA")</f>
      </c>
      <c r="G226" s="15"/>
      <c r="H226" s="13">
        <v>265.27999999999997</v>
      </c>
      <c r="I226" s="14">
        <f>IFERROR(H226/H329, "NA")</f>
      </c>
      <c r="J226" s="15"/>
      <c r="K226" s="13">
        <v>-334.35000000000002</v>
      </c>
      <c r="L226" s="14">
        <f>IFERROR(K226/K329, "NA")</f>
      </c>
      <c r="M226" s="15"/>
      <c r="N226" s="13">
        <v>213.77000000000001</v>
      </c>
      <c r="O226" s="14">
        <f>IFERROR(N226/N329, "NA")</f>
      </c>
      <c r="P226" s="15"/>
      <c r="Q226" s="13">
        <v>17577.959999999999</v>
      </c>
      <c r="R226" s="14">
        <f>IFERROR(Q226/Q329, "NA")</f>
      </c>
    </row>
    <row r="227" ht="16.5" customHeight="1">
      <c t="s" r="A227" s="12">
        <v>231</v>
      </c>
      <c r="B227" s="13">
        <v>376.97000000000003</v>
      </c>
      <c r="C227" s="14">
        <f>IFERROR(B227/B329, "NA")</f>
      </c>
      <c r="D227" s="15"/>
      <c r="E227" s="13">
        <v>0</v>
      </c>
      <c r="F227" s="14">
        <f>IFERROR(E227/E329, "NA")</f>
      </c>
      <c r="G227" s="15"/>
      <c r="H227" s="13">
        <v>252</v>
      </c>
      <c r="I227" s="14">
        <f>IFERROR(H227/H329, "NA")</f>
      </c>
      <c r="J227" s="15"/>
      <c r="K227" s="13">
        <v>9.4499999999999993</v>
      </c>
      <c r="L227" s="14">
        <f>IFERROR(K227/K329, "NA")</f>
      </c>
      <c r="M227" s="15"/>
      <c r="N227" s="13">
        <v>1853.54</v>
      </c>
      <c r="O227" s="14">
        <f>IFERROR(N227/N329, "NA")</f>
      </c>
      <c r="P227" s="15"/>
      <c r="Q227" s="13">
        <v>0</v>
      </c>
      <c r="R227" s="14">
        <f>IFERROR(Q227/Q329, "NA")</f>
      </c>
    </row>
    <row r="228" ht="16.5" customHeight="1">
      <c t="s" r="A228" s="12">
        <v>232</v>
      </c>
      <c r="B228" s="13">
        <v>0</v>
      </c>
      <c r="C228" s="14">
        <f>IFERROR(B228/B329, "NA")</f>
      </c>
      <c r="D228" s="15"/>
      <c r="E228" s="13">
        <v>0</v>
      </c>
      <c r="F228" s="14">
        <f>IFERROR(E228/E329, "NA")</f>
      </c>
      <c r="G228" s="15"/>
      <c r="H228" s="13">
        <v>0</v>
      </c>
      <c r="I228" s="14">
        <f>IFERROR(H228/H329, "NA")</f>
      </c>
      <c r="J228" s="15"/>
      <c r="K228" s="13">
        <v>1232.8299999999999</v>
      </c>
      <c r="L228" s="14">
        <f>IFERROR(K228/K329, "NA")</f>
      </c>
      <c r="M228" s="15"/>
      <c r="N228" s="13">
        <v>0</v>
      </c>
      <c r="O228" s="14">
        <f>IFERROR(N228/N329, "NA")</f>
      </c>
      <c r="P228" s="15"/>
      <c r="Q228" s="13">
        <v>0</v>
      </c>
      <c r="R228" s="14">
        <f>IFERROR(Q228/Q329, "NA")</f>
      </c>
    </row>
    <row r="229" ht="16.5" customHeight="1">
      <c t="s" r="A229" s="12">
        <v>233</v>
      </c>
      <c r="B229" s="13">
        <v>0</v>
      </c>
      <c r="C229" s="14">
        <f>IFERROR(B229/B329, "NA")</f>
      </c>
      <c r="D229" s="15"/>
      <c r="E229" s="13">
        <v>0</v>
      </c>
      <c r="F229" s="14">
        <f>IFERROR(E229/E329, "NA")</f>
      </c>
      <c r="G229" s="15"/>
      <c r="H229" s="13">
        <v>0</v>
      </c>
      <c r="I229" s="14">
        <f>IFERROR(H229/H329, "NA")</f>
      </c>
      <c r="J229" s="15"/>
      <c r="K229" s="13">
        <v>0</v>
      </c>
      <c r="L229" s="14">
        <f>IFERROR(K229/K329, "NA")</f>
      </c>
      <c r="M229" s="15"/>
      <c r="N229" s="13">
        <v>0</v>
      </c>
      <c r="O229" s="14">
        <f>IFERROR(N229/N329, "NA")</f>
      </c>
      <c r="P229" s="15"/>
      <c r="Q229" s="13">
        <v>0</v>
      </c>
      <c r="R229" s="14">
        <f>IFERROR(Q229/Q329, "NA")</f>
      </c>
    </row>
    <row r="230" ht="16.5" customHeight="1">
      <c t="s" r="A230" s="12">
        <v>234</v>
      </c>
      <c r="B230" s="13">
        <v>0</v>
      </c>
      <c r="C230" s="14">
        <f>IFERROR(B230/B329, "NA")</f>
      </c>
      <c r="D230" s="15"/>
      <c r="E230" s="13">
        <v>150</v>
      </c>
      <c r="F230" s="14">
        <f>IFERROR(E230/E329, "NA")</f>
      </c>
      <c r="G230" s="15"/>
      <c r="H230" s="13">
        <v>34.490000000000002</v>
      </c>
      <c r="I230" s="14">
        <f>IFERROR(H230/H329, "NA")</f>
      </c>
      <c r="J230" s="15"/>
      <c r="K230" s="13">
        <v>1858.4200000000001</v>
      </c>
      <c r="L230" s="14">
        <f>IFERROR(K230/K329, "NA")</f>
      </c>
      <c r="M230" s="15"/>
      <c r="N230" s="13">
        <v>0</v>
      </c>
      <c r="O230" s="14">
        <f>IFERROR(N230/N329, "NA")</f>
      </c>
      <c r="P230" s="15"/>
      <c r="Q230" s="13">
        <v>0</v>
      </c>
      <c r="R230" s="14">
        <f>IFERROR(Q230/Q329, "NA")</f>
      </c>
    </row>
    <row r="231" ht="16.5" customHeight="1">
      <c t="s" r="A231" s="12">
        <v>235</v>
      </c>
      <c r="B231" s="13">
        <v>0</v>
      </c>
      <c r="C231" s="14">
        <f>IFERROR(B231/B329, "NA")</f>
      </c>
      <c r="D231" s="15"/>
      <c r="E231" s="13">
        <v>0</v>
      </c>
      <c r="F231" s="14">
        <f>IFERROR(E231/E329, "NA")</f>
      </c>
      <c r="G231" s="15"/>
      <c r="H231" s="13">
        <v>0</v>
      </c>
      <c r="I231" s="14">
        <f>IFERROR(H231/H329, "NA")</f>
      </c>
      <c r="J231" s="15"/>
      <c r="K231" s="13">
        <v>0</v>
      </c>
      <c r="L231" s="14">
        <f>IFERROR(K231/K329, "NA")</f>
      </c>
      <c r="M231" s="15"/>
      <c r="N231" s="13">
        <v>0</v>
      </c>
      <c r="O231" s="14">
        <f>IFERROR(N231/N329, "NA")</f>
      </c>
      <c r="P231" s="15"/>
      <c r="Q231" s="13">
        <v>0</v>
      </c>
      <c r="R231" s="14">
        <f>IFERROR(Q231/Q329, "NA")</f>
      </c>
    </row>
    <row r="232" ht="16.5" customHeight="1">
      <c t="s" r="A232" s="12">
        <v>236</v>
      </c>
      <c r="B232" s="13">
        <v>0</v>
      </c>
      <c r="C232" s="14">
        <f>IFERROR(B232/B329, "NA")</f>
      </c>
      <c r="D232" s="15"/>
      <c r="E232" s="13">
        <v>0</v>
      </c>
      <c r="F232" s="14">
        <f>IFERROR(E232/E329, "NA")</f>
      </c>
      <c r="G232" s="15"/>
      <c r="H232" s="13">
        <v>0</v>
      </c>
      <c r="I232" s="14">
        <f>IFERROR(H232/H329, "NA")</f>
      </c>
      <c r="J232" s="15"/>
      <c r="K232" s="13">
        <v>0</v>
      </c>
      <c r="L232" s="14">
        <f>IFERROR(K232/K329, "NA")</f>
      </c>
      <c r="M232" s="15"/>
      <c r="N232" s="13">
        <v>1662.5</v>
      </c>
      <c r="O232" s="14">
        <f>IFERROR(N232/N329, "NA")</f>
      </c>
      <c r="P232" s="15"/>
      <c r="Q232" s="13">
        <v>0</v>
      </c>
      <c r="R232" s="14">
        <f>IFERROR(Q232/Q329, "NA")</f>
      </c>
    </row>
    <row r="233" ht="16.5" customHeight="1">
      <c t="s" r="A233" s="12">
        <v>237</v>
      </c>
      <c r="B233" s="13">
        <v>0</v>
      </c>
      <c r="C233" s="14">
        <f>IFERROR(B233/B329, "NA")</f>
      </c>
      <c r="D233" s="15"/>
      <c r="E233" s="13">
        <v>51.259999999999998</v>
      </c>
      <c r="F233" s="14">
        <f>IFERROR(E233/E329, "NA")</f>
      </c>
      <c r="G233" s="15"/>
      <c r="H233" s="13">
        <v>0</v>
      </c>
      <c r="I233" s="14">
        <f>IFERROR(H233/H329, "NA")</f>
      </c>
      <c r="J233" s="15"/>
      <c r="K233" s="13">
        <v>0</v>
      </c>
      <c r="L233" s="14">
        <f>IFERROR(K233/K329, "NA")</f>
      </c>
      <c r="M233" s="15"/>
      <c r="N233" s="13">
        <v>420</v>
      </c>
      <c r="O233" s="14">
        <f>IFERROR(N233/N329, "NA")</f>
      </c>
      <c r="P233" s="15"/>
      <c r="Q233" s="13">
        <v>0</v>
      </c>
      <c r="R233" s="14">
        <f>IFERROR(Q233/Q329, "NA")</f>
      </c>
    </row>
    <row r="234" ht="16.5" customHeight="1">
      <c t="s" r="A234" s="12">
        <v>238</v>
      </c>
      <c r="B234" s="13">
        <v>113.86</v>
      </c>
      <c r="C234" s="14">
        <f>IFERROR(B234/B329, "NA")</f>
      </c>
      <c r="D234" s="15"/>
      <c r="E234" s="13">
        <v>52.399999999999999</v>
      </c>
      <c r="F234" s="14">
        <f>IFERROR(E234/E329, "NA")</f>
      </c>
      <c r="G234" s="15"/>
      <c r="H234" s="13">
        <v>95.200000000000003</v>
      </c>
      <c r="I234" s="14">
        <f>IFERROR(H234/H329, "NA")</f>
      </c>
      <c r="J234" s="15"/>
      <c r="K234" s="13">
        <v>238.08000000000001</v>
      </c>
      <c r="L234" s="14">
        <f>IFERROR(K234/K329, "NA")</f>
      </c>
      <c r="M234" s="15"/>
      <c r="N234" s="13">
        <v>340.62</v>
      </c>
      <c r="O234" s="14">
        <f>IFERROR(N234/N329, "NA")</f>
      </c>
      <c r="P234" s="15"/>
      <c r="Q234" s="13">
        <v>0</v>
      </c>
      <c r="R234" s="14">
        <f>IFERROR(Q234/Q329, "NA")</f>
      </c>
    </row>
    <row r="235" ht="16.5" customHeight="1">
      <c t="s" r="A235" s="12">
        <v>239</v>
      </c>
      <c r="B235" s="13">
        <v>319.37</v>
      </c>
      <c r="C235" s="14">
        <f>IFERROR(B235/B329, "NA")</f>
      </c>
      <c r="D235" s="15"/>
      <c r="E235" s="13">
        <v>0</v>
      </c>
      <c r="F235" s="14">
        <f>IFERROR(E235/E329, "NA")</f>
      </c>
      <c r="G235" s="15"/>
      <c r="H235" s="13">
        <v>92.540000000000006</v>
      </c>
      <c r="I235" s="14">
        <f>IFERROR(H235/H329, "NA")</f>
      </c>
      <c r="J235" s="15"/>
      <c r="K235" s="13">
        <v>537.03999999999996</v>
      </c>
      <c r="L235" s="14">
        <f>IFERROR(K235/K329, "NA")</f>
      </c>
      <c r="M235" s="15"/>
      <c r="N235" s="13">
        <v>193.58000000000001</v>
      </c>
      <c r="O235" s="14">
        <f>IFERROR(N235/N329, "NA")</f>
      </c>
      <c r="P235" s="15"/>
      <c r="Q235" s="13">
        <v>0</v>
      </c>
      <c r="R235" s="14">
        <f>IFERROR(Q235/Q329, "NA")</f>
      </c>
    </row>
    <row r="236" ht="16.5" customHeight="1">
      <c t="s" r="A236" s="12">
        <v>240</v>
      </c>
      <c r="B236" s="13">
        <v>54028</v>
      </c>
      <c r="C236" s="14">
        <f>IFERROR(B236/B329, "NA")</f>
      </c>
      <c r="D236" s="15"/>
      <c r="E236" s="13">
        <v>0</v>
      </c>
      <c r="F236" s="14">
        <f>IFERROR(E236/E329, "NA")</f>
      </c>
      <c r="G236" s="15"/>
      <c r="H236" s="13">
        <v>0</v>
      </c>
      <c r="I236" s="14">
        <f>IFERROR(H236/H329, "NA")</f>
      </c>
      <c r="J236" s="15"/>
      <c r="K236" s="13">
        <v>0</v>
      </c>
      <c r="L236" s="14">
        <f>IFERROR(K236/K329, "NA")</f>
      </c>
      <c r="M236" s="15"/>
      <c r="N236" s="13">
        <v>54028</v>
      </c>
      <c r="O236" s="14">
        <f>IFERROR(N236/N329, "NA")</f>
      </c>
      <c r="P236" s="15"/>
      <c r="Q236" s="13">
        <v>0</v>
      </c>
      <c r="R236" s="14">
        <f>IFERROR(Q236/Q329, "NA")</f>
      </c>
    </row>
    <row r="237" ht="16.5" customHeight="1">
      <c t="s" r="A237" s="12">
        <v>241</v>
      </c>
      <c r="B237" s="13">
        <v>3311.6500000000001</v>
      </c>
      <c r="C237" s="14">
        <f>IFERROR(B237/B329, "NA")</f>
      </c>
      <c r="D237" s="15"/>
      <c r="E237" s="13">
        <v>0</v>
      </c>
      <c r="F237" s="14">
        <f>IFERROR(E237/E329, "NA")</f>
      </c>
      <c r="G237" s="15"/>
      <c r="H237" s="13">
        <v>1226.22</v>
      </c>
      <c r="I237" s="14">
        <f>IFERROR(H237/H329, "NA")</f>
      </c>
      <c r="J237" s="15"/>
      <c r="K237" s="13">
        <v>0</v>
      </c>
      <c r="L237" s="14">
        <f>IFERROR(K237/K329, "NA")</f>
      </c>
      <c r="M237" s="15"/>
      <c r="N237" s="13">
        <v>2468.4899999999998</v>
      </c>
      <c r="O237" s="14">
        <f>IFERROR(N237/N329, "NA")</f>
      </c>
      <c r="P237" s="15"/>
      <c r="Q237" s="13">
        <v>0</v>
      </c>
      <c r="R237" s="14">
        <f>IFERROR(Q237/Q329, "NA")</f>
      </c>
    </row>
    <row r="238" ht="16.5" customHeight="1">
      <c t="s" r="A238" s="12">
        <v>242</v>
      </c>
      <c r="B238" s="13">
        <v>3424</v>
      </c>
      <c r="C238" s="14">
        <f>IFERROR(B238/B329, "NA")</f>
      </c>
      <c r="D238" s="15"/>
      <c r="E238" s="13">
        <v>41.68</v>
      </c>
      <c r="F238" s="14">
        <f>IFERROR(E238/E329, "NA")</f>
      </c>
      <c r="G238" s="15"/>
      <c r="H238" s="13">
        <v>59.759999999999998</v>
      </c>
      <c r="I238" s="14">
        <f>IFERROR(H238/H329, "NA")</f>
      </c>
      <c r="J238" s="15"/>
      <c r="K238" s="13">
        <v>7.3300000000000001</v>
      </c>
      <c r="L238" s="14">
        <f>IFERROR(K238/K329, "NA")</f>
      </c>
      <c r="M238" s="15"/>
      <c r="N238" s="13">
        <v>87.049999999999997</v>
      </c>
      <c r="O238" s="14">
        <f>IFERROR(N238/N329, "NA")</f>
      </c>
      <c r="P238" s="15"/>
      <c r="Q238" s="13">
        <v>0</v>
      </c>
      <c r="R238" s="14">
        <f>IFERROR(Q238/Q329, "NA")</f>
      </c>
    </row>
    <row r="239" ht="16.5" customHeight="1">
      <c t="s" r="A239" s="12">
        <v>243</v>
      </c>
      <c r="B239" s="13">
        <v>0</v>
      </c>
      <c r="C239" s="14">
        <f>IFERROR(B239/B329, "NA")</f>
      </c>
      <c r="D239" s="15"/>
      <c r="E239" s="13">
        <v>0</v>
      </c>
      <c r="F239" s="14">
        <f>IFERROR(E239/E329, "NA")</f>
      </c>
      <c r="G239" s="15"/>
      <c r="H239" s="13">
        <v>0</v>
      </c>
      <c r="I239" s="14">
        <f>IFERROR(H239/H329, "NA")</f>
      </c>
      <c r="J239" s="15"/>
      <c r="K239" s="13">
        <v>0</v>
      </c>
      <c r="L239" s="14">
        <f>IFERROR(K239/K329, "NA")</f>
      </c>
      <c r="M239" s="15"/>
      <c r="N239" s="13">
        <v>0</v>
      </c>
      <c r="O239" s="14">
        <f>IFERROR(N239/N329, "NA")</f>
      </c>
      <c r="P239" s="15"/>
      <c r="Q239" s="13">
        <v>0</v>
      </c>
      <c r="R239" s="14">
        <f>IFERROR(Q239/Q329, "NA")</f>
      </c>
    </row>
    <row r="240" ht="16.5" customHeight="1">
      <c t="s" r="A240" s="12">
        <v>244</v>
      </c>
      <c r="B240" s="13">
        <v>0</v>
      </c>
      <c r="C240" s="14">
        <f>IFERROR(B240/B329, "NA")</f>
      </c>
      <c r="D240" s="15"/>
      <c r="E240" s="13">
        <v>0</v>
      </c>
      <c r="F240" s="14">
        <f>IFERROR(E240/E329, "NA")</f>
      </c>
      <c r="G240" s="15"/>
      <c r="H240" s="13">
        <v>0</v>
      </c>
      <c r="I240" s="14">
        <f>IFERROR(H240/H329, "NA")</f>
      </c>
      <c r="J240" s="15"/>
      <c r="K240" s="13">
        <v>0</v>
      </c>
      <c r="L240" s="14">
        <f>IFERROR(K240/K329, "NA")</f>
      </c>
      <c r="M240" s="15"/>
      <c r="N240" s="13">
        <v>0</v>
      </c>
      <c r="O240" s="14">
        <f>IFERROR(N240/N329, "NA")</f>
      </c>
      <c r="P240" s="15"/>
      <c r="Q240" s="13">
        <v>0</v>
      </c>
      <c r="R240" s="14">
        <f>IFERROR(Q240/Q329, "NA")</f>
      </c>
    </row>
    <row r="241" ht="16.5" customHeight="1">
      <c t="s" r="A241" s="16">
        <v>245</v>
      </c>
      <c r="B241" s="17">
        <f>IFERROR(B214+B215+B216+B217+B218+B219+B220+B221+B222+B223+B224+B225+B226+B227+B228+B229+B230+B231+B232+B233+B234+B235+B236+B237+B238+B239+B240, "NA")</f>
      </c>
      <c r="C241" s="18">
        <f>IFERROR(B241/B329, "NA")</f>
      </c>
      <c r="D241" s="8"/>
      <c r="E241" s="17">
        <f>IFERROR(E214+E215+E216+E217+E218+E219+E220+E221+E222+E223+E224+E225+E226+E227+E228+E229+E230+E231+E232+E233+E234+E235+E236+E237+E238+E239+E240, "NA")</f>
      </c>
      <c r="F241" s="18">
        <f>IFERROR(E241/E329, "NA")</f>
      </c>
      <c r="G241" s="8"/>
      <c r="H241" s="17">
        <f>IFERROR(H214+H215+H216+H217+H218+H219+H220+H221+H222+H223+H224+H225+H226+H227+H228+H229+H230+H231+H232+H233+H234+H235+H236+H237+H238+H239+H240, "NA")</f>
      </c>
      <c r="I241" s="18">
        <f>IFERROR(H241/H329, "NA")</f>
      </c>
      <c r="J241" s="8"/>
      <c r="K241" s="17">
        <f>IFERROR(K214+K215+K216+K217+K218+K219+K220+K221+K222+K223+K224+K225+K226+K227+K228+K229+K230+K231+K232+K233+K234+K235+K236+K237+K238+K239+K240, "NA")</f>
      </c>
      <c r="L241" s="18">
        <f>IFERROR(K241/K329, "NA")</f>
      </c>
      <c r="M241" s="8"/>
      <c r="N241" s="17">
        <f>IFERROR(N214+N215+N216+N217+N218+N219+N220+N221+N222+N223+N224+N225+N226+N227+N228+N229+N230+N231+N232+N233+N234+N235+N236+N237+N238+N239+N240, "NA")</f>
      </c>
      <c r="O241" s="18">
        <f>IFERROR(N241/N329, "NA")</f>
      </c>
      <c r="P241" s="8"/>
      <c r="Q241" s="17">
        <f>IFERROR(Q214+Q215+Q216+Q217+Q218+Q219+Q220+Q221+Q222+Q223+Q224+Q225+Q226+Q227+Q228+Q229+Q230+Q231+Q232+Q233+Q234+Q235+Q236+Q237+Q238+Q239+Q240, "NA")</f>
      </c>
      <c r="R241" s="18">
        <f>IFERROR(Q241/Q329, "NA")</f>
      </c>
    </row>
    <row r="242" ht="16.5" customHeight="1">
      <c t="s" r="A242" s="11">
        <v>246</v>
      </c>
      <c r="B242" s="8"/>
      <c r="C242" s="9"/>
      <c r="D242" s="10"/>
      <c r="E242" s="8"/>
      <c r="F242" s="9"/>
      <c r="G242" s="10"/>
      <c r="H242" s="8"/>
      <c r="I242" s="9"/>
      <c r="J242" s="10"/>
      <c r="K242" s="8"/>
      <c r="L242" s="9"/>
      <c r="M242" s="10"/>
      <c r="N242" s="8"/>
      <c r="O242" s="9"/>
      <c r="P242" s="10"/>
      <c r="Q242" s="8"/>
      <c r="R242" s="9"/>
    </row>
    <row r="243" ht="16.5" customHeight="1">
      <c t="s" r="A243" s="12">
        <v>247</v>
      </c>
      <c r="B243" s="13">
        <v>0</v>
      </c>
      <c r="C243" s="14">
        <f>IFERROR(B243/B329, "NA")</f>
      </c>
      <c r="D243" s="15"/>
      <c r="E243" s="13">
        <v>0</v>
      </c>
      <c r="F243" s="14">
        <f>IFERROR(E243/E329, "NA")</f>
      </c>
      <c r="G243" s="15"/>
      <c r="H243" s="13">
        <v>0</v>
      </c>
      <c r="I243" s="14">
        <f>IFERROR(H243/H329, "NA")</f>
      </c>
      <c r="J243" s="15"/>
      <c r="K243" s="13">
        <v>0</v>
      </c>
      <c r="L243" s="14">
        <f>IFERROR(K243/K329, "NA")</f>
      </c>
      <c r="M243" s="15"/>
      <c r="N243" s="13">
        <v>0</v>
      </c>
      <c r="O243" s="14">
        <f>IFERROR(N243/N329, "NA")</f>
      </c>
      <c r="P243" s="15"/>
      <c r="Q243" s="13">
        <v>0</v>
      </c>
      <c r="R243" s="14">
        <f>IFERROR(Q243/Q329, "NA")</f>
      </c>
    </row>
    <row r="244" ht="16.5" customHeight="1">
      <c t="s" r="A244" s="12">
        <v>248</v>
      </c>
      <c r="B244" s="13">
        <v>0</v>
      </c>
      <c r="C244" s="14">
        <f>IFERROR(B244/B329, "NA")</f>
      </c>
      <c r="D244" s="15"/>
      <c r="E244" s="13">
        <v>800</v>
      </c>
      <c r="F244" s="14">
        <f>IFERROR(E244/E329, "NA")</f>
      </c>
      <c r="G244" s="15"/>
      <c r="H244" s="13">
        <v>150</v>
      </c>
      <c r="I244" s="14">
        <f>IFERROR(H244/H329, "NA")</f>
      </c>
      <c r="J244" s="15"/>
      <c r="K244" s="13">
        <v>1293.0899999999999</v>
      </c>
      <c r="L244" s="14">
        <f>IFERROR(K244/K329, "NA")</f>
      </c>
      <c r="M244" s="15"/>
      <c r="N244" s="13">
        <v>0</v>
      </c>
      <c r="O244" s="14">
        <f>IFERROR(N244/N329, "NA")</f>
      </c>
      <c r="P244" s="15"/>
      <c r="Q244" s="13">
        <v>0</v>
      </c>
      <c r="R244" s="14">
        <f>IFERROR(Q244/Q329, "NA")</f>
      </c>
    </row>
    <row r="245" ht="16.5" customHeight="1">
      <c t="s" r="A245" s="12">
        <v>249</v>
      </c>
      <c r="B245" s="13">
        <v>536.24000000000001</v>
      </c>
      <c r="C245" s="14">
        <f>IFERROR(B245/B329, "NA")</f>
      </c>
      <c r="D245" s="15"/>
      <c r="E245" s="13">
        <v>0</v>
      </c>
      <c r="F245" s="14">
        <f>IFERROR(E245/E329, "NA")</f>
      </c>
      <c r="G245" s="15"/>
      <c r="H245" s="13">
        <v>0</v>
      </c>
      <c r="I245" s="14">
        <f>IFERROR(H245/H329, "NA")</f>
      </c>
      <c r="J245" s="15"/>
      <c r="K245" s="13">
        <v>0</v>
      </c>
      <c r="L245" s="14">
        <f>IFERROR(K245/K329, "NA")</f>
      </c>
      <c r="M245" s="15"/>
      <c r="N245" s="13">
        <v>0</v>
      </c>
      <c r="O245" s="14">
        <f>IFERROR(N245/N329, "NA")</f>
      </c>
      <c r="P245" s="15"/>
      <c r="Q245" s="13">
        <v>0</v>
      </c>
      <c r="R245" s="14">
        <f>IFERROR(Q245/Q329, "NA")</f>
      </c>
    </row>
    <row r="246" ht="16.5" customHeight="1">
      <c t="s" r="A246" s="12">
        <v>250</v>
      </c>
      <c r="B246" s="13">
        <v>0</v>
      </c>
      <c r="C246" s="14">
        <f>IFERROR(B246/B329, "NA")</f>
      </c>
      <c r="D246" s="15"/>
      <c r="E246" s="13">
        <v>0</v>
      </c>
      <c r="F246" s="14">
        <f>IFERROR(E246/E329, "NA")</f>
      </c>
      <c r="G246" s="15"/>
      <c r="H246" s="13">
        <v>0</v>
      </c>
      <c r="I246" s="14">
        <f>IFERROR(H246/H329, "NA")</f>
      </c>
      <c r="J246" s="15"/>
      <c r="K246" s="13">
        <v>0</v>
      </c>
      <c r="L246" s="14">
        <f>IFERROR(K246/K329, "NA")</f>
      </c>
      <c r="M246" s="15"/>
      <c r="N246" s="13">
        <v>0</v>
      </c>
      <c r="O246" s="14">
        <f>IFERROR(N246/N329, "NA")</f>
      </c>
      <c r="P246" s="15"/>
      <c r="Q246" s="13">
        <v>0</v>
      </c>
      <c r="R246" s="14">
        <f>IFERROR(Q246/Q329, "NA")</f>
      </c>
    </row>
    <row r="247" ht="16.5" customHeight="1">
      <c t="s" r="A247" s="12">
        <v>251</v>
      </c>
      <c r="B247" s="13">
        <v>0</v>
      </c>
      <c r="C247" s="14">
        <f>IFERROR(B247/B329, "NA")</f>
      </c>
      <c r="D247" s="15"/>
      <c r="E247" s="13">
        <v>8195.3500000000004</v>
      </c>
      <c r="F247" s="14">
        <f>IFERROR(E247/E329, "NA")</f>
      </c>
      <c r="G247" s="15"/>
      <c r="H247" s="13">
        <v>0</v>
      </c>
      <c r="I247" s="14">
        <f>IFERROR(H247/H329, "NA")</f>
      </c>
      <c r="J247" s="15"/>
      <c r="K247" s="13">
        <v>0</v>
      </c>
      <c r="L247" s="14">
        <f>IFERROR(K247/K329, "NA")</f>
      </c>
      <c r="M247" s="15"/>
      <c r="N247" s="13">
        <v>0</v>
      </c>
      <c r="O247" s="14">
        <f>IFERROR(N247/N329, "NA")</f>
      </c>
      <c r="P247" s="15"/>
      <c r="Q247" s="13">
        <v>0</v>
      </c>
      <c r="R247" s="14">
        <f>IFERROR(Q247/Q329, "NA")</f>
      </c>
    </row>
    <row r="248" ht="16.5" customHeight="1">
      <c t="s" r="A248" s="12">
        <v>252</v>
      </c>
      <c r="B248" s="13">
        <v>865.15999999999997</v>
      </c>
      <c r="C248" s="14">
        <f>IFERROR(B248/B329, "NA")</f>
      </c>
      <c r="D248" s="15"/>
      <c r="E248" s="13">
        <v>0</v>
      </c>
      <c r="F248" s="14">
        <f>IFERROR(E248/E329, "NA")</f>
      </c>
      <c r="G248" s="15"/>
      <c r="H248" s="13">
        <v>922.21000000000004</v>
      </c>
      <c r="I248" s="14">
        <f>IFERROR(H248/H329, "NA")</f>
      </c>
      <c r="J248" s="15"/>
      <c r="K248" s="13">
        <v>0</v>
      </c>
      <c r="L248" s="14">
        <f>IFERROR(K248/K329, "NA")</f>
      </c>
      <c r="M248" s="15"/>
      <c r="N248" s="13">
        <v>539.16999999999996</v>
      </c>
      <c r="O248" s="14">
        <f>IFERROR(N248/N329, "NA")</f>
      </c>
      <c r="P248" s="15"/>
      <c r="Q248" s="13">
        <v>0</v>
      </c>
      <c r="R248" s="14">
        <f>IFERROR(Q248/Q329, "NA")</f>
      </c>
    </row>
    <row r="249" ht="16.5" customHeight="1">
      <c t="s" r="A249" s="12">
        <v>253</v>
      </c>
      <c r="B249" s="13">
        <v>5985</v>
      </c>
      <c r="C249" s="14">
        <f>IFERROR(B249/B329, "NA")</f>
      </c>
      <c r="D249" s="15"/>
      <c r="E249" s="13">
        <v>0</v>
      </c>
      <c r="F249" s="14">
        <f>IFERROR(E249/E329, "NA")</f>
      </c>
      <c r="G249" s="15"/>
      <c r="H249" s="13">
        <v>0</v>
      </c>
      <c r="I249" s="14">
        <f>IFERROR(H249/H329, "NA")</f>
      </c>
      <c r="J249" s="15"/>
      <c r="K249" s="13">
        <v>157.5</v>
      </c>
      <c r="L249" s="14">
        <f>IFERROR(K249/K329, "NA")</f>
      </c>
      <c r="M249" s="15"/>
      <c r="N249" s="13">
        <v>0</v>
      </c>
      <c r="O249" s="14">
        <f>IFERROR(N249/N329, "NA")</f>
      </c>
      <c r="P249" s="15"/>
      <c r="Q249" s="13">
        <v>0</v>
      </c>
      <c r="R249" s="14">
        <f>IFERROR(Q249/Q329, "NA")</f>
      </c>
    </row>
    <row r="250" ht="16.5" customHeight="1">
      <c t="s" r="A250" s="12">
        <v>254</v>
      </c>
      <c r="B250" s="13">
        <v>0</v>
      </c>
      <c r="C250" s="14">
        <f>IFERROR(B250/B329, "NA")</f>
      </c>
      <c r="D250" s="15"/>
      <c r="E250" s="13">
        <v>0</v>
      </c>
      <c r="F250" s="14">
        <f>IFERROR(E250/E329, "NA")</f>
      </c>
      <c r="G250" s="15"/>
      <c r="H250" s="13">
        <v>0</v>
      </c>
      <c r="I250" s="14">
        <f>IFERROR(H250/H329, "NA")</f>
      </c>
      <c r="J250" s="15"/>
      <c r="K250" s="13">
        <v>0</v>
      </c>
      <c r="L250" s="14">
        <f>IFERROR(K250/K329, "NA")</f>
      </c>
      <c r="M250" s="15"/>
      <c r="N250" s="13">
        <v>0</v>
      </c>
      <c r="O250" s="14">
        <f>IFERROR(N250/N329, "NA")</f>
      </c>
      <c r="P250" s="15"/>
      <c r="Q250" s="13">
        <v>0</v>
      </c>
      <c r="R250" s="14">
        <f>IFERROR(Q250/Q329, "NA")</f>
      </c>
    </row>
    <row r="251" ht="16.5" customHeight="1">
      <c t="s" r="A251" s="12">
        <v>255</v>
      </c>
      <c r="B251" s="13">
        <v>0</v>
      </c>
      <c r="C251" s="14">
        <f>IFERROR(B251/B329, "NA")</f>
      </c>
      <c r="D251" s="15"/>
      <c r="E251" s="13">
        <v>0</v>
      </c>
      <c r="F251" s="14">
        <f>IFERROR(E251/E329, "NA")</f>
      </c>
      <c r="G251" s="15"/>
      <c r="H251" s="13">
        <v>0</v>
      </c>
      <c r="I251" s="14">
        <f>IFERROR(H251/H329, "NA")</f>
      </c>
      <c r="J251" s="15"/>
      <c r="K251" s="13">
        <v>0</v>
      </c>
      <c r="L251" s="14">
        <f>IFERROR(K251/K329, "NA")</f>
      </c>
      <c r="M251" s="15"/>
      <c r="N251" s="13">
        <v>0</v>
      </c>
      <c r="O251" s="14">
        <f>IFERROR(N251/N329, "NA")</f>
      </c>
      <c r="P251" s="15"/>
      <c r="Q251" s="13">
        <v>0</v>
      </c>
      <c r="R251" s="14">
        <f>IFERROR(Q251/Q329, "NA")</f>
      </c>
    </row>
    <row r="252" ht="16.5" customHeight="1">
      <c t="s" r="A252" s="16">
        <v>256</v>
      </c>
      <c r="B252" s="17">
        <f>IFERROR(B243+B244+B245+B246+B247+B248+B249+B250+B251, "NA")</f>
      </c>
      <c r="C252" s="18">
        <f>IFERROR(B252/B329, "NA")</f>
      </c>
      <c r="D252" s="8"/>
      <c r="E252" s="17">
        <f>IFERROR(E243+E244+E245+E246+E247+E248+E249+E250+E251, "NA")</f>
      </c>
      <c r="F252" s="18">
        <f>IFERROR(E252/E329, "NA")</f>
      </c>
      <c r="G252" s="8"/>
      <c r="H252" s="17">
        <f>IFERROR(H243+H244+H245+H246+H247+H248+H249+H250+H251, "NA")</f>
      </c>
      <c r="I252" s="18">
        <f>IFERROR(H252/H329, "NA")</f>
      </c>
      <c r="J252" s="8"/>
      <c r="K252" s="17">
        <f>IFERROR(K243+K244+K245+K246+K247+K248+K249+K250+K251, "NA")</f>
      </c>
      <c r="L252" s="18">
        <f>IFERROR(K252/K329, "NA")</f>
      </c>
      <c r="M252" s="8"/>
      <c r="N252" s="17">
        <f>IFERROR(N243+N244+N245+N246+N247+N248+N249+N250+N251, "NA")</f>
      </c>
      <c r="O252" s="18">
        <f>IFERROR(N252/N329, "NA")</f>
      </c>
      <c r="P252" s="8"/>
      <c r="Q252" s="17">
        <f>IFERROR(Q243+Q244+Q245+Q246+Q247+Q248+Q249+Q250+Q251, "NA")</f>
      </c>
      <c r="R252" s="18">
        <f>IFERROR(Q252/Q329, "NA")</f>
      </c>
    </row>
    <row r="253" ht="16.5" customHeight="1">
      <c t="s" r="A253" s="11">
        <v>257</v>
      </c>
      <c r="B253" s="8"/>
      <c r="C253" s="9"/>
      <c r="D253" s="10"/>
      <c r="E253" s="8"/>
      <c r="F253" s="9"/>
      <c r="G253" s="10"/>
      <c r="H253" s="8"/>
      <c r="I253" s="9"/>
      <c r="J253" s="10"/>
      <c r="K253" s="8"/>
      <c r="L253" s="9"/>
      <c r="M253" s="10"/>
      <c r="N253" s="8"/>
      <c r="O253" s="9"/>
      <c r="P253" s="10"/>
      <c r="Q253" s="8"/>
      <c r="R253" s="9"/>
    </row>
    <row r="254" ht="16.5" customHeight="1">
      <c t="s" r="A254" s="12">
        <v>258</v>
      </c>
      <c r="B254" s="13">
        <v>0</v>
      </c>
      <c r="C254" s="14">
        <f>IFERROR(B254/B329, "NA")</f>
      </c>
      <c r="D254" s="15"/>
      <c r="E254" s="13">
        <v>0</v>
      </c>
      <c r="F254" s="14">
        <f>IFERROR(E254/E329, "NA")</f>
      </c>
      <c r="G254" s="15"/>
      <c r="H254" s="13">
        <v>0</v>
      </c>
      <c r="I254" s="14">
        <f>IFERROR(H254/H329, "NA")</f>
      </c>
      <c r="J254" s="15"/>
      <c r="K254" s="13">
        <v>0</v>
      </c>
      <c r="L254" s="14">
        <f>IFERROR(K254/K329, "NA")</f>
      </c>
      <c r="M254" s="15"/>
      <c r="N254" s="13">
        <v>0</v>
      </c>
      <c r="O254" s="14">
        <f>IFERROR(N254/N329, "NA")</f>
      </c>
      <c r="P254" s="15"/>
      <c r="Q254" s="13">
        <v>0</v>
      </c>
      <c r="R254" s="14">
        <f>IFERROR(Q254/Q329, "NA")</f>
      </c>
    </row>
    <row r="255" ht="16.5" customHeight="1">
      <c t="s" r="A255" s="12">
        <v>259</v>
      </c>
      <c r="B255" s="13">
        <v>0</v>
      </c>
      <c r="C255" s="14">
        <f>IFERROR(B255/B329, "NA")</f>
      </c>
      <c r="D255" s="15"/>
      <c r="E255" s="13">
        <v>0</v>
      </c>
      <c r="F255" s="14">
        <f>IFERROR(E255/E329, "NA")</f>
      </c>
      <c r="G255" s="15"/>
      <c r="H255" s="13">
        <v>0</v>
      </c>
      <c r="I255" s="14">
        <f>IFERROR(H255/H329, "NA")</f>
      </c>
      <c r="J255" s="15"/>
      <c r="K255" s="13">
        <v>0</v>
      </c>
      <c r="L255" s="14">
        <f>IFERROR(K255/K329, "NA")</f>
      </c>
      <c r="M255" s="15"/>
      <c r="N255" s="13">
        <v>0</v>
      </c>
      <c r="O255" s="14">
        <f>IFERROR(N255/N329, "NA")</f>
      </c>
      <c r="P255" s="15"/>
      <c r="Q255" s="13">
        <v>0</v>
      </c>
      <c r="R255" s="14">
        <f>IFERROR(Q255/Q329, "NA")</f>
      </c>
    </row>
    <row r="256" ht="16.5" customHeight="1">
      <c t="s" r="A256" s="12">
        <v>260</v>
      </c>
      <c r="B256" s="13">
        <v>0</v>
      </c>
      <c r="C256" s="14">
        <f>IFERROR(B256/B329, "NA")</f>
      </c>
      <c r="D256" s="15"/>
      <c r="E256" s="13">
        <v>2615.77</v>
      </c>
      <c r="F256" s="14">
        <f>IFERROR(E256/E329, "NA")</f>
      </c>
      <c r="G256" s="15"/>
      <c r="H256" s="13">
        <v>0</v>
      </c>
      <c r="I256" s="14">
        <f>IFERROR(H256/H329, "NA")</f>
      </c>
      <c r="J256" s="15"/>
      <c r="K256" s="13">
        <v>80357.770000000004</v>
      </c>
      <c r="L256" s="14">
        <f>IFERROR(K256/K329, "NA")</f>
      </c>
      <c r="M256" s="15"/>
      <c r="N256" s="13">
        <v>9888.8600000000006</v>
      </c>
      <c r="O256" s="14">
        <f>IFERROR(N256/N329, "NA")</f>
      </c>
      <c r="P256" s="15"/>
      <c r="Q256" s="13">
        <v>0</v>
      </c>
      <c r="R256" s="14">
        <f>IFERROR(Q256/Q329, "NA")</f>
      </c>
    </row>
    <row r="257" ht="16.5" customHeight="1">
      <c t="s" r="A257" s="12">
        <v>261</v>
      </c>
      <c r="B257" s="13">
        <v>0</v>
      </c>
      <c r="C257" s="14">
        <f>IFERROR(B257/B329, "NA")</f>
      </c>
      <c r="D257" s="15"/>
      <c r="E257" s="13">
        <v>0</v>
      </c>
      <c r="F257" s="14">
        <f>IFERROR(E257/E329, "NA")</f>
      </c>
      <c r="G257" s="15"/>
      <c r="H257" s="13">
        <v>0</v>
      </c>
      <c r="I257" s="14">
        <f>IFERROR(H257/H329, "NA")</f>
      </c>
      <c r="J257" s="15"/>
      <c r="K257" s="13">
        <v>0</v>
      </c>
      <c r="L257" s="14">
        <f>IFERROR(K257/K329, "NA")</f>
      </c>
      <c r="M257" s="15"/>
      <c r="N257" s="13">
        <v>0</v>
      </c>
      <c r="O257" s="14">
        <f>IFERROR(N257/N329, "NA")</f>
      </c>
      <c r="P257" s="15"/>
      <c r="Q257" s="13">
        <v>0</v>
      </c>
      <c r="R257" s="14">
        <f>IFERROR(Q257/Q329, "NA")</f>
      </c>
    </row>
    <row r="258" ht="16.5" customHeight="1">
      <c t="s" r="A258" s="12">
        <v>262</v>
      </c>
      <c r="B258" s="13">
        <v>20126.189999999999</v>
      </c>
      <c r="C258" s="14">
        <f>IFERROR(B258/B329, "NA")</f>
      </c>
      <c r="D258" s="15"/>
      <c r="E258" s="13">
        <v>0</v>
      </c>
      <c r="F258" s="14">
        <f>IFERROR(E258/E329, "NA")</f>
      </c>
      <c r="G258" s="15"/>
      <c r="H258" s="13">
        <v>0</v>
      </c>
      <c r="I258" s="14">
        <f>IFERROR(H258/H329, "NA")</f>
      </c>
      <c r="J258" s="15"/>
      <c r="K258" s="13">
        <v>0</v>
      </c>
      <c r="L258" s="14">
        <f>IFERROR(K258/K329, "NA")</f>
      </c>
      <c r="M258" s="15"/>
      <c r="N258" s="13">
        <v>20126.189999999999</v>
      </c>
      <c r="O258" s="14">
        <f>IFERROR(N258/N329, "NA")</f>
      </c>
      <c r="P258" s="15"/>
      <c r="Q258" s="13">
        <v>0</v>
      </c>
      <c r="R258" s="14">
        <f>IFERROR(Q258/Q329, "NA")</f>
      </c>
    </row>
    <row r="259" ht="16.5" customHeight="1">
      <c t="s" r="A259" s="12">
        <v>263</v>
      </c>
      <c r="B259" s="13">
        <v>0</v>
      </c>
      <c r="C259" s="14">
        <f>IFERROR(B259/B329, "NA")</f>
      </c>
      <c r="D259" s="15"/>
      <c r="E259" s="13">
        <v>0</v>
      </c>
      <c r="F259" s="14">
        <f>IFERROR(E259/E329, "NA")</f>
      </c>
      <c r="G259" s="15"/>
      <c r="H259" s="13">
        <v>0</v>
      </c>
      <c r="I259" s="14">
        <f>IFERROR(H259/H329, "NA")</f>
      </c>
      <c r="J259" s="15"/>
      <c r="K259" s="13">
        <v>0</v>
      </c>
      <c r="L259" s="14">
        <f>IFERROR(K259/K329, "NA")</f>
      </c>
      <c r="M259" s="15"/>
      <c r="N259" s="13">
        <v>0</v>
      </c>
      <c r="O259" s="14">
        <f>IFERROR(N259/N329, "NA")</f>
      </c>
      <c r="P259" s="15"/>
      <c r="Q259" s="13">
        <v>0</v>
      </c>
      <c r="R259" s="14">
        <f>IFERROR(Q259/Q329, "NA")</f>
      </c>
    </row>
    <row r="260" ht="16.5" customHeight="1">
      <c t="s" r="A260" s="12">
        <v>264</v>
      </c>
      <c r="B260" s="13">
        <v>0</v>
      </c>
      <c r="C260" s="14">
        <f>IFERROR(B260/B329, "NA")</f>
      </c>
      <c r="D260" s="15"/>
      <c r="E260" s="13">
        <v>0</v>
      </c>
      <c r="F260" s="14">
        <f>IFERROR(E260/E329, "NA")</f>
      </c>
      <c r="G260" s="15"/>
      <c r="H260" s="13">
        <v>0</v>
      </c>
      <c r="I260" s="14">
        <f>IFERROR(H260/H329, "NA")</f>
      </c>
      <c r="J260" s="15"/>
      <c r="K260" s="13">
        <v>0</v>
      </c>
      <c r="L260" s="14">
        <f>IFERROR(K260/K329, "NA")</f>
      </c>
      <c r="M260" s="15"/>
      <c r="N260" s="13">
        <v>0</v>
      </c>
      <c r="O260" s="14">
        <f>IFERROR(N260/N329, "NA")</f>
      </c>
      <c r="P260" s="15"/>
      <c r="Q260" s="13">
        <v>0</v>
      </c>
      <c r="R260" s="14">
        <f>IFERROR(Q260/Q329, "NA")</f>
      </c>
    </row>
    <row r="261" ht="16.5" customHeight="1">
      <c t="s" r="A261" s="12">
        <v>265</v>
      </c>
      <c r="B261" s="13">
        <v>0</v>
      </c>
      <c r="C261" s="14">
        <f>IFERROR(B261/B329, "NA")</f>
      </c>
      <c r="D261" s="15"/>
      <c r="E261" s="13">
        <v>0</v>
      </c>
      <c r="F261" s="14">
        <f>IFERROR(E261/E329, "NA")</f>
      </c>
      <c r="G261" s="15"/>
      <c r="H261" s="13">
        <v>0</v>
      </c>
      <c r="I261" s="14">
        <f>IFERROR(H261/H329, "NA")</f>
      </c>
      <c r="J261" s="15"/>
      <c r="K261" s="13">
        <v>46624.309999999998</v>
      </c>
      <c r="L261" s="14">
        <f>IFERROR(K261/K329, "NA")</f>
      </c>
      <c r="M261" s="15"/>
      <c r="N261" s="13">
        <v>0</v>
      </c>
      <c r="O261" s="14">
        <f>IFERROR(N261/N329, "NA")</f>
      </c>
      <c r="P261" s="15"/>
      <c r="Q261" s="13">
        <v>0</v>
      </c>
      <c r="R261" s="14">
        <f>IFERROR(Q261/Q329, "NA")</f>
      </c>
    </row>
    <row r="262" ht="16.5" customHeight="1">
      <c t="s" r="A262" s="12">
        <v>266</v>
      </c>
      <c r="B262" s="13">
        <v>0</v>
      </c>
      <c r="C262" s="14">
        <f>IFERROR(B262/B329, "NA")</f>
      </c>
      <c r="D262" s="15"/>
      <c r="E262" s="13">
        <v>0</v>
      </c>
      <c r="F262" s="14">
        <f>IFERROR(E262/E329, "NA")</f>
      </c>
      <c r="G262" s="15"/>
      <c r="H262" s="13">
        <v>0</v>
      </c>
      <c r="I262" s="14">
        <f>IFERROR(H262/H329, "NA")</f>
      </c>
      <c r="J262" s="15"/>
      <c r="K262" s="13">
        <v>5689.3699999999999</v>
      </c>
      <c r="L262" s="14">
        <f>IFERROR(K262/K329, "NA")</f>
      </c>
      <c r="M262" s="15"/>
      <c r="N262" s="13">
        <v>0</v>
      </c>
      <c r="O262" s="14">
        <f>IFERROR(N262/N329, "NA")</f>
      </c>
      <c r="P262" s="15"/>
      <c r="Q262" s="13">
        <v>0</v>
      </c>
      <c r="R262" s="14">
        <f>IFERROR(Q262/Q329, "NA")</f>
      </c>
    </row>
    <row r="263" ht="16.5" customHeight="1">
      <c t="s" r="A263" s="16">
        <v>267</v>
      </c>
      <c r="B263" s="17">
        <f>IFERROR(B254+B255+B256+B257+B258+B259+B260+B261+B262, "NA")</f>
      </c>
      <c r="C263" s="18">
        <f>IFERROR(B263/B329, "NA")</f>
      </c>
      <c r="D263" s="8"/>
      <c r="E263" s="17">
        <f>IFERROR(E254+E255+E256+E257+E258+E259+E260+E261+E262, "NA")</f>
      </c>
      <c r="F263" s="18">
        <f>IFERROR(E263/E329, "NA")</f>
      </c>
      <c r="G263" s="8"/>
      <c r="H263" s="17">
        <f>IFERROR(H254+H255+H256+H257+H258+H259+H260+H261+H262, "NA")</f>
      </c>
      <c r="I263" s="18">
        <f>IFERROR(H263/H329, "NA")</f>
      </c>
      <c r="J263" s="8"/>
      <c r="K263" s="17">
        <f>IFERROR(K254+K255+K256+K257+K258+K259+K260+K261+K262, "NA")</f>
      </c>
      <c r="L263" s="18">
        <f>IFERROR(K263/K329, "NA")</f>
      </c>
      <c r="M263" s="8"/>
      <c r="N263" s="17">
        <f>IFERROR(N254+N255+N256+N257+N258+N259+N260+N261+N262, "NA")</f>
      </c>
      <c r="O263" s="18">
        <f>IFERROR(N263/N329, "NA")</f>
      </c>
      <c r="P263" s="8"/>
      <c r="Q263" s="17">
        <f>IFERROR(Q254+Q255+Q256+Q257+Q258+Q259+Q260+Q261+Q262, "NA")</f>
      </c>
      <c r="R263" s="18">
        <f>IFERROR(Q263/Q329, "NA")</f>
      </c>
    </row>
    <row r="264" ht="16.5" customHeight="1">
      <c t="s" r="A264" s="11">
        <v>268</v>
      </c>
      <c r="B264" s="8"/>
      <c r="C264" s="9"/>
      <c r="D264" s="10"/>
      <c r="E264" s="8"/>
      <c r="F264" s="9"/>
      <c r="G264" s="10"/>
      <c r="H264" s="8"/>
      <c r="I264" s="9"/>
      <c r="J264" s="10"/>
      <c r="K264" s="8"/>
      <c r="L264" s="9"/>
      <c r="M264" s="10"/>
      <c r="N264" s="8"/>
      <c r="O264" s="9"/>
      <c r="P264" s="10"/>
      <c r="Q264" s="8"/>
      <c r="R264" s="9"/>
    </row>
    <row r="265" ht="16.5" customHeight="1">
      <c t="s" r="A265" s="12">
        <v>269</v>
      </c>
      <c r="B265" s="13">
        <v>0</v>
      </c>
      <c r="C265" s="14">
        <f>IFERROR(B265/B329, "NA")</f>
      </c>
      <c r="D265" s="15"/>
      <c r="E265" s="13">
        <v>0</v>
      </c>
      <c r="F265" s="14">
        <f>IFERROR(E265/E329, "NA")</f>
      </c>
      <c r="G265" s="15"/>
      <c r="H265" s="13">
        <v>0</v>
      </c>
      <c r="I265" s="14">
        <f>IFERROR(H265/H329, "NA")</f>
      </c>
      <c r="J265" s="15"/>
      <c r="K265" s="13">
        <v>0</v>
      </c>
      <c r="L265" s="14">
        <f>IFERROR(K265/K329, "NA")</f>
      </c>
      <c r="M265" s="15"/>
      <c r="N265" s="13">
        <v>0</v>
      </c>
      <c r="O265" s="14">
        <f>IFERROR(N265/N329, "NA")</f>
      </c>
      <c r="P265" s="15"/>
      <c r="Q265" s="13">
        <v>0</v>
      </c>
      <c r="R265" s="14">
        <f>IFERROR(Q265/Q329, "NA")</f>
      </c>
    </row>
    <row r="266" ht="16.5" customHeight="1">
      <c t="s" r="A266" s="12">
        <v>270</v>
      </c>
      <c r="B266" s="13">
        <v>0</v>
      </c>
      <c r="C266" s="14">
        <f>IFERROR(B266/B329, "NA")</f>
      </c>
      <c r="D266" s="15"/>
      <c r="E266" s="13">
        <v>0</v>
      </c>
      <c r="F266" s="14">
        <f>IFERROR(E266/E329, "NA")</f>
      </c>
      <c r="G266" s="15"/>
      <c r="H266" s="13">
        <v>0</v>
      </c>
      <c r="I266" s="14">
        <f>IFERROR(H266/H329, "NA")</f>
      </c>
      <c r="J266" s="15"/>
      <c r="K266" s="13">
        <v>0</v>
      </c>
      <c r="L266" s="14">
        <f>IFERROR(K266/K329, "NA")</f>
      </c>
      <c r="M266" s="15"/>
      <c r="N266" s="13">
        <v>-0.20000000000000001</v>
      </c>
      <c r="O266" s="14">
        <f>IFERROR(N266/N329, "NA")</f>
      </c>
      <c r="P266" s="15"/>
      <c r="Q266" s="13">
        <v>0</v>
      </c>
      <c r="R266" s="14">
        <f>IFERROR(Q266/Q329, "NA")</f>
      </c>
    </row>
    <row r="267" ht="16.5" customHeight="1">
      <c t="s" r="A267" s="12">
        <v>271</v>
      </c>
      <c r="B267" s="13">
        <v>0</v>
      </c>
      <c r="C267" s="14">
        <f>IFERROR(B267/B329, "NA")</f>
      </c>
      <c r="D267" s="15"/>
      <c r="E267" s="13">
        <v>0</v>
      </c>
      <c r="F267" s="14">
        <f>IFERROR(E267/E329, "NA")</f>
      </c>
      <c r="G267" s="15"/>
      <c r="H267" s="13">
        <v>0</v>
      </c>
      <c r="I267" s="14">
        <f>IFERROR(H267/H329, "NA")</f>
      </c>
      <c r="J267" s="15"/>
      <c r="K267" s="13">
        <v>0</v>
      </c>
      <c r="L267" s="14">
        <f>IFERROR(K267/K329, "NA")</f>
      </c>
      <c r="M267" s="15"/>
      <c r="N267" s="13">
        <v>0</v>
      </c>
      <c r="O267" s="14">
        <f>IFERROR(N267/N329, "NA")</f>
      </c>
      <c r="P267" s="15"/>
      <c r="Q267" s="13">
        <v>0</v>
      </c>
      <c r="R267" s="14">
        <f>IFERROR(Q267/Q329, "NA")</f>
      </c>
    </row>
    <row r="268" ht="16.5" customHeight="1">
      <c t="s" r="A268" s="12">
        <v>272</v>
      </c>
      <c r="B268" s="13">
        <v>0</v>
      </c>
      <c r="C268" s="14">
        <f>IFERROR(B268/B329, "NA")</f>
      </c>
      <c r="D268" s="15"/>
      <c r="E268" s="13">
        <v>0</v>
      </c>
      <c r="F268" s="14">
        <f>IFERROR(E268/E329, "NA")</f>
      </c>
      <c r="G268" s="15"/>
      <c r="H268" s="13">
        <v>0</v>
      </c>
      <c r="I268" s="14">
        <f>IFERROR(H268/H329, "NA")</f>
      </c>
      <c r="J268" s="15"/>
      <c r="K268" s="13">
        <v>-5.2999999999999998</v>
      </c>
      <c r="L268" s="14">
        <f>IFERROR(K268/K329, "NA")</f>
      </c>
      <c r="M268" s="15"/>
      <c r="N268" s="13">
        <v>-30</v>
      </c>
      <c r="O268" s="14">
        <f>IFERROR(N268/N329, "NA")</f>
      </c>
      <c r="P268" s="15"/>
      <c r="Q268" s="13">
        <v>-100</v>
      </c>
      <c r="R268" s="14">
        <f>IFERROR(Q268/Q329, "NA")</f>
      </c>
    </row>
    <row r="269" ht="16.5" customHeight="1">
      <c t="s" r="A269" s="12">
        <v>273</v>
      </c>
      <c r="B269" s="13">
        <v>0</v>
      </c>
      <c r="C269" s="14">
        <f>IFERROR(B269/B329, "NA")</f>
      </c>
      <c r="D269" s="15"/>
      <c r="E269" s="13">
        <v>0</v>
      </c>
      <c r="F269" s="14">
        <f>IFERROR(E269/E329, "NA")</f>
      </c>
      <c r="G269" s="15"/>
      <c r="H269" s="13">
        <v>0</v>
      </c>
      <c r="I269" s="14">
        <f>IFERROR(H269/H329, "NA")</f>
      </c>
      <c r="J269" s="15"/>
      <c r="K269" s="13">
        <v>0</v>
      </c>
      <c r="L269" s="14">
        <f>IFERROR(K269/K329, "NA")</f>
      </c>
      <c r="M269" s="15"/>
      <c r="N269" s="13">
        <v>0</v>
      </c>
      <c r="O269" s="14">
        <f>IFERROR(N269/N329, "NA")</f>
      </c>
      <c r="P269" s="15"/>
      <c r="Q269" s="13">
        <v>0</v>
      </c>
      <c r="R269" s="14">
        <f>IFERROR(Q269/Q329, "NA")</f>
      </c>
    </row>
    <row r="270" ht="16.5" customHeight="1">
      <c t="s" r="A270" s="12">
        <v>274</v>
      </c>
      <c r="B270" s="13">
        <v>0</v>
      </c>
      <c r="C270" s="14">
        <f>IFERROR(B270/B329, "NA")</f>
      </c>
      <c r="D270" s="15"/>
      <c r="E270" s="13">
        <v>0</v>
      </c>
      <c r="F270" s="14">
        <f>IFERROR(E270/E329, "NA")</f>
      </c>
      <c r="G270" s="15"/>
      <c r="H270" s="13">
        <v>0</v>
      </c>
      <c r="I270" s="14">
        <f>IFERROR(H270/H329, "NA")</f>
      </c>
      <c r="J270" s="15"/>
      <c r="K270" s="13">
        <v>0</v>
      </c>
      <c r="L270" s="14">
        <f>IFERROR(K270/K329, "NA")</f>
      </c>
      <c r="M270" s="15"/>
      <c r="N270" s="13">
        <v>0</v>
      </c>
      <c r="O270" s="14">
        <f>IFERROR(N270/N329, "NA")</f>
      </c>
      <c r="P270" s="15"/>
      <c r="Q270" s="13">
        <v>0</v>
      </c>
      <c r="R270" s="14">
        <f>IFERROR(Q270/Q329, "NA")</f>
      </c>
    </row>
    <row r="271" ht="16.5" customHeight="1">
      <c t="s" r="A271" s="12">
        <v>275</v>
      </c>
      <c r="B271" s="13">
        <v>0</v>
      </c>
      <c r="C271" s="14">
        <f>IFERROR(B271/B329, "NA")</f>
      </c>
      <c r="D271" s="15"/>
      <c r="E271" s="13">
        <v>0</v>
      </c>
      <c r="F271" s="14">
        <f>IFERROR(E271/E329, "NA")</f>
      </c>
      <c r="G271" s="15"/>
      <c r="H271" s="13">
        <v>0</v>
      </c>
      <c r="I271" s="14">
        <f>IFERROR(H271/H329, "NA")</f>
      </c>
      <c r="J271" s="15"/>
      <c r="K271" s="13">
        <v>0</v>
      </c>
      <c r="L271" s="14">
        <f>IFERROR(K271/K329, "NA")</f>
      </c>
      <c r="M271" s="15"/>
      <c r="N271" s="13">
        <v>0</v>
      </c>
      <c r="O271" s="14">
        <f>IFERROR(N271/N329, "NA")</f>
      </c>
      <c r="P271" s="15"/>
      <c r="Q271" s="13">
        <v>0</v>
      </c>
      <c r="R271" s="14">
        <f>IFERROR(Q271/Q329, "NA")</f>
      </c>
    </row>
    <row r="272" ht="16.5" customHeight="1">
      <c t="s" r="A272" s="12">
        <v>276</v>
      </c>
      <c r="B272" s="13">
        <v>0</v>
      </c>
      <c r="C272" s="14">
        <f>IFERROR(B272/B329, "NA")</f>
      </c>
      <c r="D272" s="15"/>
      <c r="E272" s="13">
        <v>0</v>
      </c>
      <c r="F272" s="14">
        <f>IFERROR(E272/E329, "NA")</f>
      </c>
      <c r="G272" s="15"/>
      <c r="H272" s="13">
        <v>0</v>
      </c>
      <c r="I272" s="14">
        <f>IFERROR(H272/H329, "NA")</f>
      </c>
      <c r="J272" s="15"/>
      <c r="K272" s="13">
        <v>0</v>
      </c>
      <c r="L272" s="14">
        <f>IFERROR(K272/K329, "NA")</f>
      </c>
      <c r="M272" s="15"/>
      <c r="N272" s="13">
        <v>0</v>
      </c>
      <c r="O272" s="14">
        <f>IFERROR(N272/N329, "NA")</f>
      </c>
      <c r="P272" s="15"/>
      <c r="Q272" s="13">
        <v>0</v>
      </c>
      <c r="R272" s="14">
        <f>IFERROR(Q272/Q329, "NA")</f>
      </c>
    </row>
    <row r="273" ht="16.5" customHeight="1">
      <c t="s" r="A273" s="12">
        <v>277</v>
      </c>
      <c r="B273" s="13">
        <v>0</v>
      </c>
      <c r="C273" s="14">
        <f>IFERROR(B273/B329, "NA")</f>
      </c>
      <c r="D273" s="15"/>
      <c r="E273" s="13">
        <v>0</v>
      </c>
      <c r="F273" s="14">
        <f>IFERROR(E273/E329, "NA")</f>
      </c>
      <c r="G273" s="15"/>
      <c r="H273" s="13">
        <v>0</v>
      </c>
      <c r="I273" s="14">
        <f>IFERROR(H273/H329, "NA")</f>
      </c>
      <c r="J273" s="15"/>
      <c r="K273" s="13">
        <v>0</v>
      </c>
      <c r="L273" s="14">
        <f>IFERROR(K273/K329, "NA")</f>
      </c>
      <c r="M273" s="15"/>
      <c r="N273" s="13">
        <v>0</v>
      </c>
      <c r="O273" s="14">
        <f>IFERROR(N273/N329, "NA")</f>
      </c>
      <c r="P273" s="15"/>
      <c r="Q273" s="13">
        <v>0</v>
      </c>
      <c r="R273" s="14">
        <f>IFERROR(Q273/Q329, "NA")</f>
      </c>
    </row>
    <row r="274" ht="16.5" customHeight="1">
      <c t="s" r="A274" s="12">
        <v>278</v>
      </c>
      <c r="B274" s="13">
        <v>0</v>
      </c>
      <c r="C274" s="14">
        <f>IFERROR(B274/B329, "NA")</f>
      </c>
      <c r="D274" s="15"/>
      <c r="E274" s="13">
        <v>0</v>
      </c>
      <c r="F274" s="14">
        <f>IFERROR(E274/E329, "NA")</f>
      </c>
      <c r="G274" s="15"/>
      <c r="H274" s="13">
        <v>0</v>
      </c>
      <c r="I274" s="14">
        <f>IFERROR(H274/H329, "NA")</f>
      </c>
      <c r="J274" s="15"/>
      <c r="K274" s="13">
        <v>0</v>
      </c>
      <c r="L274" s="14">
        <f>IFERROR(K274/K329, "NA")</f>
      </c>
      <c r="M274" s="15"/>
      <c r="N274" s="13">
        <v>0</v>
      </c>
      <c r="O274" s="14">
        <f>IFERROR(N274/N329, "NA")</f>
      </c>
      <c r="P274" s="15"/>
      <c r="Q274" s="13">
        <v>0</v>
      </c>
      <c r="R274" s="14">
        <f>IFERROR(Q274/Q329, "NA")</f>
      </c>
    </row>
    <row r="275" ht="16.5" customHeight="1">
      <c t="s" r="A275" s="12">
        <v>279</v>
      </c>
      <c r="B275" s="13">
        <v>0</v>
      </c>
      <c r="C275" s="14">
        <f>IFERROR(B275/B329, "NA")</f>
      </c>
      <c r="D275" s="15"/>
      <c r="E275" s="13">
        <v>0</v>
      </c>
      <c r="F275" s="14">
        <f>IFERROR(E275/E329, "NA")</f>
      </c>
      <c r="G275" s="15"/>
      <c r="H275" s="13">
        <v>0</v>
      </c>
      <c r="I275" s="14">
        <f>IFERROR(H275/H329, "NA")</f>
      </c>
      <c r="J275" s="15"/>
      <c r="K275" s="13">
        <v>0</v>
      </c>
      <c r="L275" s="14">
        <f>IFERROR(K275/K329, "NA")</f>
      </c>
      <c r="M275" s="15"/>
      <c r="N275" s="13">
        <v>0</v>
      </c>
      <c r="O275" s="14">
        <f>IFERROR(N275/N329, "NA")</f>
      </c>
      <c r="P275" s="15"/>
      <c r="Q275" s="13">
        <v>0</v>
      </c>
      <c r="R275" s="14">
        <f>IFERROR(Q275/Q329, "NA")</f>
      </c>
    </row>
    <row r="276" ht="16.5" customHeight="1">
      <c t="s" r="A276" s="12">
        <v>280</v>
      </c>
      <c r="B276" s="13">
        <v>0</v>
      </c>
      <c r="C276" s="14">
        <f>IFERROR(B276/B329, "NA")</f>
      </c>
      <c r="D276" s="15"/>
      <c r="E276" s="13">
        <v>0</v>
      </c>
      <c r="F276" s="14">
        <f>IFERROR(E276/E329, "NA")</f>
      </c>
      <c r="G276" s="15"/>
      <c r="H276" s="13">
        <v>0</v>
      </c>
      <c r="I276" s="14">
        <f>IFERROR(H276/H329, "NA")</f>
      </c>
      <c r="J276" s="15"/>
      <c r="K276" s="13">
        <v>0</v>
      </c>
      <c r="L276" s="14">
        <f>IFERROR(K276/K329, "NA")</f>
      </c>
      <c r="M276" s="15"/>
      <c r="N276" s="13">
        <v>0</v>
      </c>
      <c r="O276" s="14">
        <f>IFERROR(N276/N329, "NA")</f>
      </c>
      <c r="P276" s="15"/>
      <c r="Q276" s="13">
        <v>0</v>
      </c>
      <c r="R276" s="14">
        <f>IFERROR(Q276/Q329, "NA")</f>
      </c>
    </row>
    <row r="277" ht="16.5" customHeight="1">
      <c t="s" r="A277" s="12">
        <v>281</v>
      </c>
      <c r="B277" s="13">
        <v>0</v>
      </c>
      <c r="C277" s="14">
        <f>IFERROR(B277/B329, "NA")</f>
      </c>
      <c r="D277" s="15"/>
      <c r="E277" s="13">
        <v>0</v>
      </c>
      <c r="F277" s="14">
        <f>IFERROR(E277/E329, "NA")</f>
      </c>
      <c r="G277" s="15"/>
      <c r="H277" s="13">
        <v>0</v>
      </c>
      <c r="I277" s="14">
        <f>IFERROR(H277/H329, "NA")</f>
      </c>
      <c r="J277" s="15"/>
      <c r="K277" s="13">
        <v>0</v>
      </c>
      <c r="L277" s="14">
        <f>IFERROR(K277/K329, "NA")</f>
      </c>
      <c r="M277" s="15"/>
      <c r="N277" s="13">
        <v>0</v>
      </c>
      <c r="O277" s="14">
        <f>IFERROR(N277/N329, "NA")</f>
      </c>
      <c r="P277" s="15"/>
      <c r="Q277" s="13">
        <v>0</v>
      </c>
      <c r="R277" s="14">
        <f>IFERROR(Q277/Q329, "NA")</f>
      </c>
    </row>
    <row r="278" ht="16.5" customHeight="1">
      <c t="s" r="A278" s="12">
        <v>282</v>
      </c>
      <c r="B278" s="13">
        <v>-15996.219999999999</v>
      </c>
      <c r="C278" s="14">
        <f>IFERROR(B278/B329, "NA")</f>
      </c>
      <c r="D278" s="15"/>
      <c r="E278" s="13">
        <v>-17217.57</v>
      </c>
      <c r="F278" s="14">
        <f>IFERROR(E278/E329, "NA")</f>
      </c>
      <c r="G278" s="15"/>
      <c r="H278" s="13">
        <v>-19824.330000000002</v>
      </c>
      <c r="I278" s="14">
        <f>IFERROR(H278/H329, "NA")</f>
      </c>
      <c r="J278" s="15"/>
      <c r="K278" s="13">
        <v>-21435.470000000001</v>
      </c>
      <c r="L278" s="14">
        <f>IFERROR(K278/K329, "NA")</f>
      </c>
      <c r="M278" s="15"/>
      <c r="N278" s="13">
        <v>-24133.700000000001</v>
      </c>
      <c r="O278" s="14">
        <f>IFERROR(N278/N329, "NA")</f>
      </c>
      <c r="P278" s="15"/>
      <c r="Q278" s="13">
        <v>-8137.6800000000003</v>
      </c>
      <c r="R278" s="14">
        <f>IFERROR(Q278/Q329, "NA")</f>
      </c>
    </row>
    <row r="279" ht="16.5" customHeight="1">
      <c t="s" r="A279" s="12">
        <v>283</v>
      </c>
      <c r="B279" s="13">
        <v>0</v>
      </c>
      <c r="C279" s="14">
        <f>IFERROR(B279/B329, "NA")</f>
      </c>
      <c r="D279" s="15"/>
      <c r="E279" s="13">
        <v>0</v>
      </c>
      <c r="F279" s="14">
        <f>IFERROR(E279/E329, "NA")</f>
      </c>
      <c r="G279" s="15"/>
      <c r="H279" s="13">
        <v>0</v>
      </c>
      <c r="I279" s="14">
        <f>IFERROR(H279/H329, "NA")</f>
      </c>
      <c r="J279" s="15"/>
      <c r="K279" s="13">
        <v>0</v>
      </c>
      <c r="L279" s="14">
        <f>IFERROR(K279/K329, "NA")</f>
      </c>
      <c r="M279" s="15"/>
      <c r="N279" s="13">
        <v>0</v>
      </c>
      <c r="O279" s="14">
        <f>IFERROR(N279/N329, "NA")</f>
      </c>
      <c r="P279" s="15"/>
      <c r="Q279" s="13">
        <v>0</v>
      </c>
      <c r="R279" s="14">
        <f>IFERROR(Q279/Q329, "NA")</f>
      </c>
    </row>
    <row r="280" ht="16.5" customHeight="1">
      <c t="s" r="A280" s="12">
        <v>284</v>
      </c>
      <c r="B280" s="13">
        <v>0</v>
      </c>
      <c r="C280" s="14">
        <f>IFERROR(B280/B329, "NA")</f>
      </c>
      <c r="D280" s="15"/>
      <c r="E280" s="13">
        <v>0</v>
      </c>
      <c r="F280" s="14">
        <f>IFERROR(E280/E329, "NA")</f>
      </c>
      <c r="G280" s="15"/>
      <c r="H280" s="13">
        <v>0</v>
      </c>
      <c r="I280" s="14">
        <f>IFERROR(H280/H329, "NA")</f>
      </c>
      <c r="J280" s="15"/>
      <c r="K280" s="13">
        <v>0</v>
      </c>
      <c r="L280" s="14">
        <f>IFERROR(K280/K329, "NA")</f>
      </c>
      <c r="M280" s="15"/>
      <c r="N280" s="13">
        <v>0</v>
      </c>
      <c r="O280" s="14">
        <f>IFERROR(N280/N329, "NA")</f>
      </c>
      <c r="P280" s="15"/>
      <c r="Q280" s="13">
        <v>0</v>
      </c>
      <c r="R280" s="14">
        <f>IFERROR(Q280/Q329, "NA")</f>
      </c>
    </row>
    <row r="281" ht="16.5" customHeight="1">
      <c t="s" r="A281" s="12">
        <v>285</v>
      </c>
      <c r="B281" s="13">
        <v>0</v>
      </c>
      <c r="C281" s="14">
        <f>IFERROR(B281/B329, "NA")</f>
      </c>
      <c r="D281" s="15"/>
      <c r="E281" s="13">
        <v>0</v>
      </c>
      <c r="F281" s="14">
        <f>IFERROR(E281/E329, "NA")</f>
      </c>
      <c r="G281" s="15"/>
      <c r="H281" s="13">
        <v>0</v>
      </c>
      <c r="I281" s="14">
        <f>IFERROR(H281/H329, "NA")</f>
      </c>
      <c r="J281" s="15"/>
      <c r="K281" s="13">
        <v>0</v>
      </c>
      <c r="L281" s="14">
        <f>IFERROR(K281/K329, "NA")</f>
      </c>
      <c r="M281" s="15"/>
      <c r="N281" s="13">
        <v>0</v>
      </c>
      <c r="O281" s="14">
        <f>IFERROR(N281/N329, "NA")</f>
      </c>
      <c r="P281" s="15"/>
      <c r="Q281" s="13">
        <v>0</v>
      </c>
      <c r="R281" s="14">
        <f>IFERROR(Q281/Q329, "NA")</f>
      </c>
    </row>
    <row r="282" ht="16.5" customHeight="1">
      <c t="s" r="A282" s="12">
        <v>286</v>
      </c>
      <c r="B282" s="13">
        <v>0</v>
      </c>
      <c r="C282" s="14">
        <f>IFERROR(B282/B329, "NA")</f>
      </c>
      <c r="D282" s="15"/>
      <c r="E282" s="13">
        <v>0</v>
      </c>
      <c r="F282" s="14">
        <f>IFERROR(E282/E329, "NA")</f>
      </c>
      <c r="G282" s="15"/>
      <c r="H282" s="13">
        <v>0</v>
      </c>
      <c r="I282" s="14">
        <f>IFERROR(H282/H329, "NA")</f>
      </c>
      <c r="J282" s="15"/>
      <c r="K282" s="13">
        <v>0</v>
      </c>
      <c r="L282" s="14">
        <f>IFERROR(K282/K329, "NA")</f>
      </c>
      <c r="M282" s="15"/>
      <c r="N282" s="13">
        <v>0</v>
      </c>
      <c r="O282" s="14">
        <f>IFERROR(N282/N329, "NA")</f>
      </c>
      <c r="P282" s="15"/>
      <c r="Q282" s="13">
        <v>0</v>
      </c>
      <c r="R282" s="14">
        <f>IFERROR(Q282/Q329, "NA")</f>
      </c>
    </row>
    <row r="283" ht="16.5" customHeight="1">
      <c t="s" r="A283" s="16">
        <v>287</v>
      </c>
      <c r="B283" s="17">
        <f>IFERROR(B265+B266+B267+B268+B269+B270+B271+B272+B273+B274+B275+B276+B277+B278+B279+B280+B281+B282, "NA")</f>
      </c>
      <c r="C283" s="18">
        <f>IFERROR(B283/B329, "NA")</f>
      </c>
      <c r="D283" s="8"/>
      <c r="E283" s="17">
        <f>IFERROR(E265+E266+E267+E268+E269+E270+E271+E272+E273+E274+E275+E276+E277+E278+E279+E280+E281+E282, "NA")</f>
      </c>
      <c r="F283" s="18">
        <f>IFERROR(E283/E329, "NA")</f>
      </c>
      <c r="G283" s="8"/>
      <c r="H283" s="17">
        <f>IFERROR(H265+H266+H267+H268+H269+H270+H271+H272+H273+H274+H275+H276+H277+H278+H279+H280+H281+H282, "NA")</f>
      </c>
      <c r="I283" s="18">
        <f>IFERROR(H283/H329, "NA")</f>
      </c>
      <c r="J283" s="8"/>
      <c r="K283" s="17">
        <f>IFERROR(K265+K266+K267+K268+K269+K270+K271+K272+K273+K274+K275+K276+K277+K278+K279+K280+K281+K282, "NA")</f>
      </c>
      <c r="L283" s="18">
        <f>IFERROR(K283/K329, "NA")</f>
      </c>
      <c r="M283" s="8"/>
      <c r="N283" s="17">
        <f>IFERROR(N265+N266+N267+N268+N269+N270+N271+N272+N273+N274+N275+N276+N277+N278+N279+N280+N281+N282, "NA")</f>
      </c>
      <c r="O283" s="18">
        <f>IFERROR(N283/N329, "NA")</f>
      </c>
      <c r="P283" s="8"/>
      <c r="Q283" s="17">
        <f>IFERROR(Q265+Q266+Q267+Q268+Q269+Q270+Q271+Q272+Q273+Q274+Q275+Q276+Q277+Q278+Q279+Q280+Q281+Q282, "NA")</f>
      </c>
      <c r="R283" s="18">
        <f>IFERROR(Q283/Q329, "NA")</f>
      </c>
    </row>
    <row r="284" ht="16.5" customHeight="1">
      <c t="s" r="A284" s="20">
        <v>288</v>
      </c>
      <c r="B284" s="17">
        <f>IFERROR(B214+B215+B216+B217+B218+B219+B220+B221+B222+B223+B224+B225+B226+B227+B228+B229+B230+B231+B232+B233+B234+B235+B236+B237+B238+B239+B240+B243+B244+B245+B246+B247+B248+B249+B250+B251+B254+B255+B256+B257+B258+B259+B260+B261+B262+B265+B266+B267+B268+B269+B270+B271+B272+B273+B274+B275+B276+B277+B278+B279+B280+B281+B282, "NA")</f>
      </c>
      <c r="C284" s="18">
        <f>IFERROR(B284/B329, "NA")</f>
      </c>
      <c r="D284" s="8"/>
      <c r="E284" s="17">
        <f>IFERROR(E214+E215+E216+E217+E218+E219+E220+E221+E222+E223+E224+E225+E226+E227+E228+E229+E230+E231+E232+E233+E234+E235+E236+E237+E238+E239+E240+E243+E244+E245+E246+E247+E248+E249+E250+E251+E254+E255+E256+E257+E258+E259+E260+E261+E262+E265+E266+E267+E268+E269+E270+E271+E272+E273+E274+E275+E276+E277+E278+E279+E280+E281+E282, "NA")</f>
      </c>
      <c r="F284" s="18">
        <f>IFERROR(E284/E329, "NA")</f>
      </c>
      <c r="G284" s="8"/>
      <c r="H284" s="17">
        <f>IFERROR(H214+H215+H216+H217+H218+H219+H220+H221+H222+H223+H224+H225+H226+H227+H228+H229+H230+H231+H232+H233+H234+H235+H236+H237+H238+H239+H240+H243+H244+H245+H246+H247+H248+H249+H250+H251+H254+H255+H256+H257+H258+H259+H260+H261+H262+H265+H266+H267+H268+H269+H270+H271+H272+H273+H274+H275+H276+H277+H278+H279+H280+H281+H282, "NA")</f>
      </c>
      <c r="I284" s="18">
        <f>IFERROR(H284/H329, "NA")</f>
      </c>
      <c r="J284" s="8"/>
      <c r="K284" s="17">
        <f>IFERROR(K214+K215+K216+K217+K218+K219+K220+K221+K222+K223+K224+K225+K226+K227+K228+K229+K230+K231+K232+K233+K234+K235+K236+K237+K238+K239+K240+K243+K244+K245+K246+K247+K248+K249+K250+K251+K254+K255+K256+K257+K258+K259+K260+K261+K262+K265+K266+K267+K268+K269+K270+K271+K272+K273+K274+K275+K276+K277+K278+K279+K280+K281+K282, "NA")</f>
      </c>
      <c r="L284" s="18">
        <f>IFERROR(K284/K329, "NA")</f>
      </c>
      <c r="M284" s="8"/>
      <c r="N284" s="17">
        <f>IFERROR(N214+N215+N216+N217+N218+N219+N220+N221+N222+N223+N224+N225+N226+N227+N228+N229+N230+N231+N232+N233+N234+N235+N236+N237+N238+N239+N240+N243+N244+N245+N246+N247+N248+N249+N250+N251+N254+N255+N256+N257+N258+N259+N260+N261+N262+N265+N266+N267+N268+N269+N270+N271+N272+N273+N274+N275+N276+N277+N278+N279+N280+N281+N282, "NA")</f>
      </c>
      <c r="O284" s="18">
        <f>IFERROR(N284/N329, "NA")</f>
      </c>
      <c r="P284" s="8"/>
      <c r="Q284" s="17">
        <f>IFERROR(Q214+Q215+Q216+Q217+Q218+Q219+Q220+Q221+Q222+Q223+Q224+Q225+Q226+Q227+Q228+Q229+Q230+Q231+Q232+Q233+Q234+Q235+Q236+Q237+Q238+Q239+Q240+Q243+Q244+Q245+Q246+Q247+Q248+Q249+Q250+Q251+Q254+Q255+Q256+Q257+Q258+Q259+Q260+Q261+Q262+Q265+Q266+Q267+Q268+Q269+Q270+Q271+Q272+Q273+Q274+Q275+Q276+Q277+Q278+Q279+Q280+Q281+Q282, "NA")</f>
      </c>
      <c r="R284" s="18">
        <f>IFERROR(Q284/Q329, "NA")</f>
      </c>
    </row>
    <row r="285" ht="16.5" customHeight="1">
      <c t="s" r="A285" s="7">
        <v>289</v>
      </c>
      <c r="B285" s="8"/>
      <c r="C285" s="9"/>
      <c r="D285" s="10"/>
      <c r="E285" s="8"/>
      <c r="F285" s="9"/>
      <c r="G285" s="10"/>
      <c r="H285" s="8"/>
      <c r="I285" s="9"/>
      <c r="J285" s="10"/>
      <c r="K285" s="8"/>
      <c r="L285" s="9"/>
      <c r="M285" s="10"/>
      <c r="N285" s="8"/>
      <c r="O285" s="9"/>
      <c r="P285" s="10"/>
      <c r="Q285" s="8"/>
      <c r="R285" s="9"/>
    </row>
    <row r="286" ht="16.5" customHeight="1">
      <c t="s" r="A286" s="11">
        <v>290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</row>
    <row r="287" ht="16.5" customHeight="1">
      <c t="s" r="A287" s="12">
        <v>291</v>
      </c>
      <c r="B287" s="13">
        <v>0</v>
      </c>
      <c r="C287" s="14">
        <f>IFERROR(B287/B329, "NA")</f>
      </c>
      <c r="D287" s="15"/>
      <c r="E287" s="13">
        <v>0</v>
      </c>
      <c r="F287" s="14">
        <f>IFERROR(E287/E329, "NA")</f>
      </c>
      <c r="G287" s="15"/>
      <c r="H287" s="13">
        <v>0</v>
      </c>
      <c r="I287" s="14">
        <f>IFERROR(H287/H329, "NA")</f>
      </c>
      <c r="J287" s="15"/>
      <c r="K287" s="13">
        <v>0</v>
      </c>
      <c r="L287" s="14">
        <f>IFERROR(K287/K329, "NA")</f>
      </c>
      <c r="M287" s="15"/>
      <c r="N287" s="13">
        <v>0</v>
      </c>
      <c r="O287" s="14">
        <f>IFERROR(N287/N329, "NA")</f>
      </c>
      <c r="P287" s="15"/>
      <c r="Q287" s="13">
        <v>0</v>
      </c>
      <c r="R287" s="14">
        <f>IFERROR(Q287/Q329, "NA")</f>
      </c>
    </row>
    <row r="288" ht="16.5" customHeight="1">
      <c t="s" r="A288" s="12">
        <v>292</v>
      </c>
      <c r="B288" s="13">
        <v>0</v>
      </c>
      <c r="C288" s="14">
        <f>IFERROR(B288/B329, "NA")</f>
      </c>
      <c r="D288" s="15"/>
      <c r="E288" s="13">
        <v>0</v>
      </c>
      <c r="F288" s="14">
        <f>IFERROR(E288/E329, "NA")</f>
      </c>
      <c r="G288" s="15"/>
      <c r="H288" s="13">
        <v>0</v>
      </c>
      <c r="I288" s="14">
        <f>IFERROR(H288/H329, "NA")</f>
      </c>
      <c r="J288" s="15"/>
      <c r="K288" s="13">
        <v>0</v>
      </c>
      <c r="L288" s="14">
        <f>IFERROR(K288/K329, "NA")</f>
      </c>
      <c r="M288" s="15"/>
      <c r="N288" s="13">
        <v>0</v>
      </c>
      <c r="O288" s="14">
        <f>IFERROR(N288/N329, "NA")</f>
      </c>
      <c r="P288" s="15"/>
      <c r="Q288" s="13">
        <v>0</v>
      </c>
      <c r="R288" s="14">
        <f>IFERROR(Q288/Q329, "NA")</f>
      </c>
    </row>
    <row r="289" ht="16.5" customHeight="1">
      <c t="s" r="A289" s="12">
        <v>293</v>
      </c>
      <c r="B289" s="13">
        <v>910</v>
      </c>
      <c r="C289" s="14">
        <f>IFERROR(B289/B329, "NA")</f>
      </c>
      <c r="D289" s="15"/>
      <c r="E289" s="13">
        <v>3152</v>
      </c>
      <c r="F289" s="14">
        <f>IFERROR(E289/E329, "NA")</f>
      </c>
      <c r="G289" s="15"/>
      <c r="H289" s="13">
        <v>0</v>
      </c>
      <c r="I289" s="14">
        <f>IFERROR(H289/H329, "NA")</f>
      </c>
      <c r="J289" s="15"/>
      <c r="K289" s="13">
        <v>3436.6599999999999</v>
      </c>
      <c r="L289" s="14">
        <f>IFERROR(K289/K329, "NA")</f>
      </c>
      <c r="M289" s="15"/>
      <c r="N289" s="13">
        <v>9872.5</v>
      </c>
      <c r="O289" s="14">
        <f>IFERROR(N289/N329, "NA")</f>
      </c>
      <c r="P289" s="15"/>
      <c r="Q289" s="13">
        <v>0</v>
      </c>
      <c r="R289" s="14">
        <f>IFERROR(Q289/Q329, "NA")</f>
      </c>
    </row>
    <row r="290" ht="16.5" customHeight="1">
      <c t="s" r="A290" s="12">
        <v>294</v>
      </c>
      <c r="B290" s="13">
        <v>0</v>
      </c>
      <c r="C290" s="14">
        <f>IFERROR(B290/B329, "NA")</f>
      </c>
      <c r="D290" s="15"/>
      <c r="E290" s="13">
        <v>0</v>
      </c>
      <c r="F290" s="14">
        <f>IFERROR(E290/E329, "NA")</f>
      </c>
      <c r="G290" s="15"/>
      <c r="H290" s="13">
        <v>0</v>
      </c>
      <c r="I290" s="14">
        <f>IFERROR(H290/H329, "NA")</f>
      </c>
      <c r="J290" s="15"/>
      <c r="K290" s="13">
        <v>0</v>
      </c>
      <c r="L290" s="14">
        <f>IFERROR(K290/K329, "NA")</f>
      </c>
      <c r="M290" s="15"/>
      <c r="N290" s="13">
        <v>0</v>
      </c>
      <c r="O290" s="14">
        <f>IFERROR(N290/N329, "NA")</f>
      </c>
      <c r="P290" s="15"/>
      <c r="Q290" s="13">
        <v>0</v>
      </c>
      <c r="R290" s="14">
        <f>IFERROR(Q290/Q329, "NA")</f>
      </c>
    </row>
    <row r="291" ht="16.5" customHeight="1">
      <c t="s" r="A291" s="12">
        <v>295</v>
      </c>
      <c r="B291" s="13">
        <v>26897.200000000001</v>
      </c>
      <c r="C291" s="14">
        <f>IFERROR(B291/B329, "NA")</f>
      </c>
      <c r="D291" s="15"/>
      <c r="E291" s="13">
        <v>24488.919999999998</v>
      </c>
      <c r="F291" s="14">
        <f>IFERROR(E291/E329, "NA")</f>
      </c>
      <c r="G291" s="15"/>
      <c r="H291" s="13">
        <v>30493.029999999999</v>
      </c>
      <c r="I291" s="14">
        <f>IFERROR(H291/H329, "NA")</f>
      </c>
      <c r="J291" s="15"/>
      <c r="K291" s="13">
        <v>30181.119999999999</v>
      </c>
      <c r="L291" s="14">
        <f>IFERROR(K291/K329, "NA")</f>
      </c>
      <c r="M291" s="15"/>
      <c r="N291" s="13">
        <v>36515.980000000003</v>
      </c>
      <c r="O291" s="14">
        <f>IFERROR(N291/N329, "NA")</f>
      </c>
      <c r="P291" s="15"/>
      <c r="Q291" s="13">
        <v>0</v>
      </c>
      <c r="R291" s="14">
        <f>IFERROR(Q291/Q329, "NA")</f>
      </c>
    </row>
    <row r="292" ht="16.5" customHeight="1">
      <c t="s" r="A292" s="12">
        <v>296</v>
      </c>
      <c r="B292" s="13">
        <v>0</v>
      </c>
      <c r="C292" s="14">
        <f>IFERROR(B292/B329, "NA")</f>
      </c>
      <c r="D292" s="15"/>
      <c r="E292" s="13">
        <v>0</v>
      </c>
      <c r="F292" s="14">
        <f>IFERROR(E292/E329, "NA")</f>
      </c>
      <c r="G292" s="15"/>
      <c r="H292" s="13">
        <v>0</v>
      </c>
      <c r="I292" s="14">
        <f>IFERROR(H292/H329, "NA")</f>
      </c>
      <c r="J292" s="15"/>
      <c r="K292" s="13">
        <v>0</v>
      </c>
      <c r="L292" s="14">
        <f>IFERROR(K292/K329, "NA")</f>
      </c>
      <c r="M292" s="15"/>
      <c r="N292" s="13">
        <v>0</v>
      </c>
      <c r="O292" s="14">
        <f>IFERROR(N292/N329, "NA")</f>
      </c>
      <c r="P292" s="15"/>
      <c r="Q292" s="13">
        <v>0</v>
      </c>
      <c r="R292" s="14">
        <f>IFERROR(Q292/Q329, "NA")</f>
      </c>
    </row>
    <row r="293" ht="16.5" customHeight="1">
      <c t="s" r="A293" s="12">
        <v>297</v>
      </c>
      <c r="B293" s="13">
        <v>0</v>
      </c>
      <c r="C293" s="14">
        <f>IFERROR(B293/B329, "NA")</f>
      </c>
      <c r="D293" s="15"/>
      <c r="E293" s="13">
        <v>0</v>
      </c>
      <c r="F293" s="14">
        <f>IFERROR(E293/E329, "NA")</f>
      </c>
      <c r="G293" s="15"/>
      <c r="H293" s="13">
        <v>0</v>
      </c>
      <c r="I293" s="14">
        <f>IFERROR(H293/H329, "NA")</f>
      </c>
      <c r="J293" s="15"/>
      <c r="K293" s="13">
        <v>6000</v>
      </c>
      <c r="L293" s="14">
        <f>IFERROR(K293/K329, "NA")</f>
      </c>
      <c r="M293" s="15"/>
      <c r="N293" s="13">
        <v>0</v>
      </c>
      <c r="O293" s="14">
        <f>IFERROR(N293/N329, "NA")</f>
      </c>
      <c r="P293" s="15"/>
      <c r="Q293" s="13">
        <v>0</v>
      </c>
      <c r="R293" s="14">
        <f>IFERROR(Q293/Q329, "NA")</f>
      </c>
    </row>
    <row r="294" ht="16.5" customHeight="1">
      <c t="s" r="A294" s="12">
        <v>298</v>
      </c>
      <c r="B294" s="13">
        <v>292.31999999999999</v>
      </c>
      <c r="C294" s="14">
        <f>IFERROR(B294/B329, "NA")</f>
      </c>
      <c r="D294" s="15"/>
      <c r="E294" s="13">
        <v>0</v>
      </c>
      <c r="F294" s="14">
        <f>IFERROR(E294/E329, "NA")</f>
      </c>
      <c r="G294" s="15"/>
      <c r="H294" s="13">
        <v>1449.9000000000001</v>
      </c>
      <c r="I294" s="14">
        <f>IFERROR(H294/H329, "NA")</f>
      </c>
      <c r="J294" s="15"/>
      <c r="K294" s="13">
        <v>900.08000000000004</v>
      </c>
      <c r="L294" s="14">
        <f>IFERROR(K294/K329, "NA")</f>
      </c>
      <c r="M294" s="15"/>
      <c r="N294" s="13">
        <v>0</v>
      </c>
      <c r="O294" s="14">
        <f>IFERROR(N294/N329, "NA")</f>
      </c>
      <c r="P294" s="15"/>
      <c r="Q294" s="13">
        <v>0</v>
      </c>
      <c r="R294" s="14">
        <f>IFERROR(Q294/Q329, "NA")</f>
      </c>
    </row>
    <row r="295" ht="16.5" customHeight="1">
      <c t="s" r="A295" s="12">
        <v>299</v>
      </c>
      <c r="B295" s="13">
        <v>1520.52</v>
      </c>
      <c r="C295" s="14">
        <f>IFERROR(B295/B329, "NA")</f>
      </c>
      <c r="D295" s="15"/>
      <c r="E295" s="13">
        <v>1580.22</v>
      </c>
      <c r="F295" s="14">
        <f>IFERROR(E295/E329, "NA")</f>
      </c>
      <c r="G295" s="15"/>
      <c r="H295" s="13">
        <v>721.75</v>
      </c>
      <c r="I295" s="14">
        <f>IFERROR(H295/H329, "NA")</f>
      </c>
      <c r="J295" s="15"/>
      <c r="K295" s="13">
        <v>189.40000000000001</v>
      </c>
      <c r="L295" s="14">
        <f>IFERROR(K295/K329, "NA")</f>
      </c>
      <c r="M295" s="15"/>
      <c r="N295" s="13">
        <v>1629.71</v>
      </c>
      <c r="O295" s="14">
        <f>IFERROR(N295/N329, "NA")</f>
      </c>
      <c r="P295" s="15"/>
      <c r="Q295" s="13">
        <v>0</v>
      </c>
      <c r="R295" s="14">
        <f>IFERROR(Q295/Q329, "NA")</f>
      </c>
    </row>
    <row r="296" ht="16.5" customHeight="1">
      <c t="s" r="A296" s="12">
        <v>300</v>
      </c>
      <c r="B296" s="13">
        <v>0</v>
      </c>
      <c r="C296" s="14">
        <f>IFERROR(B296/B329, "NA")</f>
      </c>
      <c r="D296" s="15"/>
      <c r="E296" s="13">
        <v>538</v>
      </c>
      <c r="F296" s="14">
        <f>IFERROR(E296/E329, "NA")</f>
      </c>
      <c r="G296" s="15"/>
      <c r="H296" s="13">
        <v>0</v>
      </c>
      <c r="I296" s="14">
        <f>IFERROR(H296/H329, "NA")</f>
      </c>
      <c r="J296" s="15"/>
      <c r="K296" s="13">
        <v>0</v>
      </c>
      <c r="L296" s="14">
        <f>IFERROR(K296/K329, "NA")</f>
      </c>
      <c r="M296" s="15"/>
      <c r="N296" s="13">
        <v>0</v>
      </c>
      <c r="O296" s="14">
        <f>IFERROR(N296/N329, "NA")</f>
      </c>
      <c r="P296" s="15"/>
      <c r="Q296" s="13">
        <v>0</v>
      </c>
      <c r="R296" s="14">
        <f>IFERROR(Q296/Q329, "NA")</f>
      </c>
    </row>
    <row r="297" ht="16.5" customHeight="1">
      <c t="s" r="A297" s="12">
        <v>301</v>
      </c>
      <c r="B297" s="13">
        <v>0</v>
      </c>
      <c r="C297" s="14">
        <f>IFERROR(B297/B329, "NA")</f>
      </c>
      <c r="D297" s="15"/>
      <c r="E297" s="13">
        <v>0</v>
      </c>
      <c r="F297" s="14">
        <f>IFERROR(E297/E329, "NA")</f>
      </c>
      <c r="G297" s="15"/>
      <c r="H297" s="13">
        <v>0</v>
      </c>
      <c r="I297" s="14">
        <f>IFERROR(H297/H329, "NA")</f>
      </c>
      <c r="J297" s="15"/>
      <c r="K297" s="13">
        <v>0</v>
      </c>
      <c r="L297" s="14">
        <f>IFERROR(K297/K329, "NA")</f>
      </c>
      <c r="M297" s="15"/>
      <c r="N297" s="13">
        <v>0</v>
      </c>
      <c r="O297" s="14">
        <f>IFERROR(N297/N329, "NA")</f>
      </c>
      <c r="P297" s="15"/>
      <c r="Q297" s="13">
        <v>0</v>
      </c>
      <c r="R297" s="14">
        <f>IFERROR(Q297/Q329, "NA")</f>
      </c>
    </row>
    <row r="298" ht="16.5" customHeight="1">
      <c t="s" r="A298" s="12">
        <v>302</v>
      </c>
      <c r="B298" s="13">
        <v>0</v>
      </c>
      <c r="C298" s="14">
        <f>IFERROR(B298/B329, "NA")</f>
      </c>
      <c r="D298" s="15"/>
      <c r="E298" s="13">
        <v>0</v>
      </c>
      <c r="F298" s="14">
        <f>IFERROR(E298/E329, "NA")</f>
      </c>
      <c r="G298" s="15"/>
      <c r="H298" s="13">
        <v>0</v>
      </c>
      <c r="I298" s="14">
        <f>IFERROR(H298/H329, "NA")</f>
      </c>
      <c r="J298" s="15"/>
      <c r="K298" s="13">
        <v>0</v>
      </c>
      <c r="L298" s="14">
        <f>IFERROR(K298/K329, "NA")</f>
      </c>
      <c r="M298" s="15"/>
      <c r="N298" s="13">
        <v>0</v>
      </c>
      <c r="O298" s="14">
        <f>IFERROR(N298/N329, "NA")</f>
      </c>
      <c r="P298" s="15"/>
      <c r="Q298" s="13">
        <v>0</v>
      </c>
      <c r="R298" s="14">
        <f>IFERROR(Q298/Q329, "NA")</f>
      </c>
    </row>
    <row r="299" ht="16.5" customHeight="1">
      <c t="s" r="A299" s="12">
        <v>303</v>
      </c>
      <c r="B299" s="13">
        <v>0</v>
      </c>
      <c r="C299" s="14">
        <f>IFERROR(B299/B329, "NA")</f>
      </c>
      <c r="D299" s="15"/>
      <c r="E299" s="13">
        <v>0</v>
      </c>
      <c r="F299" s="14">
        <f>IFERROR(E299/E329, "NA")</f>
      </c>
      <c r="G299" s="15"/>
      <c r="H299" s="13">
        <v>0</v>
      </c>
      <c r="I299" s="14">
        <f>IFERROR(H299/H329, "NA")</f>
      </c>
      <c r="J299" s="15"/>
      <c r="K299" s="13">
        <v>0</v>
      </c>
      <c r="L299" s="14">
        <f>IFERROR(K299/K329, "NA")</f>
      </c>
      <c r="M299" s="15"/>
      <c r="N299" s="13">
        <v>0</v>
      </c>
      <c r="O299" s="14">
        <f>IFERROR(N299/N329, "NA")</f>
      </c>
      <c r="P299" s="15"/>
      <c r="Q299" s="13">
        <v>0</v>
      </c>
      <c r="R299" s="14">
        <f>IFERROR(Q299/Q329, "NA")</f>
      </c>
    </row>
    <row r="300" ht="16.5" customHeight="1">
      <c t="s" r="A300" s="12">
        <v>304</v>
      </c>
      <c r="B300" s="13">
        <v>0</v>
      </c>
      <c r="C300" s="14">
        <f>IFERROR(B300/B329, "NA")</f>
      </c>
      <c r="D300" s="15"/>
      <c r="E300" s="13">
        <v>0</v>
      </c>
      <c r="F300" s="14">
        <f>IFERROR(E300/E329, "NA")</f>
      </c>
      <c r="G300" s="15"/>
      <c r="H300" s="13">
        <v>0</v>
      </c>
      <c r="I300" s="14">
        <f>IFERROR(H300/H329, "NA")</f>
      </c>
      <c r="J300" s="15"/>
      <c r="K300" s="13">
        <v>0</v>
      </c>
      <c r="L300" s="14">
        <f>IFERROR(K300/K329, "NA")</f>
      </c>
      <c r="M300" s="15"/>
      <c r="N300" s="13">
        <v>0</v>
      </c>
      <c r="O300" s="14">
        <f>IFERROR(N300/N329, "NA")</f>
      </c>
      <c r="P300" s="15"/>
      <c r="Q300" s="13">
        <v>0</v>
      </c>
      <c r="R300" s="14">
        <f>IFERROR(Q300/Q329, "NA")</f>
      </c>
    </row>
    <row r="301" ht="16.5" customHeight="1">
      <c t="s" r="A301" s="12">
        <v>305</v>
      </c>
      <c r="B301" s="13">
        <v>0</v>
      </c>
      <c r="C301" s="14">
        <f>IFERROR(B301/B329, "NA")</f>
      </c>
      <c r="D301" s="15"/>
      <c r="E301" s="13">
        <v>0</v>
      </c>
      <c r="F301" s="14">
        <f>IFERROR(E301/E329, "NA")</f>
      </c>
      <c r="G301" s="15"/>
      <c r="H301" s="13">
        <v>0</v>
      </c>
      <c r="I301" s="14">
        <f>IFERROR(H301/H329, "NA")</f>
      </c>
      <c r="J301" s="15"/>
      <c r="K301" s="13">
        <v>0</v>
      </c>
      <c r="L301" s="14">
        <f>IFERROR(K301/K329, "NA")</f>
      </c>
      <c r="M301" s="15"/>
      <c r="N301" s="13">
        <v>0</v>
      </c>
      <c r="O301" s="14">
        <f>IFERROR(N301/N329, "NA")</f>
      </c>
      <c r="P301" s="15"/>
      <c r="Q301" s="13">
        <v>0</v>
      </c>
      <c r="R301" s="14">
        <f>IFERROR(Q301/Q329, "NA")</f>
      </c>
    </row>
    <row r="302" ht="16.5" customHeight="1">
      <c t="s" r="A302" s="12">
        <v>306</v>
      </c>
      <c r="B302" s="13">
        <v>0</v>
      </c>
      <c r="C302" s="14">
        <f>IFERROR(B302/B329, "NA")</f>
      </c>
      <c r="D302" s="15"/>
      <c r="E302" s="13">
        <v>0</v>
      </c>
      <c r="F302" s="14">
        <f>IFERROR(E302/E329, "NA")</f>
      </c>
      <c r="G302" s="15"/>
      <c r="H302" s="13">
        <v>0</v>
      </c>
      <c r="I302" s="14">
        <f>IFERROR(H302/H329, "NA")</f>
      </c>
      <c r="J302" s="15"/>
      <c r="K302" s="13">
        <v>0</v>
      </c>
      <c r="L302" s="14">
        <f>IFERROR(K302/K329, "NA")</f>
      </c>
      <c r="M302" s="15"/>
      <c r="N302" s="13">
        <v>0</v>
      </c>
      <c r="O302" s="14">
        <f>IFERROR(N302/N329, "NA")</f>
      </c>
      <c r="P302" s="15"/>
      <c r="Q302" s="13">
        <v>0</v>
      </c>
      <c r="R302" s="14">
        <f>IFERROR(Q302/Q329, "NA")</f>
      </c>
    </row>
    <row r="303" ht="16.5" customHeight="1">
      <c t="s" r="A303" s="12">
        <v>307</v>
      </c>
      <c r="B303" s="13">
        <v>0</v>
      </c>
      <c r="C303" s="14">
        <f>IFERROR(B303/B329, "NA")</f>
      </c>
      <c r="D303" s="15"/>
      <c r="E303" s="13">
        <v>0</v>
      </c>
      <c r="F303" s="14">
        <f>IFERROR(E303/E329, "NA")</f>
      </c>
      <c r="G303" s="15"/>
      <c r="H303" s="13">
        <v>0</v>
      </c>
      <c r="I303" s="14">
        <f>IFERROR(H303/H329, "NA")</f>
      </c>
      <c r="J303" s="15"/>
      <c r="K303" s="13">
        <v>0</v>
      </c>
      <c r="L303" s="14">
        <f>IFERROR(K303/K329, "NA")</f>
      </c>
      <c r="M303" s="15"/>
      <c r="N303" s="13">
        <v>0</v>
      </c>
      <c r="O303" s="14">
        <f>IFERROR(N303/N329, "NA")</f>
      </c>
      <c r="P303" s="15"/>
      <c r="Q303" s="13">
        <v>0</v>
      </c>
      <c r="R303" s="14">
        <f>IFERROR(Q303/Q329, "NA")</f>
      </c>
    </row>
    <row r="304" ht="16.5" customHeight="1">
      <c t="s" r="A304" s="12">
        <v>308</v>
      </c>
      <c r="B304" s="13">
        <v>0</v>
      </c>
      <c r="C304" s="14">
        <f>IFERROR(B304/B329, "NA")</f>
      </c>
      <c r="D304" s="15"/>
      <c r="E304" s="13">
        <v>0</v>
      </c>
      <c r="F304" s="14">
        <f>IFERROR(E304/E329, "NA")</f>
      </c>
      <c r="G304" s="15"/>
      <c r="H304" s="13">
        <v>0</v>
      </c>
      <c r="I304" s="14">
        <f>IFERROR(H304/H329, "NA")</f>
      </c>
      <c r="J304" s="15"/>
      <c r="K304" s="13">
        <v>0</v>
      </c>
      <c r="L304" s="14">
        <f>IFERROR(K304/K329, "NA")</f>
      </c>
      <c r="M304" s="15"/>
      <c r="N304" s="13">
        <v>0</v>
      </c>
      <c r="O304" s="14">
        <f>IFERROR(N304/N329, "NA")</f>
      </c>
      <c r="P304" s="15"/>
      <c r="Q304" s="13">
        <v>0</v>
      </c>
      <c r="R304" s="14">
        <f>IFERROR(Q304/Q329, "NA")</f>
      </c>
    </row>
    <row r="305" ht="30.75" customHeight="1">
      <c t="s" r="A305" s="12">
        <v>309</v>
      </c>
      <c r="B305" s="13">
        <v>0</v>
      </c>
      <c r="C305" s="14">
        <f>IFERROR(B305/B329, "NA")</f>
      </c>
      <c r="D305" s="15"/>
      <c r="E305" s="13">
        <v>0</v>
      </c>
      <c r="F305" s="14">
        <f>IFERROR(E305/E329, "NA")</f>
      </c>
      <c r="G305" s="15"/>
      <c r="H305" s="13">
        <v>0</v>
      </c>
      <c r="I305" s="14">
        <f>IFERROR(H305/H329, "NA")</f>
      </c>
      <c r="J305" s="15"/>
      <c r="K305" s="13">
        <v>0</v>
      </c>
      <c r="L305" s="14">
        <f>IFERROR(K305/K329, "NA")</f>
      </c>
      <c r="M305" s="15"/>
      <c r="N305" s="13">
        <v>0</v>
      </c>
      <c r="O305" s="14">
        <f>IFERROR(N305/N329, "NA")</f>
      </c>
      <c r="P305" s="15"/>
      <c r="Q305" s="13">
        <v>0</v>
      </c>
      <c r="R305" s="14">
        <f>IFERROR(Q305/Q329, "NA")</f>
      </c>
    </row>
    <row r="306" ht="16.5" customHeight="1">
      <c t="s" r="A306" s="12">
        <v>310</v>
      </c>
      <c r="B306" s="13">
        <v>0</v>
      </c>
      <c r="C306" s="14">
        <f>IFERROR(B306/B329, "NA")</f>
      </c>
      <c r="D306" s="15"/>
      <c r="E306" s="13">
        <v>0</v>
      </c>
      <c r="F306" s="14">
        <f>IFERROR(E306/E329, "NA")</f>
      </c>
      <c r="G306" s="15"/>
      <c r="H306" s="13">
        <v>0</v>
      </c>
      <c r="I306" s="14">
        <f>IFERROR(H306/H329, "NA")</f>
      </c>
      <c r="J306" s="15"/>
      <c r="K306" s="13">
        <v>0</v>
      </c>
      <c r="L306" s="14">
        <f>IFERROR(K306/K329, "NA")</f>
      </c>
      <c r="M306" s="15"/>
      <c r="N306" s="13">
        <v>0</v>
      </c>
      <c r="O306" s="14">
        <f>IFERROR(N306/N329, "NA")</f>
      </c>
      <c r="P306" s="15"/>
      <c r="Q306" s="13">
        <v>0</v>
      </c>
      <c r="R306" s="14">
        <f>IFERROR(Q306/Q329, "NA")</f>
      </c>
    </row>
    <row r="307" ht="16.5" customHeight="1">
      <c t="s" r="A307" s="12">
        <v>311</v>
      </c>
      <c r="B307" s="13">
        <v>0</v>
      </c>
      <c r="C307" s="14">
        <f>IFERROR(B307/B329, "NA")</f>
      </c>
      <c r="D307" s="15"/>
      <c r="E307" s="13">
        <v>0</v>
      </c>
      <c r="F307" s="14">
        <f>IFERROR(E307/E329, "NA")</f>
      </c>
      <c r="G307" s="15"/>
      <c r="H307" s="13">
        <v>0</v>
      </c>
      <c r="I307" s="14">
        <f>IFERROR(H307/H329, "NA")</f>
      </c>
      <c r="J307" s="15"/>
      <c r="K307" s="13">
        <v>0</v>
      </c>
      <c r="L307" s="14">
        <f>IFERROR(K307/K329, "NA")</f>
      </c>
      <c r="M307" s="15"/>
      <c r="N307" s="13">
        <v>0</v>
      </c>
      <c r="O307" s="14">
        <f>IFERROR(N307/N329, "NA")</f>
      </c>
      <c r="P307" s="15"/>
      <c r="Q307" s="13">
        <v>0</v>
      </c>
      <c r="R307" s="14">
        <f>IFERROR(Q307/Q329, "NA")</f>
      </c>
    </row>
    <row r="308" ht="16.5" customHeight="1">
      <c t="s" r="A308" s="12">
        <v>312</v>
      </c>
      <c r="B308" s="13">
        <v>0</v>
      </c>
      <c r="C308" s="14">
        <f>IFERROR(B308/B329, "NA")</f>
      </c>
      <c r="D308" s="15"/>
      <c r="E308" s="13">
        <v>0</v>
      </c>
      <c r="F308" s="14">
        <f>IFERROR(E308/E329, "NA")</f>
      </c>
      <c r="G308" s="15"/>
      <c r="H308" s="13">
        <v>0</v>
      </c>
      <c r="I308" s="14">
        <f>IFERROR(H308/H329, "NA")</f>
      </c>
      <c r="J308" s="15"/>
      <c r="K308" s="13">
        <v>0</v>
      </c>
      <c r="L308" s="14">
        <f>IFERROR(K308/K329, "NA")</f>
      </c>
      <c r="M308" s="15"/>
      <c r="N308" s="13">
        <v>0</v>
      </c>
      <c r="O308" s="14">
        <f>IFERROR(N308/N329, "NA")</f>
      </c>
      <c r="P308" s="15"/>
      <c r="Q308" s="13">
        <v>0</v>
      </c>
      <c r="R308" s="14">
        <f>IFERROR(Q308/Q329, "NA")</f>
      </c>
    </row>
    <row r="309" ht="16.5" customHeight="1">
      <c t="s" r="A309" s="12">
        <v>313</v>
      </c>
      <c r="B309" s="13">
        <v>0</v>
      </c>
      <c r="C309" s="14">
        <f>IFERROR(B309/B329, "NA")</f>
      </c>
      <c r="D309" s="15"/>
      <c r="E309" s="13">
        <v>0</v>
      </c>
      <c r="F309" s="14">
        <f>IFERROR(E309/E329, "NA")</f>
      </c>
      <c r="G309" s="15"/>
      <c r="H309" s="13">
        <v>0</v>
      </c>
      <c r="I309" s="14">
        <f>IFERROR(H309/H329, "NA")</f>
      </c>
      <c r="J309" s="15"/>
      <c r="K309" s="13">
        <v>0</v>
      </c>
      <c r="L309" s="14">
        <f>IFERROR(K309/K329, "NA")</f>
      </c>
      <c r="M309" s="15"/>
      <c r="N309" s="13">
        <v>0</v>
      </c>
      <c r="O309" s="14">
        <f>IFERROR(N309/N329, "NA")</f>
      </c>
      <c r="P309" s="15"/>
      <c r="Q309" s="13">
        <v>0</v>
      </c>
      <c r="R309" s="14">
        <f>IFERROR(Q309/Q329, "NA")</f>
      </c>
    </row>
    <row r="310" ht="16.5" customHeight="1">
      <c t="s" r="A310" s="12">
        <v>314</v>
      </c>
      <c r="B310" s="13">
        <v>0</v>
      </c>
      <c r="C310" s="14">
        <f>IFERROR(B310/B329, "NA")</f>
      </c>
      <c r="D310" s="15"/>
      <c r="E310" s="13">
        <v>0</v>
      </c>
      <c r="F310" s="14">
        <f>IFERROR(E310/E329, "NA")</f>
      </c>
      <c r="G310" s="15"/>
      <c r="H310" s="13">
        <v>0</v>
      </c>
      <c r="I310" s="14">
        <f>IFERROR(H310/H329, "NA")</f>
      </c>
      <c r="J310" s="15"/>
      <c r="K310" s="13">
        <v>0</v>
      </c>
      <c r="L310" s="14">
        <f>IFERROR(K310/K329, "NA")</f>
      </c>
      <c r="M310" s="15"/>
      <c r="N310" s="13">
        <v>0</v>
      </c>
      <c r="O310" s="14">
        <f>IFERROR(N310/N329, "NA")</f>
      </c>
      <c r="P310" s="15"/>
      <c r="Q310" s="13">
        <v>0</v>
      </c>
      <c r="R310" s="14">
        <f>IFERROR(Q310/Q329, "NA")</f>
      </c>
    </row>
    <row r="311" ht="16.5" customHeight="1">
      <c t="s" r="A311" s="12">
        <v>315</v>
      </c>
      <c r="B311" s="13">
        <v>0</v>
      </c>
      <c r="C311" s="14">
        <f>IFERROR(B311/B329, "NA")</f>
      </c>
      <c r="D311" s="15"/>
      <c r="E311" s="13">
        <v>0</v>
      </c>
      <c r="F311" s="14">
        <f>IFERROR(E311/E329, "NA")</f>
      </c>
      <c r="G311" s="15"/>
      <c r="H311" s="13">
        <v>0</v>
      </c>
      <c r="I311" s="14">
        <f>IFERROR(H311/H329, "NA")</f>
      </c>
      <c r="J311" s="15"/>
      <c r="K311" s="13">
        <v>0</v>
      </c>
      <c r="L311" s="14">
        <f>IFERROR(K311/K329, "NA")</f>
      </c>
      <c r="M311" s="15"/>
      <c r="N311" s="13">
        <v>0</v>
      </c>
      <c r="O311" s="14">
        <f>IFERROR(N311/N329, "NA")</f>
      </c>
      <c r="P311" s="15"/>
      <c r="Q311" s="13">
        <v>0</v>
      </c>
      <c r="R311" s="14">
        <f>IFERROR(Q311/Q329, "NA")</f>
      </c>
    </row>
    <row r="312" ht="16.5" customHeight="1">
      <c t="s" r="A312" s="12">
        <v>316</v>
      </c>
      <c r="B312" s="13">
        <v>0</v>
      </c>
      <c r="C312" s="14">
        <f>IFERROR(B312/B329, "NA")</f>
      </c>
      <c r="D312" s="15"/>
      <c r="E312" s="13">
        <v>0</v>
      </c>
      <c r="F312" s="14">
        <f>IFERROR(E312/E329, "NA")</f>
      </c>
      <c r="G312" s="15"/>
      <c r="H312" s="13">
        <v>0</v>
      </c>
      <c r="I312" s="14">
        <f>IFERROR(H312/H329, "NA")</f>
      </c>
      <c r="J312" s="15"/>
      <c r="K312" s="13">
        <v>0</v>
      </c>
      <c r="L312" s="14">
        <f>IFERROR(K312/K329, "NA")</f>
      </c>
      <c r="M312" s="15"/>
      <c r="N312" s="13">
        <v>0</v>
      </c>
      <c r="O312" s="14">
        <f>IFERROR(N312/N329, "NA")</f>
      </c>
      <c r="P312" s="15"/>
      <c r="Q312" s="13">
        <v>0</v>
      </c>
      <c r="R312" s="14">
        <f>IFERROR(Q312/Q329, "NA")</f>
      </c>
    </row>
    <row r="313" ht="16.5" customHeight="1">
      <c t="s" r="A313" s="12">
        <v>317</v>
      </c>
      <c r="B313" s="13">
        <v>0</v>
      </c>
      <c r="C313" s="14">
        <f>IFERROR(B313/B329, "NA")</f>
      </c>
      <c r="D313" s="15"/>
      <c r="E313" s="13">
        <v>0</v>
      </c>
      <c r="F313" s="14">
        <f>IFERROR(E313/E329, "NA")</f>
      </c>
      <c r="G313" s="15"/>
      <c r="H313" s="13">
        <v>0</v>
      </c>
      <c r="I313" s="14">
        <f>IFERROR(H313/H329, "NA")</f>
      </c>
      <c r="J313" s="15"/>
      <c r="K313" s="13">
        <v>0</v>
      </c>
      <c r="L313" s="14">
        <f>IFERROR(K313/K329, "NA")</f>
      </c>
      <c r="M313" s="15"/>
      <c r="N313" s="13">
        <v>0</v>
      </c>
      <c r="O313" s="14">
        <f>IFERROR(N313/N329, "NA")</f>
      </c>
      <c r="P313" s="15"/>
      <c r="Q313" s="13">
        <v>0</v>
      </c>
      <c r="R313" s="14">
        <f>IFERROR(Q313/Q329, "NA")</f>
      </c>
    </row>
    <row r="314" ht="16.5" customHeight="1">
      <c t="s" r="A314" s="12">
        <v>318</v>
      </c>
      <c r="B314" s="13">
        <v>0</v>
      </c>
      <c r="C314" s="14">
        <f>IFERROR(B314/B329, "NA")</f>
      </c>
      <c r="D314" s="15"/>
      <c r="E314" s="13">
        <v>0</v>
      </c>
      <c r="F314" s="14">
        <f>IFERROR(E314/E329, "NA")</f>
      </c>
      <c r="G314" s="15"/>
      <c r="H314" s="13">
        <v>0</v>
      </c>
      <c r="I314" s="14">
        <f>IFERROR(H314/H329, "NA")</f>
      </c>
      <c r="J314" s="15"/>
      <c r="K314" s="13">
        <v>0</v>
      </c>
      <c r="L314" s="14">
        <f>IFERROR(K314/K329, "NA")</f>
      </c>
      <c r="M314" s="15"/>
      <c r="N314" s="13">
        <v>0</v>
      </c>
      <c r="O314" s="14">
        <f>IFERROR(N314/N329, "NA")</f>
      </c>
      <c r="P314" s="15"/>
      <c r="Q314" s="13">
        <v>0</v>
      </c>
      <c r="R314" s="14">
        <f>IFERROR(Q314/Q329, "NA")</f>
      </c>
    </row>
    <row r="315" ht="16.5" customHeight="1">
      <c t="s" r="A315" s="12">
        <v>319</v>
      </c>
      <c r="B315" s="13">
        <v>0</v>
      </c>
      <c r="C315" s="14">
        <f>IFERROR(B315/B329, "NA")</f>
      </c>
      <c r="D315" s="15"/>
      <c r="E315" s="13">
        <v>0</v>
      </c>
      <c r="F315" s="14">
        <f>IFERROR(E315/E329, "NA")</f>
      </c>
      <c r="G315" s="15"/>
      <c r="H315" s="13">
        <v>0</v>
      </c>
      <c r="I315" s="14">
        <f>IFERROR(H315/H329, "NA")</f>
      </c>
      <c r="J315" s="15"/>
      <c r="K315" s="13">
        <v>0</v>
      </c>
      <c r="L315" s="14">
        <f>IFERROR(K315/K329, "NA")</f>
      </c>
      <c r="M315" s="15"/>
      <c r="N315" s="13">
        <v>0</v>
      </c>
      <c r="O315" s="14">
        <f>IFERROR(N315/N329, "NA")</f>
      </c>
      <c r="P315" s="15"/>
      <c r="Q315" s="13">
        <v>0</v>
      </c>
      <c r="R315" s="14">
        <f>IFERROR(Q315/Q329, "NA")</f>
      </c>
    </row>
    <row r="316" ht="16.5" customHeight="1">
      <c t="s" r="A316" s="16">
        <v>320</v>
      </c>
      <c r="B316" s="17">
        <f>IFERROR(B287+B288+B289+B290+B291+B292+B293+B294+B295+B296+B297+B298+B299+B300+B301+B302+B303+B304+B305+B306+B307+B308+B309+B310+B311+B312+B313+B314+B315, "NA")</f>
      </c>
      <c r="C316" s="18">
        <f>IFERROR(B316/B329, "NA")</f>
      </c>
      <c r="D316" s="8"/>
      <c r="E316" s="17">
        <f>IFERROR(E287+E288+E289+E290+E291+E292+E293+E294+E295+E296+E297+E298+E299+E300+E301+E302+E303+E304+E305+E306+E307+E308+E309+E310+E311+E312+E313+E314+E315, "NA")</f>
      </c>
      <c r="F316" s="18">
        <f>IFERROR(E316/E329, "NA")</f>
      </c>
      <c r="G316" s="8"/>
      <c r="H316" s="17">
        <f>IFERROR(H287+H288+H289+H290+H291+H292+H293+H294+H295+H296+H297+H298+H299+H300+H301+H302+H303+H304+H305+H306+H307+H308+H309+H310+H311+H312+H313+H314+H315, "NA")</f>
      </c>
      <c r="I316" s="18">
        <f>IFERROR(H316/H329, "NA")</f>
      </c>
      <c r="J316" s="8"/>
      <c r="K316" s="17">
        <f>IFERROR(K287+K288+K289+K290+K291+K292+K293+K294+K295+K296+K297+K298+K299+K300+K301+K302+K303+K304+K305+K306+K307+K308+K309+K310+K311+K312+K313+K314+K315, "NA")</f>
      </c>
      <c r="L316" s="18">
        <f>IFERROR(K316/K329, "NA")</f>
      </c>
      <c r="M316" s="8"/>
      <c r="N316" s="17">
        <f>IFERROR(N287+N288+N289+N290+N291+N292+N293+N294+N295+N296+N297+N298+N299+N300+N301+N302+N303+N304+N305+N306+N307+N308+N309+N310+N311+N312+N313+N314+N315, "NA")</f>
      </c>
      <c r="O316" s="18">
        <f>IFERROR(N316/N329, "NA")</f>
      </c>
      <c r="P316" s="8"/>
      <c r="Q316" s="17">
        <f>IFERROR(Q287+Q288+Q289+Q290+Q291+Q292+Q293+Q294+Q295+Q296+Q297+Q298+Q299+Q300+Q301+Q302+Q303+Q304+Q305+Q306+Q307+Q308+Q309+Q310+Q311+Q312+Q313+Q314+Q315, "NA")</f>
      </c>
      <c r="R316" s="18">
        <f>IFERROR(Q316/Q329, "NA")</f>
      </c>
    </row>
    <row r="317" ht="16.5" customHeight="1">
      <c t="s" r="A317" s="11">
        <v>321</v>
      </c>
      <c r="B317" s="8"/>
      <c r="C317" s="9"/>
      <c r="D317" s="10"/>
      <c r="E317" s="8"/>
      <c r="F317" s="9"/>
      <c r="G317" s="10"/>
      <c r="H317" s="8"/>
      <c r="I317" s="9"/>
      <c r="J317" s="10"/>
      <c r="K317" s="8"/>
      <c r="L317" s="9"/>
      <c r="M317" s="10"/>
      <c r="N317" s="8"/>
      <c r="O317" s="9"/>
      <c r="P317" s="10"/>
      <c r="Q317" s="8"/>
      <c r="R317" s="9"/>
    </row>
    <row r="318" ht="16.5" customHeight="1">
      <c t="s" r="A318" s="12">
        <v>322</v>
      </c>
      <c r="B318" s="13">
        <v>0</v>
      </c>
      <c r="C318" s="14">
        <f>IFERROR(B318/B329, "NA")</f>
      </c>
      <c r="D318" s="15"/>
      <c r="E318" s="13">
        <v>0</v>
      </c>
      <c r="F318" s="14">
        <f>IFERROR(E318/E329, "NA")</f>
      </c>
      <c r="G318" s="15"/>
      <c r="H318" s="13">
        <v>0</v>
      </c>
      <c r="I318" s="14">
        <f>IFERROR(H318/H329, "NA")</f>
      </c>
      <c r="J318" s="15"/>
      <c r="K318" s="13">
        <v>0</v>
      </c>
      <c r="L318" s="14">
        <f>IFERROR(K318/K329, "NA")</f>
      </c>
      <c r="M318" s="15"/>
      <c r="N318" s="13">
        <v>0</v>
      </c>
      <c r="O318" s="14">
        <f>IFERROR(N318/N329, "NA")</f>
      </c>
      <c r="P318" s="15"/>
      <c r="Q318" s="13">
        <v>0</v>
      </c>
      <c r="R318" s="14">
        <f>IFERROR(Q318/Q329, "NA")</f>
      </c>
    </row>
    <row r="319" ht="16.5" customHeight="1">
      <c t="s" r="A319" s="12">
        <v>323</v>
      </c>
      <c r="B319" s="13">
        <v>0</v>
      </c>
      <c r="C319" s="14">
        <f>IFERROR(B319/B329, "NA")</f>
      </c>
      <c r="D319" s="15"/>
      <c r="E319" s="13">
        <v>0</v>
      </c>
      <c r="F319" s="14">
        <f>IFERROR(E319/E329, "NA")</f>
      </c>
      <c r="G319" s="15"/>
      <c r="H319" s="13">
        <v>0</v>
      </c>
      <c r="I319" s="14">
        <f>IFERROR(H319/H329, "NA")</f>
      </c>
      <c r="J319" s="15"/>
      <c r="K319" s="13">
        <v>0</v>
      </c>
      <c r="L319" s="14">
        <f>IFERROR(K319/K329, "NA")</f>
      </c>
      <c r="M319" s="15"/>
      <c r="N319" s="13">
        <v>0</v>
      </c>
      <c r="O319" s="14">
        <f>IFERROR(N319/N329, "NA")</f>
      </c>
      <c r="P319" s="15"/>
      <c r="Q319" s="13">
        <v>0</v>
      </c>
      <c r="R319" s="14">
        <f>IFERROR(Q319/Q329, "NA")</f>
      </c>
    </row>
    <row r="320" ht="16.5" customHeight="1">
      <c t="s" r="A320" s="12">
        <v>324</v>
      </c>
      <c r="B320" s="13">
        <v>0</v>
      </c>
      <c r="C320" s="14">
        <f>IFERROR(B320/B329, "NA")</f>
      </c>
      <c r="D320" s="15"/>
      <c r="E320" s="13">
        <v>0</v>
      </c>
      <c r="F320" s="14">
        <f>IFERROR(E320/E329, "NA")</f>
      </c>
      <c r="G320" s="15"/>
      <c r="H320" s="13">
        <v>0</v>
      </c>
      <c r="I320" s="14">
        <f>IFERROR(H320/H329, "NA")</f>
      </c>
      <c r="J320" s="15"/>
      <c r="K320" s="13">
        <v>0</v>
      </c>
      <c r="L320" s="14">
        <f>IFERROR(K320/K329, "NA")</f>
      </c>
      <c r="M320" s="15"/>
      <c r="N320" s="13">
        <v>0</v>
      </c>
      <c r="O320" s="14">
        <f>IFERROR(N320/N329, "NA")</f>
      </c>
      <c r="P320" s="15"/>
      <c r="Q320" s="13">
        <v>0</v>
      </c>
      <c r="R320" s="14">
        <f>IFERROR(Q320/Q329, "NA")</f>
      </c>
    </row>
    <row r="321" ht="16.5" customHeight="1">
      <c t="s" r="A321" s="12">
        <v>325</v>
      </c>
      <c r="B321" s="13">
        <v>0</v>
      </c>
      <c r="C321" s="14">
        <f>IFERROR(B321/B329, "NA")</f>
      </c>
      <c r="D321" s="15"/>
      <c r="E321" s="13">
        <v>0</v>
      </c>
      <c r="F321" s="14">
        <f>IFERROR(E321/E329, "NA")</f>
      </c>
      <c r="G321" s="15"/>
      <c r="H321" s="13">
        <v>0</v>
      </c>
      <c r="I321" s="14">
        <f>IFERROR(H321/H329, "NA")</f>
      </c>
      <c r="J321" s="15"/>
      <c r="K321" s="13">
        <v>0</v>
      </c>
      <c r="L321" s="14">
        <f>IFERROR(K321/K329, "NA")</f>
      </c>
      <c r="M321" s="15"/>
      <c r="N321" s="13">
        <v>0</v>
      </c>
      <c r="O321" s="14">
        <f>IFERROR(N321/N329, "NA")</f>
      </c>
      <c r="P321" s="15"/>
      <c r="Q321" s="13">
        <v>0</v>
      </c>
      <c r="R321" s="14">
        <f>IFERROR(Q321/Q329, "NA")</f>
      </c>
    </row>
    <row r="322" ht="16.5" customHeight="1">
      <c t="s" r="A322" s="12">
        <v>326</v>
      </c>
      <c r="B322" s="13">
        <v>0</v>
      </c>
      <c r="C322" s="14">
        <f>IFERROR(B322/B329, "NA")</f>
      </c>
      <c r="D322" s="15"/>
      <c r="E322" s="13">
        <v>0</v>
      </c>
      <c r="F322" s="14">
        <f>IFERROR(E322/E329, "NA")</f>
      </c>
      <c r="G322" s="15"/>
      <c r="H322" s="13">
        <v>0</v>
      </c>
      <c r="I322" s="14">
        <f>IFERROR(H322/H329, "NA")</f>
      </c>
      <c r="J322" s="15"/>
      <c r="K322" s="13">
        <v>0</v>
      </c>
      <c r="L322" s="14">
        <f>IFERROR(K322/K329, "NA")</f>
      </c>
      <c r="M322" s="15"/>
      <c r="N322" s="13">
        <v>0</v>
      </c>
      <c r="O322" s="14">
        <f>IFERROR(N322/N329, "NA")</f>
      </c>
      <c r="P322" s="15"/>
      <c r="Q322" s="13">
        <v>0</v>
      </c>
      <c r="R322" s="14">
        <f>IFERROR(Q322/Q329, "NA")</f>
      </c>
    </row>
    <row r="323" ht="16.5" customHeight="1">
      <c t="s" r="A323" s="12">
        <v>327</v>
      </c>
      <c r="B323" s="13">
        <v>0</v>
      </c>
      <c r="C323" s="14">
        <f>IFERROR(B323/B329, "NA")</f>
      </c>
      <c r="D323" s="15"/>
      <c r="E323" s="13">
        <v>0</v>
      </c>
      <c r="F323" s="14">
        <f>IFERROR(E323/E329, "NA")</f>
      </c>
      <c r="G323" s="15"/>
      <c r="H323" s="13">
        <v>0</v>
      </c>
      <c r="I323" s="14">
        <f>IFERROR(H323/H329, "NA")</f>
      </c>
      <c r="J323" s="15"/>
      <c r="K323" s="13">
        <v>0</v>
      </c>
      <c r="L323" s="14">
        <f>IFERROR(K323/K329, "NA")</f>
      </c>
      <c r="M323" s="15"/>
      <c r="N323" s="13">
        <v>0</v>
      </c>
      <c r="O323" s="14">
        <f>IFERROR(N323/N329, "NA")</f>
      </c>
      <c r="P323" s="15"/>
      <c r="Q323" s="13">
        <v>0</v>
      </c>
      <c r="R323" s="14">
        <f>IFERROR(Q323/Q329, "NA")</f>
      </c>
    </row>
    <row r="324" ht="16.5" customHeight="1">
      <c t="s" r="A324" s="12">
        <v>328</v>
      </c>
      <c r="B324" s="13">
        <v>0</v>
      </c>
      <c r="C324" s="14">
        <f>IFERROR(B324/B329, "NA")</f>
      </c>
      <c r="D324" s="15"/>
      <c r="E324" s="13">
        <v>0</v>
      </c>
      <c r="F324" s="14">
        <f>IFERROR(E324/E329, "NA")</f>
      </c>
      <c r="G324" s="15"/>
      <c r="H324" s="13">
        <v>0</v>
      </c>
      <c r="I324" s="14">
        <f>IFERROR(H324/H329, "NA")</f>
      </c>
      <c r="J324" s="15"/>
      <c r="K324" s="13">
        <v>0</v>
      </c>
      <c r="L324" s="14">
        <f>IFERROR(K324/K329, "NA")</f>
      </c>
      <c r="M324" s="15"/>
      <c r="N324" s="13">
        <v>0</v>
      </c>
      <c r="O324" s="14">
        <f>IFERROR(N324/N329, "NA")</f>
      </c>
      <c r="P324" s="15"/>
      <c r="Q324" s="13">
        <v>0</v>
      </c>
      <c r="R324" s="14">
        <f>IFERROR(Q324/Q329, "NA")</f>
      </c>
    </row>
    <row r="325" ht="16.5" customHeight="1">
      <c t="s" r="A325" s="12">
        <v>329</v>
      </c>
      <c r="B325" s="13">
        <v>0</v>
      </c>
      <c r="C325" s="14">
        <f>IFERROR(B325/B329, "NA")</f>
      </c>
      <c r="D325" s="15"/>
      <c r="E325" s="13">
        <v>0</v>
      </c>
      <c r="F325" s="14">
        <f>IFERROR(E325/E329, "NA")</f>
      </c>
      <c r="G325" s="15"/>
      <c r="H325" s="13">
        <v>0</v>
      </c>
      <c r="I325" s="14">
        <f>IFERROR(H325/H329, "NA")</f>
      </c>
      <c r="J325" s="15"/>
      <c r="K325" s="13">
        <v>0</v>
      </c>
      <c r="L325" s="14">
        <f>IFERROR(K325/K329, "NA")</f>
      </c>
      <c r="M325" s="15"/>
      <c r="N325" s="13">
        <v>0</v>
      </c>
      <c r="O325" s="14">
        <f>IFERROR(N325/N329, "NA")</f>
      </c>
      <c r="P325" s="15"/>
      <c r="Q325" s="13">
        <v>0</v>
      </c>
      <c r="R325" s="14">
        <f>IFERROR(Q325/Q329, "NA")</f>
      </c>
    </row>
    <row r="326" ht="16.5" customHeight="1">
      <c t="s" r="A326" s="16">
        <v>330</v>
      </c>
      <c r="B326" s="17">
        <f>IFERROR(B318+B319+B320+B321+B322+B323+B324+B325, "NA")</f>
      </c>
      <c r="C326" s="18">
        <f>IFERROR(B326/B329, "NA")</f>
      </c>
      <c r="D326" s="8"/>
      <c r="E326" s="17">
        <f>IFERROR(E318+E319+E320+E321+E322+E323+E324+E325, "NA")</f>
      </c>
      <c r="F326" s="18">
        <f>IFERROR(E326/E329, "NA")</f>
      </c>
      <c r="G326" s="8"/>
      <c r="H326" s="17">
        <f>IFERROR(H318+H319+H320+H321+H322+H323+H324+H325, "NA")</f>
      </c>
      <c r="I326" s="18">
        <f>IFERROR(H326/H329, "NA")</f>
      </c>
      <c r="J326" s="8"/>
      <c r="K326" s="17">
        <f>IFERROR(K318+K319+K320+K321+K322+K323+K324+K325, "NA")</f>
      </c>
      <c r="L326" s="18">
        <f>IFERROR(K326/K329, "NA")</f>
      </c>
      <c r="M326" s="8"/>
      <c r="N326" s="17">
        <f>IFERROR(N318+N319+N320+N321+N322+N323+N324+N325, "NA")</f>
      </c>
      <c r="O326" s="18">
        <f>IFERROR(N326/N329, "NA")</f>
      </c>
      <c r="P326" s="8"/>
      <c r="Q326" s="17">
        <f>IFERROR(Q318+Q319+Q320+Q321+Q322+Q323+Q324+Q325, "NA")</f>
      </c>
      <c r="R326" s="18">
        <f>IFERROR(Q326/Q329, "NA")</f>
      </c>
    </row>
    <row r="327" ht="16.5" customHeight="1">
      <c t="s" r="A327" s="20">
        <v>331</v>
      </c>
      <c r="B327" s="17">
        <f>IFERROR(B287+B288+B289+B290+B291+B292+B293+B294+B295+B296+B297+B298+B299+B300+B301+B302+B303+B304+B305+B306+B307+B308+B309+B310+B311+B312+B313+B314+B315+B318+B319+B320+B321+B322+B323+B324+B325, "NA")</f>
      </c>
      <c r="C327" s="18">
        <f>IFERROR(B327/B329, "NA")</f>
      </c>
      <c r="D327" s="8"/>
      <c r="E327" s="17">
        <f>IFERROR(E287+E288+E289+E290+E291+E292+E293+E294+E295+E296+E297+E298+E299+E300+E301+E302+E303+E304+E305+E306+E307+E308+E309+E310+E311+E312+E313+E314+E315+E318+E319+E320+E321+E322+E323+E324+E325, "NA")</f>
      </c>
      <c r="F327" s="18">
        <f>IFERROR(E327/E329, "NA")</f>
      </c>
      <c r="G327" s="8"/>
      <c r="H327" s="17">
        <f>IFERROR(H287+H288+H289+H290+H291+H292+H293+H294+H295+H296+H297+H298+H299+H300+H301+H302+H303+H304+H305+H306+H307+H308+H309+H310+H311+H312+H313+H314+H315+H318+H319+H320+H321+H322+H323+H324+H325, "NA")</f>
      </c>
      <c r="I327" s="18">
        <f>IFERROR(H327/H329, "NA")</f>
      </c>
      <c r="J327" s="8"/>
      <c r="K327" s="17">
        <f>IFERROR(K287+K288+K289+K290+K291+K292+K293+K294+K295+K296+K297+K298+K299+K300+K301+K302+K303+K304+K305+K306+K307+K308+K309+K310+K311+K312+K313+K314+K315+K318+K319+K320+K321+K322+K323+K324+K325, "NA")</f>
      </c>
      <c r="L327" s="18">
        <f>IFERROR(K327/K329, "NA")</f>
      </c>
      <c r="M327" s="8"/>
      <c r="N327" s="17">
        <f>IFERROR(N287+N288+N289+N290+N291+N292+N293+N294+N295+N296+N297+N298+N299+N300+N301+N302+N303+N304+N305+N306+N307+N308+N309+N310+N311+N312+N313+N314+N315+N318+N319+N320+N321+N322+N323+N324+N325, "NA")</f>
      </c>
      <c r="O327" s="18">
        <f>IFERROR(N327/N329, "NA")</f>
      </c>
      <c r="P327" s="8"/>
      <c r="Q327" s="17">
        <f>IFERROR(Q287+Q288+Q289+Q290+Q291+Q292+Q293+Q294+Q295+Q296+Q297+Q298+Q299+Q300+Q301+Q302+Q303+Q304+Q305+Q306+Q307+Q308+Q309+Q310+Q311+Q312+Q313+Q314+Q315+Q318+Q319+Q320+Q321+Q322+Q323+Q324+Q325, "NA")</f>
      </c>
      <c r="R327" s="18">
        <f>IFERROR(Q327/Q329, "NA")</f>
      </c>
    </row>
    <row r="328" ht="16.5" customHeight="1">
      <c t="s" r="A328" s="20">
        <v>332</v>
      </c>
      <c r="B328" s="17">
        <f>IFERROR(+B52-B157-B211-B284-B327, "NA")</f>
      </c>
      <c r="C328" s="18">
        <f>IFERROR(B328/B329, "NA")</f>
      </c>
      <c r="D328" s="8"/>
      <c r="E328" s="17">
        <f>IFERROR(+E52-E157-E211-E284-E327, "NA")</f>
      </c>
      <c r="F328" s="18">
        <f>IFERROR(E328/E329, "NA")</f>
      </c>
      <c r="G328" s="8"/>
      <c r="H328" s="17">
        <f>IFERROR(+H52-H157-H211-H284-H327, "NA")</f>
      </c>
      <c r="I328" s="18">
        <f>IFERROR(H328/H329, "NA")</f>
      </c>
      <c r="J328" s="8"/>
      <c r="K328" s="17">
        <f>IFERROR(+K52-K157-K211-K284-K327, "NA")</f>
      </c>
      <c r="L328" s="18">
        <f>IFERROR(K328/K329, "NA")</f>
      </c>
      <c r="M328" s="8"/>
      <c r="N328" s="17">
        <f>IFERROR(+N52-N157-N211-N284-N327, "NA")</f>
      </c>
      <c r="O328" s="18">
        <f>IFERROR(N328/N329, "NA")</f>
      </c>
      <c r="P328" s="8"/>
      <c r="Q328" s="17">
        <f>IFERROR(+Q52-Q157-Q211-Q284-Q327, "NA")</f>
      </c>
      <c r="R328" s="18">
        <f>IFERROR(Q328/Q329, "NA")</f>
      </c>
    </row>
    <row r="329" hidden="1">
      <c t="s" r="A329" s="24">
        <v>56</v>
      </c>
      <c r="B329" s="13">
        <v>483180.34999999998</v>
      </c>
      <c r="C329" s="25"/>
      <c r="D329" s="15"/>
      <c r="E329" s="13">
        <v>477081.66999999998</v>
      </c>
      <c r="F329" s="25"/>
      <c r="G329" s="15"/>
      <c r="H329" s="13">
        <v>594617.84999999998</v>
      </c>
      <c r="I329" s="25"/>
      <c r="J329" s="15"/>
      <c r="K329" s="13">
        <v>588847.70999999996</v>
      </c>
      <c r="L329" s="25"/>
      <c r="M329" s="15"/>
      <c r="N329" s="13">
        <v>718351.5</v>
      </c>
      <c r="O329" s="25"/>
      <c r="P329" s="15"/>
      <c r="Q329" s="13">
        <v>576355.75</v>
      </c>
      <c r="R329" s="25"/>
    </row>
    <row r="330"/>
    <row r="331"/>
    <row r="332">
      <c t="s" r="A332" s="26">
        <v>333</v>
      </c>
    </row>
    <row r="333">
      <c t="s" r="A333" s="26">
        <v>334</v>
      </c>
    </row>
    <row r="334">
      <c t="s" r="A334" s="26">
        <v>335</v>
      </c>
    </row>
  </sheetData>
  <mergeCells count="15">
    <mergeCell ref="A1:R1"/>
    <mergeCell ref="A2:R2"/>
    <mergeCell ref="A3:R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</mergeCells>
  <ignoredErrors>
    <ignoredError sqref="A1:R334" numberStoredAsText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</row>
    <row r="3">
      <c t="s" r="A3" s="3">
        <v>338</v>
      </c>
      <c t="s" r="B3" s="3">
        <v>338</v>
      </c>
      <c t="s" r="C3" s="3">
        <v>338</v>
      </c>
      <c t="s" r="D3" s="3">
        <v>338</v>
      </c>
      <c t="s" r="E3" s="3">
        <v>338</v>
      </c>
      <c t="s" r="F3" s="3">
        <v>338</v>
      </c>
      <c t="s" r="G3" s="3">
        <v>338</v>
      </c>
      <c t="s" r="H3" s="3">
        <v>338</v>
      </c>
      <c t="s" r="I3" s="3">
        <v>338</v>
      </c>
      <c t="s" r="J3" s="3">
        <v>338</v>
      </c>
      <c t="s" r="K3" s="3">
        <v>338</v>
      </c>
      <c t="s" r="L3" s="3">
        <v>338</v>
      </c>
      <c t="s" r="M3" s="3">
        <v>338</v>
      </c>
      <c t="s" r="N3" s="3">
        <v>338</v>
      </c>
      <c t="s" r="O3" s="3">
        <v>338</v>
      </c>
      <c t="s" r="P3" s="3">
        <v>338</v>
      </c>
      <c t="s" r="Q3" s="3">
        <v>338</v>
      </c>
      <c t="s" r="R3" s="3">
        <v>338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8</v>
      </c>
      <c t="s" r="O5" s="6">
        <v>3</v>
      </c>
      <c t="s" r="P5" s="4">
        <v>3</v>
      </c>
      <c t="s" r="Q5" s="5">
        <v>9</v>
      </c>
      <c t="s" r="R5" s="6">
        <v>3</v>
      </c>
    </row>
    <row r="6" ht="16.5" customHeight="1">
      <c t="s" r="A6" s="7">
        <v>10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</row>
    <row r="8" ht="16.5" customHeight="1">
      <c t="s" r="A8" s="12">
        <v>12</v>
      </c>
      <c r="B8" s="13">
        <v>81297</v>
      </c>
      <c r="C8" s="14">
        <f>IFERROR(B8/B329, "NA")</f>
      </c>
      <c r="D8" s="15"/>
      <c r="E8" s="13">
        <v>56821</v>
      </c>
      <c r="F8" s="14">
        <f>IFERROR(E8/E329, "NA")</f>
      </c>
      <c r="G8" s="15"/>
      <c r="H8" s="13">
        <v>69136</v>
      </c>
      <c r="I8" s="14">
        <f>IFERROR(H8/H329, "NA")</f>
      </c>
      <c r="J8" s="15"/>
      <c r="K8" s="13">
        <v>73728</v>
      </c>
      <c r="L8" s="14">
        <f>IFERROR(K8/K329, "NA")</f>
      </c>
      <c r="M8" s="15"/>
      <c r="N8" s="13">
        <v>107227.88</v>
      </c>
      <c r="O8" s="14">
        <f>IFERROR(N8/N329, "NA")</f>
      </c>
      <c r="P8" s="15"/>
      <c r="Q8" s="13">
        <v>105456</v>
      </c>
      <c r="R8" s="14">
        <f>IFERROR(Q8/Q329, "NA")</f>
      </c>
    </row>
    <row r="9" ht="16.5" customHeight="1">
      <c t="s" r="A9" s="12">
        <v>13</v>
      </c>
      <c r="B9" s="13">
        <v>0</v>
      </c>
      <c r="C9" s="14">
        <f>IFERROR(B9/B329, "NA")</f>
      </c>
      <c r="D9" s="15"/>
      <c r="E9" s="13">
        <v>0</v>
      </c>
      <c r="F9" s="14">
        <f>IFERROR(E9/E329, "NA")</f>
      </c>
      <c r="G9" s="15"/>
      <c r="H9" s="13">
        <v>0</v>
      </c>
      <c r="I9" s="14">
        <f>IFERROR(H9/H329, "NA")</f>
      </c>
      <c r="J9" s="15"/>
      <c r="K9" s="13">
        <v>0</v>
      </c>
      <c r="L9" s="14">
        <f>IFERROR(K9/K329, "NA")</f>
      </c>
      <c r="M9" s="15"/>
      <c r="N9" s="13">
        <v>0</v>
      </c>
      <c r="O9" s="14">
        <f>IFERROR(N9/N329, "NA")</f>
      </c>
      <c r="P9" s="15"/>
      <c r="Q9" s="13">
        <v>0</v>
      </c>
      <c r="R9" s="14">
        <f>IFERROR(Q9/Q329, "NA")</f>
      </c>
    </row>
    <row r="10" ht="16.5" customHeight="1">
      <c t="s" r="A10" s="16">
        <v>14</v>
      </c>
      <c r="B10" s="17">
        <f>IFERROR(B8+B9, "NA")</f>
      </c>
      <c r="C10" s="18">
        <f>IFERROR(B10/B329, "NA")</f>
      </c>
      <c r="D10" s="8"/>
      <c r="E10" s="17">
        <f>IFERROR(E8+E9, "NA")</f>
      </c>
      <c r="F10" s="18">
        <f>IFERROR(E10/E329, "NA")</f>
      </c>
      <c r="G10" s="8"/>
      <c r="H10" s="17">
        <f>IFERROR(H8+H9, "NA")</f>
      </c>
      <c r="I10" s="18">
        <f>IFERROR(H10/H329, "NA")</f>
      </c>
      <c r="J10" s="8"/>
      <c r="K10" s="17">
        <f>IFERROR(K8+K9, "NA")</f>
      </c>
      <c r="L10" s="18">
        <f>IFERROR(K10/K329, "NA")</f>
      </c>
      <c r="M10" s="8"/>
      <c r="N10" s="17">
        <f>IFERROR(N8+N9, "NA")</f>
      </c>
      <c r="O10" s="18">
        <f>IFERROR(N10/N329, "NA")</f>
      </c>
      <c r="P10" s="8"/>
      <c r="Q10" s="17">
        <f>IFERROR(Q8+Q9, "NA")</f>
      </c>
      <c r="R10" s="18">
        <f>IFERROR(Q10/Q329, "NA")</f>
      </c>
    </row>
    <row r="11" ht="16.5" customHeight="1">
      <c t="s" r="A11" s="19">
        <v>15</v>
      </c>
      <c r="B11" s="13">
        <v>12823</v>
      </c>
      <c r="C11" s="14">
        <f>IFERROR(B11/B329, "NA")</f>
      </c>
      <c r="D11" s="15"/>
      <c r="E11" s="13">
        <v>8035</v>
      </c>
      <c r="F11" s="14">
        <f>IFERROR(E11/E329, "NA")</f>
      </c>
      <c r="G11" s="15"/>
      <c r="H11" s="13">
        <v>12857</v>
      </c>
      <c r="I11" s="14">
        <f>IFERROR(H11/H329, "NA")</f>
      </c>
      <c r="J11" s="15"/>
      <c r="K11" s="13">
        <v>12147</v>
      </c>
      <c r="L11" s="14">
        <f>IFERROR(K11/K329, "NA")</f>
      </c>
      <c r="M11" s="15"/>
      <c r="N11" s="13">
        <v>13303</v>
      </c>
      <c r="O11" s="14">
        <f>IFERROR(N11/N329, "NA")</f>
      </c>
      <c r="P11" s="15"/>
      <c r="Q11" s="13">
        <v>12567</v>
      </c>
      <c r="R11" s="14">
        <f>IFERROR(Q11/Q329, "NA")</f>
      </c>
    </row>
    <row r="12" ht="16.5" customHeight="1">
      <c t="s" r="A12" s="11">
        <v>16</v>
      </c>
      <c r="B12" s="8"/>
      <c r="C12" s="9"/>
      <c r="D12" s="10"/>
      <c r="E12" s="8"/>
      <c r="F12" s="9"/>
      <c r="G12" s="10"/>
      <c r="H12" s="8"/>
      <c r="I12" s="9"/>
      <c r="J12" s="10"/>
      <c r="K12" s="8"/>
      <c r="L12" s="9"/>
      <c r="M12" s="10"/>
      <c r="N12" s="8"/>
      <c r="O12" s="9"/>
      <c r="P12" s="10"/>
      <c r="Q12" s="8"/>
      <c r="R12" s="9"/>
    </row>
    <row r="13" ht="16.5" customHeight="1">
      <c t="s" r="A13" s="12">
        <v>17</v>
      </c>
      <c r="B13" s="13">
        <v>0</v>
      </c>
      <c r="C13" s="14">
        <f>IFERROR(B13/B329, "NA")</f>
      </c>
      <c r="D13" s="15"/>
      <c r="E13" s="13">
        <v>0</v>
      </c>
      <c r="F13" s="14">
        <f>IFERROR(E13/E329, "NA")</f>
      </c>
      <c r="G13" s="15"/>
      <c r="H13" s="13">
        <v>0</v>
      </c>
      <c r="I13" s="14">
        <f>IFERROR(H13/H329, "NA")</f>
      </c>
      <c r="J13" s="15"/>
      <c r="K13" s="13">
        <v>0</v>
      </c>
      <c r="L13" s="14">
        <f>IFERROR(K13/K329, "NA")</f>
      </c>
      <c r="M13" s="15"/>
      <c r="N13" s="13">
        <v>0</v>
      </c>
      <c r="O13" s="14">
        <f>IFERROR(N13/N329, "NA")</f>
      </c>
      <c r="P13" s="15"/>
      <c r="Q13" s="13">
        <v>0</v>
      </c>
      <c r="R13" s="14">
        <f>IFERROR(Q13/Q329, "NA")</f>
      </c>
    </row>
    <row r="14" ht="16.5" customHeight="1">
      <c t="s" r="A14" s="12">
        <v>18</v>
      </c>
      <c r="B14" s="13">
        <v>153699</v>
      </c>
      <c r="C14" s="14">
        <f>IFERROR(B14/B329, "NA")</f>
      </c>
      <c r="D14" s="15"/>
      <c r="E14" s="13">
        <v>85015</v>
      </c>
      <c r="F14" s="14">
        <f>IFERROR(E14/E329, "NA")</f>
      </c>
      <c r="G14" s="15"/>
      <c r="H14" s="13">
        <v>153039</v>
      </c>
      <c r="I14" s="14">
        <f>IFERROR(H14/H329, "NA")</f>
      </c>
      <c r="J14" s="15"/>
      <c r="K14" s="13">
        <v>132666</v>
      </c>
      <c r="L14" s="14">
        <f>IFERROR(K14/K329, "NA")</f>
      </c>
      <c r="M14" s="15"/>
      <c r="N14" s="13">
        <v>149839</v>
      </c>
      <c r="O14" s="14">
        <f>IFERROR(N14/N329, "NA")</f>
      </c>
      <c r="P14" s="15"/>
      <c r="Q14" s="13">
        <v>157466</v>
      </c>
      <c r="R14" s="14">
        <f>IFERROR(Q14/Q329, "NA")</f>
      </c>
    </row>
    <row r="15" ht="16.5" customHeight="1">
      <c t="s" r="A15" s="12">
        <v>19</v>
      </c>
      <c r="B15" s="13">
        <v>1384</v>
      </c>
      <c r="C15" s="14">
        <f>IFERROR(B15/B329, "NA")</f>
      </c>
      <c r="D15" s="15"/>
      <c r="E15" s="13">
        <v>743</v>
      </c>
      <c r="F15" s="14">
        <f>IFERROR(E15/E329, "NA")</f>
      </c>
      <c r="G15" s="15"/>
      <c r="H15" s="13">
        <v>1251</v>
      </c>
      <c r="I15" s="14">
        <f>IFERROR(H15/H329, "NA")</f>
      </c>
      <c r="J15" s="15"/>
      <c r="K15" s="13">
        <v>1317</v>
      </c>
      <c r="L15" s="14">
        <f>IFERROR(K15/K329, "NA")</f>
      </c>
      <c r="M15" s="15"/>
      <c r="N15" s="13">
        <v>3032</v>
      </c>
      <c r="O15" s="14">
        <f>IFERROR(N15/N329, "NA")</f>
      </c>
      <c r="P15" s="15"/>
      <c r="Q15" s="13">
        <v>1537</v>
      </c>
      <c r="R15" s="14">
        <f>IFERROR(Q15/Q329, "NA")</f>
      </c>
    </row>
    <row r="16" ht="16.5" customHeight="1">
      <c t="s" r="A16" s="12">
        <v>20</v>
      </c>
      <c r="B16" s="13">
        <v>19470</v>
      </c>
      <c r="C16" s="14">
        <f>IFERROR(B16/B329, "NA")</f>
      </c>
      <c r="D16" s="15"/>
      <c r="E16" s="13">
        <v>11828</v>
      </c>
      <c r="F16" s="14">
        <f>IFERROR(E16/E329, "NA")</f>
      </c>
      <c r="G16" s="15"/>
      <c r="H16" s="13">
        <v>28816</v>
      </c>
      <c r="I16" s="14">
        <f>IFERROR(H16/H329, "NA")</f>
      </c>
      <c r="J16" s="15"/>
      <c r="K16" s="13">
        <v>35788</v>
      </c>
      <c r="L16" s="14">
        <f>IFERROR(K16/K329, "NA")</f>
      </c>
      <c r="M16" s="15"/>
      <c r="N16" s="13">
        <v>38557</v>
      </c>
      <c r="O16" s="14">
        <f>IFERROR(N16/N329, "NA")</f>
      </c>
      <c r="P16" s="15"/>
      <c r="Q16" s="13">
        <v>37735</v>
      </c>
      <c r="R16" s="14">
        <f>IFERROR(Q16/Q329, "NA")</f>
      </c>
    </row>
    <row r="17" ht="16.5" customHeight="1">
      <c t="s" r="A17" s="12">
        <v>21</v>
      </c>
      <c r="B17" s="13">
        <v>8624</v>
      </c>
      <c r="C17" s="14">
        <f>IFERROR(B17/B329, "NA")</f>
      </c>
      <c r="D17" s="15"/>
      <c r="E17" s="13">
        <v>5216</v>
      </c>
      <c r="F17" s="14">
        <f>IFERROR(E17/E329, "NA")</f>
      </c>
      <c r="G17" s="15"/>
      <c r="H17" s="13">
        <v>6857</v>
      </c>
      <c r="I17" s="14">
        <f>IFERROR(H17/H329, "NA")</f>
      </c>
      <c r="J17" s="15"/>
      <c r="K17" s="13">
        <v>6780</v>
      </c>
      <c r="L17" s="14">
        <f>IFERROR(K17/K329, "NA")</f>
      </c>
      <c r="M17" s="15"/>
      <c r="N17" s="13">
        <v>7853</v>
      </c>
      <c r="O17" s="14">
        <f>IFERROR(N17/N329, "NA")</f>
      </c>
      <c r="P17" s="15"/>
      <c r="Q17" s="13">
        <v>7933</v>
      </c>
      <c r="R17" s="14">
        <f>IFERROR(Q17/Q329, "NA")</f>
      </c>
    </row>
    <row r="18" ht="16.5" customHeight="1">
      <c t="s" r="A18" s="12">
        <v>22</v>
      </c>
      <c r="B18" s="13">
        <v>15695</v>
      </c>
      <c r="C18" s="14">
        <f>IFERROR(B18/B329, "NA")</f>
      </c>
      <c r="D18" s="15"/>
      <c r="E18" s="13">
        <v>5460</v>
      </c>
      <c r="F18" s="14">
        <f>IFERROR(E18/E329, "NA")</f>
      </c>
      <c r="G18" s="15"/>
      <c r="H18" s="13">
        <v>20730</v>
      </c>
      <c r="I18" s="14">
        <f>IFERROR(H18/H329, "NA")</f>
      </c>
      <c r="J18" s="15"/>
      <c r="K18" s="13">
        <v>9010</v>
      </c>
      <c r="L18" s="14">
        <f>IFERROR(K18/K329, "NA")</f>
      </c>
      <c r="M18" s="15"/>
      <c r="N18" s="13">
        <v>22295</v>
      </c>
      <c r="O18" s="14">
        <f>IFERROR(N18/N329, "NA")</f>
      </c>
      <c r="P18" s="15"/>
      <c r="Q18" s="13">
        <v>10195</v>
      </c>
      <c r="R18" s="14">
        <f>IFERROR(Q18/Q329, "NA")</f>
      </c>
    </row>
    <row r="19" ht="16.5" customHeight="1">
      <c t="s" r="A19" s="16">
        <v>23</v>
      </c>
      <c r="B19" s="17">
        <f>IFERROR(B13+B14+B15+B16+B17+B18, "NA")</f>
      </c>
      <c r="C19" s="18">
        <f>IFERROR(B19/B329, "NA")</f>
      </c>
      <c r="D19" s="8"/>
      <c r="E19" s="17">
        <f>IFERROR(E13+E14+E15+E16+E17+E18, "NA")</f>
      </c>
      <c r="F19" s="18">
        <f>IFERROR(E19/E329, "NA")</f>
      </c>
      <c r="G19" s="8"/>
      <c r="H19" s="17">
        <f>IFERROR(H13+H14+H15+H16+H17+H18, "NA")</f>
      </c>
      <c r="I19" s="18">
        <f>IFERROR(H19/H329, "NA")</f>
      </c>
      <c r="J19" s="8"/>
      <c r="K19" s="17">
        <f>IFERROR(K13+K14+K15+K16+K17+K18, "NA")</f>
      </c>
      <c r="L19" s="18">
        <f>IFERROR(K19/K329, "NA")</f>
      </c>
      <c r="M19" s="8"/>
      <c r="N19" s="17">
        <f>IFERROR(N13+N14+N15+N16+N17+N18, "NA")</f>
      </c>
      <c r="O19" s="18">
        <f>IFERROR(N19/N329, "NA")</f>
      </c>
      <c r="P19" s="8"/>
      <c r="Q19" s="17">
        <f>IFERROR(Q13+Q14+Q15+Q16+Q17+Q18, "NA")</f>
      </c>
      <c r="R19" s="18">
        <f>IFERROR(Q19/Q329, "NA")</f>
      </c>
    </row>
    <row r="20" ht="16.5" customHeight="1">
      <c t="s" r="A20" s="11">
        <v>24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</row>
    <row r="21" ht="16.5" customHeight="1">
      <c t="s" r="A21" s="12">
        <v>25</v>
      </c>
      <c r="B21" s="13">
        <v>0</v>
      </c>
      <c r="C21" s="14">
        <f>IFERROR(B21/B329, "NA")</f>
      </c>
      <c r="D21" s="15"/>
      <c r="E21" s="13">
        <v>0</v>
      </c>
      <c r="F21" s="14">
        <f>IFERROR(E21/E329, "NA")</f>
      </c>
      <c r="G21" s="15"/>
      <c r="H21" s="13">
        <v>0</v>
      </c>
      <c r="I21" s="14">
        <f>IFERROR(H21/H329, "NA")</f>
      </c>
      <c r="J21" s="15"/>
      <c r="K21" s="13">
        <v>0</v>
      </c>
      <c r="L21" s="14">
        <f>IFERROR(K21/K329, "NA")</f>
      </c>
      <c r="M21" s="15"/>
      <c r="N21" s="13">
        <v>0</v>
      </c>
      <c r="O21" s="14">
        <f>IFERROR(N21/N329, "NA")</f>
      </c>
      <c r="P21" s="15"/>
      <c r="Q21" s="13">
        <v>0</v>
      </c>
      <c r="R21" s="14">
        <f>IFERROR(Q21/Q329, "NA")</f>
      </c>
    </row>
    <row r="22" ht="16.5" customHeight="1">
      <c t="s" r="A22" s="12">
        <v>26</v>
      </c>
      <c r="B22" s="13">
        <v>6469.1999999999998</v>
      </c>
      <c r="C22" s="14">
        <f>IFERROR(B22/B329, "NA")</f>
      </c>
      <c r="D22" s="15"/>
      <c r="E22" s="13">
        <v>828</v>
      </c>
      <c r="F22" s="14">
        <f>IFERROR(E22/E329, "NA")</f>
      </c>
      <c r="G22" s="15"/>
      <c r="H22" s="13">
        <v>240</v>
      </c>
      <c r="I22" s="14">
        <f>IFERROR(H22/H329, "NA")</f>
      </c>
      <c r="J22" s="15"/>
      <c r="K22" s="13">
        <v>368</v>
      </c>
      <c r="L22" s="14">
        <f>IFERROR(K22/K329, "NA")</f>
      </c>
      <c r="M22" s="15"/>
      <c r="N22" s="13">
        <v>1480</v>
      </c>
      <c r="O22" s="14">
        <f>IFERROR(N22/N329, "NA")</f>
      </c>
      <c r="P22" s="15"/>
      <c r="Q22" s="13">
        <v>1880</v>
      </c>
      <c r="R22" s="14">
        <f>IFERROR(Q22/Q329, "NA")</f>
      </c>
    </row>
    <row r="23" ht="16.5" customHeight="1">
      <c t="s" r="A23" s="12">
        <v>27</v>
      </c>
      <c r="B23" s="13">
        <v>1834.8699999999999</v>
      </c>
      <c r="C23" s="14">
        <f>IFERROR(B23/B329, "NA")</f>
      </c>
      <c r="D23" s="15"/>
      <c r="E23" s="13">
        <v>1971.03</v>
      </c>
      <c r="F23" s="14">
        <f>IFERROR(E23/E329, "NA")</f>
      </c>
      <c r="G23" s="15"/>
      <c r="H23" s="13">
        <v>175.59999999999999</v>
      </c>
      <c r="I23" s="14">
        <f>IFERROR(H23/H329, "NA")</f>
      </c>
      <c r="J23" s="15"/>
      <c r="K23" s="13">
        <v>4565.6000000000004</v>
      </c>
      <c r="L23" s="14">
        <f>IFERROR(K23/K329, "NA")</f>
      </c>
      <c r="M23" s="15"/>
      <c r="N23" s="13">
        <v>2458.4000000000001</v>
      </c>
      <c r="O23" s="14">
        <f>IFERROR(N23/N329, "NA")</f>
      </c>
      <c r="P23" s="15"/>
      <c r="Q23" s="13">
        <v>2809.5999999999999</v>
      </c>
      <c r="R23" s="14">
        <f>IFERROR(Q23/Q329, "NA")</f>
      </c>
    </row>
    <row r="24" ht="16.5" customHeight="1">
      <c t="s" r="A24" s="12">
        <v>28</v>
      </c>
      <c r="B24" s="13">
        <v>0</v>
      </c>
      <c r="C24" s="14">
        <f>IFERROR(B24/B329, "NA")</f>
      </c>
      <c r="D24" s="15"/>
      <c r="E24" s="13">
        <v>0</v>
      </c>
      <c r="F24" s="14">
        <f>IFERROR(E24/E329, "NA")</f>
      </c>
      <c r="G24" s="15"/>
      <c r="H24" s="13">
        <v>0</v>
      </c>
      <c r="I24" s="14">
        <f>IFERROR(H24/H329, "NA")</f>
      </c>
      <c r="J24" s="15"/>
      <c r="K24" s="13">
        <v>0</v>
      </c>
      <c r="L24" s="14">
        <f>IFERROR(K24/K329, "NA")</f>
      </c>
      <c r="M24" s="15"/>
      <c r="N24" s="13">
        <v>0</v>
      </c>
      <c r="O24" s="14">
        <f>IFERROR(N24/N329, "NA")</f>
      </c>
      <c r="P24" s="15"/>
      <c r="Q24" s="13">
        <v>0</v>
      </c>
      <c r="R24" s="14">
        <f>IFERROR(Q24/Q329, "NA")</f>
      </c>
    </row>
    <row r="25" ht="16.5" customHeight="1">
      <c t="s" r="A25" s="12">
        <v>29</v>
      </c>
      <c r="B25" s="13">
        <v>0</v>
      </c>
      <c r="C25" s="14">
        <f>IFERROR(B25/B329, "NA")</f>
      </c>
      <c r="D25" s="15"/>
      <c r="E25" s="13">
        <v>0</v>
      </c>
      <c r="F25" s="14">
        <f>IFERROR(E25/E329, "NA")</f>
      </c>
      <c r="G25" s="15"/>
      <c r="H25" s="13">
        <v>0</v>
      </c>
      <c r="I25" s="14">
        <f>IFERROR(H25/H329, "NA")</f>
      </c>
      <c r="J25" s="15"/>
      <c r="K25" s="13">
        <v>0</v>
      </c>
      <c r="L25" s="14">
        <f>IFERROR(K25/K329, "NA")</f>
      </c>
      <c r="M25" s="15"/>
      <c r="N25" s="13">
        <v>0</v>
      </c>
      <c r="O25" s="14">
        <f>IFERROR(N25/N329, "NA")</f>
      </c>
      <c r="P25" s="15"/>
      <c r="Q25" s="13">
        <v>0</v>
      </c>
      <c r="R25" s="14">
        <f>IFERROR(Q25/Q329, "NA")</f>
      </c>
    </row>
    <row r="26" ht="16.5" customHeight="1">
      <c t="s" r="A26" s="12">
        <v>30</v>
      </c>
      <c r="B26" s="13">
        <v>0</v>
      </c>
      <c r="C26" s="14">
        <f>IFERROR(B26/B329, "NA")</f>
      </c>
      <c r="D26" s="15"/>
      <c r="E26" s="13">
        <v>0</v>
      </c>
      <c r="F26" s="14">
        <f>IFERROR(E26/E329, "NA")</f>
      </c>
      <c r="G26" s="15"/>
      <c r="H26" s="13">
        <v>0</v>
      </c>
      <c r="I26" s="14">
        <f>IFERROR(H26/H329, "NA")</f>
      </c>
      <c r="J26" s="15"/>
      <c r="K26" s="13">
        <v>101618.67999999999</v>
      </c>
      <c r="L26" s="14">
        <f>IFERROR(K26/K329, "NA")</f>
      </c>
      <c r="M26" s="15"/>
      <c r="N26" s="13">
        <v>0</v>
      </c>
      <c r="O26" s="14">
        <f>IFERROR(N26/N329, "NA")</f>
      </c>
      <c r="P26" s="15"/>
      <c r="Q26" s="13">
        <v>0</v>
      </c>
      <c r="R26" s="14">
        <f>IFERROR(Q26/Q329, "NA")</f>
      </c>
    </row>
    <row r="27" ht="16.5" customHeight="1">
      <c t="s" r="A27" s="12">
        <v>31</v>
      </c>
      <c r="B27" s="13">
        <v>0</v>
      </c>
      <c r="C27" s="14">
        <f>IFERROR(B27/B329, "NA")</f>
      </c>
      <c r="D27" s="15"/>
      <c r="E27" s="13">
        <v>0</v>
      </c>
      <c r="F27" s="14">
        <f>IFERROR(E27/E329, "NA")</f>
      </c>
      <c r="G27" s="15"/>
      <c r="H27" s="13">
        <v>0</v>
      </c>
      <c r="I27" s="14">
        <f>IFERROR(H27/H329, "NA")</f>
      </c>
      <c r="J27" s="15"/>
      <c r="K27" s="13">
        <v>0</v>
      </c>
      <c r="L27" s="14">
        <f>IFERROR(K27/K329, "NA")</f>
      </c>
      <c r="M27" s="15"/>
      <c r="N27" s="13">
        <v>0</v>
      </c>
      <c r="O27" s="14">
        <f>IFERROR(N27/N329, "NA")</f>
      </c>
      <c r="P27" s="15"/>
      <c r="Q27" s="13">
        <v>0</v>
      </c>
      <c r="R27" s="14">
        <f>IFERROR(Q27/Q329, "NA")</f>
      </c>
    </row>
    <row r="28" ht="16.5" customHeight="1">
      <c t="s" r="A28" s="12">
        <v>32</v>
      </c>
      <c r="B28" s="13">
        <v>0</v>
      </c>
      <c r="C28" s="14">
        <f>IFERROR(B28/B329, "NA")</f>
      </c>
      <c r="D28" s="15"/>
      <c r="E28" s="13">
        <v>0</v>
      </c>
      <c r="F28" s="14">
        <f>IFERROR(E28/E329, "NA")</f>
      </c>
      <c r="G28" s="15"/>
      <c r="H28" s="13">
        <v>0</v>
      </c>
      <c r="I28" s="14">
        <f>IFERROR(H28/H329, "NA")</f>
      </c>
      <c r="J28" s="15"/>
      <c r="K28" s="13">
        <v>0</v>
      </c>
      <c r="L28" s="14">
        <f>IFERROR(K28/K329, "NA")</f>
      </c>
      <c r="M28" s="15"/>
      <c r="N28" s="13">
        <v>0</v>
      </c>
      <c r="O28" s="14">
        <f>IFERROR(N28/N329, "NA")</f>
      </c>
      <c r="P28" s="15"/>
      <c r="Q28" s="13">
        <v>0</v>
      </c>
      <c r="R28" s="14">
        <f>IFERROR(Q28/Q329, "NA")</f>
      </c>
    </row>
    <row r="29" ht="16.5" customHeight="1">
      <c t="s" r="A29" s="12">
        <v>33</v>
      </c>
      <c r="B29" s="13">
        <v>0</v>
      </c>
      <c r="C29" s="14">
        <f>IFERROR(B29/B329, "NA")</f>
      </c>
      <c r="D29" s="15"/>
      <c r="E29" s="13">
        <v>0</v>
      </c>
      <c r="F29" s="14">
        <f>IFERROR(E29/E329, "NA")</f>
      </c>
      <c r="G29" s="15"/>
      <c r="H29" s="13">
        <v>0</v>
      </c>
      <c r="I29" s="14">
        <f>IFERROR(H29/H329, "NA")</f>
      </c>
      <c r="J29" s="15"/>
      <c r="K29" s="13">
        <v>0</v>
      </c>
      <c r="L29" s="14">
        <f>IFERROR(K29/K329, "NA")</f>
      </c>
      <c r="M29" s="15"/>
      <c r="N29" s="13">
        <v>0</v>
      </c>
      <c r="O29" s="14">
        <f>IFERROR(N29/N329, "NA")</f>
      </c>
      <c r="P29" s="15"/>
      <c r="Q29" s="13">
        <v>0</v>
      </c>
      <c r="R29" s="14">
        <f>IFERROR(Q29/Q329, "NA")</f>
      </c>
    </row>
    <row r="30" ht="16.5" customHeight="1">
      <c t="s" r="A30" s="16">
        <v>34</v>
      </c>
      <c r="B30" s="17">
        <f>IFERROR(B21+B22+B23+B24+B25+B26+B27+B28+B29, "NA")</f>
      </c>
      <c r="C30" s="18">
        <f>IFERROR(B30/B329, "NA")</f>
      </c>
      <c r="D30" s="8"/>
      <c r="E30" s="17">
        <f>IFERROR(E21+E22+E23+E24+E25+E26+E27+E28+E29, "NA")</f>
      </c>
      <c r="F30" s="18">
        <f>IFERROR(E30/E329, "NA")</f>
      </c>
      <c r="G30" s="8"/>
      <c r="H30" s="17">
        <f>IFERROR(H21+H22+H23+H24+H25+H26+H27+H28+H29, "NA")</f>
      </c>
      <c r="I30" s="18">
        <f>IFERROR(H30/H329, "NA")</f>
      </c>
      <c r="J30" s="8"/>
      <c r="K30" s="17">
        <f>IFERROR(K21+K22+K23+K24+K25+K26+K27+K28+K29, "NA")</f>
      </c>
      <c r="L30" s="18">
        <f>IFERROR(K30/K329, "NA")</f>
      </c>
      <c r="M30" s="8"/>
      <c r="N30" s="17">
        <f>IFERROR(N21+N22+N23+N24+N25+N26+N27+N28+N29, "NA")</f>
      </c>
      <c r="O30" s="18">
        <f>IFERROR(N30/N329, "NA")</f>
      </c>
      <c r="P30" s="8"/>
      <c r="Q30" s="17">
        <f>IFERROR(Q21+Q22+Q23+Q24+Q25+Q26+Q27+Q28+Q29, "NA")</f>
      </c>
      <c r="R30" s="18">
        <f>IFERROR(Q30/Q329, "NA")</f>
      </c>
    </row>
    <row r="31" ht="16.5" customHeight="1">
      <c t="s" r="A31" s="11">
        <v>35</v>
      </c>
      <c r="B31" s="8"/>
      <c r="C31" s="9"/>
      <c r="D31" s="10"/>
      <c r="E31" s="8"/>
      <c r="F31" s="9"/>
      <c r="G31" s="10"/>
      <c r="H31" s="8"/>
      <c r="I31" s="9"/>
      <c r="J31" s="10"/>
      <c r="K31" s="8"/>
      <c r="L31" s="9"/>
      <c r="M31" s="10"/>
      <c r="N31" s="8"/>
      <c r="O31" s="9"/>
      <c r="P31" s="10"/>
      <c r="Q31" s="8"/>
      <c r="R31" s="9"/>
    </row>
    <row r="32" ht="16.5" customHeight="1">
      <c t="s" r="A32" s="12">
        <v>36</v>
      </c>
      <c r="B32" s="13">
        <v>0</v>
      </c>
      <c r="C32" s="14">
        <f>IFERROR(B32/B329, "NA")</f>
      </c>
      <c r="D32" s="15"/>
      <c r="E32" s="13">
        <v>0</v>
      </c>
      <c r="F32" s="14">
        <f>IFERROR(E32/E329, "NA")</f>
      </c>
      <c r="G32" s="15"/>
      <c r="H32" s="13">
        <v>0</v>
      </c>
      <c r="I32" s="14">
        <f>IFERROR(H32/H329, "NA")</f>
      </c>
      <c r="J32" s="15"/>
      <c r="K32" s="13">
        <v>0</v>
      </c>
      <c r="L32" s="14">
        <f>IFERROR(K32/K329, "NA")</f>
      </c>
      <c r="M32" s="15"/>
      <c r="N32" s="13">
        <v>0</v>
      </c>
      <c r="O32" s="14">
        <f>IFERROR(N32/N329, "NA")</f>
      </c>
      <c r="P32" s="15"/>
      <c r="Q32" s="13">
        <v>0</v>
      </c>
      <c r="R32" s="14">
        <f>IFERROR(Q32/Q329, "NA")</f>
      </c>
    </row>
    <row r="33" ht="16.5" customHeight="1">
      <c t="s" r="A33" s="12">
        <v>37</v>
      </c>
      <c r="B33" s="13">
        <v>0</v>
      </c>
      <c r="C33" s="14">
        <f>IFERROR(B33/B329, "NA")</f>
      </c>
      <c r="D33" s="15"/>
      <c r="E33" s="13">
        <v>0</v>
      </c>
      <c r="F33" s="14">
        <f>IFERROR(E33/E329, "NA")</f>
      </c>
      <c r="G33" s="15"/>
      <c r="H33" s="13">
        <v>0</v>
      </c>
      <c r="I33" s="14">
        <f>IFERROR(H33/H329, "NA")</f>
      </c>
      <c r="J33" s="15"/>
      <c r="K33" s="13">
        <v>0</v>
      </c>
      <c r="L33" s="14">
        <f>IFERROR(K33/K329, "NA")</f>
      </c>
      <c r="M33" s="15"/>
      <c r="N33" s="13">
        <v>0</v>
      </c>
      <c r="O33" s="14">
        <f>IFERROR(N33/N329, "NA")</f>
      </c>
      <c r="P33" s="15"/>
      <c r="Q33" s="13">
        <v>0</v>
      </c>
      <c r="R33" s="14">
        <f>IFERROR(Q33/Q329, "NA")</f>
      </c>
    </row>
    <row r="34" ht="16.5" customHeight="1">
      <c t="s" r="A34" s="12">
        <v>38</v>
      </c>
      <c r="B34" s="13">
        <v>0</v>
      </c>
      <c r="C34" s="14">
        <f>IFERROR(B34/B329, "NA")</f>
      </c>
      <c r="D34" s="15"/>
      <c r="E34" s="13">
        <v>0</v>
      </c>
      <c r="F34" s="14">
        <f>IFERROR(E34/E329, "NA")</f>
      </c>
      <c r="G34" s="15"/>
      <c r="H34" s="13">
        <v>0</v>
      </c>
      <c r="I34" s="14">
        <f>IFERROR(H34/H329, "NA")</f>
      </c>
      <c r="J34" s="15"/>
      <c r="K34" s="13">
        <v>0</v>
      </c>
      <c r="L34" s="14">
        <f>IFERROR(K34/K329, "NA")</f>
      </c>
      <c r="M34" s="15"/>
      <c r="N34" s="13">
        <v>0</v>
      </c>
      <c r="O34" s="14">
        <f>IFERROR(N34/N329, "NA")</f>
      </c>
      <c r="P34" s="15"/>
      <c r="Q34" s="13">
        <v>0</v>
      </c>
      <c r="R34" s="14">
        <f>IFERROR(Q34/Q329, "NA")</f>
      </c>
    </row>
    <row r="35" ht="16.5" customHeight="1">
      <c t="s" r="A35" s="12">
        <v>39</v>
      </c>
      <c r="B35" s="13">
        <v>0</v>
      </c>
      <c r="C35" s="14">
        <f>IFERROR(B35/B329, "NA")</f>
      </c>
      <c r="D35" s="15"/>
      <c r="E35" s="13">
        <v>0</v>
      </c>
      <c r="F35" s="14">
        <f>IFERROR(E35/E329, "NA")</f>
      </c>
      <c r="G35" s="15"/>
      <c r="H35" s="13">
        <v>0</v>
      </c>
      <c r="I35" s="14">
        <f>IFERROR(H35/H329, "NA")</f>
      </c>
      <c r="J35" s="15"/>
      <c r="K35" s="13">
        <v>0</v>
      </c>
      <c r="L35" s="14">
        <f>IFERROR(K35/K329, "NA")</f>
      </c>
      <c r="M35" s="15"/>
      <c r="N35" s="13">
        <v>0</v>
      </c>
      <c r="O35" s="14">
        <f>IFERROR(N35/N329, "NA")</f>
      </c>
      <c r="P35" s="15"/>
      <c r="Q35" s="13">
        <v>0</v>
      </c>
      <c r="R35" s="14">
        <f>IFERROR(Q35/Q329, "NA")</f>
      </c>
    </row>
    <row r="36" ht="16.5" customHeight="1">
      <c t="s" r="A36" s="12">
        <v>40</v>
      </c>
      <c r="B36" s="13">
        <v>0</v>
      </c>
      <c r="C36" s="14">
        <f>IFERROR(B36/B329, "NA")</f>
      </c>
      <c r="D36" s="15"/>
      <c r="E36" s="13">
        <v>0</v>
      </c>
      <c r="F36" s="14">
        <f>IFERROR(E36/E329, "NA")</f>
      </c>
      <c r="G36" s="15"/>
      <c r="H36" s="13">
        <v>0</v>
      </c>
      <c r="I36" s="14">
        <f>IFERROR(H36/H329, "NA")</f>
      </c>
      <c r="J36" s="15"/>
      <c r="K36" s="13">
        <v>0</v>
      </c>
      <c r="L36" s="14">
        <f>IFERROR(K36/K329, "NA")</f>
      </c>
      <c r="M36" s="15"/>
      <c r="N36" s="13">
        <v>0</v>
      </c>
      <c r="O36" s="14">
        <f>IFERROR(N36/N329, "NA")</f>
      </c>
      <c r="P36" s="15"/>
      <c r="Q36" s="13">
        <v>0</v>
      </c>
      <c r="R36" s="14">
        <f>IFERROR(Q36/Q329, "NA")</f>
      </c>
    </row>
    <row r="37" ht="16.5" customHeight="1">
      <c t="s" r="A37" s="16">
        <v>41</v>
      </c>
      <c r="B37" s="17">
        <f>IFERROR(B32+B33+B34+B35+B36, "NA")</f>
      </c>
      <c r="C37" s="18">
        <f>IFERROR(B37/B329, "NA")</f>
      </c>
      <c r="D37" s="8"/>
      <c r="E37" s="17">
        <f>IFERROR(E32+E33+E34+E35+E36, "NA")</f>
      </c>
      <c r="F37" s="18">
        <f>IFERROR(E37/E329, "NA")</f>
      </c>
      <c r="G37" s="8"/>
      <c r="H37" s="17">
        <f>IFERROR(H32+H33+H34+H35+H36, "NA")</f>
      </c>
      <c r="I37" s="18">
        <f>IFERROR(H37/H329, "NA")</f>
      </c>
      <c r="J37" s="8"/>
      <c r="K37" s="17">
        <f>IFERROR(K32+K33+K34+K35+K36, "NA")</f>
      </c>
      <c r="L37" s="18">
        <f>IFERROR(K37/K329, "NA")</f>
      </c>
      <c r="M37" s="8"/>
      <c r="N37" s="17">
        <f>IFERROR(N32+N33+N34+N35+N36, "NA")</f>
      </c>
      <c r="O37" s="18">
        <f>IFERROR(N37/N329, "NA")</f>
      </c>
      <c r="P37" s="8"/>
      <c r="Q37" s="17">
        <f>IFERROR(Q32+Q33+Q34+Q35+Q36, "NA")</f>
      </c>
      <c r="R37" s="18">
        <f>IFERROR(Q37/Q329, "NA")</f>
      </c>
    </row>
    <row r="38" ht="16.5" customHeight="1">
      <c t="s" r="A38" s="11">
        <v>42</v>
      </c>
      <c r="B38" s="8"/>
      <c r="C38" s="9"/>
      <c r="D38" s="10"/>
      <c r="E38" s="8"/>
      <c r="F38" s="9"/>
      <c r="G38" s="10"/>
      <c r="H38" s="8"/>
      <c r="I38" s="9"/>
      <c r="J38" s="10"/>
      <c r="K38" s="8"/>
      <c r="L38" s="9"/>
      <c r="M38" s="10"/>
      <c r="N38" s="8"/>
      <c r="O38" s="9"/>
      <c r="P38" s="10"/>
      <c r="Q38" s="8"/>
      <c r="R38" s="9"/>
    </row>
    <row r="39" ht="16.5" customHeight="1">
      <c t="s" r="A39" s="12">
        <v>43</v>
      </c>
      <c r="B39" s="13">
        <v>0</v>
      </c>
      <c r="C39" s="14">
        <f>IFERROR(B39/B329, "NA")</f>
      </c>
      <c r="D39" s="15"/>
      <c r="E39" s="13">
        <v>0</v>
      </c>
      <c r="F39" s="14">
        <f>IFERROR(E39/E329, "NA")</f>
      </c>
      <c r="G39" s="15"/>
      <c r="H39" s="13">
        <v>0</v>
      </c>
      <c r="I39" s="14">
        <f>IFERROR(H39/H329, "NA")</f>
      </c>
      <c r="J39" s="15"/>
      <c r="K39" s="13">
        <v>0</v>
      </c>
      <c r="L39" s="14">
        <f>IFERROR(K39/K329, "NA")</f>
      </c>
      <c r="M39" s="15"/>
      <c r="N39" s="13">
        <v>0</v>
      </c>
      <c r="O39" s="14">
        <f>IFERROR(N39/N329, "NA")</f>
      </c>
      <c r="P39" s="15"/>
      <c r="Q39" s="13">
        <v>0</v>
      </c>
      <c r="R39" s="14">
        <f>IFERROR(Q39/Q329, "NA")</f>
      </c>
    </row>
    <row r="40" ht="16.5" customHeight="1">
      <c t="s" r="A40" s="12">
        <v>44</v>
      </c>
      <c r="B40" s="13">
        <v>0</v>
      </c>
      <c r="C40" s="14">
        <f>IFERROR(B40/B329, "NA")</f>
      </c>
      <c r="D40" s="15"/>
      <c r="E40" s="13">
        <v>0</v>
      </c>
      <c r="F40" s="14">
        <f>IFERROR(E40/E329, "NA")</f>
      </c>
      <c r="G40" s="15"/>
      <c r="H40" s="13">
        <v>0</v>
      </c>
      <c r="I40" s="14">
        <f>IFERROR(H40/H329, "NA")</f>
      </c>
      <c r="J40" s="15"/>
      <c r="K40" s="13">
        <v>0</v>
      </c>
      <c r="L40" s="14">
        <f>IFERROR(K40/K329, "NA")</f>
      </c>
      <c r="M40" s="15"/>
      <c r="N40" s="13">
        <v>0</v>
      </c>
      <c r="O40" s="14">
        <f>IFERROR(N40/N329, "NA")</f>
      </c>
      <c r="P40" s="15"/>
      <c r="Q40" s="13">
        <v>0</v>
      </c>
      <c r="R40" s="14">
        <f>IFERROR(Q40/Q329, "NA")</f>
      </c>
    </row>
    <row r="41" ht="16.5" customHeight="1">
      <c t="s" r="A41" s="12">
        <v>45</v>
      </c>
      <c r="B41" s="13">
        <v>-538</v>
      </c>
      <c r="C41" s="14">
        <f>IFERROR(B41/B329, "NA")</f>
      </c>
      <c r="D41" s="15"/>
      <c r="E41" s="13">
        <v>-535</v>
      </c>
      <c r="F41" s="14">
        <f>IFERROR(E41/E329, "NA")</f>
      </c>
      <c r="G41" s="15"/>
      <c r="H41" s="13">
        <v>-545</v>
      </c>
      <c r="I41" s="14">
        <f>IFERROR(H41/H329, "NA")</f>
      </c>
      <c r="J41" s="15"/>
      <c r="K41" s="13">
        <v>-471</v>
      </c>
      <c r="L41" s="14">
        <f>IFERROR(K41/K329, "NA")</f>
      </c>
      <c r="M41" s="15"/>
      <c r="N41" s="13">
        <v>-455</v>
      </c>
      <c r="O41" s="14">
        <f>IFERROR(N41/N329, "NA")</f>
      </c>
      <c r="P41" s="15"/>
      <c r="Q41" s="13">
        <v>-187</v>
      </c>
      <c r="R41" s="14">
        <f>IFERROR(Q41/Q329, "NA")</f>
      </c>
    </row>
    <row r="42" ht="16.5" customHeight="1">
      <c t="s" r="A42" s="12">
        <v>46</v>
      </c>
      <c r="B42" s="13">
        <v>-1041</v>
      </c>
      <c r="C42" s="14">
        <f>IFERROR(B42/B329, "NA")</f>
      </c>
      <c r="D42" s="15"/>
      <c r="E42" s="13">
        <v>-306</v>
      </c>
      <c r="F42" s="14">
        <f>IFERROR(E42/E329, "NA")</f>
      </c>
      <c r="G42" s="15"/>
      <c r="H42" s="13">
        <v>-695</v>
      </c>
      <c r="I42" s="14">
        <f>IFERROR(H42/H329, "NA")</f>
      </c>
      <c r="J42" s="15"/>
      <c r="K42" s="13">
        <v>-770</v>
      </c>
      <c r="L42" s="14">
        <f>IFERROR(K42/K329, "NA")</f>
      </c>
      <c r="M42" s="15"/>
      <c r="N42" s="13">
        <v>-572</v>
      </c>
      <c r="O42" s="14">
        <f>IFERROR(N42/N329, "NA")</f>
      </c>
      <c r="P42" s="15"/>
      <c r="Q42" s="13">
        <v>-603</v>
      </c>
      <c r="R42" s="14">
        <f>IFERROR(Q42/Q329, "NA")</f>
      </c>
    </row>
    <row r="43" ht="16.5" customHeight="1">
      <c t="s" r="A43" s="12">
        <v>47</v>
      </c>
      <c r="B43" s="13">
        <v>-2499</v>
      </c>
      <c r="C43" s="14">
        <f>IFERROR(B43/B329, "NA")</f>
      </c>
      <c r="D43" s="15"/>
      <c r="E43" s="13">
        <v>-7900</v>
      </c>
      <c r="F43" s="14">
        <f>IFERROR(E43/E329, "NA")</f>
      </c>
      <c r="G43" s="15"/>
      <c r="H43" s="13">
        <v>-7378</v>
      </c>
      <c r="I43" s="14">
        <f>IFERROR(H43/H329, "NA")</f>
      </c>
      <c r="J43" s="15"/>
      <c r="K43" s="13">
        <v>-1349</v>
      </c>
      <c r="L43" s="14">
        <f>IFERROR(K43/K329, "NA")</f>
      </c>
      <c r="M43" s="15"/>
      <c r="N43" s="13">
        <v>-3282</v>
      </c>
      <c r="O43" s="14">
        <f>IFERROR(N43/N329, "NA")</f>
      </c>
      <c r="P43" s="15"/>
      <c r="Q43" s="13">
        <v>-2153</v>
      </c>
      <c r="R43" s="14">
        <f>IFERROR(Q43/Q329, "NA")</f>
      </c>
    </row>
    <row r="44" ht="16.5" customHeight="1">
      <c t="s" r="A44" s="12">
        <v>48</v>
      </c>
      <c r="B44" s="13">
        <v>-1210</v>
      </c>
      <c r="C44" s="14">
        <f>IFERROR(B44/B329, "NA")</f>
      </c>
      <c r="D44" s="15"/>
      <c r="E44" s="13">
        <v>-145</v>
      </c>
      <c r="F44" s="14">
        <f>IFERROR(E44/E329, "NA")</f>
      </c>
      <c r="G44" s="15"/>
      <c r="H44" s="13">
        <v>-59.600000000000001</v>
      </c>
      <c r="I44" s="14">
        <f>IFERROR(H44/H329, "NA")</f>
      </c>
      <c r="J44" s="15"/>
      <c r="K44" s="13">
        <v>0</v>
      </c>
      <c r="L44" s="14">
        <f>IFERROR(K44/K329, "NA")</f>
      </c>
      <c r="M44" s="15"/>
      <c r="N44" s="13">
        <v>-88</v>
      </c>
      <c r="O44" s="14">
        <f>IFERROR(N44/N329, "NA")</f>
      </c>
      <c r="P44" s="15"/>
      <c r="Q44" s="13">
        <v>0</v>
      </c>
      <c r="R44" s="14">
        <f>IFERROR(Q44/Q329, "NA")</f>
      </c>
    </row>
    <row r="45" ht="16.5" customHeight="1">
      <c t="s" r="A45" s="12">
        <v>49</v>
      </c>
      <c r="B45" s="13">
        <v>0</v>
      </c>
      <c r="C45" s="14">
        <f>IFERROR(B45/B329, "NA")</f>
      </c>
      <c r="D45" s="15"/>
      <c r="E45" s="13">
        <v>0</v>
      </c>
      <c r="F45" s="14">
        <f>IFERROR(E45/E329, "NA")</f>
      </c>
      <c r="G45" s="15"/>
      <c r="H45" s="13">
        <v>0</v>
      </c>
      <c r="I45" s="14">
        <f>IFERROR(H45/H329, "NA")</f>
      </c>
      <c r="J45" s="15"/>
      <c r="K45" s="13">
        <v>0</v>
      </c>
      <c r="L45" s="14">
        <f>IFERROR(K45/K329, "NA")</f>
      </c>
      <c r="M45" s="15"/>
      <c r="N45" s="13">
        <v>0</v>
      </c>
      <c r="O45" s="14">
        <f>IFERROR(N45/N329, "NA")</f>
      </c>
      <c r="P45" s="15"/>
      <c r="Q45" s="13">
        <v>0</v>
      </c>
      <c r="R45" s="14">
        <f>IFERROR(Q45/Q329, "NA")</f>
      </c>
    </row>
    <row r="46" ht="16.5" customHeight="1">
      <c t="s" r="A46" s="12">
        <v>50</v>
      </c>
      <c r="B46" s="13">
        <v>-2592</v>
      </c>
      <c r="C46" s="14">
        <f>IFERROR(B46/B329, "NA")</f>
      </c>
      <c r="D46" s="15"/>
      <c r="E46" s="13">
        <v>-2738</v>
      </c>
      <c r="F46" s="14">
        <f>IFERROR(E46/E329, "NA")</f>
      </c>
      <c r="G46" s="15"/>
      <c r="H46" s="13">
        <v>-4190</v>
      </c>
      <c r="I46" s="14">
        <f>IFERROR(H46/H329, "NA")</f>
      </c>
      <c r="J46" s="15"/>
      <c r="K46" s="13">
        <v>-4823</v>
      </c>
      <c r="L46" s="14">
        <f>IFERROR(K46/K329, "NA")</f>
      </c>
      <c r="M46" s="15"/>
      <c r="N46" s="13">
        <v>-3529</v>
      </c>
      <c r="O46" s="14">
        <f>IFERROR(N46/N329, "NA")</f>
      </c>
      <c r="P46" s="15"/>
      <c r="Q46" s="13">
        <v>-5539</v>
      </c>
      <c r="R46" s="14">
        <f>IFERROR(Q46/Q329, "NA")</f>
      </c>
    </row>
    <row r="47" ht="16.5" customHeight="1">
      <c t="s" r="A47" s="12">
        <v>51</v>
      </c>
      <c r="B47" s="13">
        <v>-1206</v>
      </c>
      <c r="C47" s="14">
        <f>IFERROR(B47/B329, "NA")</f>
      </c>
      <c r="D47" s="15"/>
      <c r="E47" s="13">
        <v>-467</v>
      </c>
      <c r="F47" s="14">
        <f>IFERROR(E47/E329, "NA")</f>
      </c>
      <c r="G47" s="15"/>
      <c r="H47" s="13">
        <v>-455</v>
      </c>
      <c r="I47" s="14">
        <f>IFERROR(H47/H329, "NA")</f>
      </c>
      <c r="J47" s="15"/>
      <c r="K47" s="13">
        <v>-913</v>
      </c>
      <c r="L47" s="14">
        <f>IFERROR(K47/K329, "NA")</f>
      </c>
      <c r="M47" s="15"/>
      <c r="N47" s="13">
        <v>-184</v>
      </c>
      <c r="O47" s="14">
        <f>IFERROR(N47/N329, "NA")</f>
      </c>
      <c r="P47" s="15"/>
      <c r="Q47" s="13">
        <v>-805</v>
      </c>
      <c r="R47" s="14">
        <f>IFERROR(Q47/Q329, "NA")</f>
      </c>
    </row>
    <row r="48" ht="16.5" customHeight="1">
      <c t="s" r="A48" s="12">
        <v>52</v>
      </c>
      <c r="B48" s="13">
        <v>-694</v>
      </c>
      <c r="C48" s="14">
        <f>IFERROR(B48/B329, "NA")</f>
      </c>
      <c r="D48" s="15"/>
      <c r="E48" s="13">
        <v>-934</v>
      </c>
      <c r="F48" s="14">
        <f>IFERROR(E48/E329, "NA")</f>
      </c>
      <c r="G48" s="15"/>
      <c r="H48" s="13">
        <v>-472</v>
      </c>
      <c r="I48" s="14">
        <f>IFERROR(H48/H329, "NA")</f>
      </c>
      <c r="J48" s="15"/>
      <c r="K48" s="13">
        <v>-462</v>
      </c>
      <c r="L48" s="14">
        <f>IFERROR(K48/K329, "NA")</f>
      </c>
      <c r="M48" s="15"/>
      <c r="N48" s="13">
        <v>-353</v>
      </c>
      <c r="O48" s="14">
        <f>IFERROR(N48/N329, "NA")</f>
      </c>
      <c r="P48" s="15"/>
      <c r="Q48" s="13">
        <v>-502</v>
      </c>
      <c r="R48" s="14">
        <f>IFERROR(Q48/Q329, "NA")</f>
      </c>
    </row>
    <row r="49" ht="16.5" customHeight="1">
      <c t="s" r="A49" s="12">
        <v>53</v>
      </c>
      <c r="B49" s="13">
        <v>0</v>
      </c>
      <c r="C49" s="14">
        <f>IFERROR(B49/B329, "NA")</f>
      </c>
      <c r="D49" s="15"/>
      <c r="E49" s="13">
        <v>0</v>
      </c>
      <c r="F49" s="14">
        <f>IFERROR(E49/E329, "NA")</f>
      </c>
      <c r="G49" s="15"/>
      <c r="H49" s="13">
        <v>-576</v>
      </c>
      <c r="I49" s="14">
        <f>IFERROR(H49/H329, "NA")</f>
      </c>
      <c r="J49" s="15"/>
      <c r="K49" s="13">
        <v>0</v>
      </c>
      <c r="L49" s="14">
        <f>IFERROR(K49/K329, "NA")</f>
      </c>
      <c r="M49" s="15"/>
      <c r="N49" s="13">
        <v>0</v>
      </c>
      <c r="O49" s="14">
        <f>IFERROR(N49/N329, "NA")</f>
      </c>
      <c r="P49" s="15"/>
      <c r="Q49" s="13">
        <v>0</v>
      </c>
      <c r="R49" s="14">
        <f>IFERROR(Q49/Q329, "NA")</f>
      </c>
    </row>
    <row r="50" ht="16.5" customHeight="1">
      <c t="s" r="A50" s="12">
        <v>54</v>
      </c>
      <c r="B50" s="13">
        <v>-1287</v>
      </c>
      <c r="C50" s="14">
        <f>IFERROR(B50/B329, "NA")</f>
      </c>
      <c r="D50" s="15"/>
      <c r="E50" s="13">
        <v>-1697</v>
      </c>
      <c r="F50" s="14">
        <f>IFERROR(E50/E329, "NA")</f>
      </c>
      <c r="G50" s="15"/>
      <c r="H50" s="13">
        <v>-45</v>
      </c>
      <c r="I50" s="14">
        <f>IFERROR(H50/H329, "NA")</f>
      </c>
      <c r="J50" s="15"/>
      <c r="K50" s="13">
        <v>0</v>
      </c>
      <c r="L50" s="14">
        <f>IFERROR(K50/K329, "NA")</f>
      </c>
      <c r="M50" s="15"/>
      <c r="N50" s="13">
        <v>0</v>
      </c>
      <c r="O50" s="14">
        <f>IFERROR(N50/N329, "NA")</f>
      </c>
      <c r="P50" s="15"/>
      <c r="Q50" s="13">
        <v>-792</v>
      </c>
      <c r="R50" s="14">
        <f>IFERROR(Q50/Q329, "NA")</f>
      </c>
    </row>
    <row r="51" ht="16.5" customHeight="1">
      <c t="s" r="A51" s="16">
        <v>55</v>
      </c>
      <c r="B51" s="17">
        <f>IFERROR(B39+B40+B41+B42+B43+B44+B45+B46+B47+B48+B49+B50, "NA")</f>
      </c>
      <c r="C51" s="18">
        <f>IFERROR(B51/B329, "NA")</f>
      </c>
      <c r="D51" s="8"/>
      <c r="E51" s="17">
        <f>IFERROR(E39+E40+E41+E42+E43+E44+E45+E46+E47+E48+E49+E50, "NA")</f>
      </c>
      <c r="F51" s="18">
        <f>IFERROR(E51/E329, "NA")</f>
      </c>
      <c r="G51" s="8"/>
      <c r="H51" s="17">
        <f>IFERROR(H39+H40+H41+H42+H43+H44+H45+H46+H47+H48+H49+H50, "NA")</f>
      </c>
      <c r="I51" s="18">
        <f>IFERROR(H51/H329, "NA")</f>
      </c>
      <c r="J51" s="8"/>
      <c r="K51" s="17">
        <f>IFERROR(K39+K40+K41+K42+K43+K44+K45+K46+K47+K48+K49+K50, "NA")</f>
      </c>
      <c r="L51" s="18">
        <f>IFERROR(K51/K329, "NA")</f>
      </c>
      <c r="M51" s="8"/>
      <c r="N51" s="17">
        <f>IFERROR(N39+N40+N41+N42+N43+N44+N45+N46+N47+N48+N49+N50, "NA")</f>
      </c>
      <c r="O51" s="18">
        <f>IFERROR(N51/N329, "NA")</f>
      </c>
      <c r="P51" s="8"/>
      <c r="Q51" s="17">
        <f>IFERROR(Q39+Q40+Q41+Q42+Q43+Q44+Q45+Q46+Q47+Q48+Q49+Q50, "NA")</f>
      </c>
      <c r="R51" s="18">
        <f>IFERROR(Q51/Q329, "NA")</f>
      </c>
    </row>
    <row r="52" ht="16.5" customHeight="1">
      <c t="s" r="A52" s="20">
        <v>56</v>
      </c>
      <c r="B52" s="17">
        <f>IFERROR(B8+B9+B11+B13+B14+B15+B16+B17+B18+B21+B22+B23+B24+B25+B26+B27+B28+B29+B32+B33+B34+B35+B36+B39+B40+B41+B42+B43+B44+B45+B46+B47+B48+B49+B50, "NA")</f>
      </c>
      <c r="C52" s="18">
        <f>IFERROR(B52/B329, "NA")</f>
      </c>
      <c r="D52" s="8"/>
      <c r="E52" s="17">
        <f>IFERROR(E8+E9+E11+E13+E14+E15+E16+E17+E18+E21+E22+E23+E24+E25+E26+E27+E28+E29+E32+E33+E34+E35+E36+E39+E40+E41+E42+E43+E44+E45+E46+E47+E48+E49+E50, "NA")</f>
      </c>
      <c r="F52" s="18">
        <f>IFERROR(E52/E329, "NA")</f>
      </c>
      <c r="G52" s="8"/>
      <c r="H52" s="17">
        <f>IFERROR(H8+H9+H11+H13+H14+H15+H16+H17+H18+H21+H22+H23+H24+H25+H26+H27+H28+H29+H32+H33+H34+H35+H36+H39+H40+H41+H42+H43+H44+H45+H46+H47+H48+H49+H50, "NA")</f>
      </c>
      <c r="I52" s="18">
        <f>IFERROR(H52/H329, "NA")</f>
      </c>
      <c r="J52" s="8"/>
      <c r="K52" s="17">
        <f>IFERROR(K8+K9+K11+K13+K14+K15+K16+K17+K18+K21+K22+K23+K24+K25+K26+K27+K28+K29+K32+K33+K34+K35+K36+K39+K40+K41+K42+K43+K44+K45+K46+K47+K48+K49+K50, "NA")</f>
      </c>
      <c r="L52" s="18">
        <f>IFERROR(K52/K329, "NA")</f>
      </c>
      <c r="M52" s="8"/>
      <c r="N52" s="17">
        <f>IFERROR(N8+N9+N11+N13+N14+N15+N16+N17+N18+N21+N22+N23+N24+N25+N26+N27+N28+N29+N32+N33+N34+N35+N36+N39+N40+N41+N42+N43+N44+N45+N46+N47+N48+N49+N50, "NA")</f>
      </c>
      <c r="O52" s="18">
        <f>IFERROR(N52/N329, "NA")</f>
      </c>
      <c r="P52" s="8"/>
      <c r="Q52" s="17">
        <f>IFERROR(Q8+Q9+Q11+Q13+Q14+Q15+Q16+Q17+Q18+Q21+Q22+Q23+Q24+Q25+Q26+Q27+Q28+Q29+Q32+Q33+Q34+Q35+Q36+Q39+Q40+Q41+Q42+Q43+Q44+Q45+Q46+Q47+Q48+Q49+Q50, "NA")</f>
      </c>
      <c r="R52" s="18">
        <f>IFERROR(Q52/Q329, "NA")</f>
      </c>
    </row>
    <row r="53" ht="16.5" customHeight="1">
      <c t="s" r="A53" s="7">
        <v>57</v>
      </c>
      <c r="B53" s="8"/>
      <c r="C53" s="9"/>
      <c r="D53" s="10"/>
      <c r="E53" s="8"/>
      <c r="F53" s="9"/>
      <c r="G53" s="10"/>
      <c r="H53" s="8"/>
      <c r="I53" s="9"/>
      <c r="J53" s="10"/>
      <c r="K53" s="8"/>
      <c r="L53" s="9"/>
      <c r="M53" s="10"/>
      <c r="N53" s="8"/>
      <c r="O53" s="9"/>
      <c r="P53" s="10"/>
      <c r="Q53" s="8"/>
      <c r="R53" s="9"/>
    </row>
    <row r="54" ht="16.5" customHeight="1">
      <c t="s" r="A54" s="11">
        <v>58</v>
      </c>
      <c r="B54" s="8"/>
      <c r="C54" s="9"/>
      <c r="D54" s="10"/>
      <c r="E54" s="8"/>
      <c r="F54" s="9"/>
      <c r="G54" s="10"/>
      <c r="H54" s="8"/>
      <c r="I54" s="9"/>
      <c r="J54" s="10"/>
      <c r="K54" s="8"/>
      <c r="L54" s="9"/>
      <c r="M54" s="10"/>
      <c r="N54" s="8"/>
      <c r="O54" s="9"/>
      <c r="P54" s="10"/>
      <c r="Q54" s="8"/>
      <c r="R54" s="9"/>
    </row>
    <row r="55" ht="16.5" customHeight="1">
      <c t="s" r="A55" s="12">
        <v>59</v>
      </c>
      <c r="B55" s="13">
        <v>0</v>
      </c>
      <c r="C55" s="14">
        <f>IFERROR(B55/B329, "NA")</f>
      </c>
      <c r="D55" s="15"/>
      <c r="E55" s="13">
        <v>0</v>
      </c>
      <c r="F55" s="14">
        <f>IFERROR(E55/E329, "NA")</f>
      </c>
      <c r="G55" s="15"/>
      <c r="H55" s="13">
        <v>0</v>
      </c>
      <c r="I55" s="14">
        <f>IFERROR(H55/H329, "NA")</f>
      </c>
      <c r="J55" s="15"/>
      <c r="K55" s="13">
        <v>0</v>
      </c>
      <c r="L55" s="14">
        <f>IFERROR(K55/K329, "NA")</f>
      </c>
      <c r="M55" s="15"/>
      <c r="N55" s="13">
        <v>0</v>
      </c>
      <c r="O55" s="14">
        <f>IFERROR(N55/N329, "NA")</f>
      </c>
      <c r="P55" s="15"/>
      <c r="Q55" s="13">
        <v>0</v>
      </c>
      <c r="R55" s="14">
        <f>IFERROR(Q55/Q329, "NA")</f>
      </c>
    </row>
    <row r="56" ht="16.5" customHeight="1">
      <c t="s" r="A56" s="12">
        <v>60</v>
      </c>
      <c r="B56" s="13">
        <v>3824.5700000000002</v>
      </c>
      <c r="C56" s="14">
        <f>IFERROR(B56/B329, "NA")</f>
      </c>
      <c r="D56" s="15"/>
      <c r="E56" s="13">
        <v>2813.3899999999999</v>
      </c>
      <c r="F56" s="14">
        <f>IFERROR(E56/E329, "NA")</f>
      </c>
      <c r="G56" s="15"/>
      <c r="H56" s="13">
        <v>2999.4400000000001</v>
      </c>
      <c r="I56" s="14">
        <f>IFERROR(H56/H329, "NA")</f>
      </c>
      <c r="J56" s="15"/>
      <c r="K56" s="13">
        <v>3639.0799999999999</v>
      </c>
      <c r="L56" s="14">
        <f>IFERROR(K56/K329, "NA")</f>
      </c>
      <c r="M56" s="15"/>
      <c r="N56" s="13">
        <v>3205.8899999999999</v>
      </c>
      <c r="O56" s="14">
        <f>IFERROR(N56/N329, "NA")</f>
      </c>
      <c r="P56" s="15"/>
      <c r="Q56" s="13">
        <v>0</v>
      </c>
      <c r="R56" s="14">
        <f>IFERROR(Q56/Q329, "NA")</f>
      </c>
    </row>
    <row r="57" ht="16.5" customHeight="1">
      <c t="s" r="A57" s="12">
        <v>61</v>
      </c>
      <c r="B57" s="13">
        <v>134.94</v>
      </c>
      <c r="C57" s="14">
        <f>IFERROR(B57/B329, "NA")</f>
      </c>
      <c r="D57" s="15"/>
      <c r="E57" s="13">
        <v>347.69</v>
      </c>
      <c r="F57" s="14">
        <f>IFERROR(E57/E329, "NA")</f>
      </c>
      <c r="G57" s="15"/>
      <c r="H57" s="13">
        <v>974.41999999999996</v>
      </c>
      <c r="I57" s="14">
        <f>IFERROR(H57/H329, "NA")</f>
      </c>
      <c r="J57" s="15"/>
      <c r="K57" s="13">
        <v>363.94</v>
      </c>
      <c r="L57" s="14">
        <f>IFERROR(K57/K329, "NA")</f>
      </c>
      <c r="M57" s="15"/>
      <c r="N57" s="13">
        <v>348.38</v>
      </c>
      <c r="O57" s="14">
        <f>IFERROR(N57/N329, "NA")</f>
      </c>
      <c r="P57" s="15"/>
      <c r="Q57" s="13">
        <v>0</v>
      </c>
      <c r="R57" s="14">
        <f>IFERROR(Q57/Q329, "NA")</f>
      </c>
    </row>
    <row r="58" ht="16.5" customHeight="1">
      <c t="s" r="A58" s="12">
        <v>62</v>
      </c>
      <c r="B58" s="13">
        <v>4711.7200000000003</v>
      </c>
      <c r="C58" s="14">
        <f>IFERROR(B58/B329, "NA")</f>
      </c>
      <c r="D58" s="15"/>
      <c r="E58" s="13">
        <v>4001.7600000000002</v>
      </c>
      <c r="F58" s="14">
        <f>IFERROR(E58/E329, "NA")</f>
      </c>
      <c r="G58" s="15"/>
      <c r="H58" s="13">
        <v>3690.6199999999999</v>
      </c>
      <c r="I58" s="14">
        <f>IFERROR(H58/H329, "NA")</f>
      </c>
      <c r="J58" s="15"/>
      <c r="K58" s="13">
        <v>3611.1999999999998</v>
      </c>
      <c r="L58" s="14">
        <f>IFERROR(K58/K329, "NA")</f>
      </c>
      <c r="M58" s="15"/>
      <c r="N58" s="13">
        <v>5092.3100000000004</v>
      </c>
      <c r="O58" s="14">
        <f>IFERROR(N58/N329, "NA")</f>
      </c>
      <c r="P58" s="15"/>
      <c r="Q58" s="13">
        <v>0</v>
      </c>
      <c r="R58" s="14">
        <f>IFERROR(Q58/Q329, "NA")</f>
      </c>
    </row>
    <row r="59" ht="16.5" customHeight="1">
      <c t="s" r="A59" s="12">
        <v>63</v>
      </c>
      <c r="B59" s="13">
        <v>404.31999999999999</v>
      </c>
      <c r="C59" s="14">
        <f>IFERROR(B59/B329, "NA")</f>
      </c>
      <c r="D59" s="15"/>
      <c r="E59" s="13">
        <v>524.50999999999999</v>
      </c>
      <c r="F59" s="14">
        <f>IFERROR(E59/E329, "NA")</f>
      </c>
      <c r="G59" s="15"/>
      <c r="H59" s="13">
        <v>261.67000000000002</v>
      </c>
      <c r="I59" s="14">
        <f>IFERROR(H59/H329, "NA")</f>
      </c>
      <c r="J59" s="15"/>
      <c r="K59" s="13">
        <v>175.62</v>
      </c>
      <c r="L59" s="14">
        <f>IFERROR(K59/K329, "NA")</f>
      </c>
      <c r="M59" s="15"/>
      <c r="N59" s="13">
        <v>329.30000000000001</v>
      </c>
      <c r="O59" s="14">
        <f>IFERROR(N59/N329, "NA")</f>
      </c>
      <c r="P59" s="15"/>
      <c r="Q59" s="13">
        <v>0</v>
      </c>
      <c r="R59" s="14">
        <f>IFERROR(Q59/Q329, "NA")</f>
      </c>
    </row>
    <row r="60" ht="16.5" customHeight="1">
      <c t="s" r="A60" s="12">
        <v>64</v>
      </c>
      <c r="B60" s="13">
        <v>8355.7299999999996</v>
      </c>
      <c r="C60" s="14">
        <f>IFERROR(B60/B329, "NA")</f>
      </c>
      <c r="D60" s="15"/>
      <c r="E60" s="13">
        <v>6466.0100000000002</v>
      </c>
      <c r="F60" s="14">
        <f>IFERROR(E60/E329, "NA")</f>
      </c>
      <c r="G60" s="15"/>
      <c r="H60" s="13">
        <v>5680.0299999999997</v>
      </c>
      <c r="I60" s="14">
        <f>IFERROR(H60/H329, "NA")</f>
      </c>
      <c r="J60" s="15"/>
      <c r="K60" s="13">
        <v>4710.4700000000003</v>
      </c>
      <c r="L60" s="14">
        <f>IFERROR(K60/K329, "NA")</f>
      </c>
      <c r="M60" s="15"/>
      <c r="N60" s="13">
        <v>7947.3500000000004</v>
      </c>
      <c r="O60" s="14">
        <f>IFERROR(N60/N329, "NA")</f>
      </c>
      <c r="P60" s="15"/>
      <c r="Q60" s="13">
        <v>0</v>
      </c>
      <c r="R60" s="14">
        <f>IFERROR(Q60/Q329, "NA")</f>
      </c>
    </row>
    <row r="61" ht="16.5" customHeight="1">
      <c t="s" r="A61" s="12">
        <v>65</v>
      </c>
      <c r="B61" s="13">
        <v>2434.1199999999999</v>
      </c>
      <c r="C61" s="14">
        <f>IFERROR(B61/B329, "NA")</f>
      </c>
      <c r="D61" s="15"/>
      <c r="E61" s="13">
        <v>2596.0799999999999</v>
      </c>
      <c r="F61" s="14">
        <f>IFERROR(E61/E329, "NA")</f>
      </c>
      <c r="G61" s="15"/>
      <c r="H61" s="13">
        <v>3016.5999999999999</v>
      </c>
      <c r="I61" s="14">
        <f>IFERROR(H61/H329, "NA")</f>
      </c>
      <c r="J61" s="15"/>
      <c r="K61" s="13">
        <v>1757.3599999999999</v>
      </c>
      <c r="L61" s="14">
        <f>IFERROR(K61/K329, "NA")</f>
      </c>
      <c r="M61" s="15"/>
      <c r="N61" s="13">
        <v>3594.6599999999999</v>
      </c>
      <c r="O61" s="14">
        <f>IFERROR(N61/N329, "NA")</f>
      </c>
      <c r="P61" s="15"/>
      <c r="Q61" s="13">
        <v>0</v>
      </c>
      <c r="R61" s="14">
        <f>IFERROR(Q61/Q329, "NA")</f>
      </c>
    </row>
    <row r="62" ht="16.5" customHeight="1">
      <c t="s" r="A62" s="12">
        <v>66</v>
      </c>
      <c r="B62" s="13">
        <v>102.90000000000001</v>
      </c>
      <c r="C62" s="14">
        <f>IFERROR(B62/B329, "NA")</f>
      </c>
      <c r="D62" s="15"/>
      <c r="E62" s="13">
        <v>61.520000000000003</v>
      </c>
      <c r="F62" s="14">
        <f>IFERROR(E62/E329, "NA")</f>
      </c>
      <c r="G62" s="15"/>
      <c r="H62" s="13">
        <v>23.949999999999999</v>
      </c>
      <c r="I62" s="14">
        <f>IFERROR(H62/H329, "NA")</f>
      </c>
      <c r="J62" s="15"/>
      <c r="K62" s="13">
        <v>51.689999999999998</v>
      </c>
      <c r="L62" s="14">
        <f>IFERROR(K62/K329, "NA")</f>
      </c>
      <c r="M62" s="15"/>
      <c r="N62" s="13">
        <v>69.620000000000005</v>
      </c>
      <c r="O62" s="14">
        <f>IFERROR(N62/N329, "NA")</f>
      </c>
      <c r="P62" s="15"/>
      <c r="Q62" s="13">
        <v>0</v>
      </c>
      <c r="R62" s="14">
        <f>IFERROR(Q62/Q329, "NA")</f>
      </c>
    </row>
    <row r="63" ht="16.5" customHeight="1">
      <c t="s" r="A63" s="12">
        <v>67</v>
      </c>
      <c r="B63" s="13">
        <v>1186.5</v>
      </c>
      <c r="C63" s="14">
        <f>IFERROR(B63/B329, "NA")</f>
      </c>
      <c r="D63" s="15"/>
      <c r="E63" s="13">
        <v>462.70999999999998</v>
      </c>
      <c r="F63" s="14">
        <f>IFERROR(E63/E329, "NA")</f>
      </c>
      <c r="G63" s="15"/>
      <c r="H63" s="13">
        <v>727.13</v>
      </c>
      <c r="I63" s="14">
        <f>IFERROR(H63/H329, "NA")</f>
      </c>
      <c r="J63" s="15"/>
      <c r="K63" s="13">
        <v>930.21000000000004</v>
      </c>
      <c r="L63" s="14">
        <f>IFERROR(K63/K329, "NA")</f>
      </c>
      <c r="M63" s="15"/>
      <c r="N63" s="13">
        <v>858.05999999999995</v>
      </c>
      <c r="O63" s="14">
        <f>IFERROR(N63/N329, "NA")</f>
      </c>
      <c r="P63" s="15"/>
      <c r="Q63" s="13">
        <v>0</v>
      </c>
      <c r="R63" s="14">
        <f>IFERROR(Q63/Q329, "NA")</f>
      </c>
    </row>
    <row r="64" ht="16.5" customHeight="1">
      <c t="s" r="A64" s="12">
        <v>68</v>
      </c>
      <c r="B64" s="13">
        <v>0</v>
      </c>
      <c r="C64" s="14">
        <f>IFERROR(B64/B329, "NA")</f>
      </c>
      <c r="D64" s="15"/>
      <c r="E64" s="13">
        <v>0</v>
      </c>
      <c r="F64" s="14">
        <f>IFERROR(E64/E329, "NA")</f>
      </c>
      <c r="G64" s="15"/>
      <c r="H64" s="13">
        <v>0</v>
      </c>
      <c r="I64" s="14">
        <f>IFERROR(H64/H329, "NA")</f>
      </c>
      <c r="J64" s="15"/>
      <c r="K64" s="13">
        <v>0</v>
      </c>
      <c r="L64" s="14">
        <f>IFERROR(K64/K329, "NA")</f>
      </c>
      <c r="M64" s="15"/>
      <c r="N64" s="13">
        <v>0</v>
      </c>
      <c r="O64" s="14">
        <f>IFERROR(N64/N329, "NA")</f>
      </c>
      <c r="P64" s="15"/>
      <c r="Q64" s="13">
        <v>0</v>
      </c>
      <c r="R64" s="14">
        <f>IFERROR(Q64/Q329, "NA")</f>
      </c>
    </row>
    <row r="65" ht="16.5" customHeight="1">
      <c t="s" r="A65" s="16">
        <v>69</v>
      </c>
      <c r="B65" s="17">
        <f>IFERROR(B55+B56+B57+B58+B59+B60+B61+B62+B63+B64, "NA")</f>
      </c>
      <c r="C65" s="18">
        <f>IFERROR(B65/B329, "NA")</f>
      </c>
      <c r="D65" s="8"/>
      <c r="E65" s="17">
        <f>IFERROR(E55+E56+E57+E58+E59+E60+E61+E62+E63+E64, "NA")</f>
      </c>
      <c r="F65" s="18">
        <f>IFERROR(E65/E329, "NA")</f>
      </c>
      <c r="G65" s="8"/>
      <c r="H65" s="17">
        <f>IFERROR(H55+H56+H57+H58+H59+H60+H61+H62+H63+H64, "NA")</f>
      </c>
      <c r="I65" s="18">
        <f>IFERROR(H65/H329, "NA")</f>
      </c>
      <c r="J65" s="8"/>
      <c r="K65" s="17">
        <f>IFERROR(K55+K56+K57+K58+K59+K60+K61+K62+K63+K64, "NA")</f>
      </c>
      <c r="L65" s="18">
        <f>IFERROR(K65/K329, "NA")</f>
      </c>
      <c r="M65" s="8"/>
      <c r="N65" s="17">
        <f>IFERROR(N55+N56+N57+N58+N59+N60+N61+N62+N63+N64, "NA")</f>
      </c>
      <c r="O65" s="18">
        <f>IFERROR(N65/N329, "NA")</f>
      </c>
      <c r="P65" s="8"/>
      <c r="Q65" s="17">
        <f>IFERROR(Q55+Q56+Q57+Q58+Q59+Q60+Q61+Q62+Q63+Q64, "NA")</f>
      </c>
      <c r="R65" s="18">
        <f>IFERROR(Q65/Q329, "NA")</f>
      </c>
    </row>
    <row r="66" ht="16.5" customHeight="1">
      <c t="s" r="A66" s="19">
        <v>70</v>
      </c>
      <c r="B66" s="13">
        <v>3024.8600000000001</v>
      </c>
      <c r="C66" s="14">
        <f>IFERROR(B66/B329, "NA")</f>
      </c>
      <c r="D66" s="15"/>
      <c r="E66" s="13">
        <v>1960</v>
      </c>
      <c r="F66" s="14">
        <f>IFERROR(E66/E329, "NA")</f>
      </c>
      <c r="G66" s="15"/>
      <c r="H66" s="13">
        <v>2339.6900000000001</v>
      </c>
      <c r="I66" s="14">
        <f>IFERROR(H66/H329, "NA")</f>
      </c>
      <c r="J66" s="15"/>
      <c r="K66" s="13">
        <v>2363.4400000000001</v>
      </c>
      <c r="L66" s="14">
        <f>IFERROR(K66/K329, "NA")</f>
      </c>
      <c r="M66" s="15"/>
      <c r="N66" s="13">
        <v>3010.02</v>
      </c>
      <c r="O66" s="14">
        <f>IFERROR(N66/N329, "NA")</f>
      </c>
      <c r="P66" s="15"/>
      <c r="Q66" s="13">
        <v>0</v>
      </c>
      <c r="R66" s="14">
        <f>IFERROR(Q66/Q329, "NA")</f>
      </c>
    </row>
    <row r="67" ht="16.5" customHeight="1">
      <c t="s" r="A67" s="11">
        <v>71</v>
      </c>
      <c r="B67" s="8"/>
      <c r="C67" s="9"/>
      <c r="D67" s="10"/>
      <c r="E67" s="8"/>
      <c r="F67" s="9"/>
      <c r="G67" s="10"/>
      <c r="H67" s="8"/>
      <c r="I67" s="9"/>
      <c r="J67" s="10"/>
      <c r="K67" s="8"/>
      <c r="L67" s="9"/>
      <c r="M67" s="10"/>
      <c r="N67" s="8"/>
      <c r="O67" s="9"/>
      <c r="P67" s="10"/>
      <c r="Q67" s="8"/>
      <c r="R67" s="9"/>
    </row>
    <row r="68" ht="16.5" customHeight="1">
      <c t="s" r="A68" s="12">
        <v>72</v>
      </c>
      <c r="B68" s="13">
        <v>0</v>
      </c>
      <c r="C68" s="14">
        <f>IFERROR(B68/B329, "NA")</f>
      </c>
      <c r="D68" s="15"/>
      <c r="E68" s="13">
        <v>0</v>
      </c>
      <c r="F68" s="14">
        <f>IFERROR(E68/E329, "NA")</f>
      </c>
      <c r="G68" s="15"/>
      <c r="H68" s="13">
        <v>0</v>
      </c>
      <c r="I68" s="14">
        <f>IFERROR(H68/H329, "NA")</f>
      </c>
      <c r="J68" s="15"/>
      <c r="K68" s="13">
        <v>0</v>
      </c>
      <c r="L68" s="14">
        <f>IFERROR(K68/K329, "NA")</f>
      </c>
      <c r="M68" s="15"/>
      <c r="N68" s="13">
        <v>0</v>
      </c>
      <c r="O68" s="14">
        <f>IFERROR(N68/N329, "NA")</f>
      </c>
      <c r="P68" s="15"/>
      <c r="Q68" s="13">
        <v>0</v>
      </c>
      <c r="R68" s="14">
        <f>IFERROR(Q68/Q329, "NA")</f>
      </c>
    </row>
    <row r="69" ht="16.5" customHeight="1">
      <c t="s" r="A69" s="12">
        <v>73</v>
      </c>
      <c r="B69" s="13">
        <v>48.539999999999999</v>
      </c>
      <c r="C69" s="14">
        <f>IFERROR(B69/B329, "NA")</f>
      </c>
      <c r="D69" s="15"/>
      <c r="E69" s="13">
        <v>135.69999999999999</v>
      </c>
      <c r="F69" s="14">
        <f>IFERROR(E69/E329, "NA")</f>
      </c>
      <c r="G69" s="15"/>
      <c r="H69" s="13">
        <v>0</v>
      </c>
      <c r="I69" s="14">
        <f>IFERROR(H69/H329, "NA")</f>
      </c>
      <c r="J69" s="15"/>
      <c r="K69" s="13">
        <v>0</v>
      </c>
      <c r="L69" s="14">
        <f>IFERROR(K69/K329, "NA")</f>
      </c>
      <c r="M69" s="15"/>
      <c r="N69" s="13">
        <v>236.22999999999999</v>
      </c>
      <c r="O69" s="14">
        <f>IFERROR(N69/N329, "NA")</f>
      </c>
      <c r="P69" s="15"/>
      <c r="Q69" s="13">
        <v>0</v>
      </c>
      <c r="R69" s="14">
        <f>IFERROR(Q69/Q329, "NA")</f>
      </c>
    </row>
    <row r="70" ht="16.5" customHeight="1">
      <c t="s" r="A70" s="12">
        <v>74</v>
      </c>
      <c r="B70" s="13">
        <v>0</v>
      </c>
      <c r="C70" s="14">
        <f>IFERROR(B70/B329, "NA")</f>
      </c>
      <c r="D70" s="15"/>
      <c r="E70" s="13">
        <v>0</v>
      </c>
      <c r="F70" s="14">
        <f>IFERROR(E70/E329, "NA")</f>
      </c>
      <c r="G70" s="15"/>
      <c r="H70" s="13">
        <v>0</v>
      </c>
      <c r="I70" s="14">
        <f>IFERROR(H70/H329, "NA")</f>
      </c>
      <c r="J70" s="15"/>
      <c r="K70" s="13">
        <v>5448</v>
      </c>
      <c r="L70" s="14">
        <f>IFERROR(K70/K329, "NA")</f>
      </c>
      <c r="M70" s="15"/>
      <c r="N70" s="13">
        <v>0</v>
      </c>
      <c r="O70" s="14">
        <f>IFERROR(N70/N329, "NA")</f>
      </c>
      <c r="P70" s="15"/>
      <c r="Q70" s="13">
        <v>0</v>
      </c>
      <c r="R70" s="14">
        <f>IFERROR(Q70/Q329, "NA")</f>
      </c>
    </row>
    <row r="71" ht="16.5" customHeight="1">
      <c t="s" r="A71" s="12">
        <v>75</v>
      </c>
      <c r="B71" s="13">
        <v>11034.959999999999</v>
      </c>
      <c r="C71" s="14">
        <f>IFERROR(B71/B329, "NA")</f>
      </c>
      <c r="D71" s="15"/>
      <c r="E71" s="13">
        <v>5648.46</v>
      </c>
      <c r="F71" s="14">
        <f>IFERROR(E71/E329, "NA")</f>
      </c>
      <c r="G71" s="15"/>
      <c r="H71" s="13">
        <v>12859.84</v>
      </c>
      <c r="I71" s="14">
        <f>IFERROR(H71/H329, "NA")</f>
      </c>
      <c r="J71" s="15"/>
      <c r="K71" s="13">
        <v>11914.52</v>
      </c>
      <c r="L71" s="14">
        <f>IFERROR(K71/K329, "NA")</f>
      </c>
      <c r="M71" s="15"/>
      <c r="N71" s="13">
        <v>15596.040000000001</v>
      </c>
      <c r="O71" s="14">
        <f>IFERROR(N71/N329, "NA")</f>
      </c>
      <c r="P71" s="15"/>
      <c r="Q71" s="13">
        <v>0</v>
      </c>
      <c r="R71" s="14">
        <f>IFERROR(Q71/Q329, "NA")</f>
      </c>
    </row>
    <row r="72" ht="16.5" customHeight="1">
      <c t="s" r="A72" s="12">
        <v>76</v>
      </c>
      <c r="B72" s="13">
        <v>0</v>
      </c>
      <c r="C72" s="14">
        <f>IFERROR(B72/B329, "NA")</f>
      </c>
      <c r="D72" s="15"/>
      <c r="E72" s="13">
        <v>0</v>
      </c>
      <c r="F72" s="14">
        <f>IFERROR(E72/E329, "NA")</f>
      </c>
      <c r="G72" s="15"/>
      <c r="H72" s="13">
        <v>0</v>
      </c>
      <c r="I72" s="14">
        <f>IFERROR(H72/H329, "NA")</f>
      </c>
      <c r="J72" s="15"/>
      <c r="K72" s="13">
        <v>0</v>
      </c>
      <c r="L72" s="14">
        <f>IFERROR(K72/K329, "NA")</f>
      </c>
      <c r="M72" s="15"/>
      <c r="N72" s="13">
        <v>0</v>
      </c>
      <c r="O72" s="14">
        <f>IFERROR(N72/N329, "NA")</f>
      </c>
      <c r="P72" s="15"/>
      <c r="Q72" s="13">
        <v>0</v>
      </c>
      <c r="R72" s="14">
        <f>IFERROR(Q72/Q329, "NA")</f>
      </c>
    </row>
    <row r="73" ht="16.5" customHeight="1">
      <c t="s" r="A73" s="12">
        <v>77</v>
      </c>
      <c r="B73" s="13">
        <v>17361.130000000001</v>
      </c>
      <c r="C73" s="14">
        <f>IFERROR(B73/B329, "NA")</f>
      </c>
      <c r="D73" s="15"/>
      <c r="E73" s="13">
        <v>10293.67</v>
      </c>
      <c r="F73" s="14">
        <f>IFERROR(E73/E329, "NA")</f>
      </c>
      <c r="G73" s="15"/>
      <c r="H73" s="13">
        <v>16536.580000000002</v>
      </c>
      <c r="I73" s="14">
        <f>IFERROR(H73/H329, "NA")</f>
      </c>
      <c r="J73" s="15"/>
      <c r="K73" s="13">
        <v>14999.18</v>
      </c>
      <c r="L73" s="14">
        <f>IFERROR(K73/K329, "NA")</f>
      </c>
      <c r="M73" s="15"/>
      <c r="N73" s="13">
        <v>16939.689999999999</v>
      </c>
      <c r="O73" s="14">
        <f>IFERROR(N73/N329, "NA")</f>
      </c>
      <c r="P73" s="15"/>
      <c r="Q73" s="13">
        <v>0</v>
      </c>
      <c r="R73" s="14">
        <f>IFERROR(Q73/Q329, "NA")</f>
      </c>
    </row>
    <row r="74" ht="16.5" customHeight="1">
      <c t="s" r="A74" s="12">
        <v>78</v>
      </c>
      <c r="B74" s="13">
        <v>0</v>
      </c>
      <c r="C74" s="14">
        <f>IFERROR(B74/B329, "NA")</f>
      </c>
      <c r="D74" s="15"/>
      <c r="E74" s="13">
        <v>0</v>
      </c>
      <c r="F74" s="14">
        <f>IFERROR(E74/E329, "NA")</f>
      </c>
      <c r="G74" s="15"/>
      <c r="H74" s="13">
        <v>0</v>
      </c>
      <c r="I74" s="14">
        <f>IFERROR(H74/H329, "NA")</f>
      </c>
      <c r="J74" s="15"/>
      <c r="K74" s="13">
        <v>0</v>
      </c>
      <c r="L74" s="14">
        <f>IFERROR(K74/K329, "NA")</f>
      </c>
      <c r="M74" s="15"/>
      <c r="N74" s="13">
        <v>0</v>
      </c>
      <c r="O74" s="14">
        <f>IFERROR(N74/N329, "NA")</f>
      </c>
      <c r="P74" s="15"/>
      <c r="Q74" s="13">
        <v>0</v>
      </c>
      <c r="R74" s="14">
        <f>IFERROR(Q74/Q329, "NA")</f>
      </c>
    </row>
    <row r="75" ht="16.5" customHeight="1">
      <c t="s" r="A75" s="12">
        <v>79</v>
      </c>
      <c r="B75" s="13">
        <v>2872.9299999999998</v>
      </c>
      <c r="C75" s="14">
        <f>IFERROR(B75/B329, "NA")</f>
      </c>
      <c r="D75" s="15"/>
      <c r="E75" s="13">
        <v>2333.9699999999998</v>
      </c>
      <c r="F75" s="14">
        <f>IFERROR(E75/E329, "NA")</f>
      </c>
      <c r="G75" s="15"/>
      <c r="H75" s="13">
        <v>2390.79</v>
      </c>
      <c r="I75" s="14">
        <f>IFERROR(H75/H329, "NA")</f>
      </c>
      <c r="J75" s="15"/>
      <c r="K75" s="13">
        <v>2479.3499999999999</v>
      </c>
      <c r="L75" s="14">
        <f>IFERROR(K75/K329, "NA")</f>
      </c>
      <c r="M75" s="15"/>
      <c r="N75" s="13">
        <v>2887.71</v>
      </c>
      <c r="O75" s="14">
        <f>IFERROR(N75/N329, "NA")</f>
      </c>
      <c r="P75" s="15"/>
      <c r="Q75" s="13">
        <v>0</v>
      </c>
      <c r="R75" s="14">
        <f>IFERROR(Q75/Q329, "NA")</f>
      </c>
    </row>
    <row r="76" ht="16.5" customHeight="1">
      <c t="s" r="A76" s="16">
        <v>80</v>
      </c>
      <c r="B76" s="17">
        <f>IFERROR(B68+B69+B70+B71+B72+B73+B74+B75, "NA")</f>
      </c>
      <c r="C76" s="18">
        <f>IFERROR(B76/B329, "NA")</f>
      </c>
      <c r="D76" s="8"/>
      <c r="E76" s="17">
        <f>IFERROR(E68+E69+E70+E71+E72+E73+E74+E75, "NA")</f>
      </c>
      <c r="F76" s="18">
        <f>IFERROR(E76/E329, "NA")</f>
      </c>
      <c r="G76" s="8"/>
      <c r="H76" s="17">
        <f>IFERROR(H68+H69+H70+H71+H72+H73+H74+H75, "NA")</f>
      </c>
      <c r="I76" s="18">
        <f>IFERROR(H76/H329, "NA")</f>
      </c>
      <c r="J76" s="8"/>
      <c r="K76" s="17">
        <f>IFERROR(K68+K69+K70+K71+K72+K73+K74+K75, "NA")</f>
      </c>
      <c r="L76" s="18">
        <f>IFERROR(K76/K329, "NA")</f>
      </c>
      <c r="M76" s="8"/>
      <c r="N76" s="17">
        <f>IFERROR(N68+N69+N70+N71+N72+N73+N74+N75, "NA")</f>
      </c>
      <c r="O76" s="18">
        <f>IFERROR(N76/N329, "NA")</f>
      </c>
      <c r="P76" s="8"/>
      <c r="Q76" s="17">
        <f>IFERROR(Q68+Q69+Q70+Q71+Q72+Q73+Q74+Q75, "NA")</f>
      </c>
      <c r="R76" s="18">
        <f>IFERROR(Q76/Q329, "NA")</f>
      </c>
    </row>
    <row r="77" ht="16.5" customHeight="1">
      <c t="s" r="A77" s="11">
        <v>81</v>
      </c>
      <c r="B77" s="8"/>
      <c r="C77" s="9"/>
      <c r="D77" s="10"/>
      <c r="E77" s="8"/>
      <c r="F77" s="9"/>
      <c r="G77" s="10"/>
      <c r="H77" s="8"/>
      <c r="I77" s="9"/>
      <c r="J77" s="10"/>
      <c r="K77" s="8"/>
      <c r="L77" s="9"/>
      <c r="M77" s="10"/>
      <c r="N77" s="8"/>
      <c r="O77" s="9"/>
      <c r="P77" s="10"/>
      <c r="Q77" s="8"/>
      <c r="R77" s="9"/>
    </row>
    <row r="78" ht="16.5" customHeight="1">
      <c t="s" r="A78" s="12">
        <v>82</v>
      </c>
      <c r="B78" s="13">
        <v>0</v>
      </c>
      <c r="C78" s="14">
        <f>IFERROR(B78/B329, "NA")</f>
      </c>
      <c r="D78" s="15"/>
      <c r="E78" s="13">
        <v>0</v>
      </c>
      <c r="F78" s="14">
        <f>IFERROR(E78/E329, "NA")</f>
      </c>
      <c r="G78" s="15"/>
      <c r="H78" s="13">
        <v>0</v>
      </c>
      <c r="I78" s="14">
        <f>IFERROR(H78/H329, "NA")</f>
      </c>
      <c r="J78" s="15"/>
      <c r="K78" s="13">
        <v>0</v>
      </c>
      <c r="L78" s="14">
        <f>IFERROR(K78/K329, "NA")</f>
      </c>
      <c r="M78" s="15"/>
      <c r="N78" s="13">
        <v>0</v>
      </c>
      <c r="O78" s="14">
        <f>IFERROR(N78/N329, "NA")</f>
      </c>
      <c r="P78" s="15"/>
      <c r="Q78" s="13">
        <v>0</v>
      </c>
      <c r="R78" s="14">
        <f>IFERROR(Q78/Q329, "NA")</f>
      </c>
    </row>
    <row r="79" ht="16.5" customHeight="1">
      <c t="s" r="A79" s="12">
        <v>83</v>
      </c>
      <c r="B79" s="13">
        <v>0</v>
      </c>
      <c r="C79" s="14">
        <f>IFERROR(B79/B329, "NA")</f>
      </c>
      <c r="D79" s="15"/>
      <c r="E79" s="13">
        <v>0</v>
      </c>
      <c r="F79" s="14">
        <f>IFERROR(E79/E329, "NA")</f>
      </c>
      <c r="G79" s="15"/>
      <c r="H79" s="13">
        <v>0</v>
      </c>
      <c r="I79" s="14">
        <f>IFERROR(H79/H329, "NA")</f>
      </c>
      <c r="J79" s="15"/>
      <c r="K79" s="13">
        <v>0</v>
      </c>
      <c r="L79" s="14">
        <f>IFERROR(K79/K329, "NA")</f>
      </c>
      <c r="M79" s="15"/>
      <c r="N79" s="13">
        <v>0</v>
      </c>
      <c r="O79" s="14">
        <f>IFERROR(N79/N329, "NA")</f>
      </c>
      <c r="P79" s="15"/>
      <c r="Q79" s="13">
        <v>0</v>
      </c>
      <c r="R79" s="14">
        <f>IFERROR(Q79/Q329, "NA")</f>
      </c>
    </row>
    <row r="80" ht="16.5" customHeight="1">
      <c t="s" r="A80" s="16">
        <v>84</v>
      </c>
      <c r="B80" s="17">
        <f>IFERROR(B78+B79, "NA")</f>
      </c>
      <c r="C80" s="18">
        <f>IFERROR(B80/B329, "NA")</f>
      </c>
      <c r="D80" s="8"/>
      <c r="E80" s="17">
        <f>IFERROR(E78+E79, "NA")</f>
      </c>
      <c r="F80" s="18">
        <f>IFERROR(E80/E329, "NA")</f>
      </c>
      <c r="G80" s="8"/>
      <c r="H80" s="17">
        <f>IFERROR(H78+H79, "NA")</f>
      </c>
      <c r="I80" s="18">
        <f>IFERROR(H80/H329, "NA")</f>
      </c>
      <c r="J80" s="8"/>
      <c r="K80" s="17">
        <f>IFERROR(K78+K79, "NA")</f>
      </c>
      <c r="L80" s="18">
        <f>IFERROR(K80/K329, "NA")</f>
      </c>
      <c r="M80" s="8"/>
      <c r="N80" s="17">
        <f>IFERROR(N78+N79, "NA")</f>
      </c>
      <c r="O80" s="18">
        <f>IFERROR(N80/N329, "NA")</f>
      </c>
      <c r="P80" s="8"/>
      <c r="Q80" s="17">
        <f>IFERROR(Q78+Q79, "NA")</f>
      </c>
      <c r="R80" s="18">
        <f>IFERROR(Q80/Q329, "NA")</f>
      </c>
    </row>
    <row r="81" ht="16.5" customHeight="1">
      <c t="s" r="A81" s="11">
        <v>85</v>
      </c>
      <c r="B81" s="8"/>
      <c r="C81" s="9"/>
      <c r="D81" s="10"/>
      <c r="E81" s="8"/>
      <c r="F81" s="9"/>
      <c r="G81" s="10"/>
      <c r="H81" s="8"/>
      <c r="I81" s="9"/>
      <c r="J81" s="10"/>
      <c r="K81" s="8"/>
      <c r="L81" s="9"/>
      <c r="M81" s="10"/>
      <c r="N81" s="8"/>
      <c r="O81" s="9"/>
      <c r="P81" s="10"/>
      <c r="Q81" s="8"/>
      <c r="R81" s="9"/>
    </row>
    <row r="82" ht="16.5" customHeight="1">
      <c t="s" r="A82" s="12">
        <v>86</v>
      </c>
      <c r="B82" s="13">
        <v>0</v>
      </c>
      <c r="C82" s="14">
        <f>IFERROR(B82/B329, "NA")</f>
      </c>
      <c r="D82" s="15"/>
      <c r="E82" s="13">
        <v>0</v>
      </c>
      <c r="F82" s="14">
        <f>IFERROR(E82/E329, "NA")</f>
      </c>
      <c r="G82" s="15"/>
      <c r="H82" s="13">
        <v>0</v>
      </c>
      <c r="I82" s="14">
        <f>IFERROR(H82/H329, "NA")</f>
      </c>
      <c r="J82" s="15"/>
      <c r="K82" s="13">
        <v>0</v>
      </c>
      <c r="L82" s="14">
        <f>IFERROR(K82/K329, "NA")</f>
      </c>
      <c r="M82" s="15"/>
      <c r="N82" s="13">
        <v>0</v>
      </c>
      <c r="O82" s="14">
        <f>IFERROR(N82/N329, "NA")</f>
      </c>
      <c r="P82" s="15"/>
      <c r="Q82" s="13">
        <v>0</v>
      </c>
      <c r="R82" s="14">
        <f>IFERROR(Q82/Q329, "NA")</f>
      </c>
    </row>
    <row r="83" ht="16.5" customHeight="1">
      <c t="s" r="A83" s="21">
        <v>87</v>
      </c>
      <c r="B83" s="8"/>
      <c r="C83" s="9"/>
      <c r="D83" s="10"/>
      <c r="E83" s="8"/>
      <c r="F83" s="9"/>
      <c r="G83" s="10"/>
      <c r="H83" s="8"/>
      <c r="I83" s="9"/>
      <c r="J83" s="10"/>
      <c r="K83" s="8"/>
      <c r="L83" s="9"/>
      <c r="M83" s="10"/>
      <c r="N83" s="8"/>
      <c r="O83" s="9"/>
      <c r="P83" s="10"/>
      <c r="Q83" s="8"/>
      <c r="R83" s="9"/>
    </row>
    <row r="84" ht="16.5" customHeight="1">
      <c t="s" r="A84" s="22">
        <v>88</v>
      </c>
      <c r="B84" s="13">
        <v>0</v>
      </c>
      <c r="C84" s="14">
        <f>IFERROR(B84/B329, "NA")</f>
      </c>
      <c r="D84" s="15"/>
      <c r="E84" s="13">
        <v>0</v>
      </c>
      <c r="F84" s="14">
        <f>IFERROR(E84/E329, "NA")</f>
      </c>
      <c r="G84" s="15"/>
      <c r="H84" s="13">
        <v>0</v>
      </c>
      <c r="I84" s="14">
        <f>IFERROR(H84/H329, "NA")</f>
      </c>
      <c r="J84" s="15"/>
      <c r="K84" s="13">
        <v>0</v>
      </c>
      <c r="L84" s="14">
        <f>IFERROR(K84/K329, "NA")</f>
      </c>
      <c r="M84" s="15"/>
      <c r="N84" s="13">
        <v>0</v>
      </c>
      <c r="O84" s="14">
        <f>IFERROR(N84/N329, "NA")</f>
      </c>
      <c r="P84" s="15"/>
      <c r="Q84" s="13">
        <v>0</v>
      </c>
      <c r="R84" s="14">
        <f>IFERROR(Q84/Q329, "NA")</f>
      </c>
    </row>
    <row r="85" ht="16.5" customHeight="1">
      <c t="s" r="A85" s="22">
        <v>89</v>
      </c>
      <c r="B85" s="13">
        <v>3903.5700000000002</v>
      </c>
      <c r="C85" s="14">
        <f>IFERROR(B85/B329, "NA")</f>
      </c>
      <c r="D85" s="15"/>
      <c r="E85" s="13">
        <v>3242.6599999999999</v>
      </c>
      <c r="F85" s="14">
        <f>IFERROR(E85/E329, "NA")</f>
      </c>
      <c r="G85" s="15"/>
      <c r="H85" s="13">
        <v>3014.3000000000002</v>
      </c>
      <c r="I85" s="14">
        <f>IFERROR(H85/H329, "NA")</f>
      </c>
      <c r="J85" s="15"/>
      <c r="K85" s="13">
        <v>3541.1100000000001</v>
      </c>
      <c r="L85" s="14">
        <f>IFERROR(K85/K329, "NA")</f>
      </c>
      <c r="M85" s="15"/>
      <c r="N85" s="13">
        <v>3976.6100000000001</v>
      </c>
      <c r="O85" s="14">
        <f>IFERROR(N85/N329, "NA")</f>
      </c>
      <c r="P85" s="15"/>
      <c r="Q85" s="13">
        <v>4934.3500000000004</v>
      </c>
      <c r="R85" s="14">
        <f>IFERROR(Q85/Q329, "NA")</f>
      </c>
    </row>
    <row r="86" ht="16.5" customHeight="1">
      <c t="s" r="A86" s="22">
        <v>90</v>
      </c>
      <c r="B86" s="13">
        <v>1879.7</v>
      </c>
      <c r="C86" s="14">
        <f>IFERROR(B86/B329, "NA")</f>
      </c>
      <c r="D86" s="15"/>
      <c r="E86" s="13">
        <v>1375.54</v>
      </c>
      <c r="F86" s="14">
        <f>IFERROR(E86/E329, "NA")</f>
      </c>
      <c r="G86" s="15"/>
      <c r="H86" s="13">
        <v>1602.99</v>
      </c>
      <c r="I86" s="14">
        <f>IFERROR(H86/H329, "NA")</f>
      </c>
      <c r="J86" s="15"/>
      <c r="K86" s="13">
        <v>1662.3900000000001</v>
      </c>
      <c r="L86" s="14">
        <f>IFERROR(K86/K329, "NA")</f>
      </c>
      <c r="M86" s="15"/>
      <c r="N86" s="13">
        <v>1362.2</v>
      </c>
      <c r="O86" s="14">
        <f>IFERROR(N86/N329, "NA")</f>
      </c>
      <c r="P86" s="15"/>
      <c r="Q86" s="13">
        <v>1491.01</v>
      </c>
      <c r="R86" s="14">
        <f>IFERROR(Q86/Q329, "NA")</f>
      </c>
    </row>
    <row r="87" ht="16.5" customHeight="1">
      <c t="s" r="A87" s="22">
        <v>91</v>
      </c>
      <c r="B87" s="13">
        <v>0</v>
      </c>
      <c r="C87" s="14">
        <f>IFERROR(B87/B329, "NA")</f>
      </c>
      <c r="D87" s="15"/>
      <c r="E87" s="13">
        <v>0</v>
      </c>
      <c r="F87" s="14">
        <f>IFERROR(E87/E329, "NA")</f>
      </c>
      <c r="G87" s="15"/>
      <c r="H87" s="13">
        <v>0</v>
      </c>
      <c r="I87" s="14">
        <f>IFERROR(H87/H329, "NA")</f>
      </c>
      <c r="J87" s="15"/>
      <c r="K87" s="13">
        <v>0</v>
      </c>
      <c r="L87" s="14">
        <f>IFERROR(K87/K329, "NA")</f>
      </c>
      <c r="M87" s="15"/>
      <c r="N87" s="13">
        <v>0</v>
      </c>
      <c r="O87" s="14">
        <f>IFERROR(N87/N329, "NA")</f>
      </c>
      <c r="P87" s="15"/>
      <c r="Q87" s="13">
        <v>0</v>
      </c>
      <c r="R87" s="14">
        <f>IFERROR(Q87/Q329, "NA")</f>
      </c>
    </row>
    <row r="88" ht="16.5" customHeight="1">
      <c t="s" r="A88" s="22">
        <v>92</v>
      </c>
      <c r="B88" s="13">
        <v>3868.02</v>
      </c>
      <c r="C88" s="14">
        <f>IFERROR(B88/B329, "NA")</f>
      </c>
      <c r="D88" s="15"/>
      <c r="E88" s="13">
        <v>3422.48</v>
      </c>
      <c r="F88" s="14">
        <f>IFERROR(E88/E329, "NA")</f>
      </c>
      <c r="G88" s="15"/>
      <c r="H88" s="13">
        <v>2920.3299999999999</v>
      </c>
      <c r="I88" s="14">
        <f>IFERROR(H88/H329, "NA")</f>
      </c>
      <c r="J88" s="15"/>
      <c r="K88" s="13">
        <v>2935.8400000000001</v>
      </c>
      <c r="L88" s="14">
        <f>IFERROR(K88/K329, "NA")</f>
      </c>
      <c r="M88" s="15"/>
      <c r="N88" s="13">
        <v>4280.2200000000003</v>
      </c>
      <c r="O88" s="14">
        <f>IFERROR(N88/N329, "NA")</f>
      </c>
      <c r="P88" s="15"/>
      <c r="Q88" s="13">
        <v>3334.1700000000001</v>
      </c>
      <c r="R88" s="14">
        <f>IFERROR(Q88/Q329, "NA")</f>
      </c>
    </row>
    <row r="89" ht="16.5" customHeight="1">
      <c t="s" r="A89" s="22">
        <v>93</v>
      </c>
      <c r="B89" s="13">
        <v>0</v>
      </c>
      <c r="C89" s="14">
        <f>IFERROR(B89/B329, "NA")</f>
      </c>
      <c r="D89" s="15"/>
      <c r="E89" s="13">
        <v>0</v>
      </c>
      <c r="F89" s="14">
        <f>IFERROR(E89/E329, "NA")</f>
      </c>
      <c r="G89" s="15"/>
      <c r="H89" s="13">
        <v>0</v>
      </c>
      <c r="I89" s="14">
        <f>IFERROR(H89/H329, "NA")</f>
      </c>
      <c r="J89" s="15"/>
      <c r="K89" s="13">
        <v>0</v>
      </c>
      <c r="L89" s="14">
        <f>IFERROR(K89/K329, "NA")</f>
      </c>
      <c r="M89" s="15"/>
      <c r="N89" s="13">
        <v>0</v>
      </c>
      <c r="O89" s="14">
        <f>IFERROR(N89/N329, "NA")</f>
      </c>
      <c r="P89" s="15"/>
      <c r="Q89" s="13">
        <v>0</v>
      </c>
      <c r="R89" s="14">
        <f>IFERROR(Q89/Q329, "NA")</f>
      </c>
    </row>
    <row r="90" ht="16.5" customHeight="1">
      <c t="s" r="A90" s="22">
        <v>94</v>
      </c>
      <c r="B90" s="13">
        <v>0</v>
      </c>
      <c r="C90" s="14">
        <f>IFERROR(B90/B329, "NA")</f>
      </c>
      <c r="D90" s="15"/>
      <c r="E90" s="13">
        <v>0</v>
      </c>
      <c r="F90" s="14">
        <f>IFERROR(E90/E329, "NA")</f>
      </c>
      <c r="G90" s="15"/>
      <c r="H90" s="13">
        <v>0</v>
      </c>
      <c r="I90" s="14">
        <f>IFERROR(H90/H329, "NA")</f>
      </c>
      <c r="J90" s="15"/>
      <c r="K90" s="13">
        <v>0</v>
      </c>
      <c r="L90" s="14">
        <f>IFERROR(K90/K329, "NA")</f>
      </c>
      <c r="M90" s="15"/>
      <c r="N90" s="13">
        <v>0</v>
      </c>
      <c r="O90" s="14">
        <f>IFERROR(N90/N329, "NA")</f>
      </c>
      <c r="P90" s="15"/>
      <c r="Q90" s="13">
        <v>0</v>
      </c>
      <c r="R90" s="14">
        <f>IFERROR(Q90/Q329, "NA")</f>
      </c>
    </row>
    <row r="91" ht="16.5" customHeight="1">
      <c t="s" r="A91" s="22">
        <v>95</v>
      </c>
      <c r="B91" s="13">
        <v>0</v>
      </c>
      <c r="C91" s="14">
        <f>IFERROR(B91/B329, "NA")</f>
      </c>
      <c r="D91" s="15"/>
      <c r="E91" s="13">
        <v>0</v>
      </c>
      <c r="F91" s="14">
        <f>IFERROR(E91/E329, "NA")</f>
      </c>
      <c r="G91" s="15"/>
      <c r="H91" s="13">
        <v>0</v>
      </c>
      <c r="I91" s="14">
        <f>IFERROR(H91/H329, "NA")</f>
      </c>
      <c r="J91" s="15"/>
      <c r="K91" s="13">
        <v>0</v>
      </c>
      <c r="L91" s="14">
        <f>IFERROR(K91/K329, "NA")</f>
      </c>
      <c r="M91" s="15"/>
      <c r="N91" s="13">
        <v>0</v>
      </c>
      <c r="O91" s="14">
        <f>IFERROR(N91/N329, "NA")</f>
      </c>
      <c r="P91" s="15"/>
      <c r="Q91" s="13">
        <v>0</v>
      </c>
      <c r="R91" s="14">
        <f>IFERROR(Q91/Q329, "NA")</f>
      </c>
    </row>
    <row r="92" ht="16.5" customHeight="1">
      <c t="s" r="A92" s="22">
        <v>96</v>
      </c>
      <c r="B92" s="13">
        <v>2649.6300000000001</v>
      </c>
      <c r="C92" s="14">
        <f>IFERROR(B92/B329, "NA")</f>
      </c>
      <c r="D92" s="15"/>
      <c r="E92" s="13">
        <v>2238.7199999999998</v>
      </c>
      <c r="F92" s="14">
        <f>IFERROR(E92/E329, "NA")</f>
      </c>
      <c r="G92" s="15"/>
      <c r="H92" s="13">
        <v>2284.0999999999999</v>
      </c>
      <c r="I92" s="14">
        <f>IFERROR(H92/H329, "NA")</f>
      </c>
      <c r="J92" s="15"/>
      <c r="K92" s="13">
        <v>2228.21</v>
      </c>
      <c r="L92" s="14">
        <f>IFERROR(K92/K329, "NA")</f>
      </c>
      <c r="M92" s="15"/>
      <c r="N92" s="13">
        <v>2562.1599999999999</v>
      </c>
      <c r="O92" s="14">
        <f>IFERROR(N92/N329, "NA")</f>
      </c>
      <c r="P92" s="15"/>
      <c r="Q92" s="13">
        <v>2707.1100000000001</v>
      </c>
      <c r="R92" s="14">
        <f>IFERROR(Q92/Q329, "NA")</f>
      </c>
    </row>
    <row r="93" ht="16.5" customHeight="1">
      <c t="s" r="A93" s="22">
        <v>97</v>
      </c>
      <c r="B93" s="13">
        <v>0</v>
      </c>
      <c r="C93" s="14">
        <f>IFERROR(B93/B329, "NA")</f>
      </c>
      <c r="D93" s="15"/>
      <c r="E93" s="13">
        <v>0</v>
      </c>
      <c r="F93" s="14">
        <f>IFERROR(E93/E329, "NA")</f>
      </c>
      <c r="G93" s="15"/>
      <c r="H93" s="13">
        <v>0</v>
      </c>
      <c r="I93" s="14">
        <f>IFERROR(H93/H329, "NA")</f>
      </c>
      <c r="J93" s="15"/>
      <c r="K93" s="13">
        <v>0</v>
      </c>
      <c r="L93" s="14">
        <f>IFERROR(K93/K329, "NA")</f>
      </c>
      <c r="M93" s="15"/>
      <c r="N93" s="13">
        <v>0</v>
      </c>
      <c r="O93" s="14">
        <f>IFERROR(N93/N329, "NA")</f>
      </c>
      <c r="P93" s="15"/>
      <c r="Q93" s="13">
        <v>0</v>
      </c>
      <c r="R93" s="14">
        <f>IFERROR(Q93/Q329, "NA")</f>
      </c>
    </row>
    <row r="94" ht="16.5" customHeight="1">
      <c t="s" r="A94" s="22">
        <v>98</v>
      </c>
      <c r="B94" s="13">
        <v>0</v>
      </c>
      <c r="C94" s="14">
        <f>IFERROR(B94/B329, "NA")</f>
      </c>
      <c r="D94" s="15"/>
      <c r="E94" s="13">
        <v>0</v>
      </c>
      <c r="F94" s="14">
        <f>IFERROR(E94/E329, "NA")</f>
      </c>
      <c r="G94" s="15"/>
      <c r="H94" s="13">
        <v>0</v>
      </c>
      <c r="I94" s="14">
        <f>IFERROR(H94/H329, "NA")</f>
      </c>
      <c r="J94" s="15"/>
      <c r="K94" s="13">
        <v>0</v>
      </c>
      <c r="L94" s="14">
        <f>IFERROR(K94/K329, "NA")</f>
      </c>
      <c r="M94" s="15"/>
      <c r="N94" s="13">
        <v>0</v>
      </c>
      <c r="O94" s="14">
        <f>IFERROR(N94/N329, "NA")</f>
      </c>
      <c r="P94" s="15"/>
      <c r="Q94" s="13">
        <v>0</v>
      </c>
      <c r="R94" s="14">
        <f>IFERROR(Q94/Q329, "NA")</f>
      </c>
    </row>
    <row r="95" ht="16.5" customHeight="1">
      <c t="s" r="A95" s="22">
        <v>99</v>
      </c>
      <c r="B95" s="13">
        <v>0</v>
      </c>
      <c r="C95" s="14">
        <f>IFERROR(B95/B329, "NA")</f>
      </c>
      <c r="D95" s="15"/>
      <c r="E95" s="13">
        <v>0</v>
      </c>
      <c r="F95" s="14">
        <f>IFERROR(E95/E329, "NA")</f>
      </c>
      <c r="G95" s="15"/>
      <c r="H95" s="13">
        <v>0</v>
      </c>
      <c r="I95" s="14">
        <f>IFERROR(H95/H329, "NA")</f>
      </c>
      <c r="J95" s="15"/>
      <c r="K95" s="13">
        <v>0</v>
      </c>
      <c r="L95" s="14">
        <f>IFERROR(K95/K329, "NA")</f>
      </c>
      <c r="M95" s="15"/>
      <c r="N95" s="13">
        <v>0</v>
      </c>
      <c r="O95" s="14">
        <f>IFERROR(N95/N329, "NA")</f>
      </c>
      <c r="P95" s="15"/>
      <c r="Q95" s="13">
        <v>0</v>
      </c>
      <c r="R95" s="14">
        <f>IFERROR(Q95/Q329, "NA")</f>
      </c>
    </row>
    <row r="96" ht="16.5" customHeight="1">
      <c t="s" r="A96" s="22">
        <v>100</v>
      </c>
      <c r="B96" s="13">
        <v>0</v>
      </c>
      <c r="C96" s="14">
        <f>IFERROR(B96/B329, "NA")</f>
      </c>
      <c r="D96" s="15"/>
      <c r="E96" s="13">
        <v>0</v>
      </c>
      <c r="F96" s="14">
        <f>IFERROR(E96/E329, "NA")</f>
      </c>
      <c r="G96" s="15"/>
      <c r="H96" s="13">
        <v>0</v>
      </c>
      <c r="I96" s="14">
        <f>IFERROR(H96/H329, "NA")</f>
      </c>
      <c r="J96" s="15"/>
      <c r="K96" s="13">
        <v>0</v>
      </c>
      <c r="L96" s="14">
        <f>IFERROR(K96/K329, "NA")</f>
      </c>
      <c r="M96" s="15"/>
      <c r="N96" s="13">
        <v>0</v>
      </c>
      <c r="O96" s="14">
        <f>IFERROR(N96/N329, "NA")</f>
      </c>
      <c r="P96" s="15"/>
      <c r="Q96" s="13">
        <v>0</v>
      </c>
      <c r="R96" s="14">
        <f>IFERROR(Q96/Q329, "NA")</f>
      </c>
    </row>
    <row r="97" ht="16.5" customHeight="1">
      <c t="s" r="A97" s="22">
        <v>101</v>
      </c>
      <c r="B97" s="13">
        <v>1895.55</v>
      </c>
      <c r="C97" s="14">
        <f>IFERROR(B97/B329, "NA")</f>
      </c>
      <c r="D97" s="15"/>
      <c r="E97" s="13">
        <v>1107.2</v>
      </c>
      <c r="F97" s="14">
        <f>IFERROR(E97/E329, "NA")</f>
      </c>
      <c r="G97" s="15"/>
      <c r="H97" s="13">
        <v>1324.53</v>
      </c>
      <c r="I97" s="14">
        <f>IFERROR(H97/H329, "NA")</f>
      </c>
      <c r="J97" s="15"/>
      <c r="K97" s="13">
        <v>1310.47</v>
      </c>
      <c r="L97" s="14">
        <f>IFERROR(K97/K329, "NA")</f>
      </c>
      <c r="M97" s="15"/>
      <c r="N97" s="13">
        <v>1601.3299999999999</v>
      </c>
      <c r="O97" s="14">
        <f>IFERROR(N97/N329, "NA")</f>
      </c>
      <c r="P97" s="15"/>
      <c r="Q97" s="13">
        <v>636</v>
      </c>
      <c r="R97" s="14">
        <f>IFERROR(Q97/Q329, "NA")</f>
      </c>
    </row>
    <row r="98" ht="16.5" customHeight="1">
      <c t="s" r="A98" s="22">
        <v>102</v>
      </c>
      <c r="B98" s="13">
        <v>1550</v>
      </c>
      <c r="C98" s="14">
        <f>IFERROR(B98/B329, "NA")</f>
      </c>
      <c r="D98" s="15"/>
      <c r="E98" s="13">
        <v>1108</v>
      </c>
      <c r="F98" s="14">
        <f>IFERROR(E98/E329, "NA")</f>
      </c>
      <c r="G98" s="15"/>
      <c r="H98" s="13">
        <v>1704</v>
      </c>
      <c r="I98" s="14">
        <f>IFERROR(H98/H329, "NA")</f>
      </c>
      <c r="J98" s="15"/>
      <c r="K98" s="13">
        <v>1457</v>
      </c>
      <c r="L98" s="14">
        <f>IFERROR(K98/K329, "NA")</f>
      </c>
      <c r="M98" s="15"/>
      <c r="N98" s="13">
        <v>1721</v>
      </c>
      <c r="O98" s="14">
        <f>IFERROR(N98/N329, "NA")</f>
      </c>
      <c r="P98" s="15"/>
      <c r="Q98" s="13">
        <v>0</v>
      </c>
      <c r="R98" s="14">
        <f>IFERROR(Q98/Q329, "NA")</f>
      </c>
    </row>
    <row r="99" ht="16.5" customHeight="1">
      <c t="s" r="A99" s="22">
        <v>103</v>
      </c>
      <c r="B99" s="13">
        <v>0</v>
      </c>
      <c r="C99" s="14">
        <f>IFERROR(B99/B329, "NA")</f>
      </c>
      <c r="D99" s="15"/>
      <c r="E99" s="13">
        <v>0</v>
      </c>
      <c r="F99" s="14">
        <f>IFERROR(E99/E329, "NA")</f>
      </c>
      <c r="G99" s="15"/>
      <c r="H99" s="13">
        <v>0</v>
      </c>
      <c r="I99" s="14">
        <f>IFERROR(H99/H329, "NA")</f>
      </c>
      <c r="J99" s="15"/>
      <c r="K99" s="13">
        <v>0</v>
      </c>
      <c r="L99" s="14">
        <f>IFERROR(K99/K329, "NA")</f>
      </c>
      <c r="M99" s="15"/>
      <c r="N99" s="13">
        <v>0</v>
      </c>
      <c r="O99" s="14">
        <f>IFERROR(N99/N329, "NA")</f>
      </c>
      <c r="P99" s="15"/>
      <c r="Q99" s="13">
        <v>0</v>
      </c>
      <c r="R99" s="14">
        <f>IFERROR(Q99/Q329, "NA")</f>
      </c>
    </row>
    <row r="100" ht="16.5" customHeight="1">
      <c t="s" r="A100" s="22">
        <v>104</v>
      </c>
      <c r="B100" s="13">
        <v>0</v>
      </c>
      <c r="C100" s="14">
        <f>IFERROR(B100/B329, "NA")</f>
      </c>
      <c r="D100" s="15"/>
      <c r="E100" s="13">
        <v>0</v>
      </c>
      <c r="F100" s="14">
        <f>IFERROR(E100/E329, "NA")</f>
      </c>
      <c r="G100" s="15"/>
      <c r="H100" s="13">
        <v>0</v>
      </c>
      <c r="I100" s="14">
        <f>IFERROR(H100/H329, "NA")</f>
      </c>
      <c r="J100" s="15"/>
      <c r="K100" s="13">
        <v>0</v>
      </c>
      <c r="L100" s="14">
        <f>IFERROR(K100/K329, "NA")</f>
      </c>
      <c r="M100" s="15"/>
      <c r="N100" s="13">
        <v>0</v>
      </c>
      <c r="O100" s="14">
        <f>IFERROR(N100/N329, "NA")</f>
      </c>
      <c r="P100" s="15"/>
      <c r="Q100" s="13">
        <v>0</v>
      </c>
      <c r="R100" s="14">
        <f>IFERROR(Q100/Q329, "NA")</f>
      </c>
    </row>
    <row r="101" ht="16.5" customHeight="1">
      <c t="s" r="A101" s="22">
        <v>105</v>
      </c>
      <c r="B101" s="13">
        <v>0</v>
      </c>
      <c r="C101" s="14">
        <f>IFERROR(B101/B329, "NA")</f>
      </c>
      <c r="D101" s="15"/>
      <c r="E101" s="13">
        <v>0</v>
      </c>
      <c r="F101" s="14">
        <f>IFERROR(E101/E329, "NA")</f>
      </c>
      <c r="G101" s="15"/>
      <c r="H101" s="13">
        <v>0</v>
      </c>
      <c r="I101" s="14">
        <f>IFERROR(H101/H329, "NA")</f>
      </c>
      <c r="J101" s="15"/>
      <c r="K101" s="13">
        <v>0</v>
      </c>
      <c r="L101" s="14">
        <f>IFERROR(K101/K329, "NA")</f>
      </c>
      <c r="M101" s="15"/>
      <c r="N101" s="13">
        <v>0</v>
      </c>
      <c r="O101" s="14">
        <f>IFERROR(N101/N329, "NA")</f>
      </c>
      <c r="P101" s="15"/>
      <c r="Q101" s="13">
        <v>0</v>
      </c>
      <c r="R101" s="14">
        <f>IFERROR(Q101/Q329, "NA")</f>
      </c>
    </row>
    <row r="102" ht="16.5" customHeight="1">
      <c t="s" r="A102" s="22">
        <v>106</v>
      </c>
      <c r="B102" s="13">
        <v>0</v>
      </c>
      <c r="C102" s="14">
        <f>IFERROR(B102/B329, "NA")</f>
      </c>
      <c r="D102" s="15"/>
      <c r="E102" s="13">
        <v>0</v>
      </c>
      <c r="F102" s="14">
        <f>IFERROR(E102/E329, "NA")</f>
      </c>
      <c r="G102" s="15"/>
      <c r="H102" s="13">
        <v>0</v>
      </c>
      <c r="I102" s="14">
        <f>IFERROR(H102/H329, "NA")</f>
      </c>
      <c r="J102" s="15"/>
      <c r="K102" s="13">
        <v>0</v>
      </c>
      <c r="L102" s="14">
        <f>IFERROR(K102/K329, "NA")</f>
      </c>
      <c r="M102" s="15"/>
      <c r="N102" s="13">
        <v>0</v>
      </c>
      <c r="O102" s="14">
        <f>IFERROR(N102/N329, "NA")</f>
      </c>
      <c r="P102" s="15"/>
      <c r="Q102" s="13">
        <v>0</v>
      </c>
      <c r="R102" s="14">
        <f>IFERROR(Q102/Q329, "NA")</f>
      </c>
    </row>
    <row r="103" ht="16.5" customHeight="1">
      <c t="s" r="A103" s="22">
        <v>107</v>
      </c>
      <c r="B103" s="13">
        <v>0</v>
      </c>
      <c r="C103" s="14">
        <f>IFERROR(B103/B329, "NA")</f>
      </c>
      <c r="D103" s="15"/>
      <c r="E103" s="13">
        <v>0</v>
      </c>
      <c r="F103" s="14">
        <f>IFERROR(E103/E329, "NA")</f>
      </c>
      <c r="G103" s="15"/>
      <c r="H103" s="13">
        <v>0</v>
      </c>
      <c r="I103" s="14">
        <f>IFERROR(H103/H329, "NA")</f>
      </c>
      <c r="J103" s="15"/>
      <c r="K103" s="13">
        <v>0</v>
      </c>
      <c r="L103" s="14">
        <f>IFERROR(K103/K329, "NA")</f>
      </c>
      <c r="M103" s="15"/>
      <c r="N103" s="13">
        <v>0</v>
      </c>
      <c r="O103" s="14">
        <f>IFERROR(N103/N329, "NA")</f>
      </c>
      <c r="P103" s="15"/>
      <c r="Q103" s="13">
        <v>0</v>
      </c>
      <c r="R103" s="14">
        <f>IFERROR(Q103/Q329, "NA")</f>
      </c>
    </row>
    <row r="104" ht="16.5" customHeight="1">
      <c t="s" r="A104" s="22">
        <v>108</v>
      </c>
      <c r="B104" s="13">
        <v>0</v>
      </c>
      <c r="C104" s="14">
        <f>IFERROR(B104/B329, "NA")</f>
      </c>
      <c r="D104" s="15"/>
      <c r="E104" s="13">
        <v>0</v>
      </c>
      <c r="F104" s="14">
        <f>IFERROR(E104/E329, "NA")</f>
      </c>
      <c r="G104" s="15"/>
      <c r="H104" s="13">
        <v>0</v>
      </c>
      <c r="I104" s="14">
        <f>IFERROR(H104/H329, "NA")</f>
      </c>
      <c r="J104" s="15"/>
      <c r="K104" s="13">
        <v>0</v>
      </c>
      <c r="L104" s="14">
        <f>IFERROR(K104/K329, "NA")</f>
      </c>
      <c r="M104" s="15"/>
      <c r="N104" s="13">
        <v>0</v>
      </c>
      <c r="O104" s="14">
        <f>IFERROR(N104/N329, "NA")</f>
      </c>
      <c r="P104" s="15"/>
      <c r="Q104" s="13">
        <v>0</v>
      </c>
      <c r="R104" s="14">
        <f>IFERROR(Q104/Q329, "NA")</f>
      </c>
    </row>
    <row r="105" ht="16.5" customHeight="1">
      <c t="s" r="A105" s="22">
        <v>109</v>
      </c>
      <c r="B105" s="13">
        <v>0</v>
      </c>
      <c r="C105" s="14">
        <f>IFERROR(B105/B329, "NA")</f>
      </c>
      <c r="D105" s="15"/>
      <c r="E105" s="13">
        <v>0</v>
      </c>
      <c r="F105" s="14">
        <f>IFERROR(E105/E329, "NA")</f>
      </c>
      <c r="G105" s="15"/>
      <c r="H105" s="13">
        <v>0</v>
      </c>
      <c r="I105" s="14">
        <f>IFERROR(H105/H329, "NA")</f>
      </c>
      <c r="J105" s="15"/>
      <c r="K105" s="13">
        <v>0</v>
      </c>
      <c r="L105" s="14">
        <f>IFERROR(K105/K329, "NA")</f>
      </c>
      <c r="M105" s="15"/>
      <c r="N105" s="13">
        <v>0</v>
      </c>
      <c r="O105" s="14">
        <f>IFERROR(N105/N329, "NA")</f>
      </c>
      <c r="P105" s="15"/>
      <c r="Q105" s="13">
        <v>0</v>
      </c>
      <c r="R105" s="14">
        <f>IFERROR(Q105/Q329, "NA")</f>
      </c>
    </row>
    <row r="106" ht="16.5" customHeight="1">
      <c t="s" r="A106" s="22">
        <v>110</v>
      </c>
      <c r="B106" s="13">
        <v>0</v>
      </c>
      <c r="C106" s="14">
        <f>IFERROR(B106/B329, "NA")</f>
      </c>
      <c r="D106" s="15"/>
      <c r="E106" s="13">
        <v>0</v>
      </c>
      <c r="F106" s="14">
        <f>IFERROR(E106/E329, "NA")</f>
      </c>
      <c r="G106" s="15"/>
      <c r="H106" s="13">
        <v>0</v>
      </c>
      <c r="I106" s="14">
        <f>IFERROR(H106/H329, "NA")</f>
      </c>
      <c r="J106" s="15"/>
      <c r="K106" s="13">
        <v>0</v>
      </c>
      <c r="L106" s="14">
        <f>IFERROR(K106/K329, "NA")</f>
      </c>
      <c r="M106" s="15"/>
      <c r="N106" s="13">
        <v>0</v>
      </c>
      <c r="O106" s="14">
        <f>IFERROR(N106/N329, "NA")</f>
      </c>
      <c r="P106" s="15"/>
      <c r="Q106" s="13">
        <v>0</v>
      </c>
      <c r="R106" s="14">
        <f>IFERROR(Q106/Q329, "NA")</f>
      </c>
    </row>
    <row r="107" ht="16.5" customHeight="1">
      <c t="s" r="A107" s="22">
        <v>111</v>
      </c>
      <c r="B107" s="13">
        <v>0</v>
      </c>
      <c r="C107" s="14">
        <f>IFERROR(B107/B329, "NA")</f>
      </c>
      <c r="D107" s="15"/>
      <c r="E107" s="13">
        <v>0</v>
      </c>
      <c r="F107" s="14">
        <f>IFERROR(E107/E329, "NA")</f>
      </c>
      <c r="G107" s="15"/>
      <c r="H107" s="13">
        <v>0</v>
      </c>
      <c r="I107" s="14">
        <f>IFERROR(H107/H329, "NA")</f>
      </c>
      <c r="J107" s="15"/>
      <c r="K107" s="13">
        <v>0</v>
      </c>
      <c r="L107" s="14">
        <f>IFERROR(K107/K329, "NA")</f>
      </c>
      <c r="M107" s="15"/>
      <c r="N107" s="13">
        <v>0</v>
      </c>
      <c r="O107" s="14">
        <f>IFERROR(N107/N329, "NA")</f>
      </c>
      <c r="P107" s="15"/>
      <c r="Q107" s="13">
        <v>0</v>
      </c>
      <c r="R107" s="14">
        <f>IFERROR(Q107/Q329, "NA")</f>
      </c>
    </row>
    <row r="108" ht="16.5" customHeight="1">
      <c t="s" r="A108" s="22">
        <v>112</v>
      </c>
      <c r="B108" s="13">
        <v>0</v>
      </c>
      <c r="C108" s="14">
        <f>IFERROR(B108/B329, "NA")</f>
      </c>
      <c r="D108" s="15"/>
      <c r="E108" s="13">
        <v>0</v>
      </c>
      <c r="F108" s="14">
        <f>IFERROR(E108/E329, "NA")</f>
      </c>
      <c r="G108" s="15"/>
      <c r="H108" s="13">
        <v>0</v>
      </c>
      <c r="I108" s="14">
        <f>IFERROR(H108/H329, "NA")</f>
      </c>
      <c r="J108" s="15"/>
      <c r="K108" s="13">
        <v>0</v>
      </c>
      <c r="L108" s="14">
        <f>IFERROR(K108/K329, "NA")</f>
      </c>
      <c r="M108" s="15"/>
      <c r="N108" s="13">
        <v>0</v>
      </c>
      <c r="O108" s="14">
        <f>IFERROR(N108/N329, "NA")</f>
      </c>
      <c r="P108" s="15"/>
      <c r="Q108" s="13">
        <v>0</v>
      </c>
      <c r="R108" s="14">
        <f>IFERROR(Q108/Q329, "NA")</f>
      </c>
    </row>
    <row r="109" ht="16.5" customHeight="1">
      <c t="s" r="A109" s="22">
        <v>113</v>
      </c>
      <c r="B109" s="13">
        <v>0</v>
      </c>
      <c r="C109" s="14">
        <f>IFERROR(B109/B329, "NA")</f>
      </c>
      <c r="D109" s="15"/>
      <c r="E109" s="13">
        <v>0</v>
      </c>
      <c r="F109" s="14">
        <f>IFERROR(E109/E329, "NA")</f>
      </c>
      <c r="G109" s="15"/>
      <c r="H109" s="13">
        <v>0</v>
      </c>
      <c r="I109" s="14">
        <f>IFERROR(H109/H329, "NA")</f>
      </c>
      <c r="J109" s="15"/>
      <c r="K109" s="13">
        <v>0</v>
      </c>
      <c r="L109" s="14">
        <f>IFERROR(K109/K329, "NA")</f>
      </c>
      <c r="M109" s="15"/>
      <c r="N109" s="13">
        <v>0</v>
      </c>
      <c r="O109" s="14">
        <f>IFERROR(N109/N329, "NA")</f>
      </c>
      <c r="P109" s="15"/>
      <c r="Q109" s="13">
        <v>0</v>
      </c>
      <c r="R109" s="14">
        <f>IFERROR(Q109/Q329, "NA")</f>
      </c>
    </row>
    <row r="110" ht="16.5" customHeight="1">
      <c t="s" r="A110" s="22">
        <v>114</v>
      </c>
      <c r="B110" s="13">
        <v>2541.4899999999998</v>
      </c>
      <c r="C110" s="14">
        <f>IFERROR(B110/B329, "NA")</f>
      </c>
      <c r="D110" s="15"/>
      <c r="E110" s="13">
        <v>2847.1100000000001</v>
      </c>
      <c r="F110" s="14">
        <f>IFERROR(E110/E329, "NA")</f>
      </c>
      <c r="G110" s="15"/>
      <c r="H110" s="13">
        <v>2796.9699999999998</v>
      </c>
      <c r="I110" s="14">
        <f>IFERROR(H110/H329, "NA")</f>
      </c>
      <c r="J110" s="15"/>
      <c r="K110" s="13">
        <v>2625.5300000000002</v>
      </c>
      <c r="L110" s="14">
        <f>IFERROR(K110/K329, "NA")</f>
      </c>
      <c r="M110" s="15"/>
      <c r="N110" s="13">
        <v>2436.48</v>
      </c>
      <c r="O110" s="14">
        <f>IFERROR(N110/N329, "NA")</f>
      </c>
      <c r="P110" s="15"/>
      <c r="Q110" s="13">
        <v>2386.21</v>
      </c>
      <c r="R110" s="14">
        <f>IFERROR(Q110/Q329, "NA")</f>
      </c>
    </row>
    <row r="111" ht="16.5" customHeight="1">
      <c t="s" r="A111" s="22">
        <v>115</v>
      </c>
      <c r="B111" s="13">
        <v>0</v>
      </c>
      <c r="C111" s="14">
        <f>IFERROR(B111/B329, "NA")</f>
      </c>
      <c r="D111" s="15"/>
      <c r="E111" s="13">
        <v>0</v>
      </c>
      <c r="F111" s="14">
        <f>IFERROR(E111/E329, "NA")</f>
      </c>
      <c r="G111" s="15"/>
      <c r="H111" s="13">
        <v>0</v>
      </c>
      <c r="I111" s="14">
        <f>IFERROR(H111/H329, "NA")</f>
      </c>
      <c r="J111" s="15"/>
      <c r="K111" s="13">
        <v>0</v>
      </c>
      <c r="L111" s="14">
        <f>IFERROR(K111/K329, "NA")</f>
      </c>
      <c r="M111" s="15"/>
      <c r="N111" s="13">
        <v>0</v>
      </c>
      <c r="O111" s="14">
        <f>IFERROR(N111/N329, "NA")</f>
      </c>
      <c r="P111" s="15"/>
      <c r="Q111" s="13">
        <v>0</v>
      </c>
      <c r="R111" s="14">
        <f>IFERROR(Q111/Q329, "NA")</f>
      </c>
    </row>
    <row r="112" ht="16.5" customHeight="1">
      <c t="s" r="A112" s="22">
        <v>116</v>
      </c>
      <c r="B112" s="13">
        <v>1427.97</v>
      </c>
      <c r="C112" s="14">
        <f>IFERROR(B112/B329, "NA")</f>
      </c>
      <c r="D112" s="15"/>
      <c r="E112" s="13">
        <v>1129.5999999999999</v>
      </c>
      <c r="F112" s="14">
        <f>IFERROR(E112/E329, "NA")</f>
      </c>
      <c r="G112" s="15"/>
      <c r="H112" s="13">
        <v>1174.3499999999999</v>
      </c>
      <c r="I112" s="14">
        <f>IFERROR(H112/H329, "NA")</f>
      </c>
      <c r="J112" s="15"/>
      <c r="K112" s="13">
        <v>1091.75</v>
      </c>
      <c r="L112" s="14">
        <f>IFERROR(K112/K329, "NA")</f>
      </c>
      <c r="M112" s="15"/>
      <c r="N112" s="13">
        <v>1291.75</v>
      </c>
      <c r="O112" s="14">
        <f>IFERROR(N112/N329, "NA")</f>
      </c>
      <c r="P112" s="15"/>
      <c r="Q112" s="13">
        <v>1398.9100000000001</v>
      </c>
      <c r="R112" s="14">
        <f>IFERROR(Q112/Q329, "NA")</f>
      </c>
    </row>
    <row r="113" ht="16.5" customHeight="1">
      <c t="s" r="A113" s="22">
        <v>117</v>
      </c>
      <c r="B113" s="13">
        <v>0</v>
      </c>
      <c r="C113" s="14">
        <f>IFERROR(B113/B329, "NA")</f>
      </c>
      <c r="D113" s="15"/>
      <c r="E113" s="13">
        <v>0</v>
      </c>
      <c r="F113" s="14">
        <f>IFERROR(E113/E329, "NA")</f>
      </c>
      <c r="G113" s="15"/>
      <c r="H113" s="13">
        <v>0</v>
      </c>
      <c r="I113" s="14">
        <f>IFERROR(H113/H329, "NA")</f>
      </c>
      <c r="J113" s="15"/>
      <c r="K113" s="13">
        <v>0</v>
      </c>
      <c r="L113" s="14">
        <f>IFERROR(K113/K329, "NA")</f>
      </c>
      <c r="M113" s="15"/>
      <c r="N113" s="13">
        <v>0</v>
      </c>
      <c r="O113" s="14">
        <f>IFERROR(N113/N329, "NA")</f>
      </c>
      <c r="P113" s="15"/>
      <c r="Q113" s="13">
        <v>0</v>
      </c>
      <c r="R113" s="14">
        <f>IFERROR(Q113/Q329, "NA")</f>
      </c>
    </row>
    <row r="114" ht="16.5" customHeight="1">
      <c t="s" r="A114" s="22">
        <v>118</v>
      </c>
      <c r="B114" s="13">
        <v>357.62</v>
      </c>
      <c r="C114" s="14">
        <f>IFERROR(B114/B329, "NA")</f>
      </c>
      <c r="D114" s="15"/>
      <c r="E114" s="13">
        <v>-228.96000000000001</v>
      </c>
      <c r="F114" s="14">
        <f>IFERROR(E114/E329, "NA")</f>
      </c>
      <c r="G114" s="15"/>
      <c r="H114" s="13">
        <v>0</v>
      </c>
      <c r="I114" s="14">
        <f>IFERROR(H114/H329, "NA")</f>
      </c>
      <c r="J114" s="15"/>
      <c r="K114" s="13">
        <v>94.25</v>
      </c>
      <c r="L114" s="14">
        <f>IFERROR(K114/K329, "NA")</f>
      </c>
      <c r="M114" s="15"/>
      <c r="N114" s="13">
        <v>0</v>
      </c>
      <c r="O114" s="14">
        <f>IFERROR(N114/N329, "NA")</f>
      </c>
      <c r="P114" s="15"/>
      <c r="Q114" s="13">
        <v>288.63</v>
      </c>
      <c r="R114" s="14">
        <f>IFERROR(Q114/Q329, "NA")</f>
      </c>
    </row>
    <row r="115" ht="16.5" customHeight="1">
      <c t="s" r="A115" s="22">
        <v>119</v>
      </c>
      <c r="B115" s="13">
        <v>0</v>
      </c>
      <c r="C115" s="14">
        <f>IFERROR(B115/B329, "NA")</f>
      </c>
      <c r="D115" s="15"/>
      <c r="E115" s="13">
        <v>0</v>
      </c>
      <c r="F115" s="14">
        <f>IFERROR(E115/E329, "NA")</f>
      </c>
      <c r="G115" s="15"/>
      <c r="H115" s="13">
        <v>0</v>
      </c>
      <c r="I115" s="14">
        <f>IFERROR(H115/H329, "NA")</f>
      </c>
      <c r="J115" s="15"/>
      <c r="K115" s="13">
        <v>0</v>
      </c>
      <c r="L115" s="14">
        <f>IFERROR(K115/K329, "NA")</f>
      </c>
      <c r="M115" s="15"/>
      <c r="N115" s="13">
        <v>0</v>
      </c>
      <c r="O115" s="14">
        <f>IFERROR(N115/N329, "NA")</f>
      </c>
      <c r="P115" s="15"/>
      <c r="Q115" s="13">
        <v>0</v>
      </c>
      <c r="R115" s="14">
        <f>IFERROR(Q115/Q329, "NA")</f>
      </c>
    </row>
    <row r="116" ht="16.5" customHeight="1">
      <c t="s" r="A116" s="22">
        <v>120</v>
      </c>
      <c r="B116" s="13">
        <v>0</v>
      </c>
      <c r="C116" s="14">
        <f>IFERROR(B116/B329, "NA")</f>
      </c>
      <c r="D116" s="15"/>
      <c r="E116" s="13">
        <v>0</v>
      </c>
      <c r="F116" s="14">
        <f>IFERROR(E116/E329, "NA")</f>
      </c>
      <c r="G116" s="15"/>
      <c r="H116" s="13">
        <v>0</v>
      </c>
      <c r="I116" s="14">
        <f>IFERROR(H116/H329, "NA")</f>
      </c>
      <c r="J116" s="15"/>
      <c r="K116" s="13">
        <v>0</v>
      </c>
      <c r="L116" s="14">
        <f>IFERROR(K116/K329, "NA")</f>
      </c>
      <c r="M116" s="15"/>
      <c r="N116" s="13">
        <v>0</v>
      </c>
      <c r="O116" s="14">
        <f>IFERROR(N116/N329, "NA")</f>
      </c>
      <c r="P116" s="15"/>
      <c r="Q116" s="13">
        <v>0</v>
      </c>
      <c r="R116" s="14">
        <f>IFERROR(Q116/Q329, "NA")</f>
      </c>
    </row>
    <row r="117" ht="16.5" customHeight="1">
      <c t="s" r="A117" s="22">
        <v>121</v>
      </c>
      <c r="B117" s="13">
        <v>0</v>
      </c>
      <c r="C117" s="14">
        <f>IFERROR(B117/B329, "NA")</f>
      </c>
      <c r="D117" s="15"/>
      <c r="E117" s="13">
        <v>0</v>
      </c>
      <c r="F117" s="14">
        <f>IFERROR(E117/E329, "NA")</f>
      </c>
      <c r="G117" s="15"/>
      <c r="H117" s="13">
        <v>0</v>
      </c>
      <c r="I117" s="14">
        <f>IFERROR(H117/H329, "NA")</f>
      </c>
      <c r="J117" s="15"/>
      <c r="K117" s="13">
        <v>0</v>
      </c>
      <c r="L117" s="14">
        <f>IFERROR(K117/K329, "NA")</f>
      </c>
      <c r="M117" s="15"/>
      <c r="N117" s="13">
        <v>0</v>
      </c>
      <c r="O117" s="14">
        <f>IFERROR(N117/N329, "NA")</f>
      </c>
      <c r="P117" s="15"/>
      <c r="Q117" s="13">
        <v>0</v>
      </c>
      <c r="R117" s="14">
        <f>IFERROR(Q117/Q329, "NA")</f>
      </c>
    </row>
    <row r="118" ht="16.5" customHeight="1">
      <c t="s" r="A118" s="22">
        <v>122</v>
      </c>
      <c r="B118" s="13">
        <v>0</v>
      </c>
      <c r="C118" s="14">
        <f>IFERROR(B118/B329, "NA")</f>
      </c>
      <c r="D118" s="15"/>
      <c r="E118" s="13">
        <v>2984.0599999999999</v>
      </c>
      <c r="F118" s="14">
        <f>IFERROR(E118/E329, "NA")</f>
      </c>
      <c r="G118" s="15"/>
      <c r="H118" s="13">
        <v>0</v>
      </c>
      <c r="I118" s="14">
        <f>IFERROR(H118/H329, "NA")</f>
      </c>
      <c r="J118" s="15"/>
      <c r="K118" s="13">
        <v>64.719999999999999</v>
      </c>
      <c r="L118" s="14">
        <f>IFERROR(K118/K329, "NA")</f>
      </c>
      <c r="M118" s="15"/>
      <c r="N118" s="13">
        <v>0</v>
      </c>
      <c r="O118" s="14">
        <f>IFERROR(N118/N329, "NA")</f>
      </c>
      <c r="P118" s="15"/>
      <c r="Q118" s="13">
        <v>0</v>
      </c>
      <c r="R118" s="14">
        <f>IFERROR(Q118/Q329, "NA")</f>
      </c>
    </row>
    <row r="119" ht="16.5" customHeight="1">
      <c t="s" r="A119" s="23">
        <v>123</v>
      </c>
      <c r="B119" s="17">
        <f>IFERROR(B84+B85+B86+B87+B88+B89+B90+B91+B92+B93+B94+B95+B96+B97+B98+B99+B100+B101+B102+B103+B104+B105+B106+B107+B108+B109+B110+B111+B112+B113+B114+B115+B116+B117+B118, "NA")</f>
      </c>
      <c r="C119" s="18">
        <f>IFERROR(B119/B329, "NA")</f>
      </c>
      <c r="D119" s="8"/>
      <c r="E119" s="17">
        <f>IFERROR(E84+E85+E86+E87+E88+E89+E90+E91+E92+E93+E94+E95+E96+E97+E98+E99+E100+E101+E102+E103+E104+E105+E106+E107+E108+E109+E110+E111+E112+E113+E114+E115+E116+E117+E118, "NA")</f>
      </c>
      <c r="F119" s="18">
        <f>IFERROR(E119/E329, "NA")</f>
      </c>
      <c r="G119" s="8"/>
      <c r="H119" s="17">
        <f>IFERROR(H84+H85+H86+H87+H88+H89+H90+H91+H92+H93+H94+H95+H96+H97+H98+H99+H100+H101+H102+H103+H104+H105+H106+H107+H108+H109+H110+H111+H112+H113+H114+H115+H116+H117+H118, "NA")</f>
      </c>
      <c r="I119" s="18">
        <f>IFERROR(H119/H329, "NA")</f>
      </c>
      <c r="J119" s="8"/>
      <c r="K119" s="17">
        <f>IFERROR(K84+K85+K86+K87+K88+K89+K90+K91+K92+K93+K94+K95+K96+K97+K98+K99+K100+K101+K102+K103+K104+K105+K106+K107+K108+K109+K110+K111+K112+K113+K114+K115+K116+K117+K118, "NA")</f>
      </c>
      <c r="L119" s="18">
        <f>IFERROR(K119/K329, "NA")</f>
      </c>
      <c r="M119" s="8"/>
      <c r="N119" s="17">
        <f>IFERROR(N84+N85+N86+N87+N88+N89+N90+N91+N92+N93+N94+N95+N96+N97+N98+N99+N100+N101+N102+N103+N104+N105+N106+N107+N108+N109+N110+N111+N112+N113+N114+N115+N116+N117+N118, "NA")</f>
      </c>
      <c r="O119" s="18">
        <f>IFERROR(N119/N329, "NA")</f>
      </c>
      <c r="P119" s="8"/>
      <c r="Q119" s="17">
        <f>IFERROR(Q84+Q85+Q86+Q87+Q88+Q89+Q90+Q91+Q92+Q93+Q94+Q95+Q96+Q97+Q98+Q99+Q100+Q101+Q102+Q103+Q104+Q105+Q106+Q107+Q108+Q109+Q110+Q111+Q112+Q113+Q114+Q115+Q116+Q117+Q118, "NA")</f>
      </c>
      <c r="R119" s="18">
        <f>IFERROR(Q119/Q329, "NA")</f>
      </c>
    </row>
    <row r="120" ht="16.5" customHeight="1">
      <c t="s" r="A120" s="16">
        <v>124</v>
      </c>
      <c r="B120" s="17">
        <f>IFERROR(B82+B84+B85+B86+B87+B88+B89+B90+B91+B92+B93+B94+B95+B96+B97+B98+B99+B100+B101+B102+B103+B104+B105+B106+B107+B108+B109+B110+B111+B112+B113+B114+B115+B116+B117+B118, "NA")</f>
      </c>
      <c r="C120" s="18">
        <f>IFERROR(B120/B329, "NA")</f>
      </c>
      <c r="D120" s="8"/>
      <c r="E120" s="17">
        <f>IFERROR(E82+E84+E85+E86+E87+E88+E89+E90+E91+E92+E93+E94+E95+E96+E97+E98+E99+E100+E101+E102+E103+E104+E105+E106+E107+E108+E109+E110+E111+E112+E113+E114+E115+E116+E117+E118, "NA")</f>
      </c>
      <c r="F120" s="18">
        <f>IFERROR(E120/E329, "NA")</f>
      </c>
      <c r="G120" s="8"/>
      <c r="H120" s="17">
        <f>IFERROR(H82+H84+H85+H86+H87+H88+H89+H90+H91+H92+H93+H94+H95+H96+H97+H98+H99+H100+H101+H102+H103+H104+H105+H106+H107+H108+H109+H110+H111+H112+H113+H114+H115+H116+H117+H118, "NA")</f>
      </c>
      <c r="I120" s="18">
        <f>IFERROR(H120/H329, "NA")</f>
      </c>
      <c r="J120" s="8"/>
      <c r="K120" s="17">
        <f>IFERROR(K82+K84+K85+K86+K87+K88+K89+K90+K91+K92+K93+K94+K95+K96+K97+K98+K99+K100+K101+K102+K103+K104+K105+K106+K107+K108+K109+K110+K111+K112+K113+K114+K115+K116+K117+K118, "NA")</f>
      </c>
      <c r="L120" s="18">
        <f>IFERROR(K120/K329, "NA")</f>
      </c>
      <c r="M120" s="8"/>
      <c r="N120" s="17">
        <f>IFERROR(N82+N84+N85+N86+N87+N88+N89+N90+N91+N92+N93+N94+N95+N96+N97+N98+N99+N100+N101+N102+N103+N104+N105+N106+N107+N108+N109+N110+N111+N112+N113+N114+N115+N116+N117+N118, "NA")</f>
      </c>
      <c r="O120" s="18">
        <f>IFERROR(N120/N329, "NA")</f>
      </c>
      <c r="P120" s="8"/>
      <c r="Q120" s="17">
        <f>IFERROR(Q82+Q84+Q85+Q86+Q87+Q88+Q89+Q90+Q91+Q92+Q93+Q94+Q95+Q96+Q97+Q98+Q99+Q100+Q101+Q102+Q103+Q104+Q105+Q106+Q107+Q108+Q109+Q110+Q111+Q112+Q113+Q114+Q115+Q116+Q117+Q118, "NA")</f>
      </c>
      <c r="R120" s="18">
        <f>IFERROR(Q120/Q329, "NA")</f>
      </c>
    </row>
    <row r="121" ht="16.5" customHeight="1">
      <c t="s" r="A121" s="11">
        <v>125</v>
      </c>
      <c r="B121" s="8"/>
      <c r="C121" s="9"/>
      <c r="D121" s="10"/>
      <c r="E121" s="8"/>
      <c r="F121" s="9"/>
      <c r="G121" s="10"/>
      <c r="H121" s="8"/>
      <c r="I121" s="9"/>
      <c r="J121" s="10"/>
      <c r="K121" s="8"/>
      <c r="L121" s="9"/>
      <c r="M121" s="10"/>
      <c r="N121" s="8"/>
      <c r="O121" s="9"/>
      <c r="P121" s="10"/>
      <c r="Q121" s="8"/>
      <c r="R121" s="9"/>
    </row>
    <row r="122" ht="16.5" customHeight="1">
      <c t="s" r="A122" s="12">
        <v>126</v>
      </c>
      <c r="B122" s="13">
        <v>0</v>
      </c>
      <c r="C122" s="14">
        <f>IFERROR(B122/B329, "NA")</f>
      </c>
      <c r="D122" s="15"/>
      <c r="E122" s="13">
        <v>0</v>
      </c>
      <c r="F122" s="14">
        <f>IFERROR(E122/E329, "NA")</f>
      </c>
      <c r="G122" s="15"/>
      <c r="H122" s="13">
        <v>0</v>
      </c>
      <c r="I122" s="14">
        <f>IFERROR(H122/H329, "NA")</f>
      </c>
      <c r="J122" s="15"/>
      <c r="K122" s="13">
        <v>0</v>
      </c>
      <c r="L122" s="14">
        <f>IFERROR(K122/K329, "NA")</f>
      </c>
      <c r="M122" s="15"/>
      <c r="N122" s="13">
        <v>0</v>
      </c>
      <c r="O122" s="14">
        <f>IFERROR(N122/N329, "NA")</f>
      </c>
      <c r="P122" s="15"/>
      <c r="Q122" s="13">
        <v>0</v>
      </c>
      <c r="R122" s="14">
        <f>IFERROR(Q122/Q329, "NA")</f>
      </c>
    </row>
    <row r="123" ht="16.5" customHeight="1">
      <c t="s" r="A123" s="12">
        <v>127</v>
      </c>
      <c r="B123" s="13">
        <v>4019.2399999999998</v>
      </c>
      <c r="C123" s="14">
        <f>IFERROR(B123/B329, "NA")</f>
      </c>
      <c r="D123" s="15"/>
      <c r="E123" s="13">
        <v>2009.6199999999999</v>
      </c>
      <c r="F123" s="14">
        <f>IFERROR(E123/E329, "NA")</f>
      </c>
      <c r="G123" s="15"/>
      <c r="H123" s="13">
        <v>2009.6199999999999</v>
      </c>
      <c r="I123" s="14">
        <f>IFERROR(H123/H329, "NA")</f>
      </c>
      <c r="J123" s="15"/>
      <c r="K123" s="13">
        <v>2009.6199999999999</v>
      </c>
      <c r="L123" s="14">
        <f>IFERROR(K123/K329, "NA")</f>
      </c>
      <c r="M123" s="15"/>
      <c r="N123" s="13">
        <v>2009.6199999999999</v>
      </c>
      <c r="O123" s="14">
        <f>IFERROR(N123/N329, "NA")</f>
      </c>
      <c r="P123" s="15"/>
      <c r="Q123" s="13">
        <v>0</v>
      </c>
      <c r="R123" s="14">
        <f>IFERROR(Q123/Q329, "NA")</f>
      </c>
    </row>
    <row r="124" ht="16.5" customHeight="1">
      <c t="s" r="A124" s="12">
        <v>128</v>
      </c>
      <c r="B124" s="13">
        <v>7903.8500000000004</v>
      </c>
      <c r="C124" s="14">
        <f>IFERROR(B124/B329, "NA")</f>
      </c>
      <c r="D124" s="15"/>
      <c r="E124" s="13">
        <v>2019.23</v>
      </c>
      <c r="F124" s="14">
        <f>IFERROR(E124/E329, "NA")</f>
      </c>
      <c r="G124" s="15"/>
      <c r="H124" s="13">
        <v>7903.8500000000004</v>
      </c>
      <c r="I124" s="14">
        <f>IFERROR(H124/H329, "NA")</f>
      </c>
      <c r="J124" s="15"/>
      <c r="K124" s="13">
        <v>2019.23</v>
      </c>
      <c r="L124" s="14">
        <f>IFERROR(K124/K329, "NA")</f>
      </c>
      <c r="M124" s="15"/>
      <c r="N124" s="13">
        <v>9330.7700000000004</v>
      </c>
      <c r="O124" s="14">
        <f>IFERROR(N124/N329, "NA")</f>
      </c>
      <c r="P124" s="15"/>
      <c r="Q124" s="13">
        <v>-5480.7700000000004</v>
      </c>
      <c r="R124" s="14">
        <f>IFERROR(Q124/Q329, "NA")</f>
      </c>
    </row>
    <row r="125" ht="30.75" customHeight="1">
      <c t="s" r="A125" s="12">
        <v>129</v>
      </c>
      <c r="B125" s="13">
        <v>0</v>
      </c>
      <c r="C125" s="14">
        <f>IFERROR(B125/B329, "NA")</f>
      </c>
      <c r="D125" s="15"/>
      <c r="E125" s="13">
        <v>0</v>
      </c>
      <c r="F125" s="14">
        <f>IFERROR(E125/E329, "NA")</f>
      </c>
      <c r="G125" s="15"/>
      <c r="H125" s="13">
        <v>0</v>
      </c>
      <c r="I125" s="14">
        <f>IFERROR(H125/H329, "NA")</f>
      </c>
      <c r="J125" s="15"/>
      <c r="K125" s="13">
        <v>0</v>
      </c>
      <c r="L125" s="14">
        <f>IFERROR(K125/K329, "NA")</f>
      </c>
      <c r="M125" s="15"/>
      <c r="N125" s="13">
        <v>0</v>
      </c>
      <c r="O125" s="14">
        <f>IFERROR(N125/N329, "NA")</f>
      </c>
      <c r="P125" s="15"/>
      <c r="Q125" s="13">
        <v>0</v>
      </c>
      <c r="R125" s="14">
        <f>IFERROR(Q125/Q329, "NA")</f>
      </c>
    </row>
    <row r="126" ht="16.5" customHeight="1">
      <c t="s" r="A126" s="12">
        <v>130</v>
      </c>
      <c r="B126" s="13">
        <v>0</v>
      </c>
      <c r="C126" s="14">
        <f>IFERROR(B126/B329, "NA")</f>
      </c>
      <c r="D126" s="15"/>
      <c r="E126" s="13">
        <v>0</v>
      </c>
      <c r="F126" s="14">
        <f>IFERROR(E126/E329, "NA")</f>
      </c>
      <c r="G126" s="15"/>
      <c r="H126" s="13">
        <v>0</v>
      </c>
      <c r="I126" s="14">
        <f>IFERROR(H126/H329, "NA")</f>
      </c>
      <c r="J126" s="15"/>
      <c r="K126" s="13">
        <v>0</v>
      </c>
      <c r="L126" s="14">
        <f>IFERROR(K126/K329, "NA")</f>
      </c>
      <c r="M126" s="15"/>
      <c r="N126" s="13">
        <v>0</v>
      </c>
      <c r="O126" s="14">
        <f>IFERROR(N126/N329, "NA")</f>
      </c>
      <c r="P126" s="15"/>
      <c r="Q126" s="13">
        <v>0</v>
      </c>
      <c r="R126" s="14">
        <f>IFERROR(Q126/Q329, "NA")</f>
      </c>
    </row>
    <row r="127" ht="16.5" customHeight="1">
      <c t="s" r="A127" s="12">
        <v>131</v>
      </c>
      <c r="B127" s="13">
        <v>0</v>
      </c>
      <c r="C127" s="14">
        <f>IFERROR(B127/B329, "NA")</f>
      </c>
      <c r="D127" s="15"/>
      <c r="E127" s="13">
        <v>0</v>
      </c>
      <c r="F127" s="14">
        <f>IFERROR(E127/E329, "NA")</f>
      </c>
      <c r="G127" s="15"/>
      <c r="H127" s="13">
        <v>0</v>
      </c>
      <c r="I127" s="14">
        <f>IFERROR(H127/H329, "NA")</f>
      </c>
      <c r="J127" s="15"/>
      <c r="K127" s="13">
        <v>0</v>
      </c>
      <c r="L127" s="14">
        <f>IFERROR(K127/K329, "NA")</f>
      </c>
      <c r="M127" s="15"/>
      <c r="N127" s="13">
        <v>0</v>
      </c>
      <c r="O127" s="14">
        <f>IFERROR(N127/N329, "NA")</f>
      </c>
      <c r="P127" s="15"/>
      <c r="Q127" s="13">
        <v>0</v>
      </c>
      <c r="R127" s="14">
        <f>IFERROR(Q127/Q329, "NA")</f>
      </c>
    </row>
    <row r="128" ht="16.5" customHeight="1">
      <c t="s" r="A128" s="12">
        <v>132</v>
      </c>
      <c r="B128" s="13">
        <v>0</v>
      </c>
      <c r="C128" s="14">
        <f>IFERROR(B128/B329, "NA")</f>
      </c>
      <c r="D128" s="15"/>
      <c r="E128" s="13">
        <v>0</v>
      </c>
      <c r="F128" s="14">
        <f>IFERROR(E128/E329, "NA")</f>
      </c>
      <c r="G128" s="15"/>
      <c r="H128" s="13">
        <v>0</v>
      </c>
      <c r="I128" s="14">
        <f>IFERROR(H128/H329, "NA")</f>
      </c>
      <c r="J128" s="15"/>
      <c r="K128" s="13">
        <v>0</v>
      </c>
      <c r="L128" s="14">
        <f>IFERROR(K128/K329, "NA")</f>
      </c>
      <c r="M128" s="15"/>
      <c r="N128" s="13">
        <v>0</v>
      </c>
      <c r="O128" s="14">
        <f>IFERROR(N128/N329, "NA")</f>
      </c>
      <c r="P128" s="15"/>
      <c r="Q128" s="13">
        <v>0</v>
      </c>
      <c r="R128" s="14">
        <f>IFERROR(Q128/Q329, "NA")</f>
      </c>
    </row>
    <row r="129" ht="16.5" customHeight="1">
      <c t="s" r="A129" s="12">
        <v>133</v>
      </c>
      <c r="B129" s="13">
        <v>0</v>
      </c>
      <c r="C129" s="14">
        <f>IFERROR(B129/B329, "NA")</f>
      </c>
      <c r="D129" s="15"/>
      <c r="E129" s="13">
        <v>0</v>
      </c>
      <c r="F129" s="14">
        <f>IFERROR(E129/E329, "NA")</f>
      </c>
      <c r="G129" s="15"/>
      <c r="H129" s="13">
        <v>0</v>
      </c>
      <c r="I129" s="14">
        <f>IFERROR(H129/H329, "NA")</f>
      </c>
      <c r="J129" s="15"/>
      <c r="K129" s="13">
        <v>0</v>
      </c>
      <c r="L129" s="14">
        <f>IFERROR(K129/K329, "NA")</f>
      </c>
      <c r="M129" s="15"/>
      <c r="N129" s="13">
        <v>0</v>
      </c>
      <c r="O129" s="14">
        <f>IFERROR(N129/N329, "NA")</f>
      </c>
      <c r="P129" s="15"/>
      <c r="Q129" s="13">
        <v>0</v>
      </c>
      <c r="R129" s="14">
        <f>IFERROR(Q129/Q329, "NA")</f>
      </c>
    </row>
    <row r="130" ht="16.5" customHeight="1">
      <c t="s" r="A130" s="12">
        <v>134</v>
      </c>
      <c r="B130" s="13">
        <v>0</v>
      </c>
      <c r="C130" s="14">
        <f>IFERROR(B130/B329, "NA")</f>
      </c>
      <c r="D130" s="15"/>
      <c r="E130" s="13">
        <v>0</v>
      </c>
      <c r="F130" s="14">
        <f>IFERROR(E130/E329, "NA")</f>
      </c>
      <c r="G130" s="15"/>
      <c r="H130" s="13">
        <v>0</v>
      </c>
      <c r="I130" s="14">
        <f>IFERROR(H130/H329, "NA")</f>
      </c>
      <c r="J130" s="15"/>
      <c r="K130" s="13">
        <v>0</v>
      </c>
      <c r="L130" s="14">
        <f>IFERROR(K130/K329, "NA")</f>
      </c>
      <c r="M130" s="15"/>
      <c r="N130" s="13">
        <v>0</v>
      </c>
      <c r="O130" s="14">
        <f>IFERROR(N130/N329, "NA")</f>
      </c>
      <c r="P130" s="15"/>
      <c r="Q130" s="13">
        <v>0</v>
      </c>
      <c r="R130" s="14">
        <f>IFERROR(Q130/Q329, "NA")</f>
      </c>
    </row>
    <row r="131" ht="16.5" customHeight="1">
      <c t="s" r="A131" s="12">
        <v>135</v>
      </c>
      <c r="B131" s="13">
        <v>0</v>
      </c>
      <c r="C131" s="14">
        <f>IFERROR(B131/B329, "NA")</f>
      </c>
      <c r="D131" s="15"/>
      <c r="E131" s="13">
        <v>0</v>
      </c>
      <c r="F131" s="14">
        <f>IFERROR(E131/E329, "NA")</f>
      </c>
      <c r="G131" s="15"/>
      <c r="H131" s="13">
        <v>0</v>
      </c>
      <c r="I131" s="14">
        <f>IFERROR(H131/H329, "NA")</f>
      </c>
      <c r="J131" s="15"/>
      <c r="K131" s="13">
        <v>0</v>
      </c>
      <c r="L131" s="14">
        <f>IFERROR(K131/K329, "NA")</f>
      </c>
      <c r="M131" s="15"/>
      <c r="N131" s="13">
        <v>0</v>
      </c>
      <c r="O131" s="14">
        <f>IFERROR(N131/N329, "NA")</f>
      </c>
      <c r="P131" s="15"/>
      <c r="Q131" s="13">
        <v>0</v>
      </c>
      <c r="R131" s="14">
        <f>IFERROR(Q131/Q329, "NA")</f>
      </c>
    </row>
    <row r="132" ht="16.5" customHeight="1">
      <c t="s" r="A132" s="12">
        <v>136</v>
      </c>
      <c r="B132" s="13">
        <v>0</v>
      </c>
      <c r="C132" s="14">
        <f>IFERROR(B132/B329, "NA")</f>
      </c>
      <c r="D132" s="15"/>
      <c r="E132" s="13">
        <v>0</v>
      </c>
      <c r="F132" s="14">
        <f>IFERROR(E132/E329, "NA")</f>
      </c>
      <c r="G132" s="15"/>
      <c r="H132" s="13">
        <v>0</v>
      </c>
      <c r="I132" s="14">
        <f>IFERROR(H132/H329, "NA")</f>
      </c>
      <c r="J132" s="15"/>
      <c r="K132" s="13">
        <v>0</v>
      </c>
      <c r="L132" s="14">
        <f>IFERROR(K132/K329, "NA")</f>
      </c>
      <c r="M132" s="15"/>
      <c r="N132" s="13">
        <v>0</v>
      </c>
      <c r="O132" s="14">
        <f>IFERROR(N132/N329, "NA")</f>
      </c>
      <c r="P132" s="15"/>
      <c r="Q132" s="13">
        <v>0</v>
      </c>
      <c r="R132" s="14">
        <f>IFERROR(Q132/Q329, "NA")</f>
      </c>
    </row>
    <row r="133" ht="16.5" customHeight="1">
      <c t="s" r="A133" s="12">
        <v>137</v>
      </c>
      <c r="B133" s="13">
        <v>0</v>
      </c>
      <c r="C133" s="14">
        <f>IFERROR(B133/B329, "NA")</f>
      </c>
      <c r="D133" s="15"/>
      <c r="E133" s="13">
        <v>0</v>
      </c>
      <c r="F133" s="14">
        <f>IFERROR(E133/E329, "NA")</f>
      </c>
      <c r="G133" s="15"/>
      <c r="H133" s="13">
        <v>0</v>
      </c>
      <c r="I133" s="14">
        <f>IFERROR(H133/H329, "NA")</f>
      </c>
      <c r="J133" s="15"/>
      <c r="K133" s="13">
        <v>0</v>
      </c>
      <c r="L133" s="14">
        <f>IFERROR(K133/K329, "NA")</f>
      </c>
      <c r="M133" s="15"/>
      <c r="N133" s="13">
        <v>0</v>
      </c>
      <c r="O133" s="14">
        <f>IFERROR(N133/N329, "NA")</f>
      </c>
      <c r="P133" s="15"/>
      <c r="Q133" s="13">
        <v>0</v>
      </c>
      <c r="R133" s="14">
        <f>IFERROR(Q133/Q329, "NA")</f>
      </c>
    </row>
    <row r="134" ht="16.5" customHeight="1">
      <c t="s" r="A134" s="12">
        <v>138</v>
      </c>
      <c r="B134" s="13">
        <v>0</v>
      </c>
      <c r="C134" s="14">
        <f>IFERROR(B134/B329, "NA")</f>
      </c>
      <c r="D134" s="15"/>
      <c r="E134" s="13">
        <v>0</v>
      </c>
      <c r="F134" s="14">
        <f>IFERROR(E134/E329, "NA")</f>
      </c>
      <c r="G134" s="15"/>
      <c r="H134" s="13">
        <v>0</v>
      </c>
      <c r="I134" s="14">
        <f>IFERROR(H134/H329, "NA")</f>
      </c>
      <c r="J134" s="15"/>
      <c r="K134" s="13">
        <v>0</v>
      </c>
      <c r="L134" s="14">
        <f>IFERROR(K134/K329, "NA")</f>
      </c>
      <c r="M134" s="15"/>
      <c r="N134" s="13">
        <v>0</v>
      </c>
      <c r="O134" s="14">
        <f>IFERROR(N134/N329, "NA")</f>
      </c>
      <c r="P134" s="15"/>
      <c r="Q134" s="13">
        <v>0</v>
      </c>
      <c r="R134" s="14">
        <f>IFERROR(Q134/Q329, "NA")</f>
      </c>
    </row>
    <row r="135" ht="16.5" customHeight="1">
      <c t="s" r="A135" s="12">
        <v>139</v>
      </c>
      <c r="B135" s="13">
        <v>0</v>
      </c>
      <c r="C135" s="14">
        <f>IFERROR(B135/B329, "NA")</f>
      </c>
      <c r="D135" s="15"/>
      <c r="E135" s="13">
        <v>0</v>
      </c>
      <c r="F135" s="14">
        <f>IFERROR(E135/E329, "NA")</f>
      </c>
      <c r="G135" s="15"/>
      <c r="H135" s="13">
        <v>0</v>
      </c>
      <c r="I135" s="14">
        <f>IFERROR(H135/H329, "NA")</f>
      </c>
      <c r="J135" s="15"/>
      <c r="K135" s="13">
        <v>0</v>
      </c>
      <c r="L135" s="14">
        <f>IFERROR(K135/K329, "NA")</f>
      </c>
      <c r="M135" s="15"/>
      <c r="N135" s="13">
        <v>0</v>
      </c>
      <c r="O135" s="14">
        <f>IFERROR(N135/N329, "NA")</f>
      </c>
      <c r="P135" s="15"/>
      <c r="Q135" s="13">
        <v>0</v>
      </c>
      <c r="R135" s="14">
        <f>IFERROR(Q135/Q329, "NA")</f>
      </c>
    </row>
    <row r="136" ht="16.5" customHeight="1">
      <c t="s" r="A136" s="12">
        <v>140</v>
      </c>
      <c r="B136" s="13">
        <v>0</v>
      </c>
      <c r="C136" s="14">
        <f>IFERROR(B136/B329, "NA")</f>
      </c>
      <c r="D136" s="15"/>
      <c r="E136" s="13">
        <v>0</v>
      </c>
      <c r="F136" s="14">
        <f>IFERROR(E136/E329, "NA")</f>
      </c>
      <c r="G136" s="15"/>
      <c r="H136" s="13">
        <v>0</v>
      </c>
      <c r="I136" s="14">
        <f>IFERROR(H136/H329, "NA")</f>
      </c>
      <c r="J136" s="15"/>
      <c r="K136" s="13">
        <v>0</v>
      </c>
      <c r="L136" s="14">
        <f>IFERROR(K136/K329, "NA")</f>
      </c>
      <c r="M136" s="15"/>
      <c r="N136" s="13">
        <v>0</v>
      </c>
      <c r="O136" s="14">
        <f>IFERROR(N136/N329, "NA")</f>
      </c>
      <c r="P136" s="15"/>
      <c r="Q136" s="13">
        <v>0</v>
      </c>
      <c r="R136" s="14">
        <f>IFERROR(Q136/Q329, "NA")</f>
      </c>
    </row>
    <row r="137" ht="16.5" customHeight="1">
      <c t="s" r="A137" s="12">
        <v>141</v>
      </c>
      <c r="B137" s="13">
        <v>0</v>
      </c>
      <c r="C137" s="14">
        <f>IFERROR(B137/B329, "NA")</f>
      </c>
      <c r="D137" s="15"/>
      <c r="E137" s="13">
        <v>0</v>
      </c>
      <c r="F137" s="14">
        <f>IFERROR(E137/E329, "NA")</f>
      </c>
      <c r="G137" s="15"/>
      <c r="H137" s="13">
        <v>0</v>
      </c>
      <c r="I137" s="14">
        <f>IFERROR(H137/H329, "NA")</f>
      </c>
      <c r="J137" s="15"/>
      <c r="K137" s="13">
        <v>0</v>
      </c>
      <c r="L137" s="14">
        <f>IFERROR(K137/K329, "NA")</f>
      </c>
      <c r="M137" s="15"/>
      <c r="N137" s="13">
        <v>0</v>
      </c>
      <c r="O137" s="14">
        <f>IFERROR(N137/N329, "NA")</f>
      </c>
      <c r="P137" s="15"/>
      <c r="Q137" s="13">
        <v>0</v>
      </c>
      <c r="R137" s="14">
        <f>IFERROR(Q137/Q329, "NA")</f>
      </c>
    </row>
    <row r="138" ht="16.5" customHeight="1">
      <c t="s" r="A138" s="12">
        <v>142</v>
      </c>
      <c r="B138" s="13">
        <v>0</v>
      </c>
      <c r="C138" s="14">
        <f>IFERROR(B138/B329, "NA")</f>
      </c>
      <c r="D138" s="15"/>
      <c r="E138" s="13">
        <v>0</v>
      </c>
      <c r="F138" s="14">
        <f>IFERROR(E138/E329, "NA")</f>
      </c>
      <c r="G138" s="15"/>
      <c r="H138" s="13">
        <v>0</v>
      </c>
      <c r="I138" s="14">
        <f>IFERROR(H138/H329, "NA")</f>
      </c>
      <c r="J138" s="15"/>
      <c r="K138" s="13">
        <v>0</v>
      </c>
      <c r="L138" s="14">
        <f>IFERROR(K138/K329, "NA")</f>
      </c>
      <c r="M138" s="15"/>
      <c r="N138" s="13">
        <v>0</v>
      </c>
      <c r="O138" s="14">
        <f>IFERROR(N138/N329, "NA")</f>
      </c>
      <c r="P138" s="15"/>
      <c r="Q138" s="13">
        <v>0</v>
      </c>
      <c r="R138" s="14">
        <f>IFERROR(Q138/Q329, "NA")</f>
      </c>
    </row>
    <row r="139" ht="16.5" customHeight="1">
      <c t="s" r="A139" s="12">
        <v>143</v>
      </c>
      <c r="B139" s="13">
        <v>10593.09</v>
      </c>
      <c r="C139" s="14">
        <f>IFERROR(B139/B329, "NA")</f>
      </c>
      <c r="D139" s="15"/>
      <c r="E139" s="13">
        <v>10593.09</v>
      </c>
      <c r="F139" s="14">
        <f>IFERROR(E139/E329, "NA")</f>
      </c>
      <c r="G139" s="15"/>
      <c r="H139" s="13">
        <v>10593.09</v>
      </c>
      <c r="I139" s="14">
        <f>IFERROR(H139/H329, "NA")</f>
      </c>
      <c r="J139" s="15"/>
      <c r="K139" s="13">
        <v>10593.09</v>
      </c>
      <c r="L139" s="14">
        <f>IFERROR(K139/K329, "NA")</f>
      </c>
      <c r="M139" s="15"/>
      <c r="N139" s="13">
        <v>13877.23</v>
      </c>
      <c r="O139" s="14">
        <f>IFERROR(N139/N329, "NA")</f>
      </c>
      <c r="P139" s="15"/>
      <c r="Q139" s="13">
        <v>13877.23</v>
      </c>
      <c r="R139" s="14">
        <f>IFERROR(Q139/Q329, "NA")</f>
      </c>
    </row>
    <row r="140" ht="16.5" customHeight="1">
      <c t="s" r="A140" s="12">
        <v>144</v>
      </c>
      <c r="B140" s="13">
        <v>0</v>
      </c>
      <c r="C140" s="14">
        <f>IFERROR(B140/B329, "NA")</f>
      </c>
      <c r="D140" s="15"/>
      <c r="E140" s="13">
        <v>0</v>
      </c>
      <c r="F140" s="14">
        <f>IFERROR(E140/E329, "NA")</f>
      </c>
      <c r="G140" s="15"/>
      <c r="H140" s="13">
        <v>0</v>
      </c>
      <c r="I140" s="14">
        <f>IFERROR(H140/H329, "NA")</f>
      </c>
      <c r="J140" s="15"/>
      <c r="K140" s="13">
        <v>0</v>
      </c>
      <c r="L140" s="14">
        <f>IFERROR(K140/K329, "NA")</f>
      </c>
      <c r="M140" s="15"/>
      <c r="N140" s="13">
        <v>0</v>
      </c>
      <c r="O140" s="14">
        <f>IFERROR(N140/N329, "NA")</f>
      </c>
      <c r="P140" s="15"/>
      <c r="Q140" s="13">
        <v>0</v>
      </c>
      <c r="R140" s="14">
        <f>IFERROR(Q140/Q329, "NA")</f>
      </c>
    </row>
    <row r="141" ht="16.5" customHeight="1">
      <c t="s" r="A141" s="12">
        <v>145</v>
      </c>
      <c r="B141" s="13">
        <v>7460.54</v>
      </c>
      <c r="C141" s="14">
        <f>IFERROR(B141/B329, "NA")</f>
      </c>
      <c r="D141" s="15"/>
      <c r="E141" s="13">
        <v>10452.950000000001</v>
      </c>
      <c r="F141" s="14">
        <f>IFERROR(E141/E329, "NA")</f>
      </c>
      <c r="G141" s="15"/>
      <c r="H141" s="13">
        <v>4710.54</v>
      </c>
      <c r="I141" s="14">
        <f>IFERROR(H141/H329, "NA")</f>
      </c>
      <c r="J141" s="15"/>
      <c r="K141" s="13">
        <v>10057.83</v>
      </c>
      <c r="L141" s="14">
        <f>IFERROR(K141/K329, "NA")</f>
      </c>
      <c r="M141" s="15"/>
      <c r="N141" s="13">
        <v>4710.54</v>
      </c>
      <c r="O141" s="14">
        <f>IFERROR(N141/N329, "NA")</f>
      </c>
      <c r="P141" s="15"/>
      <c r="Q141" s="13">
        <v>-7460.54</v>
      </c>
      <c r="R141" s="14">
        <f>IFERROR(Q141/Q329, "NA")</f>
      </c>
    </row>
    <row r="142" ht="16.5" customHeight="1">
      <c t="s" r="A142" s="12">
        <v>146</v>
      </c>
      <c r="B142" s="13">
        <v>0</v>
      </c>
      <c r="C142" s="14">
        <f>IFERROR(B142/B329, "NA")</f>
      </c>
      <c r="D142" s="15"/>
      <c r="E142" s="13">
        <v>0</v>
      </c>
      <c r="F142" s="14">
        <f>IFERROR(E142/E329, "NA")</f>
      </c>
      <c r="G142" s="15"/>
      <c r="H142" s="13">
        <v>0</v>
      </c>
      <c r="I142" s="14">
        <f>IFERROR(H142/H329, "NA")</f>
      </c>
      <c r="J142" s="15"/>
      <c r="K142" s="13">
        <v>15444</v>
      </c>
      <c r="L142" s="14">
        <f>IFERROR(K142/K329, "NA")</f>
      </c>
      <c r="M142" s="15"/>
      <c r="N142" s="13">
        <v>0</v>
      </c>
      <c r="O142" s="14">
        <f>IFERROR(N142/N329, "NA")</f>
      </c>
      <c r="P142" s="15"/>
      <c r="Q142" s="13">
        <v>0</v>
      </c>
      <c r="R142" s="14">
        <f>IFERROR(Q142/Q329, "NA")</f>
      </c>
    </row>
    <row r="143" ht="16.5" customHeight="1">
      <c t="s" r="A143" s="16">
        <v>147</v>
      </c>
      <c r="B143" s="17">
        <f>IFERROR(B122+B123+B124+B125+B126+B127+B128+B129+B130+B131+B132+B133+B134+B135+B136+B137+B138+B139+B140+B141+B142, "NA")</f>
      </c>
      <c r="C143" s="18">
        <f>IFERROR(B143/B329, "NA")</f>
      </c>
      <c r="D143" s="8"/>
      <c r="E143" s="17">
        <f>IFERROR(E122+E123+E124+E125+E126+E127+E128+E129+E130+E131+E132+E133+E134+E135+E136+E137+E138+E139+E140+E141+E142, "NA")</f>
      </c>
      <c r="F143" s="18">
        <f>IFERROR(E143/E329, "NA")</f>
      </c>
      <c r="G143" s="8"/>
      <c r="H143" s="17">
        <f>IFERROR(H122+H123+H124+H125+H126+H127+H128+H129+H130+H131+H132+H133+H134+H135+H136+H137+H138+H139+H140+H141+H142, "NA")</f>
      </c>
      <c r="I143" s="18">
        <f>IFERROR(H143/H329, "NA")</f>
      </c>
      <c r="J143" s="8"/>
      <c r="K143" s="17">
        <f>IFERROR(K122+K123+K124+K125+K126+K127+K128+K129+K130+K131+K132+K133+K134+K135+K136+K137+K138+K139+K140+K141+K142, "NA")</f>
      </c>
      <c r="L143" s="18">
        <f>IFERROR(K143/K329, "NA")</f>
      </c>
      <c r="M143" s="8"/>
      <c r="N143" s="17">
        <f>IFERROR(N122+N123+N124+N125+N126+N127+N128+N129+N130+N131+N132+N133+N134+N135+N136+N137+N138+N139+N140+N141+N142, "NA")</f>
      </c>
      <c r="O143" s="18">
        <f>IFERROR(N143/N329, "NA")</f>
      </c>
      <c r="P143" s="8"/>
      <c r="Q143" s="17">
        <f>IFERROR(Q122+Q123+Q124+Q125+Q126+Q127+Q128+Q129+Q130+Q131+Q132+Q133+Q134+Q135+Q136+Q137+Q138+Q139+Q140+Q141+Q142, "NA")</f>
      </c>
      <c r="R143" s="18">
        <f>IFERROR(Q143/Q329, "NA")</f>
      </c>
    </row>
    <row r="144" ht="16.5" customHeight="1">
      <c t="s" r="A144" s="11">
        <v>148</v>
      </c>
      <c r="B144" s="8"/>
      <c r="C144" s="9"/>
      <c r="D144" s="10"/>
      <c r="E144" s="8"/>
      <c r="F144" s="9"/>
      <c r="G144" s="10"/>
      <c r="H144" s="8"/>
      <c r="I144" s="9"/>
      <c r="J144" s="10"/>
      <c r="K144" s="8"/>
      <c r="L144" s="9"/>
      <c r="M144" s="10"/>
      <c r="N144" s="8"/>
      <c r="O144" s="9"/>
      <c r="P144" s="10"/>
      <c r="Q144" s="8"/>
      <c r="R144" s="9"/>
    </row>
    <row r="145" ht="16.5" customHeight="1">
      <c t="s" r="A145" s="12">
        <v>149</v>
      </c>
      <c r="B145" s="13">
        <v>0</v>
      </c>
      <c r="C145" s="14">
        <f>IFERROR(B145/B329, "NA")</f>
      </c>
      <c r="D145" s="15"/>
      <c r="E145" s="13">
        <v>0</v>
      </c>
      <c r="F145" s="14">
        <f>IFERROR(E145/E329, "NA")</f>
      </c>
      <c r="G145" s="15"/>
      <c r="H145" s="13">
        <v>0</v>
      </c>
      <c r="I145" s="14">
        <f>IFERROR(H145/H329, "NA")</f>
      </c>
      <c r="J145" s="15"/>
      <c r="K145" s="13">
        <v>0</v>
      </c>
      <c r="L145" s="14">
        <f>IFERROR(K145/K329, "NA")</f>
      </c>
      <c r="M145" s="15"/>
      <c r="N145" s="13">
        <v>0</v>
      </c>
      <c r="O145" s="14">
        <f>IFERROR(N145/N329, "NA")</f>
      </c>
      <c r="P145" s="15"/>
      <c r="Q145" s="13">
        <v>0</v>
      </c>
      <c r="R145" s="14">
        <f>IFERROR(Q145/Q329, "NA")</f>
      </c>
    </row>
    <row r="146" ht="16.5" customHeight="1">
      <c t="s" r="A146" s="12">
        <v>150</v>
      </c>
      <c r="B146" s="13">
        <v>8211.1000000000004</v>
      </c>
      <c r="C146" s="14">
        <f>IFERROR(B146/B329, "NA")</f>
      </c>
      <c r="D146" s="15"/>
      <c r="E146" s="13">
        <v>7003.5600000000004</v>
      </c>
      <c r="F146" s="14">
        <f>IFERROR(E146/E329, "NA")</f>
      </c>
      <c r="G146" s="15"/>
      <c r="H146" s="13">
        <v>7783.1899999999996</v>
      </c>
      <c r="I146" s="14">
        <f>IFERROR(H146/H329, "NA")</f>
      </c>
      <c r="J146" s="15"/>
      <c r="K146" s="13">
        <v>8100.9499999999998</v>
      </c>
      <c r="L146" s="14">
        <f>IFERROR(K146/K329, "NA")</f>
      </c>
      <c r="M146" s="15"/>
      <c r="N146" s="13">
        <v>8817.5599999999995</v>
      </c>
      <c r="O146" s="14">
        <f>IFERROR(N146/N329, "NA")</f>
      </c>
      <c r="P146" s="15"/>
      <c r="Q146" s="13">
        <v>-8691.5200000000004</v>
      </c>
      <c r="R146" s="14">
        <f>IFERROR(Q146/Q329, "NA")</f>
      </c>
    </row>
    <row r="147" ht="16.5" customHeight="1">
      <c t="s" r="A147" s="12">
        <v>151</v>
      </c>
      <c r="B147" s="13">
        <v>674.91999999999996</v>
      </c>
      <c r="C147" s="14">
        <f>IFERROR(B147/B329, "NA")</f>
      </c>
      <c r="D147" s="15"/>
      <c r="E147" s="13">
        <v>242.38</v>
      </c>
      <c r="F147" s="14">
        <f>IFERROR(E147/E329, "NA")</f>
      </c>
      <c r="G147" s="15"/>
      <c r="H147" s="13">
        <v>789.16999999999996</v>
      </c>
      <c r="I147" s="14">
        <f>IFERROR(H147/H329, "NA")</f>
      </c>
      <c r="J147" s="15"/>
      <c r="K147" s="13">
        <v>156.05000000000001</v>
      </c>
      <c r="L147" s="14">
        <f>IFERROR(K147/K329, "NA")</f>
      </c>
      <c r="M147" s="15"/>
      <c r="N147" s="13">
        <v>889.09000000000003</v>
      </c>
      <c r="O147" s="14">
        <f>IFERROR(N147/N329, "NA")</f>
      </c>
      <c r="P147" s="15"/>
      <c r="Q147" s="13">
        <v>-402.68000000000001</v>
      </c>
      <c r="R147" s="14">
        <f>IFERROR(Q147/Q329, "NA")</f>
      </c>
    </row>
    <row r="148" ht="16.5" customHeight="1">
      <c t="s" r="A148" s="12">
        <v>152</v>
      </c>
      <c r="B148" s="13">
        <v>0</v>
      </c>
      <c r="C148" s="14">
        <f>IFERROR(B148/B329, "NA")</f>
      </c>
      <c r="D148" s="15"/>
      <c r="E148" s="13">
        <v>0</v>
      </c>
      <c r="F148" s="14">
        <f>IFERROR(E148/E329, "NA")</f>
      </c>
      <c r="G148" s="15"/>
      <c r="H148" s="13">
        <v>0</v>
      </c>
      <c r="I148" s="14">
        <f>IFERROR(H148/H329, "NA")</f>
      </c>
      <c r="J148" s="15"/>
      <c r="K148" s="13">
        <v>878.59000000000003</v>
      </c>
      <c r="L148" s="14">
        <f>IFERROR(K148/K329, "NA")</f>
      </c>
      <c r="M148" s="15"/>
      <c r="N148" s="13">
        <v>0</v>
      </c>
      <c r="O148" s="14">
        <f>IFERROR(N148/N329, "NA")</f>
      </c>
      <c r="P148" s="15"/>
      <c r="Q148" s="13">
        <v>0</v>
      </c>
      <c r="R148" s="14">
        <f>IFERROR(Q148/Q329, "NA")</f>
      </c>
    </row>
    <row r="149" ht="16.5" customHeight="1">
      <c t="s" r="A149" s="12">
        <v>153</v>
      </c>
      <c r="B149" s="13">
        <v>2369.4699999999998</v>
      </c>
      <c r="C149" s="14">
        <f>IFERROR(B149/B329, "NA")</f>
      </c>
      <c r="D149" s="15"/>
      <c r="E149" s="13">
        <v>-1078.47</v>
      </c>
      <c r="F149" s="14">
        <f>IFERROR(E149/E329, "NA")</f>
      </c>
      <c r="G149" s="15"/>
      <c r="H149" s="13">
        <v>2449.25</v>
      </c>
      <c r="I149" s="14">
        <f>IFERROR(H149/H329, "NA")</f>
      </c>
      <c r="J149" s="15"/>
      <c r="K149" s="13">
        <v>-1085.3800000000001</v>
      </c>
      <c r="L149" s="14">
        <f>IFERROR(K149/K329, "NA")</f>
      </c>
      <c r="M149" s="15"/>
      <c r="N149" s="13">
        <v>2759.3699999999999</v>
      </c>
      <c r="O149" s="14">
        <f>IFERROR(N149/N329, "NA")</f>
      </c>
      <c r="P149" s="15"/>
      <c r="Q149" s="13">
        <v>-1249.76</v>
      </c>
      <c r="R149" s="14">
        <f>IFERROR(Q149/Q329, "NA")</f>
      </c>
    </row>
    <row r="150" ht="16.5" customHeight="1">
      <c t="s" r="A150" s="12">
        <v>154</v>
      </c>
      <c r="B150" s="13">
        <v>1059.25</v>
      </c>
      <c r="C150" s="14">
        <f>IFERROR(B150/B329, "NA")</f>
      </c>
      <c r="D150" s="15"/>
      <c r="E150" s="13">
        <v>1059.25</v>
      </c>
      <c r="F150" s="14">
        <f>IFERROR(E150/E329, "NA")</f>
      </c>
      <c r="G150" s="15"/>
      <c r="H150" s="13">
        <v>1059.25</v>
      </c>
      <c r="I150" s="14">
        <f>IFERROR(H150/H329, "NA")</f>
      </c>
      <c r="J150" s="15"/>
      <c r="K150" s="13">
        <v>1059.25</v>
      </c>
      <c r="L150" s="14">
        <f>IFERROR(K150/K329, "NA")</f>
      </c>
      <c r="M150" s="15"/>
      <c r="N150" s="13">
        <v>1464.6099999999999</v>
      </c>
      <c r="O150" s="14">
        <f>IFERROR(N150/N329, "NA")</f>
      </c>
      <c r="P150" s="15"/>
      <c r="Q150" s="13">
        <v>1464.6099999999999</v>
      </c>
      <c r="R150" s="14">
        <f>IFERROR(Q150/Q329, "NA")</f>
      </c>
    </row>
    <row r="151" ht="16.5" customHeight="1">
      <c t="s" r="A151" s="16">
        <v>155</v>
      </c>
      <c r="B151" s="17">
        <f>IFERROR(B145+B146+B147+B148+B149+B150, "NA")</f>
      </c>
      <c r="C151" s="18">
        <f>IFERROR(B151/B329, "NA")</f>
      </c>
      <c r="D151" s="8"/>
      <c r="E151" s="17">
        <f>IFERROR(E145+E146+E147+E148+E149+E150, "NA")</f>
      </c>
      <c r="F151" s="18">
        <f>IFERROR(E151/E329, "NA")</f>
      </c>
      <c r="G151" s="8"/>
      <c r="H151" s="17">
        <f>IFERROR(H145+H146+H147+H148+H149+H150, "NA")</f>
      </c>
      <c r="I151" s="18">
        <f>IFERROR(H151/H329, "NA")</f>
      </c>
      <c r="J151" s="8"/>
      <c r="K151" s="17">
        <f>IFERROR(K145+K146+K147+K148+K149+K150, "NA")</f>
      </c>
      <c r="L151" s="18">
        <f>IFERROR(K151/K329, "NA")</f>
      </c>
      <c r="M151" s="8"/>
      <c r="N151" s="17">
        <f>IFERROR(N145+N146+N147+N148+N149+N150, "NA")</f>
      </c>
      <c r="O151" s="18">
        <f>IFERROR(N151/N329, "NA")</f>
      </c>
      <c r="P151" s="8"/>
      <c r="Q151" s="17">
        <f>IFERROR(Q145+Q146+Q147+Q148+Q149+Q150, "NA")</f>
      </c>
      <c r="R151" s="18">
        <f>IFERROR(Q151/Q329, "NA")</f>
      </c>
    </row>
    <row r="152" ht="16.5" customHeight="1">
      <c t="s" r="A152" s="19">
        <v>156</v>
      </c>
      <c r="B152" s="13">
        <v>0</v>
      </c>
      <c r="C152" s="14">
        <f>IFERROR(B152/B329, "NA")</f>
      </c>
      <c r="D152" s="15"/>
      <c r="E152" s="13">
        <v>0</v>
      </c>
      <c r="F152" s="14">
        <f>IFERROR(E152/E329, "NA")</f>
      </c>
      <c r="G152" s="15"/>
      <c r="H152" s="13">
        <v>0</v>
      </c>
      <c r="I152" s="14">
        <f>IFERROR(H152/H329, "NA")</f>
      </c>
      <c r="J152" s="15"/>
      <c r="K152" s="13">
        <v>0</v>
      </c>
      <c r="L152" s="14">
        <f>IFERROR(K152/K329, "NA")</f>
      </c>
      <c r="M152" s="15"/>
      <c r="N152" s="13">
        <v>0</v>
      </c>
      <c r="O152" s="14">
        <f>IFERROR(N152/N329, "NA")</f>
      </c>
      <c r="P152" s="15"/>
      <c r="Q152" s="13">
        <v>0</v>
      </c>
      <c r="R152" s="14">
        <f>IFERROR(Q152/Q329, "NA")</f>
      </c>
    </row>
    <row r="153" ht="16.5" customHeight="1">
      <c t="s" r="A153" s="19">
        <v>157</v>
      </c>
      <c r="B153" s="13">
        <v>0</v>
      </c>
      <c r="C153" s="14">
        <f>IFERROR(B153/B329, "NA")</f>
      </c>
      <c r="D153" s="15"/>
      <c r="E153" s="13">
        <v>0</v>
      </c>
      <c r="F153" s="14">
        <f>IFERROR(E153/E329, "NA")</f>
      </c>
      <c r="G153" s="15"/>
      <c r="H153" s="13">
        <v>10520.379999999999</v>
      </c>
      <c r="I153" s="14">
        <f>IFERROR(H153/H329, "NA")</f>
      </c>
      <c r="J153" s="15"/>
      <c r="K153" s="13">
        <v>0</v>
      </c>
      <c r="L153" s="14">
        <f>IFERROR(K153/K329, "NA")</f>
      </c>
      <c r="M153" s="15"/>
      <c r="N153" s="13">
        <v>10440.360000000001</v>
      </c>
      <c r="O153" s="14">
        <f>IFERROR(N153/N329, "NA")</f>
      </c>
      <c r="P153" s="15"/>
      <c r="Q153" s="13">
        <v>0</v>
      </c>
      <c r="R153" s="14">
        <f>IFERROR(Q153/Q329, "NA")</f>
      </c>
    </row>
    <row r="154" ht="16.5" customHeight="1">
      <c t="s" r="A154" s="19">
        <v>158</v>
      </c>
      <c r="B154" s="13">
        <v>0</v>
      </c>
      <c r="C154" s="14">
        <f>IFERROR(B154/B329, "NA")</f>
      </c>
      <c r="D154" s="15"/>
      <c r="E154" s="13">
        <v>0</v>
      </c>
      <c r="F154" s="14">
        <f>IFERROR(E154/E329, "NA")</f>
      </c>
      <c r="G154" s="15"/>
      <c r="H154" s="13">
        <v>0</v>
      </c>
      <c r="I154" s="14">
        <f>IFERROR(H154/H329, "NA")</f>
      </c>
      <c r="J154" s="15"/>
      <c r="K154" s="13">
        <v>0</v>
      </c>
      <c r="L154" s="14">
        <f>IFERROR(K154/K329, "NA")</f>
      </c>
      <c r="M154" s="15"/>
      <c r="N154" s="13">
        <v>0</v>
      </c>
      <c r="O154" s="14">
        <f>IFERROR(N154/N329, "NA")</f>
      </c>
      <c r="P154" s="15"/>
      <c r="Q154" s="13">
        <v>0</v>
      </c>
      <c r="R154" s="14">
        <f>IFERROR(Q154/Q329, "NA")</f>
      </c>
    </row>
    <row r="155" ht="16.5" customHeight="1">
      <c t="s" r="A155" s="19">
        <v>159</v>
      </c>
      <c r="B155" s="13">
        <v>0</v>
      </c>
      <c r="C155" s="14">
        <f>IFERROR(B155/B329, "NA")</f>
      </c>
      <c r="D155" s="15"/>
      <c r="E155" s="13">
        <v>0</v>
      </c>
      <c r="F155" s="14">
        <f>IFERROR(E155/E329, "NA")</f>
      </c>
      <c r="G155" s="15"/>
      <c r="H155" s="13">
        <v>0</v>
      </c>
      <c r="I155" s="14">
        <f>IFERROR(H155/H329, "NA")</f>
      </c>
      <c r="J155" s="15"/>
      <c r="K155" s="13">
        <v>0</v>
      </c>
      <c r="L155" s="14">
        <f>IFERROR(K155/K329, "NA")</f>
      </c>
      <c r="M155" s="15"/>
      <c r="N155" s="13">
        <v>0</v>
      </c>
      <c r="O155" s="14">
        <f>IFERROR(N155/N329, "NA")</f>
      </c>
      <c r="P155" s="15"/>
      <c r="Q155" s="13">
        <v>0</v>
      </c>
      <c r="R155" s="14">
        <f>IFERROR(Q155/Q329, "NA")</f>
      </c>
    </row>
    <row r="156" ht="16.5" customHeight="1">
      <c t="s" r="A156" s="19">
        <v>160</v>
      </c>
      <c r="B156" s="13">
        <v>0</v>
      </c>
      <c r="C156" s="14">
        <f>IFERROR(B156/B329, "NA")</f>
      </c>
      <c r="D156" s="15"/>
      <c r="E156" s="13">
        <v>0</v>
      </c>
      <c r="F156" s="14">
        <f>IFERROR(E156/E329, "NA")</f>
      </c>
      <c r="G156" s="15"/>
      <c r="H156" s="13">
        <v>0</v>
      </c>
      <c r="I156" s="14">
        <f>IFERROR(H156/H329, "NA")</f>
      </c>
      <c r="J156" s="15"/>
      <c r="K156" s="13">
        <v>0</v>
      </c>
      <c r="L156" s="14">
        <f>IFERROR(K156/K329, "NA")</f>
      </c>
      <c r="M156" s="15"/>
      <c r="N156" s="13">
        <v>0</v>
      </c>
      <c r="O156" s="14">
        <f>IFERROR(N156/N329, "NA")</f>
      </c>
      <c r="P156" s="15"/>
      <c r="Q156" s="13">
        <v>0</v>
      </c>
      <c r="R156" s="14">
        <f>IFERROR(Q156/Q329, "NA")</f>
      </c>
    </row>
    <row r="157" ht="16.5" customHeight="1">
      <c t="s" r="A157" s="20">
        <v>161</v>
      </c>
      <c r="B157" s="17">
        <f>IFERROR(B55+B56+B57+B58+B59+B60+B61+B62+B63+B64+B66+B68+B69+B70+B71+B72+B73+B74+B75+B78+B79+B82+B84+B85+B86+B87+B88+B89+B90+B91+B92+B93+B94+B95+B96+B97+B98+B99+B100+B101+B102+B103+B104+B105+B106+B107+B108+B109+B110+B111+B112+B113+B114+B115+B116+B117+B118+B122+B123+B124+B125+B126+B127+B128+B129+B130+B131+B132+B133+B134+B135+B136+B137+B138+B139+B140+B141+B142+B145+B146+B147+B148+B149+B150+B152+B153+B154+B155+B156, "NA")</f>
      </c>
      <c r="C157" s="18">
        <f>IFERROR(B157/B329, "NA")</f>
      </c>
      <c r="D157" s="8"/>
      <c r="E157" s="17">
        <f>IFERROR(E55+E56+E57+E58+E59+E60+E61+E62+E63+E64+E66+E68+E69+E70+E71+E72+E73+E74+E75+E78+E79+E82+E84+E85+E86+E87+E88+E89+E90+E91+E92+E93+E94+E95+E96+E97+E98+E99+E100+E101+E102+E103+E104+E105+E106+E107+E108+E109+E110+E111+E112+E113+E114+E115+E116+E117+E118+E122+E123+E124+E125+E126+E127+E128+E129+E130+E131+E132+E133+E134+E135+E136+E137+E138+E139+E140+E141+E142+E145+E146+E147+E148+E149+E150+E152+E153+E154+E155+E156, "NA")</f>
      </c>
      <c r="F157" s="18">
        <f>IFERROR(E157/E329, "NA")</f>
      </c>
      <c r="G157" s="8"/>
      <c r="H157" s="17">
        <f>IFERROR(H55+H56+H57+H58+H59+H60+H61+H62+H63+H64+H66+H68+H69+H70+H71+H72+H73+H74+H75+H78+H79+H82+H84+H85+H86+H87+H88+H89+H90+H91+H92+H93+H94+H95+H96+H97+H98+H99+H100+H101+H102+H103+H104+H105+H106+H107+H108+H109+H110+H111+H112+H113+H114+H115+H116+H117+H118+H122+H123+H124+H125+H126+H127+H128+H129+H130+H131+H132+H133+H134+H135+H136+H137+H138+H139+H140+H141+H142+H145+H146+H147+H148+H149+H150+H152+H153+H154+H155+H156, "NA")</f>
      </c>
      <c r="I157" s="18">
        <f>IFERROR(H157/H329, "NA")</f>
      </c>
      <c r="J157" s="8"/>
      <c r="K157" s="17">
        <f>IFERROR(K55+K56+K57+K58+K59+K60+K61+K62+K63+K64+K66+K68+K69+K70+K71+K72+K73+K74+K75+K78+K79+K82+K84+K85+K86+K87+K88+K89+K90+K91+K92+K93+K94+K95+K96+K97+K98+K99+K100+K101+K102+K103+K104+K105+K106+K107+K108+K109+K110+K111+K112+K113+K114+K115+K116+K117+K118+K122+K123+K124+K125+K126+K127+K128+K129+K130+K131+K132+K133+K134+K135+K136+K137+K138+K139+K140+K141+K142+K145+K146+K147+K148+K149+K150+K152+K153+K154+K155+K156, "NA")</f>
      </c>
      <c r="L157" s="18">
        <f>IFERROR(K157/K329, "NA")</f>
      </c>
      <c r="M157" s="8"/>
      <c r="N157" s="17">
        <f>IFERROR(N55+N56+N57+N58+N59+N60+N61+N62+N63+N64+N66+N68+N69+N70+N71+N72+N73+N74+N75+N78+N79+N82+N84+N85+N86+N87+N88+N89+N90+N91+N92+N93+N94+N95+N96+N97+N98+N99+N100+N101+N102+N103+N104+N105+N106+N107+N108+N109+N110+N111+N112+N113+N114+N115+N116+N117+N118+N122+N123+N124+N125+N126+N127+N128+N129+N130+N131+N132+N133+N134+N135+N136+N137+N138+N139+N140+N141+N142+N145+N146+N147+N148+N149+N150+N152+N153+N154+N155+N156, "NA")</f>
      </c>
      <c r="O157" s="18">
        <f>IFERROR(N157/N329, "NA")</f>
      </c>
      <c r="P157" s="8"/>
      <c r="Q157" s="17">
        <f>IFERROR(Q55+Q56+Q57+Q58+Q59+Q60+Q61+Q62+Q63+Q64+Q66+Q68+Q69+Q70+Q71+Q72+Q73+Q74+Q75+Q78+Q79+Q82+Q84+Q85+Q86+Q87+Q88+Q89+Q90+Q91+Q92+Q93+Q94+Q95+Q96+Q97+Q98+Q99+Q100+Q101+Q102+Q103+Q104+Q105+Q106+Q107+Q108+Q109+Q110+Q111+Q112+Q113+Q114+Q115+Q116+Q117+Q118+Q122+Q123+Q124+Q125+Q126+Q127+Q128+Q129+Q130+Q131+Q132+Q133+Q134+Q135+Q136+Q137+Q138+Q139+Q140+Q141+Q142+Q145+Q146+Q147+Q148+Q149+Q150+Q152+Q153+Q154+Q155+Q156, "NA")</f>
      </c>
      <c r="R157" s="18">
        <f>IFERROR(Q157/Q329, "NA")</f>
      </c>
    </row>
    <row r="158" ht="16.5" customHeight="1">
      <c t="s" r="A158" s="7">
        <v>162</v>
      </c>
      <c r="B158" s="8"/>
      <c r="C158" s="9"/>
      <c r="D158" s="10"/>
      <c r="E158" s="8"/>
      <c r="F158" s="9"/>
      <c r="G158" s="10"/>
      <c r="H158" s="8"/>
      <c r="I158" s="9"/>
      <c r="J158" s="10"/>
      <c r="K158" s="8"/>
      <c r="L158" s="9"/>
      <c r="M158" s="10"/>
      <c r="N158" s="8"/>
      <c r="O158" s="9"/>
      <c r="P158" s="10"/>
      <c r="Q158" s="8"/>
      <c r="R158" s="9"/>
    </row>
    <row r="159" ht="16.5" customHeight="1">
      <c t="s" r="A159" s="11">
        <v>163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</row>
    <row r="160" ht="16.5" customHeight="1">
      <c t="s" r="A160" s="12">
        <v>164</v>
      </c>
      <c r="B160" s="13">
        <v>0</v>
      </c>
      <c r="C160" s="14">
        <f>IFERROR(B160/B329, "NA")</f>
      </c>
      <c r="D160" s="15"/>
      <c r="E160" s="13">
        <v>0</v>
      </c>
      <c r="F160" s="14">
        <f>IFERROR(E160/E329, "NA")</f>
      </c>
      <c r="G160" s="15"/>
      <c r="H160" s="13">
        <v>0</v>
      </c>
      <c r="I160" s="14">
        <f>IFERROR(H160/H329, "NA")</f>
      </c>
      <c r="J160" s="15"/>
      <c r="K160" s="13">
        <v>0</v>
      </c>
      <c r="L160" s="14">
        <f>IFERROR(K160/K329, "NA")</f>
      </c>
      <c r="M160" s="15"/>
      <c r="N160" s="13">
        <v>0</v>
      </c>
      <c r="O160" s="14">
        <f>IFERROR(N160/N329, "NA")</f>
      </c>
      <c r="P160" s="15"/>
      <c r="Q160" s="13">
        <v>0</v>
      </c>
      <c r="R160" s="14">
        <f>IFERROR(Q160/Q329, "NA")</f>
      </c>
    </row>
    <row r="161" ht="16.5" customHeight="1">
      <c t="s" r="A161" s="12">
        <v>165</v>
      </c>
      <c r="B161" s="13">
        <v>0</v>
      </c>
      <c r="C161" s="14">
        <f>IFERROR(B161/B329, "NA")</f>
      </c>
      <c r="D161" s="15"/>
      <c r="E161" s="13">
        <v>0</v>
      </c>
      <c r="F161" s="14">
        <f>IFERROR(E161/E329, "NA")</f>
      </c>
      <c r="G161" s="15"/>
      <c r="H161" s="13">
        <v>0</v>
      </c>
      <c r="I161" s="14">
        <f>IFERROR(H161/H329, "NA")</f>
      </c>
      <c r="J161" s="15"/>
      <c r="K161" s="13">
        <v>0</v>
      </c>
      <c r="L161" s="14">
        <f>IFERROR(K161/K329, "NA")</f>
      </c>
      <c r="M161" s="15"/>
      <c r="N161" s="13">
        <v>0</v>
      </c>
      <c r="O161" s="14">
        <f>IFERROR(N161/N329, "NA")</f>
      </c>
      <c r="P161" s="15"/>
      <c r="Q161" s="13">
        <v>0</v>
      </c>
      <c r="R161" s="14">
        <f>IFERROR(Q161/Q329, "NA")</f>
      </c>
    </row>
    <row r="162" ht="16.5" customHeight="1">
      <c t="s" r="A162" s="12">
        <v>166</v>
      </c>
      <c r="B162" s="13">
        <v>0</v>
      </c>
      <c r="C162" s="14">
        <f>IFERROR(B162/B329, "NA")</f>
      </c>
      <c r="D162" s="15"/>
      <c r="E162" s="13">
        <v>0</v>
      </c>
      <c r="F162" s="14">
        <f>IFERROR(E162/E329, "NA")</f>
      </c>
      <c r="G162" s="15"/>
      <c r="H162" s="13">
        <v>0</v>
      </c>
      <c r="I162" s="14">
        <f>IFERROR(H162/H329, "NA")</f>
      </c>
      <c r="J162" s="15"/>
      <c r="K162" s="13">
        <v>351.25</v>
      </c>
      <c r="L162" s="14">
        <f>IFERROR(K162/K329, "NA")</f>
      </c>
      <c r="M162" s="15"/>
      <c r="N162" s="13">
        <v>0</v>
      </c>
      <c r="O162" s="14">
        <f>IFERROR(N162/N329, "NA")</f>
      </c>
      <c r="P162" s="15"/>
      <c r="Q162" s="13">
        <v>0</v>
      </c>
      <c r="R162" s="14">
        <f>IFERROR(Q162/Q329, "NA")</f>
      </c>
    </row>
    <row r="163" ht="16.5" customHeight="1">
      <c t="s" r="A163" s="12">
        <v>167</v>
      </c>
      <c r="B163" s="13">
        <v>0</v>
      </c>
      <c r="C163" s="14">
        <f>IFERROR(B163/B329, "NA")</f>
      </c>
      <c r="D163" s="15"/>
      <c r="E163" s="13">
        <v>0</v>
      </c>
      <c r="F163" s="14">
        <f>IFERROR(E163/E329, "NA")</f>
      </c>
      <c r="G163" s="15"/>
      <c r="H163" s="13">
        <v>0</v>
      </c>
      <c r="I163" s="14">
        <f>IFERROR(H163/H329, "NA")</f>
      </c>
      <c r="J163" s="15"/>
      <c r="K163" s="13">
        <v>0</v>
      </c>
      <c r="L163" s="14">
        <f>IFERROR(K163/K329, "NA")</f>
      </c>
      <c r="M163" s="15"/>
      <c r="N163" s="13">
        <v>0</v>
      </c>
      <c r="O163" s="14">
        <f>IFERROR(N163/N329, "NA")</f>
      </c>
      <c r="P163" s="15"/>
      <c r="Q163" s="13">
        <v>0</v>
      </c>
      <c r="R163" s="14">
        <f>IFERROR(Q163/Q329, "NA")</f>
      </c>
    </row>
    <row r="164" ht="16.5" customHeight="1">
      <c t="s" r="A164" s="12">
        <v>168</v>
      </c>
      <c r="B164" s="13">
        <v>0</v>
      </c>
      <c r="C164" s="14">
        <f>IFERROR(B164/B329, "NA")</f>
      </c>
      <c r="D164" s="15"/>
      <c r="E164" s="13">
        <v>0</v>
      </c>
      <c r="F164" s="14">
        <f>IFERROR(E164/E329, "NA")</f>
      </c>
      <c r="G164" s="15"/>
      <c r="H164" s="13">
        <v>0</v>
      </c>
      <c r="I164" s="14">
        <f>IFERROR(H164/H329, "NA")</f>
      </c>
      <c r="J164" s="15"/>
      <c r="K164" s="13">
        <v>89.950000000000003</v>
      </c>
      <c r="L164" s="14">
        <f>IFERROR(K164/K329, "NA")</f>
      </c>
      <c r="M164" s="15"/>
      <c r="N164" s="13">
        <v>0</v>
      </c>
      <c r="O164" s="14">
        <f>IFERROR(N164/N329, "NA")</f>
      </c>
      <c r="P164" s="15"/>
      <c r="Q164" s="13">
        <v>0</v>
      </c>
      <c r="R164" s="14">
        <f>IFERROR(Q164/Q329, "NA")</f>
      </c>
    </row>
    <row r="165" ht="16.5" customHeight="1">
      <c t="s" r="A165" s="12">
        <v>169</v>
      </c>
      <c r="B165" s="13">
        <v>0</v>
      </c>
      <c r="C165" s="14">
        <f>IFERROR(B165/B329, "NA")</f>
      </c>
      <c r="D165" s="15"/>
      <c r="E165" s="13">
        <v>0</v>
      </c>
      <c r="F165" s="14">
        <f>IFERROR(E165/E329, "NA")</f>
      </c>
      <c r="G165" s="15"/>
      <c r="H165" s="13">
        <v>0</v>
      </c>
      <c r="I165" s="14">
        <f>IFERROR(H165/H329, "NA")</f>
      </c>
      <c r="J165" s="15"/>
      <c r="K165" s="13">
        <v>6.5700000000000003</v>
      </c>
      <c r="L165" s="14">
        <f>IFERROR(K165/K329, "NA")</f>
      </c>
      <c r="M165" s="15"/>
      <c r="N165" s="13">
        <v>166.84999999999999</v>
      </c>
      <c r="O165" s="14">
        <f>IFERROR(N165/N329, "NA")</f>
      </c>
      <c r="P165" s="15"/>
      <c r="Q165" s="13">
        <v>0</v>
      </c>
      <c r="R165" s="14">
        <f>IFERROR(Q165/Q329, "NA")</f>
      </c>
    </row>
    <row r="166" ht="16.5" customHeight="1">
      <c t="s" r="A166" s="12">
        <v>170</v>
      </c>
      <c r="B166" s="13">
        <v>918.89999999999998</v>
      </c>
      <c r="C166" s="14">
        <f>IFERROR(B166/B329, "NA")</f>
      </c>
      <c r="D166" s="15"/>
      <c r="E166" s="13">
        <v>856.83000000000004</v>
      </c>
      <c r="F166" s="14">
        <f>IFERROR(E166/E329, "NA")</f>
      </c>
      <c r="G166" s="15"/>
      <c r="H166" s="13">
        <v>805.12</v>
      </c>
      <c r="I166" s="14">
        <f>IFERROR(H166/H329, "NA")</f>
      </c>
      <c r="J166" s="15"/>
      <c r="K166" s="13">
        <v>799.04999999999995</v>
      </c>
      <c r="L166" s="14">
        <f>IFERROR(K166/K329, "NA")</f>
      </c>
      <c r="M166" s="15"/>
      <c r="N166" s="13">
        <v>842.02999999999997</v>
      </c>
      <c r="O166" s="14">
        <f>IFERROR(N166/N329, "NA")</f>
      </c>
      <c r="P166" s="15"/>
      <c r="Q166" s="13">
        <v>0</v>
      </c>
      <c r="R166" s="14">
        <f>IFERROR(Q166/Q329, "NA")</f>
      </c>
    </row>
    <row r="167" ht="16.5" customHeight="1">
      <c t="s" r="A167" s="12">
        <v>171</v>
      </c>
      <c r="B167" s="13">
        <v>592.27999999999997</v>
      </c>
      <c r="C167" s="14">
        <f>IFERROR(B167/B329, "NA")</f>
      </c>
      <c r="D167" s="15"/>
      <c r="E167" s="13">
        <v>760.16999999999996</v>
      </c>
      <c r="F167" s="14">
        <f>IFERROR(E167/E329, "NA")</f>
      </c>
      <c r="G167" s="15"/>
      <c r="H167" s="13">
        <v>582.39999999999998</v>
      </c>
      <c r="I167" s="14">
        <f>IFERROR(H167/H329, "NA")</f>
      </c>
      <c r="J167" s="15"/>
      <c r="K167" s="13">
        <v>682</v>
      </c>
      <c r="L167" s="14">
        <f>IFERROR(K167/K329, "NA")</f>
      </c>
      <c r="M167" s="15"/>
      <c r="N167" s="13">
        <v>795.88999999999999</v>
      </c>
      <c r="O167" s="14">
        <f>IFERROR(N167/N329, "NA")</f>
      </c>
      <c r="P167" s="15"/>
      <c r="Q167" s="13">
        <v>0</v>
      </c>
      <c r="R167" s="14">
        <f>IFERROR(Q167/Q329, "NA")</f>
      </c>
    </row>
    <row r="168" ht="16.5" customHeight="1">
      <c t="s" r="A168" s="12">
        <v>172</v>
      </c>
      <c r="B168" s="13">
        <v>1884.22</v>
      </c>
      <c r="C168" s="14">
        <f>IFERROR(B168/B329, "NA")</f>
      </c>
      <c r="D168" s="15"/>
      <c r="E168" s="13">
        <v>1873.6199999999999</v>
      </c>
      <c r="F168" s="14">
        <f>IFERROR(E168/E329, "NA")</f>
      </c>
      <c r="G168" s="15"/>
      <c r="H168" s="13">
        <v>2424.23</v>
      </c>
      <c r="I168" s="14">
        <f>IFERROR(H168/H329, "NA")</f>
      </c>
      <c r="J168" s="15"/>
      <c r="K168" s="13">
        <v>1541.7</v>
      </c>
      <c r="L168" s="14">
        <f>IFERROR(K168/K329, "NA")</f>
      </c>
      <c r="M168" s="15"/>
      <c r="N168" s="13">
        <v>2014.8399999999999</v>
      </c>
      <c r="O168" s="14">
        <f>IFERROR(N168/N329, "NA")</f>
      </c>
      <c r="P168" s="15"/>
      <c r="Q168" s="13">
        <v>0</v>
      </c>
      <c r="R168" s="14">
        <f>IFERROR(Q168/Q329, "NA")</f>
      </c>
    </row>
    <row r="169" ht="16.5" customHeight="1">
      <c t="s" r="A169" s="12">
        <v>173</v>
      </c>
      <c r="B169" s="13">
        <v>0</v>
      </c>
      <c r="C169" s="14">
        <f>IFERROR(B169/B329, "NA")</f>
      </c>
      <c r="D169" s="15"/>
      <c r="E169" s="13">
        <v>0</v>
      </c>
      <c r="F169" s="14">
        <f>IFERROR(E169/E329, "NA")</f>
      </c>
      <c r="G169" s="15"/>
      <c r="H169" s="13">
        <v>0</v>
      </c>
      <c r="I169" s="14">
        <f>IFERROR(H169/H329, "NA")</f>
      </c>
      <c r="J169" s="15"/>
      <c r="K169" s="13">
        <v>0</v>
      </c>
      <c r="L169" s="14">
        <f>IFERROR(K169/K329, "NA")</f>
      </c>
      <c r="M169" s="15"/>
      <c r="N169" s="13">
        <v>0</v>
      </c>
      <c r="O169" s="14">
        <f>IFERROR(N169/N329, "NA")</f>
      </c>
      <c r="P169" s="15"/>
      <c r="Q169" s="13">
        <v>0</v>
      </c>
      <c r="R169" s="14">
        <f>IFERROR(Q169/Q329, "NA")</f>
      </c>
    </row>
    <row r="170" ht="16.5" customHeight="1">
      <c t="s" r="A170" s="12">
        <v>174</v>
      </c>
      <c r="B170" s="13">
        <v>626.41999999999996</v>
      </c>
      <c r="C170" s="14">
        <f>IFERROR(B170/B329, "NA")</f>
      </c>
      <c r="D170" s="15"/>
      <c r="E170" s="13">
        <v>631.60000000000002</v>
      </c>
      <c r="F170" s="14">
        <f>IFERROR(E170/E329, "NA")</f>
      </c>
      <c r="G170" s="15"/>
      <c r="H170" s="13">
        <v>502.37</v>
      </c>
      <c r="I170" s="14">
        <f>IFERROR(H170/H329, "NA")</f>
      </c>
      <c r="J170" s="15"/>
      <c r="K170" s="13">
        <v>287.92000000000002</v>
      </c>
      <c r="L170" s="14">
        <f>IFERROR(K170/K329, "NA")</f>
      </c>
      <c r="M170" s="15"/>
      <c r="N170" s="13">
        <v>420.37</v>
      </c>
      <c r="O170" s="14">
        <f>IFERROR(N170/N329, "NA")</f>
      </c>
      <c r="P170" s="15"/>
      <c r="Q170" s="13">
        <v>0</v>
      </c>
      <c r="R170" s="14">
        <f>IFERROR(Q170/Q329, "NA")</f>
      </c>
    </row>
    <row r="171" ht="16.5" customHeight="1">
      <c t="s" r="A171" s="12">
        <v>175</v>
      </c>
      <c r="B171" s="13">
        <v>0</v>
      </c>
      <c r="C171" s="14">
        <f>IFERROR(B171/B329, "NA")</f>
      </c>
      <c r="D171" s="15"/>
      <c r="E171" s="13">
        <v>0</v>
      </c>
      <c r="F171" s="14">
        <f>IFERROR(E171/E329, "NA")</f>
      </c>
      <c r="G171" s="15"/>
      <c r="H171" s="13">
        <v>0</v>
      </c>
      <c r="I171" s="14">
        <f>IFERROR(H171/H329, "NA")</f>
      </c>
      <c r="J171" s="15"/>
      <c r="K171" s="13">
        <v>4324.8100000000004</v>
      </c>
      <c r="L171" s="14">
        <f>IFERROR(K171/K329, "NA")</f>
      </c>
      <c r="M171" s="15"/>
      <c r="N171" s="13">
        <v>0</v>
      </c>
      <c r="O171" s="14">
        <f>IFERROR(N171/N329, "NA")</f>
      </c>
      <c r="P171" s="15"/>
      <c r="Q171" s="13">
        <v>0</v>
      </c>
      <c r="R171" s="14">
        <f>IFERROR(Q171/Q329, "NA")</f>
      </c>
    </row>
    <row r="172" ht="16.5" customHeight="1">
      <c t="s" r="A172" s="12">
        <v>176</v>
      </c>
      <c r="B172" s="13">
        <v>0</v>
      </c>
      <c r="C172" s="14">
        <f>IFERROR(B172/B329, "NA")</f>
      </c>
      <c r="D172" s="15"/>
      <c r="E172" s="13">
        <v>0</v>
      </c>
      <c r="F172" s="14">
        <f>IFERROR(E172/E329, "NA")</f>
      </c>
      <c r="G172" s="15"/>
      <c r="H172" s="13">
        <v>0</v>
      </c>
      <c r="I172" s="14">
        <f>IFERROR(H172/H329, "NA")</f>
      </c>
      <c r="J172" s="15"/>
      <c r="K172" s="13">
        <v>0</v>
      </c>
      <c r="L172" s="14">
        <f>IFERROR(K172/K329, "NA")</f>
      </c>
      <c r="M172" s="15"/>
      <c r="N172" s="13">
        <v>0</v>
      </c>
      <c r="O172" s="14">
        <f>IFERROR(N172/N329, "NA")</f>
      </c>
      <c r="P172" s="15"/>
      <c r="Q172" s="13">
        <v>0</v>
      </c>
      <c r="R172" s="14">
        <f>IFERROR(Q172/Q329, "NA")</f>
      </c>
    </row>
    <row r="173" ht="16.5" customHeight="1">
      <c t="s" r="A173" s="12">
        <v>177</v>
      </c>
      <c r="B173" s="13">
        <v>0</v>
      </c>
      <c r="C173" s="14">
        <f>IFERROR(B173/B329, "NA")</f>
      </c>
      <c r="D173" s="15"/>
      <c r="E173" s="13">
        <v>0</v>
      </c>
      <c r="F173" s="14">
        <f>IFERROR(E173/E329, "NA")</f>
      </c>
      <c r="G173" s="15"/>
      <c r="H173" s="13">
        <v>0</v>
      </c>
      <c r="I173" s="14">
        <f>IFERROR(H173/H329, "NA")</f>
      </c>
      <c r="J173" s="15"/>
      <c r="K173" s="13">
        <v>0</v>
      </c>
      <c r="L173" s="14">
        <f>IFERROR(K173/K329, "NA")</f>
      </c>
      <c r="M173" s="15"/>
      <c r="N173" s="13">
        <v>0</v>
      </c>
      <c r="O173" s="14">
        <f>IFERROR(N173/N329, "NA")</f>
      </c>
      <c r="P173" s="15"/>
      <c r="Q173" s="13">
        <v>0</v>
      </c>
      <c r="R173" s="14">
        <f>IFERROR(Q173/Q329, "NA")</f>
      </c>
    </row>
    <row r="174" ht="16.5" customHeight="1">
      <c t="s" r="A174" s="12">
        <v>178</v>
      </c>
      <c r="B174" s="13">
        <v>0</v>
      </c>
      <c r="C174" s="14">
        <f>IFERROR(B174/B329, "NA")</f>
      </c>
      <c r="D174" s="15"/>
      <c r="E174" s="13">
        <v>0</v>
      </c>
      <c r="F174" s="14">
        <f>IFERROR(E174/E329, "NA")</f>
      </c>
      <c r="G174" s="15"/>
      <c r="H174" s="13">
        <v>0</v>
      </c>
      <c r="I174" s="14">
        <f>IFERROR(H174/H329, "NA")</f>
      </c>
      <c r="J174" s="15"/>
      <c r="K174" s="13">
        <v>0</v>
      </c>
      <c r="L174" s="14">
        <f>IFERROR(K174/K329, "NA")</f>
      </c>
      <c r="M174" s="15"/>
      <c r="N174" s="13">
        <v>0</v>
      </c>
      <c r="O174" s="14">
        <f>IFERROR(N174/N329, "NA")</f>
      </c>
      <c r="P174" s="15"/>
      <c r="Q174" s="13">
        <v>0</v>
      </c>
      <c r="R174" s="14">
        <f>IFERROR(Q174/Q329, "NA")</f>
      </c>
    </row>
    <row r="175" ht="16.5" customHeight="1">
      <c t="s" r="A175" s="12">
        <v>179</v>
      </c>
      <c r="B175" s="13">
        <v>834.14999999999998</v>
      </c>
      <c r="C175" s="14">
        <f>IFERROR(B175/B329, "NA")</f>
      </c>
      <c r="D175" s="15"/>
      <c r="E175" s="13">
        <v>1047.3800000000001</v>
      </c>
      <c r="F175" s="14">
        <f>IFERROR(E175/E329, "NA")</f>
      </c>
      <c r="G175" s="15"/>
      <c r="H175" s="13">
        <v>964.51999999999998</v>
      </c>
      <c r="I175" s="14">
        <f>IFERROR(H175/H329, "NA")</f>
      </c>
      <c r="J175" s="15"/>
      <c r="K175" s="13">
        <v>948.48000000000002</v>
      </c>
      <c r="L175" s="14">
        <f>IFERROR(K175/K329, "NA")</f>
      </c>
      <c r="M175" s="15"/>
      <c r="N175" s="13">
        <v>888.37</v>
      </c>
      <c r="O175" s="14">
        <f>IFERROR(N175/N329, "NA")</f>
      </c>
      <c r="P175" s="15"/>
      <c r="Q175" s="13">
        <v>0</v>
      </c>
      <c r="R175" s="14">
        <f>IFERROR(Q175/Q329, "NA")</f>
      </c>
    </row>
    <row r="176" ht="16.5" customHeight="1">
      <c t="s" r="A176" s="12">
        <v>180</v>
      </c>
      <c r="B176" s="13">
        <v>393.62</v>
      </c>
      <c r="C176" s="14">
        <f>IFERROR(B176/B329, "NA")</f>
      </c>
      <c r="D176" s="15"/>
      <c r="E176" s="13">
        <v>922.53999999999996</v>
      </c>
      <c r="F176" s="14">
        <f>IFERROR(E176/E329, "NA")</f>
      </c>
      <c r="G176" s="15"/>
      <c r="H176" s="13">
        <v>914.55999999999995</v>
      </c>
      <c r="I176" s="14">
        <f>IFERROR(H176/H329, "NA")</f>
      </c>
      <c r="J176" s="15"/>
      <c r="K176" s="13">
        <v>742.04999999999995</v>
      </c>
      <c r="L176" s="14">
        <f>IFERROR(K176/K329, "NA")</f>
      </c>
      <c r="M176" s="15"/>
      <c r="N176" s="13">
        <v>967.67999999999995</v>
      </c>
      <c r="O176" s="14">
        <f>IFERROR(N176/N329, "NA")</f>
      </c>
      <c r="P176" s="15"/>
      <c r="Q176" s="13">
        <v>0</v>
      </c>
      <c r="R176" s="14">
        <f>IFERROR(Q176/Q329, "NA")</f>
      </c>
    </row>
    <row r="177" ht="16.5" customHeight="1">
      <c t="s" r="A177" s="12">
        <v>181</v>
      </c>
      <c r="B177" s="13">
        <v>0</v>
      </c>
      <c r="C177" s="14">
        <f>IFERROR(B177/B329, "NA")</f>
      </c>
      <c r="D177" s="15"/>
      <c r="E177" s="13">
        <v>0</v>
      </c>
      <c r="F177" s="14">
        <f>IFERROR(E177/E329, "NA")</f>
      </c>
      <c r="G177" s="15"/>
      <c r="H177" s="13">
        <v>0</v>
      </c>
      <c r="I177" s="14">
        <f>IFERROR(H177/H329, "NA")</f>
      </c>
      <c r="J177" s="15"/>
      <c r="K177" s="13">
        <v>0</v>
      </c>
      <c r="L177" s="14">
        <f>IFERROR(K177/K329, "NA")</f>
      </c>
      <c r="M177" s="15"/>
      <c r="N177" s="13">
        <v>0</v>
      </c>
      <c r="O177" s="14">
        <f>IFERROR(N177/N329, "NA")</f>
      </c>
      <c r="P177" s="15"/>
      <c r="Q177" s="13">
        <v>0</v>
      </c>
      <c r="R177" s="14">
        <f>IFERROR(Q177/Q329, "NA")</f>
      </c>
    </row>
    <row r="178" ht="16.5" customHeight="1">
      <c t="s" r="A178" s="12">
        <v>182</v>
      </c>
      <c r="B178" s="13">
        <v>0</v>
      </c>
      <c r="C178" s="14">
        <f>IFERROR(B178/B329, "NA")</f>
      </c>
      <c r="D178" s="15"/>
      <c r="E178" s="13">
        <v>0</v>
      </c>
      <c r="F178" s="14">
        <f>IFERROR(E178/E329, "NA")</f>
      </c>
      <c r="G178" s="15"/>
      <c r="H178" s="13">
        <v>0</v>
      </c>
      <c r="I178" s="14">
        <f>IFERROR(H178/H329, "NA")</f>
      </c>
      <c r="J178" s="15"/>
      <c r="K178" s="13">
        <v>125.5</v>
      </c>
      <c r="L178" s="14">
        <f>IFERROR(K178/K329, "NA")</f>
      </c>
      <c r="M178" s="15"/>
      <c r="N178" s="13">
        <v>0</v>
      </c>
      <c r="O178" s="14">
        <f>IFERROR(N178/N329, "NA")</f>
      </c>
      <c r="P178" s="15"/>
      <c r="Q178" s="13">
        <v>0</v>
      </c>
      <c r="R178" s="14">
        <f>IFERROR(Q178/Q329, "NA")</f>
      </c>
    </row>
    <row r="179" ht="16.5" customHeight="1">
      <c t="s" r="A179" s="12">
        <v>183</v>
      </c>
      <c r="B179" s="13">
        <v>1460.76</v>
      </c>
      <c r="C179" s="14">
        <f>IFERROR(B179/B329, "NA")</f>
      </c>
      <c r="D179" s="15"/>
      <c r="E179" s="13">
        <v>0</v>
      </c>
      <c r="F179" s="14">
        <f>IFERROR(E179/E329, "NA")</f>
      </c>
      <c r="G179" s="15"/>
      <c r="H179" s="13">
        <v>0</v>
      </c>
      <c r="I179" s="14">
        <f>IFERROR(H179/H329, "NA")</f>
      </c>
      <c r="J179" s="15"/>
      <c r="K179" s="13">
        <v>0</v>
      </c>
      <c r="L179" s="14">
        <f>IFERROR(K179/K329, "NA")</f>
      </c>
      <c r="M179" s="15"/>
      <c r="N179" s="13">
        <v>0</v>
      </c>
      <c r="O179" s="14">
        <f>IFERROR(N179/N329, "NA")</f>
      </c>
      <c r="P179" s="15"/>
      <c r="Q179" s="13">
        <v>0</v>
      </c>
      <c r="R179" s="14">
        <f>IFERROR(Q179/Q329, "NA")</f>
      </c>
    </row>
    <row r="180" ht="16.5" customHeight="1">
      <c t="s" r="A180" s="12">
        <v>184</v>
      </c>
      <c r="B180" s="13">
        <v>600</v>
      </c>
      <c r="C180" s="14">
        <f>IFERROR(B180/B329, "NA")</f>
      </c>
      <c r="D180" s="15"/>
      <c r="E180" s="13">
        <v>850</v>
      </c>
      <c r="F180" s="14">
        <f>IFERROR(E180/E329, "NA")</f>
      </c>
      <c r="G180" s="15"/>
      <c r="H180" s="13">
        <v>2301.5999999999999</v>
      </c>
      <c r="I180" s="14">
        <f>IFERROR(H180/H329, "NA")</f>
      </c>
      <c r="J180" s="15"/>
      <c r="K180" s="13">
        <v>1898.8</v>
      </c>
      <c r="L180" s="14">
        <f>IFERROR(K180/K329, "NA")</f>
      </c>
      <c r="M180" s="15"/>
      <c r="N180" s="13">
        <v>1038</v>
      </c>
      <c r="O180" s="14">
        <f>IFERROR(N180/N329, "NA")</f>
      </c>
      <c r="P180" s="15"/>
      <c r="Q180" s="13">
        <v>711.51999999999998</v>
      </c>
      <c r="R180" s="14">
        <f>IFERROR(Q180/Q329, "NA")</f>
      </c>
    </row>
    <row r="181" ht="16.5" customHeight="1">
      <c t="s" r="A181" s="12">
        <v>185</v>
      </c>
      <c r="B181" s="13">
        <v>0</v>
      </c>
      <c r="C181" s="14">
        <f>IFERROR(B181/B329, "NA")</f>
      </c>
      <c r="D181" s="15"/>
      <c r="E181" s="13">
        <v>0</v>
      </c>
      <c r="F181" s="14">
        <f>IFERROR(E181/E329, "NA")</f>
      </c>
      <c r="G181" s="15"/>
      <c r="H181" s="13">
        <v>0</v>
      </c>
      <c r="I181" s="14">
        <f>IFERROR(H181/H329, "NA")</f>
      </c>
      <c r="J181" s="15"/>
      <c r="K181" s="13">
        <v>0</v>
      </c>
      <c r="L181" s="14">
        <f>IFERROR(K181/K329, "NA")</f>
      </c>
      <c r="M181" s="15"/>
      <c r="N181" s="13">
        <v>0</v>
      </c>
      <c r="O181" s="14">
        <f>IFERROR(N181/N329, "NA")</f>
      </c>
      <c r="P181" s="15"/>
      <c r="Q181" s="13">
        <v>0</v>
      </c>
      <c r="R181" s="14">
        <f>IFERROR(Q181/Q329, "NA")</f>
      </c>
    </row>
    <row r="182" ht="16.5" customHeight="1">
      <c t="s" r="A182" s="12">
        <v>186</v>
      </c>
      <c r="B182" s="13">
        <v>0</v>
      </c>
      <c r="C182" s="14">
        <f>IFERROR(B182/B329, "NA")</f>
      </c>
      <c r="D182" s="15"/>
      <c r="E182" s="13">
        <v>0</v>
      </c>
      <c r="F182" s="14">
        <f>IFERROR(E182/E329, "NA")</f>
      </c>
      <c r="G182" s="15"/>
      <c r="H182" s="13">
        <v>0</v>
      </c>
      <c r="I182" s="14">
        <f>IFERROR(H182/H329, "NA")</f>
      </c>
      <c r="J182" s="15"/>
      <c r="K182" s="13">
        <v>0</v>
      </c>
      <c r="L182" s="14">
        <f>IFERROR(K182/K329, "NA")</f>
      </c>
      <c r="M182" s="15"/>
      <c r="N182" s="13">
        <v>52.859999999999999</v>
      </c>
      <c r="O182" s="14">
        <f>IFERROR(N182/N329, "NA")</f>
      </c>
      <c r="P182" s="15"/>
      <c r="Q182" s="13">
        <v>0</v>
      </c>
      <c r="R182" s="14">
        <f>IFERROR(Q182/Q329, "NA")</f>
      </c>
    </row>
    <row r="183" ht="16.5" customHeight="1">
      <c t="s" r="A183" s="12">
        <v>187</v>
      </c>
      <c r="B183" s="13">
        <v>0</v>
      </c>
      <c r="C183" s="14">
        <f>IFERROR(B183/B329, "NA")</f>
      </c>
      <c r="D183" s="15"/>
      <c r="E183" s="13">
        <v>3.3199999999999998</v>
      </c>
      <c r="F183" s="14">
        <f>IFERROR(E183/E329, "NA")</f>
      </c>
      <c r="G183" s="15"/>
      <c r="H183" s="13">
        <v>3.3199999999999998</v>
      </c>
      <c r="I183" s="14">
        <f>IFERROR(H183/H329, "NA")</f>
      </c>
      <c r="J183" s="15"/>
      <c r="K183" s="13">
        <v>3.3199999999999998</v>
      </c>
      <c r="L183" s="14">
        <f>IFERROR(K183/K329, "NA")</f>
      </c>
      <c r="M183" s="15"/>
      <c r="N183" s="13">
        <v>3.3199999999999998</v>
      </c>
      <c r="O183" s="14">
        <f>IFERROR(N183/N329, "NA")</f>
      </c>
      <c r="P183" s="15"/>
      <c r="Q183" s="13">
        <v>0</v>
      </c>
      <c r="R183" s="14">
        <f>IFERROR(Q183/Q329, "NA")</f>
      </c>
    </row>
    <row r="184" ht="16.5" customHeight="1">
      <c t="s" r="A184" s="12">
        <v>188</v>
      </c>
      <c r="B184" s="13">
        <v>35.07</v>
      </c>
      <c r="C184" s="14">
        <f>IFERROR(B184/B329, "NA")</f>
      </c>
      <c r="D184" s="15"/>
      <c r="E184" s="13">
        <v>239.63</v>
      </c>
      <c r="F184" s="14">
        <f>IFERROR(E184/E329, "NA")</f>
      </c>
      <c r="G184" s="15"/>
      <c r="H184" s="13">
        <v>364.43000000000001</v>
      </c>
      <c r="I184" s="14">
        <f>IFERROR(H184/H329, "NA")</f>
      </c>
      <c r="J184" s="15"/>
      <c r="K184" s="13">
        <v>217.15000000000001</v>
      </c>
      <c r="L184" s="14">
        <f>IFERROR(K184/K329, "NA")</f>
      </c>
      <c r="M184" s="15"/>
      <c r="N184" s="13">
        <v>135.43000000000001</v>
      </c>
      <c r="O184" s="14">
        <f>IFERROR(N184/N329, "NA")</f>
      </c>
      <c r="P184" s="15"/>
      <c r="Q184" s="13">
        <v>0</v>
      </c>
      <c r="R184" s="14">
        <f>IFERROR(Q184/Q329, "NA")</f>
      </c>
    </row>
    <row r="185" ht="16.5" customHeight="1">
      <c t="s" r="A185" s="12">
        <v>189</v>
      </c>
      <c r="B185" s="13">
        <v>0</v>
      </c>
      <c r="C185" s="14">
        <f>IFERROR(B185/B329, "NA")</f>
      </c>
      <c r="D185" s="15"/>
      <c r="E185" s="13">
        <v>0</v>
      </c>
      <c r="F185" s="14">
        <f>IFERROR(E185/E329, "NA")</f>
      </c>
      <c r="G185" s="15"/>
      <c r="H185" s="13">
        <v>0</v>
      </c>
      <c r="I185" s="14">
        <f>IFERROR(H185/H329, "NA")</f>
      </c>
      <c r="J185" s="15"/>
      <c r="K185" s="13">
        <v>0</v>
      </c>
      <c r="L185" s="14">
        <f>IFERROR(K185/K329, "NA")</f>
      </c>
      <c r="M185" s="15"/>
      <c r="N185" s="13">
        <v>0</v>
      </c>
      <c r="O185" s="14">
        <f>IFERROR(N185/N329, "NA")</f>
      </c>
      <c r="P185" s="15"/>
      <c r="Q185" s="13">
        <v>0</v>
      </c>
      <c r="R185" s="14">
        <f>IFERROR(Q185/Q329, "NA")</f>
      </c>
    </row>
    <row r="186" ht="16.5" customHeight="1">
      <c t="s" r="A186" s="12">
        <v>190</v>
      </c>
      <c r="B186" s="13">
        <v>0</v>
      </c>
      <c r="C186" s="14">
        <f>IFERROR(B186/B329, "NA")</f>
      </c>
      <c r="D186" s="15"/>
      <c r="E186" s="13">
        <v>0</v>
      </c>
      <c r="F186" s="14">
        <f>IFERROR(E186/E329, "NA")</f>
      </c>
      <c r="G186" s="15"/>
      <c r="H186" s="13">
        <v>0</v>
      </c>
      <c r="I186" s="14">
        <f>IFERROR(H186/H329, "NA")</f>
      </c>
      <c r="J186" s="15"/>
      <c r="K186" s="13">
        <v>0</v>
      </c>
      <c r="L186" s="14">
        <f>IFERROR(K186/K329, "NA")</f>
      </c>
      <c r="M186" s="15"/>
      <c r="N186" s="13">
        <v>0</v>
      </c>
      <c r="O186" s="14">
        <f>IFERROR(N186/N329, "NA")</f>
      </c>
      <c r="P186" s="15"/>
      <c r="Q186" s="13">
        <v>0</v>
      </c>
      <c r="R186" s="14">
        <f>IFERROR(Q186/Q329, "NA")</f>
      </c>
    </row>
    <row r="187" ht="16.5" customHeight="1">
      <c t="s" r="A187" s="12">
        <v>191</v>
      </c>
      <c r="B187" s="13">
        <v>718.20000000000005</v>
      </c>
      <c r="C187" s="14">
        <f>IFERROR(B187/B329, "NA")</f>
      </c>
      <c r="D187" s="15"/>
      <c r="E187" s="13">
        <v>0</v>
      </c>
      <c r="F187" s="14">
        <f>IFERROR(E187/E329, "NA")</f>
      </c>
      <c r="G187" s="15"/>
      <c r="H187" s="13">
        <v>582.44000000000005</v>
      </c>
      <c r="I187" s="14">
        <f>IFERROR(H187/H329, "NA")</f>
      </c>
      <c r="J187" s="15"/>
      <c r="K187" s="13">
        <v>0</v>
      </c>
      <c r="L187" s="14">
        <f>IFERROR(K187/K329, "NA")</f>
      </c>
      <c r="M187" s="15"/>
      <c r="N187" s="13">
        <v>0</v>
      </c>
      <c r="O187" s="14">
        <f>IFERROR(N187/N329, "NA")</f>
      </c>
      <c r="P187" s="15"/>
      <c r="Q187" s="13">
        <v>0</v>
      </c>
      <c r="R187" s="14">
        <f>IFERROR(Q187/Q329, "NA")</f>
      </c>
    </row>
    <row r="188" ht="16.5" customHeight="1">
      <c t="s" r="A188" s="12">
        <v>192</v>
      </c>
      <c r="B188" s="13">
        <v>793.03999999999996</v>
      </c>
      <c r="C188" s="14">
        <f>IFERROR(B188/B329, "NA")</f>
      </c>
      <c r="D188" s="15"/>
      <c r="E188" s="13">
        <v>0</v>
      </c>
      <c r="F188" s="14">
        <f>IFERROR(E188/E329, "NA")</f>
      </c>
      <c r="G188" s="15"/>
      <c r="H188" s="13">
        <v>0</v>
      </c>
      <c r="I188" s="14">
        <f>IFERROR(H188/H329, "NA")</f>
      </c>
      <c r="J188" s="15"/>
      <c r="K188" s="13">
        <v>0</v>
      </c>
      <c r="L188" s="14">
        <f>IFERROR(K188/K329, "NA")</f>
      </c>
      <c r="M188" s="15"/>
      <c r="N188" s="13">
        <v>3126.73</v>
      </c>
      <c r="O188" s="14">
        <f>IFERROR(N188/N329, "NA")</f>
      </c>
      <c r="P188" s="15"/>
      <c r="Q188" s="13">
        <v>0</v>
      </c>
      <c r="R188" s="14">
        <f>IFERROR(Q188/Q329, "NA")</f>
      </c>
    </row>
    <row r="189" ht="16.5" customHeight="1">
      <c t="s" r="A189" s="12">
        <v>193</v>
      </c>
      <c r="B189" s="13">
        <v>757.66999999999996</v>
      </c>
      <c r="C189" s="14">
        <f>IFERROR(B189/B329, "NA")</f>
      </c>
      <c r="D189" s="15"/>
      <c r="E189" s="13">
        <v>0</v>
      </c>
      <c r="F189" s="14">
        <f>IFERROR(E189/E329, "NA")</f>
      </c>
      <c r="G189" s="15"/>
      <c r="H189" s="13">
        <v>517.50999999999999</v>
      </c>
      <c r="I189" s="14">
        <f>IFERROR(H189/H329, "NA")</f>
      </c>
      <c r="J189" s="15"/>
      <c r="K189" s="13">
        <v>14.460000000000001</v>
      </c>
      <c r="L189" s="14">
        <f>IFERROR(K189/K329, "NA")</f>
      </c>
      <c r="M189" s="15"/>
      <c r="N189" s="13">
        <v>436.02999999999997</v>
      </c>
      <c r="O189" s="14">
        <f>IFERROR(N189/N329, "NA")</f>
      </c>
      <c r="P189" s="15"/>
      <c r="Q189" s="13">
        <v>0</v>
      </c>
      <c r="R189" s="14">
        <f>IFERROR(Q189/Q329, "NA")</f>
      </c>
    </row>
    <row r="190" ht="16.5" customHeight="1">
      <c t="s" r="A190" s="12">
        <v>194</v>
      </c>
      <c r="B190" s="13">
        <v>0</v>
      </c>
      <c r="C190" s="14">
        <f>IFERROR(B190/B329, "NA")</f>
      </c>
      <c r="D190" s="15"/>
      <c r="E190" s="13">
        <v>0</v>
      </c>
      <c r="F190" s="14">
        <f>IFERROR(E190/E329, "NA")</f>
      </c>
      <c r="G190" s="15"/>
      <c r="H190" s="13">
        <v>0</v>
      </c>
      <c r="I190" s="14">
        <f>IFERROR(H190/H329, "NA")</f>
      </c>
      <c r="J190" s="15"/>
      <c r="K190" s="13">
        <v>0</v>
      </c>
      <c r="L190" s="14">
        <f>IFERROR(K190/K329, "NA")</f>
      </c>
      <c r="M190" s="15"/>
      <c r="N190" s="13">
        <v>0</v>
      </c>
      <c r="O190" s="14">
        <f>IFERROR(N190/N329, "NA")</f>
      </c>
      <c r="P190" s="15"/>
      <c r="Q190" s="13">
        <v>0</v>
      </c>
      <c r="R190" s="14">
        <f>IFERROR(Q190/Q329, "NA")</f>
      </c>
    </row>
    <row r="191" ht="16.5" customHeight="1">
      <c t="s" r="A191" s="12">
        <v>195</v>
      </c>
      <c r="B191" s="13">
        <v>0</v>
      </c>
      <c r="C191" s="14">
        <f>IFERROR(B191/B329, "NA")</f>
      </c>
      <c r="D191" s="15"/>
      <c r="E191" s="13">
        <v>0</v>
      </c>
      <c r="F191" s="14">
        <f>IFERROR(E191/E329, "NA")</f>
      </c>
      <c r="G191" s="15"/>
      <c r="H191" s="13">
        <v>0</v>
      </c>
      <c r="I191" s="14">
        <f>IFERROR(H191/H329, "NA")</f>
      </c>
      <c r="J191" s="15"/>
      <c r="K191" s="13">
        <v>0</v>
      </c>
      <c r="L191" s="14">
        <f>IFERROR(K191/K329, "NA")</f>
      </c>
      <c r="M191" s="15"/>
      <c r="N191" s="13">
        <v>0</v>
      </c>
      <c r="O191" s="14">
        <f>IFERROR(N191/N329, "NA")</f>
      </c>
      <c r="P191" s="15"/>
      <c r="Q191" s="13">
        <v>0</v>
      </c>
      <c r="R191" s="14">
        <f>IFERROR(Q191/Q329, "NA")</f>
      </c>
    </row>
    <row r="192" ht="16.5" customHeight="1">
      <c t="s" r="A192" s="12">
        <v>196</v>
      </c>
      <c r="B192" s="13">
        <v>20.350000000000001</v>
      </c>
      <c r="C192" s="14">
        <f>IFERROR(B192/B329, "NA")</f>
      </c>
      <c r="D192" s="15"/>
      <c r="E192" s="13">
        <v>8.5099999999999998</v>
      </c>
      <c r="F192" s="14">
        <f>IFERROR(E192/E329, "NA")</f>
      </c>
      <c r="G192" s="15"/>
      <c r="H192" s="13">
        <v>177.59999999999999</v>
      </c>
      <c r="I192" s="14">
        <f>IFERROR(H192/H329, "NA")</f>
      </c>
      <c r="J192" s="15"/>
      <c r="K192" s="13">
        <v>8.5099999999999998</v>
      </c>
      <c r="L192" s="14">
        <f>IFERROR(K192/K329, "NA")</f>
      </c>
      <c r="M192" s="15"/>
      <c r="N192" s="13">
        <v>16.469999999999999</v>
      </c>
      <c r="O192" s="14">
        <f>IFERROR(N192/N329, "NA")</f>
      </c>
      <c r="P192" s="15"/>
      <c r="Q192" s="13">
        <v>0</v>
      </c>
      <c r="R192" s="14">
        <f>IFERROR(Q192/Q329, "NA")</f>
      </c>
    </row>
    <row r="193" ht="16.5" customHeight="1">
      <c t="s" r="A193" s="12">
        <v>197</v>
      </c>
      <c r="B193" s="13">
        <v>4349.9399999999996</v>
      </c>
      <c r="C193" s="14">
        <f>IFERROR(B193/B329, "NA")</f>
      </c>
      <c r="D193" s="15"/>
      <c r="E193" s="13">
        <v>5119.3500000000004</v>
      </c>
      <c r="F193" s="14">
        <f>IFERROR(E193/E329, "NA")</f>
      </c>
      <c r="G193" s="15"/>
      <c r="H193" s="13">
        <v>4349.9399999999996</v>
      </c>
      <c r="I193" s="14">
        <f>IFERROR(H193/H329, "NA")</f>
      </c>
      <c r="J193" s="15"/>
      <c r="K193" s="13">
        <v>4618.5900000000001</v>
      </c>
      <c r="L193" s="14">
        <f>IFERROR(K193/K329, "NA")</f>
      </c>
      <c r="M193" s="15"/>
      <c r="N193" s="13">
        <v>4349.9399999999996</v>
      </c>
      <c r="O193" s="14">
        <f>IFERROR(N193/N329, "NA")</f>
      </c>
      <c r="P193" s="15"/>
      <c r="Q193" s="13">
        <v>5119.3500000000004</v>
      </c>
      <c r="R193" s="14">
        <f>IFERROR(Q193/Q329, "NA")</f>
      </c>
    </row>
    <row r="194" ht="16.5" customHeight="1">
      <c t="s" r="A194" s="12">
        <v>198</v>
      </c>
      <c r="B194" s="13">
        <v>0</v>
      </c>
      <c r="C194" s="14">
        <f>IFERROR(B194/B329, "NA")</f>
      </c>
      <c r="D194" s="15"/>
      <c r="E194" s="13">
        <v>0</v>
      </c>
      <c r="F194" s="14">
        <f>IFERROR(E194/E329, "NA")</f>
      </c>
      <c r="G194" s="15"/>
      <c r="H194" s="13">
        <v>0</v>
      </c>
      <c r="I194" s="14">
        <f>IFERROR(H194/H329, "NA")</f>
      </c>
      <c r="J194" s="15"/>
      <c r="K194" s="13">
        <v>6668.2200000000003</v>
      </c>
      <c r="L194" s="14">
        <f>IFERROR(K194/K329, "NA")</f>
      </c>
      <c r="M194" s="15"/>
      <c r="N194" s="13">
        <v>0</v>
      </c>
      <c r="O194" s="14">
        <f>IFERROR(N194/N329, "NA")</f>
      </c>
      <c r="P194" s="15"/>
      <c r="Q194" s="13">
        <v>0</v>
      </c>
      <c r="R194" s="14">
        <f>IFERROR(Q194/Q329, "NA")</f>
      </c>
    </row>
    <row r="195" ht="16.5" customHeight="1">
      <c t="s" r="A195" s="12">
        <v>199</v>
      </c>
      <c r="B195" s="13">
        <v>0</v>
      </c>
      <c r="C195" s="14">
        <f>IFERROR(B195/B329, "NA")</f>
      </c>
      <c r="D195" s="15"/>
      <c r="E195" s="13">
        <v>0</v>
      </c>
      <c r="F195" s="14">
        <f>IFERROR(E195/E329, "NA")</f>
      </c>
      <c r="G195" s="15"/>
      <c r="H195" s="13">
        <v>0</v>
      </c>
      <c r="I195" s="14">
        <f>IFERROR(H195/H329, "NA")</f>
      </c>
      <c r="J195" s="15"/>
      <c r="K195" s="13">
        <v>0</v>
      </c>
      <c r="L195" s="14">
        <f>IFERROR(K195/K329, "NA")</f>
      </c>
      <c r="M195" s="15"/>
      <c r="N195" s="13">
        <v>0</v>
      </c>
      <c r="O195" s="14">
        <f>IFERROR(N195/N329, "NA")</f>
      </c>
      <c r="P195" s="15"/>
      <c r="Q195" s="13">
        <v>0</v>
      </c>
      <c r="R195" s="14">
        <f>IFERROR(Q195/Q329, "NA")</f>
      </c>
    </row>
    <row r="196" ht="16.5" customHeight="1">
      <c t="s" r="A196" s="12">
        <v>200</v>
      </c>
      <c r="B196" s="13">
        <v>25000</v>
      </c>
      <c r="C196" s="14">
        <f>IFERROR(B196/B329, "NA")</f>
      </c>
      <c r="D196" s="15"/>
      <c r="E196" s="13">
        <v>19440.040000000001</v>
      </c>
      <c r="F196" s="14">
        <f>IFERROR(E196/E329, "NA")</f>
      </c>
      <c r="G196" s="15"/>
      <c r="H196" s="13">
        <v>22700.75</v>
      </c>
      <c r="I196" s="14">
        <f>IFERROR(H196/H329, "NA")</f>
      </c>
      <c r="J196" s="15"/>
      <c r="K196" s="13">
        <v>14199.18</v>
      </c>
      <c r="L196" s="14">
        <f>IFERROR(K196/K329, "NA")</f>
      </c>
      <c r="M196" s="15"/>
      <c r="N196" s="13">
        <v>21750</v>
      </c>
      <c r="O196" s="14">
        <f>IFERROR(N196/N329, "NA")</f>
      </c>
      <c r="P196" s="15"/>
      <c r="Q196" s="13">
        <v>53873.959999999999</v>
      </c>
      <c r="R196" s="14">
        <f>IFERROR(Q196/Q329, "NA")</f>
      </c>
    </row>
    <row r="197" ht="16.5" customHeight="1">
      <c t="s" r="A197" s="12">
        <v>201</v>
      </c>
      <c r="B197" s="13">
        <v>0</v>
      </c>
      <c r="C197" s="14">
        <f>IFERROR(B197/B329, "NA")</f>
      </c>
      <c r="D197" s="15"/>
      <c r="E197" s="13">
        <v>0</v>
      </c>
      <c r="F197" s="14">
        <f>IFERROR(E197/E329, "NA")</f>
      </c>
      <c r="G197" s="15"/>
      <c r="H197" s="13">
        <v>0</v>
      </c>
      <c r="I197" s="14">
        <f>IFERROR(H197/H329, "NA")</f>
      </c>
      <c r="J197" s="15"/>
      <c r="K197" s="13">
        <v>0</v>
      </c>
      <c r="L197" s="14">
        <f>IFERROR(K197/K329, "NA")</f>
      </c>
      <c r="M197" s="15"/>
      <c r="N197" s="13">
        <v>0</v>
      </c>
      <c r="O197" s="14">
        <f>IFERROR(N197/N329, "NA")</f>
      </c>
      <c r="P197" s="15"/>
      <c r="Q197" s="13">
        <v>0</v>
      </c>
      <c r="R197" s="14">
        <f>IFERROR(Q197/Q329, "NA")</f>
      </c>
    </row>
    <row r="198" ht="16.5" customHeight="1">
      <c t="s" r="A198" s="12">
        <v>202</v>
      </c>
      <c r="B198" s="13">
        <v>0</v>
      </c>
      <c r="C198" s="14">
        <f>IFERROR(B198/B329, "NA")</f>
      </c>
      <c r="D198" s="15"/>
      <c r="E198" s="13">
        <v>0</v>
      </c>
      <c r="F198" s="14">
        <f>IFERROR(E198/E329, "NA")</f>
      </c>
      <c r="G198" s="15"/>
      <c r="H198" s="13">
        <v>0</v>
      </c>
      <c r="I198" s="14">
        <f>IFERROR(H198/H329, "NA")</f>
      </c>
      <c r="J198" s="15"/>
      <c r="K198" s="13">
        <v>0</v>
      </c>
      <c r="L198" s="14">
        <f>IFERROR(K198/K329, "NA")</f>
      </c>
      <c r="M198" s="15"/>
      <c r="N198" s="13">
        <v>0</v>
      </c>
      <c r="O198" s="14">
        <f>IFERROR(N198/N329, "NA")</f>
      </c>
      <c r="P198" s="15"/>
      <c r="Q198" s="13">
        <v>0</v>
      </c>
      <c r="R198" s="14">
        <f>IFERROR(Q198/Q329, "NA")</f>
      </c>
    </row>
    <row r="199" ht="16.5" customHeight="1">
      <c t="s" r="A199" s="12">
        <v>203</v>
      </c>
      <c r="B199" s="13">
        <v>0</v>
      </c>
      <c r="C199" s="14">
        <f>IFERROR(B199/B329, "NA")</f>
      </c>
      <c r="D199" s="15"/>
      <c r="E199" s="13">
        <v>0</v>
      </c>
      <c r="F199" s="14">
        <f>IFERROR(E199/E329, "NA")</f>
      </c>
      <c r="G199" s="15"/>
      <c r="H199" s="13">
        <v>0</v>
      </c>
      <c r="I199" s="14">
        <f>IFERROR(H199/H329, "NA")</f>
      </c>
      <c r="J199" s="15"/>
      <c r="K199" s="13">
        <v>0</v>
      </c>
      <c r="L199" s="14">
        <f>IFERROR(K199/K329, "NA")</f>
      </c>
      <c r="M199" s="15"/>
      <c r="N199" s="13">
        <v>0</v>
      </c>
      <c r="O199" s="14">
        <f>IFERROR(N199/N329, "NA")</f>
      </c>
      <c r="P199" s="15"/>
      <c r="Q199" s="13">
        <v>0</v>
      </c>
      <c r="R199" s="14">
        <f>IFERROR(Q199/Q329, "NA")</f>
      </c>
    </row>
    <row r="200" ht="16.5" customHeight="1">
      <c t="s" r="A200" s="12">
        <v>204</v>
      </c>
      <c r="B200" s="13">
        <v>0</v>
      </c>
      <c r="C200" s="14">
        <f>IFERROR(B200/B329, "NA")</f>
      </c>
      <c r="D200" s="15"/>
      <c r="E200" s="13">
        <v>0</v>
      </c>
      <c r="F200" s="14">
        <f>IFERROR(E200/E329, "NA")</f>
      </c>
      <c r="G200" s="15"/>
      <c r="H200" s="13">
        <v>0</v>
      </c>
      <c r="I200" s="14">
        <f>IFERROR(H200/H329, "NA")</f>
      </c>
      <c r="J200" s="15"/>
      <c r="K200" s="13">
        <v>0</v>
      </c>
      <c r="L200" s="14">
        <f>IFERROR(K200/K329, "NA")</f>
      </c>
      <c r="M200" s="15"/>
      <c r="N200" s="13">
        <v>0</v>
      </c>
      <c r="O200" s="14">
        <f>IFERROR(N200/N329, "NA")</f>
      </c>
      <c r="P200" s="15"/>
      <c r="Q200" s="13">
        <v>0</v>
      </c>
      <c r="R200" s="14">
        <f>IFERROR(Q200/Q329, "NA")</f>
      </c>
    </row>
    <row r="201" ht="16.5" customHeight="1">
      <c t="s" r="A201" s="12">
        <v>205</v>
      </c>
      <c r="B201" s="13">
        <v>0</v>
      </c>
      <c r="C201" s="14">
        <f>IFERROR(B201/B329, "NA")</f>
      </c>
      <c r="D201" s="15"/>
      <c r="E201" s="13">
        <v>0</v>
      </c>
      <c r="F201" s="14">
        <f>IFERROR(E201/E329, "NA")</f>
      </c>
      <c r="G201" s="15"/>
      <c r="H201" s="13">
        <v>0</v>
      </c>
      <c r="I201" s="14">
        <f>IFERROR(H201/H329, "NA")</f>
      </c>
      <c r="J201" s="15"/>
      <c r="K201" s="13">
        <v>0</v>
      </c>
      <c r="L201" s="14">
        <f>IFERROR(K201/K329, "NA")</f>
      </c>
      <c r="M201" s="15"/>
      <c r="N201" s="13">
        <v>0</v>
      </c>
      <c r="O201" s="14">
        <f>IFERROR(N201/N329, "NA")</f>
      </c>
      <c r="P201" s="15"/>
      <c r="Q201" s="13">
        <v>0</v>
      </c>
      <c r="R201" s="14">
        <f>IFERROR(Q201/Q329, "NA")</f>
      </c>
    </row>
    <row r="202" ht="16.5" customHeight="1">
      <c t="s" r="A202" s="12">
        <v>206</v>
      </c>
      <c r="B202" s="13">
        <v>0</v>
      </c>
      <c r="C202" s="14">
        <f>IFERROR(B202/B329, "NA")</f>
      </c>
      <c r="D202" s="15"/>
      <c r="E202" s="13">
        <v>0</v>
      </c>
      <c r="F202" s="14">
        <f>IFERROR(E202/E329, "NA")</f>
      </c>
      <c r="G202" s="15"/>
      <c r="H202" s="13">
        <v>0</v>
      </c>
      <c r="I202" s="14">
        <f>IFERROR(H202/H329, "NA")</f>
      </c>
      <c r="J202" s="15"/>
      <c r="K202" s="13">
        <v>0</v>
      </c>
      <c r="L202" s="14">
        <f>IFERROR(K202/K329, "NA")</f>
      </c>
      <c r="M202" s="15"/>
      <c r="N202" s="13">
        <v>0</v>
      </c>
      <c r="O202" s="14">
        <f>IFERROR(N202/N329, "NA")</f>
      </c>
      <c r="P202" s="15"/>
      <c r="Q202" s="13">
        <v>0</v>
      </c>
      <c r="R202" s="14">
        <f>IFERROR(Q202/Q329, "NA")</f>
      </c>
    </row>
    <row r="203" ht="16.5" customHeight="1">
      <c t="s" r="A203" s="12">
        <v>207</v>
      </c>
      <c r="B203" s="13">
        <v>0</v>
      </c>
      <c r="C203" s="14">
        <f>IFERROR(B203/B329, "NA")</f>
      </c>
      <c r="D203" s="15"/>
      <c r="E203" s="13">
        <v>0</v>
      </c>
      <c r="F203" s="14">
        <f>IFERROR(E203/E329, "NA")</f>
      </c>
      <c r="G203" s="15"/>
      <c r="H203" s="13">
        <v>0</v>
      </c>
      <c r="I203" s="14">
        <f>IFERROR(H203/H329, "NA")</f>
      </c>
      <c r="J203" s="15"/>
      <c r="K203" s="13">
        <v>0</v>
      </c>
      <c r="L203" s="14">
        <f>IFERROR(K203/K329, "NA")</f>
      </c>
      <c r="M203" s="15"/>
      <c r="N203" s="13">
        <v>0</v>
      </c>
      <c r="O203" s="14">
        <f>IFERROR(N203/N329, "NA")</f>
      </c>
      <c r="P203" s="15"/>
      <c r="Q203" s="13">
        <v>0</v>
      </c>
      <c r="R203" s="14">
        <f>IFERROR(Q203/Q329, "NA")</f>
      </c>
    </row>
    <row r="204" ht="16.5" customHeight="1">
      <c t="s" r="A204" s="12">
        <v>208</v>
      </c>
      <c r="B204" s="13">
        <v>0</v>
      </c>
      <c r="C204" s="14">
        <f>IFERROR(B204/B329, "NA")</f>
      </c>
      <c r="D204" s="15"/>
      <c r="E204" s="13">
        <v>0</v>
      </c>
      <c r="F204" s="14">
        <f>IFERROR(E204/E329, "NA")</f>
      </c>
      <c r="G204" s="15"/>
      <c r="H204" s="13">
        <v>0</v>
      </c>
      <c r="I204" s="14">
        <f>IFERROR(H204/H329, "NA")</f>
      </c>
      <c r="J204" s="15"/>
      <c r="K204" s="13">
        <v>0</v>
      </c>
      <c r="L204" s="14">
        <f>IFERROR(K204/K329, "NA")</f>
      </c>
      <c r="M204" s="15"/>
      <c r="N204" s="13">
        <v>0</v>
      </c>
      <c r="O204" s="14">
        <f>IFERROR(N204/N329, "NA")</f>
      </c>
      <c r="P204" s="15"/>
      <c r="Q204" s="13">
        <v>0</v>
      </c>
      <c r="R204" s="14">
        <f>IFERROR(Q204/Q329, "NA")</f>
      </c>
    </row>
    <row r="205" ht="16.5" customHeight="1">
      <c t="s" r="A205" s="12">
        <v>209</v>
      </c>
      <c r="B205" s="13">
        <v>0</v>
      </c>
      <c r="C205" s="14">
        <f>IFERROR(B205/B329, "NA")</f>
      </c>
      <c r="D205" s="15"/>
      <c r="E205" s="13">
        <v>0</v>
      </c>
      <c r="F205" s="14">
        <f>IFERROR(E205/E329, "NA")</f>
      </c>
      <c r="G205" s="15"/>
      <c r="H205" s="13">
        <v>0</v>
      </c>
      <c r="I205" s="14">
        <f>IFERROR(H205/H329, "NA")</f>
      </c>
      <c r="J205" s="15"/>
      <c r="K205" s="13">
        <v>0</v>
      </c>
      <c r="L205" s="14">
        <f>IFERROR(K205/K329, "NA")</f>
      </c>
      <c r="M205" s="15"/>
      <c r="N205" s="13">
        <v>0</v>
      </c>
      <c r="O205" s="14">
        <f>IFERROR(N205/N329, "NA")</f>
      </c>
      <c r="P205" s="15"/>
      <c r="Q205" s="13">
        <v>0</v>
      </c>
      <c r="R205" s="14">
        <f>IFERROR(Q205/Q329, "NA")</f>
      </c>
    </row>
    <row r="206" ht="16.5" customHeight="1">
      <c t="s" r="A206" s="12">
        <v>210</v>
      </c>
      <c r="B206" s="13">
        <v>0</v>
      </c>
      <c r="C206" s="14">
        <f>IFERROR(B206/B329, "NA")</f>
      </c>
      <c r="D206" s="15"/>
      <c r="E206" s="13">
        <v>0</v>
      </c>
      <c r="F206" s="14">
        <f>IFERROR(E206/E329, "NA")</f>
      </c>
      <c r="G206" s="15"/>
      <c r="H206" s="13">
        <v>0</v>
      </c>
      <c r="I206" s="14">
        <f>IFERROR(H206/H329, "NA")</f>
      </c>
      <c r="J206" s="15"/>
      <c r="K206" s="13">
        <v>0</v>
      </c>
      <c r="L206" s="14">
        <f>IFERROR(K206/K329, "NA")</f>
      </c>
      <c r="M206" s="15"/>
      <c r="N206" s="13">
        <v>0</v>
      </c>
      <c r="O206" s="14">
        <f>IFERROR(N206/N329, "NA")</f>
      </c>
      <c r="P206" s="15"/>
      <c r="Q206" s="13">
        <v>0</v>
      </c>
      <c r="R206" s="14">
        <f>IFERROR(Q206/Q329, "NA")</f>
      </c>
    </row>
    <row r="207" ht="16.5" customHeight="1">
      <c t="s" r="A207" s="12">
        <v>211</v>
      </c>
      <c r="B207" s="13">
        <v>0</v>
      </c>
      <c r="C207" s="14">
        <f>IFERROR(B207/B329, "NA")</f>
      </c>
      <c r="D207" s="15"/>
      <c r="E207" s="13">
        <v>0</v>
      </c>
      <c r="F207" s="14">
        <f>IFERROR(E207/E329, "NA")</f>
      </c>
      <c r="G207" s="15"/>
      <c r="H207" s="13">
        <v>0</v>
      </c>
      <c r="I207" s="14">
        <f>IFERROR(H207/H329, "NA")</f>
      </c>
      <c r="J207" s="15"/>
      <c r="K207" s="13">
        <v>0</v>
      </c>
      <c r="L207" s="14">
        <f>IFERROR(K207/K329, "NA")</f>
      </c>
      <c r="M207" s="15"/>
      <c r="N207" s="13">
        <v>0</v>
      </c>
      <c r="O207" s="14">
        <f>IFERROR(N207/N329, "NA")</f>
      </c>
      <c r="P207" s="15"/>
      <c r="Q207" s="13">
        <v>0</v>
      </c>
      <c r="R207" s="14">
        <f>IFERROR(Q207/Q329, "NA")</f>
      </c>
    </row>
    <row r="208" ht="16.5" customHeight="1">
      <c t="s" r="A208" s="12">
        <v>212</v>
      </c>
      <c r="B208" s="13">
        <v>0</v>
      </c>
      <c r="C208" s="14">
        <f>IFERROR(B208/B329, "NA")</f>
      </c>
      <c r="D208" s="15"/>
      <c r="E208" s="13">
        <v>0</v>
      </c>
      <c r="F208" s="14">
        <f>IFERROR(E208/E329, "NA")</f>
      </c>
      <c r="G208" s="15"/>
      <c r="H208" s="13">
        <v>0</v>
      </c>
      <c r="I208" s="14">
        <f>IFERROR(H208/H329, "NA")</f>
      </c>
      <c r="J208" s="15"/>
      <c r="K208" s="13">
        <v>0</v>
      </c>
      <c r="L208" s="14">
        <f>IFERROR(K208/K329, "NA")</f>
      </c>
      <c r="M208" s="15"/>
      <c r="N208" s="13">
        <v>0</v>
      </c>
      <c r="O208" s="14">
        <f>IFERROR(N208/N329, "NA")</f>
      </c>
      <c r="P208" s="15"/>
      <c r="Q208" s="13">
        <v>0</v>
      </c>
      <c r="R208" s="14">
        <f>IFERROR(Q208/Q329, "NA")</f>
      </c>
    </row>
    <row r="209" ht="16.5" customHeight="1">
      <c t="s" r="A209" s="16">
        <v>213</v>
      </c>
      <c r="B209" s="17">
        <f>IFERROR(B160+B161+B162+B163+B164+B165+B166+B167+B168+B169+B170+B171+B172+B173+B174+B175+B176+B177+B178+B179+B180+B181+B182+B183+B184+B185+B186+B187+B188+B189+B190+B191+B192+B193+B194+B195+B196+B197+B198+B199+B200+B201+B202+B203+B204+B205+B206+B207+B208, "NA")</f>
      </c>
      <c r="C209" s="18">
        <f>IFERROR(B209/B329, "NA")</f>
      </c>
      <c r="D209" s="8"/>
      <c r="E209" s="17">
        <f>IFERROR(E160+E161+E162+E163+E164+E165+E166+E167+E168+E169+E170+E171+E172+E173+E174+E175+E176+E177+E178+E179+E180+E181+E182+E183+E184+E185+E186+E187+E188+E189+E190+E191+E192+E193+E194+E195+E196+E197+E198+E199+E200+E201+E202+E203+E204+E205+E206+E207+E208, "NA")</f>
      </c>
      <c r="F209" s="18">
        <f>IFERROR(E209/E329, "NA")</f>
      </c>
      <c r="G209" s="8"/>
      <c r="H209" s="17">
        <f>IFERROR(H160+H161+H162+H163+H164+H165+H166+H167+H168+H169+H170+H171+H172+H173+H174+H175+H176+H177+H178+H179+H180+H181+H182+H183+H184+H185+H186+H187+H188+H189+H190+H191+H192+H193+H194+H195+H196+H197+H198+H199+H200+H201+H202+H203+H204+H205+H206+H207+H208, "NA")</f>
      </c>
      <c r="I209" s="18">
        <f>IFERROR(H209/H329, "NA")</f>
      </c>
      <c r="J209" s="8"/>
      <c r="K209" s="17">
        <f>IFERROR(K160+K161+K162+K163+K164+K165+K166+K167+K168+K169+K170+K171+K172+K173+K174+K175+K176+K177+K178+K179+K180+K181+K182+K183+K184+K185+K186+K187+K188+K189+K190+K191+K192+K193+K194+K195+K196+K197+K198+K199+K200+K201+K202+K203+K204+K205+K206+K207+K208, "NA")</f>
      </c>
      <c r="L209" s="18">
        <f>IFERROR(K209/K329, "NA")</f>
      </c>
      <c r="M209" s="8"/>
      <c r="N209" s="17">
        <f>IFERROR(N160+N161+N162+N163+N164+N165+N166+N167+N168+N169+N170+N171+N172+N173+N174+N175+N176+N177+N178+N179+N180+N181+N182+N183+N184+N185+N186+N187+N188+N189+N190+N191+N192+N193+N194+N195+N196+N197+N198+N199+N200+N201+N202+N203+N204+N205+N206+N207+N208, "NA")</f>
      </c>
      <c r="O209" s="18">
        <f>IFERROR(N209/N329, "NA")</f>
      </c>
      <c r="P209" s="8"/>
      <c r="Q209" s="17">
        <f>IFERROR(Q160+Q161+Q162+Q163+Q164+Q165+Q166+Q167+Q168+Q169+Q170+Q171+Q172+Q173+Q174+Q175+Q176+Q177+Q178+Q179+Q180+Q181+Q182+Q183+Q184+Q185+Q186+Q187+Q188+Q189+Q190+Q191+Q192+Q193+Q194+Q195+Q196+Q197+Q198+Q199+Q200+Q201+Q202+Q203+Q204+Q205+Q206+Q207+Q208, "NA")</f>
      </c>
      <c r="R209" s="18">
        <f>IFERROR(Q209/Q329, "NA")</f>
      </c>
    </row>
    <row r="210" ht="16.5" customHeight="1">
      <c t="s" r="A210" s="19">
        <v>214</v>
      </c>
      <c r="B210" s="13">
        <v>0</v>
      </c>
      <c r="C210" s="14">
        <f>IFERROR(B210/B329, "NA")</f>
      </c>
      <c r="D210" s="15"/>
      <c r="E210" s="13">
        <v>0</v>
      </c>
      <c r="F210" s="14">
        <f>IFERROR(E210/E329, "NA")</f>
      </c>
      <c r="G210" s="15"/>
      <c r="H210" s="13">
        <v>0</v>
      </c>
      <c r="I210" s="14">
        <f>IFERROR(H210/H329, "NA")</f>
      </c>
      <c r="J210" s="15"/>
      <c r="K210" s="13">
        <v>0</v>
      </c>
      <c r="L210" s="14">
        <f>IFERROR(K210/K329, "NA")</f>
      </c>
      <c r="M210" s="15"/>
      <c r="N210" s="13">
        <v>0</v>
      </c>
      <c r="O210" s="14">
        <f>IFERROR(N210/N329, "NA")</f>
      </c>
      <c r="P210" s="15"/>
      <c r="Q210" s="13">
        <v>0</v>
      </c>
      <c r="R210" s="14">
        <f>IFERROR(Q210/Q329, "NA")</f>
      </c>
    </row>
    <row r="211" ht="16.5" customHeight="1">
      <c t="s" r="A211" s="20">
        <v>215</v>
      </c>
      <c r="B211" s="17">
        <f>IFERROR(B160+B161+B162+B163+B164+B165+B166+B167+B168+B169+B170+B171+B172+B173+B174+B175+B176+B177+B178+B179+B180+B181+B182+B183+B184+B185+B186+B187+B188+B189+B190+B191+B192+B193+B194+B195+B196+B197+B198+B199+B200+B201+B202+B203+B204+B205+B206+B207+B208+B210, "NA")</f>
      </c>
      <c r="C211" s="18">
        <f>IFERROR(B211/B329, "NA")</f>
      </c>
      <c r="D211" s="8"/>
      <c r="E211" s="17">
        <f>IFERROR(E160+E161+E162+E163+E164+E165+E166+E167+E168+E169+E170+E171+E172+E173+E174+E175+E176+E177+E178+E179+E180+E181+E182+E183+E184+E185+E186+E187+E188+E189+E190+E191+E192+E193+E194+E195+E196+E197+E198+E199+E200+E201+E202+E203+E204+E205+E206+E207+E208+E210, "NA")</f>
      </c>
      <c r="F211" s="18">
        <f>IFERROR(E211/E329, "NA")</f>
      </c>
      <c r="G211" s="8"/>
      <c r="H211" s="17">
        <f>IFERROR(H160+H161+H162+H163+H164+H165+H166+H167+H168+H169+H170+H171+H172+H173+H174+H175+H176+H177+H178+H179+H180+H181+H182+H183+H184+H185+H186+H187+H188+H189+H190+H191+H192+H193+H194+H195+H196+H197+H198+H199+H200+H201+H202+H203+H204+H205+H206+H207+H208+H210, "NA")</f>
      </c>
      <c r="I211" s="18">
        <f>IFERROR(H211/H329, "NA")</f>
      </c>
      <c r="J211" s="8"/>
      <c r="K211" s="17">
        <f>IFERROR(K160+K161+K162+K163+K164+K165+K166+K167+K168+K169+K170+K171+K172+K173+K174+K175+K176+K177+K178+K179+K180+K181+K182+K183+K184+K185+K186+K187+K188+K189+K190+K191+K192+K193+K194+K195+K196+K197+K198+K199+K200+K201+K202+K203+K204+K205+K206+K207+K208+K210, "NA")</f>
      </c>
      <c r="L211" s="18">
        <f>IFERROR(K211/K329, "NA")</f>
      </c>
      <c r="M211" s="8"/>
      <c r="N211" s="17">
        <f>IFERROR(N160+N161+N162+N163+N164+N165+N166+N167+N168+N169+N170+N171+N172+N173+N174+N175+N176+N177+N178+N179+N180+N181+N182+N183+N184+N185+N186+N187+N188+N189+N190+N191+N192+N193+N194+N195+N196+N197+N198+N199+N200+N201+N202+N203+N204+N205+N206+N207+N208+N210, "NA")</f>
      </c>
      <c r="O211" s="18">
        <f>IFERROR(N211/N329, "NA")</f>
      </c>
      <c r="P211" s="8"/>
      <c r="Q211" s="17">
        <f>IFERROR(Q160+Q161+Q162+Q163+Q164+Q165+Q166+Q167+Q168+Q169+Q170+Q171+Q172+Q173+Q174+Q175+Q176+Q177+Q178+Q179+Q180+Q181+Q182+Q183+Q184+Q185+Q186+Q187+Q188+Q189+Q190+Q191+Q192+Q193+Q194+Q195+Q196+Q197+Q198+Q199+Q200+Q201+Q202+Q203+Q204+Q205+Q206+Q207+Q208+Q210, "NA")</f>
      </c>
      <c r="R211" s="18">
        <f>IFERROR(Q211/Q329, "NA")</f>
      </c>
    </row>
    <row r="212" ht="16.5" customHeight="1">
      <c t="s" r="A212" s="7">
        <v>216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</row>
    <row r="213" ht="16.5" customHeight="1">
      <c t="s" r="A213" s="11">
        <v>217</v>
      </c>
      <c r="B213" s="8"/>
      <c r="C213" s="9"/>
      <c r="D213" s="10"/>
      <c r="E213" s="8"/>
      <c r="F213" s="9"/>
      <c r="G213" s="10"/>
      <c r="H213" s="8"/>
      <c r="I213" s="9"/>
      <c r="J213" s="10"/>
      <c r="K213" s="8"/>
      <c r="L213" s="9"/>
      <c r="M213" s="10"/>
      <c r="N213" s="8"/>
      <c r="O213" s="9"/>
      <c r="P213" s="10"/>
      <c r="Q213" s="8"/>
      <c r="R213" s="9"/>
    </row>
    <row r="214" ht="16.5" customHeight="1">
      <c t="s" r="A214" s="12">
        <v>218</v>
      </c>
      <c r="B214" s="13">
        <v>0</v>
      </c>
      <c r="C214" s="14">
        <f>IFERROR(B214/B329, "NA")</f>
      </c>
      <c r="D214" s="15"/>
      <c r="E214" s="13">
        <v>0</v>
      </c>
      <c r="F214" s="14">
        <f>IFERROR(E214/E329, "NA")</f>
      </c>
      <c r="G214" s="15"/>
      <c r="H214" s="13">
        <v>0</v>
      </c>
      <c r="I214" s="14">
        <f>IFERROR(H214/H329, "NA")</f>
      </c>
      <c r="J214" s="15"/>
      <c r="K214" s="13">
        <v>0</v>
      </c>
      <c r="L214" s="14">
        <f>IFERROR(K214/K329, "NA")</f>
      </c>
      <c r="M214" s="15"/>
      <c r="N214" s="13">
        <v>0</v>
      </c>
      <c r="O214" s="14">
        <f>IFERROR(N214/N329, "NA")</f>
      </c>
      <c r="P214" s="15"/>
      <c r="Q214" s="13">
        <v>0</v>
      </c>
      <c r="R214" s="14">
        <f>IFERROR(Q214/Q329, "NA")</f>
      </c>
    </row>
    <row r="215" ht="16.5" customHeight="1">
      <c t="s" r="A215" s="12">
        <v>219</v>
      </c>
      <c r="B215" s="13">
        <v>2854.6700000000001</v>
      </c>
      <c r="C215" s="14">
        <f>IFERROR(B215/B329, "NA")</f>
      </c>
      <c r="D215" s="15"/>
      <c r="E215" s="13">
        <v>1714.9300000000001</v>
      </c>
      <c r="F215" s="14">
        <f>IFERROR(E215/E329, "NA")</f>
      </c>
      <c r="G215" s="15"/>
      <c r="H215" s="13">
        <v>2722.48</v>
      </c>
      <c r="I215" s="14">
        <f>IFERROR(H215/H329, "NA")</f>
      </c>
      <c r="J215" s="15"/>
      <c r="K215" s="13">
        <v>5023.8800000000001</v>
      </c>
      <c r="L215" s="14">
        <f>IFERROR(K215/K329, "NA")</f>
      </c>
      <c r="M215" s="15"/>
      <c r="N215" s="13">
        <v>2129.46</v>
      </c>
      <c r="O215" s="14">
        <f>IFERROR(N215/N329, "NA")</f>
      </c>
      <c r="P215" s="15"/>
      <c r="Q215" s="13">
        <v>301.26999999999998</v>
      </c>
      <c r="R215" s="14">
        <f>IFERROR(Q215/Q329, "NA")</f>
      </c>
    </row>
    <row r="216" ht="16.5" customHeight="1">
      <c t="s" r="A216" s="12">
        <v>220</v>
      </c>
      <c r="B216" s="13">
        <v>0</v>
      </c>
      <c r="C216" s="14">
        <f>IFERROR(B216/B329, "NA")</f>
      </c>
      <c r="D216" s="15"/>
      <c r="E216" s="13">
        <v>0</v>
      </c>
      <c r="F216" s="14">
        <f>IFERROR(E216/E329, "NA")</f>
      </c>
      <c r="G216" s="15"/>
      <c r="H216" s="13">
        <v>0</v>
      </c>
      <c r="I216" s="14">
        <f>IFERROR(H216/H329, "NA")</f>
      </c>
      <c r="J216" s="15"/>
      <c r="K216" s="13">
        <v>0</v>
      </c>
      <c r="L216" s="14">
        <f>IFERROR(K216/K329, "NA")</f>
      </c>
      <c r="M216" s="15"/>
      <c r="N216" s="13">
        <v>0</v>
      </c>
      <c r="O216" s="14">
        <f>IFERROR(N216/N329, "NA")</f>
      </c>
      <c r="P216" s="15"/>
      <c r="Q216" s="13">
        <v>0</v>
      </c>
      <c r="R216" s="14">
        <f>IFERROR(Q216/Q329, "NA")</f>
      </c>
    </row>
    <row r="217" ht="16.5" customHeight="1">
      <c t="s" r="A217" s="12">
        <v>221</v>
      </c>
      <c r="B217" s="13">
        <v>4825.0600000000004</v>
      </c>
      <c r="C217" s="14">
        <f>IFERROR(B217/B329, "NA")</f>
      </c>
      <c r="D217" s="15"/>
      <c r="E217" s="13">
        <v>912.13</v>
      </c>
      <c r="F217" s="14">
        <f>IFERROR(E217/E329, "NA")</f>
      </c>
      <c r="G217" s="15"/>
      <c r="H217" s="13">
        <v>779.54999999999995</v>
      </c>
      <c r="I217" s="14">
        <f>IFERROR(H217/H329, "NA")</f>
      </c>
      <c r="J217" s="15"/>
      <c r="K217" s="13">
        <v>2969.4499999999998</v>
      </c>
      <c r="L217" s="14">
        <f>IFERROR(K217/K329, "NA")</f>
      </c>
      <c r="M217" s="15"/>
      <c r="N217" s="13">
        <v>7852.1000000000004</v>
      </c>
      <c r="O217" s="14">
        <f>IFERROR(N217/N329, "NA")</f>
      </c>
      <c r="P217" s="15"/>
      <c r="Q217" s="13">
        <v>2166.2800000000002</v>
      </c>
      <c r="R217" s="14">
        <f>IFERROR(Q217/Q329, "NA")</f>
      </c>
    </row>
    <row r="218" ht="16.5" customHeight="1">
      <c t="s" r="A218" s="12">
        <v>222</v>
      </c>
      <c r="B218" s="13">
        <v>0</v>
      </c>
      <c r="C218" s="14">
        <f>IFERROR(B218/B329, "NA")</f>
      </c>
      <c r="D218" s="15"/>
      <c r="E218" s="13">
        <v>0</v>
      </c>
      <c r="F218" s="14">
        <f>IFERROR(E218/E329, "NA")</f>
      </c>
      <c r="G218" s="15"/>
      <c r="H218" s="13">
        <v>0</v>
      </c>
      <c r="I218" s="14">
        <f>IFERROR(H218/H329, "NA")</f>
      </c>
      <c r="J218" s="15"/>
      <c r="K218" s="13">
        <v>0</v>
      </c>
      <c r="L218" s="14">
        <f>IFERROR(K218/K329, "NA")</f>
      </c>
      <c r="M218" s="15"/>
      <c r="N218" s="13">
        <v>0</v>
      </c>
      <c r="O218" s="14">
        <f>IFERROR(N218/N329, "NA")</f>
      </c>
      <c r="P218" s="15"/>
      <c r="Q218" s="13">
        <v>0</v>
      </c>
      <c r="R218" s="14">
        <f>IFERROR(Q218/Q329, "NA")</f>
      </c>
    </row>
    <row r="219" ht="16.5" customHeight="1">
      <c t="s" r="A219" s="12">
        <v>223</v>
      </c>
      <c r="B219" s="13">
        <v>6102.6099999999997</v>
      </c>
      <c r="C219" s="14">
        <f>IFERROR(B219/B329, "NA")</f>
      </c>
      <c r="D219" s="15"/>
      <c r="E219" s="13">
        <v>4512.9200000000001</v>
      </c>
      <c r="F219" s="14">
        <f>IFERROR(E219/E329, "NA")</f>
      </c>
      <c r="G219" s="15"/>
      <c r="H219" s="13">
        <v>4805.3000000000002</v>
      </c>
      <c r="I219" s="14">
        <f>IFERROR(H219/H329, "NA")</f>
      </c>
      <c r="J219" s="15"/>
      <c r="K219" s="13">
        <v>5067.3299999999999</v>
      </c>
      <c r="L219" s="14">
        <f>IFERROR(K219/K329, "NA")</f>
      </c>
      <c r="M219" s="15"/>
      <c r="N219" s="13">
        <v>5335.7799999999997</v>
      </c>
      <c r="O219" s="14">
        <f>IFERROR(N219/N329, "NA")</f>
      </c>
      <c r="P219" s="15"/>
      <c r="Q219" s="13">
        <v>0</v>
      </c>
      <c r="R219" s="14">
        <f>IFERROR(Q219/Q329, "NA")</f>
      </c>
    </row>
    <row r="220" ht="16.5" customHeight="1">
      <c t="s" r="A220" s="12">
        <v>224</v>
      </c>
      <c r="B220" s="13">
        <v>14.41</v>
      </c>
      <c r="C220" s="14">
        <f>IFERROR(B220/B329, "NA")</f>
      </c>
      <c r="D220" s="15"/>
      <c r="E220" s="13">
        <v>0.37</v>
      </c>
      <c r="F220" s="14">
        <f>IFERROR(E220/E329, "NA")</f>
      </c>
      <c r="G220" s="15"/>
      <c r="H220" s="13">
        <v>3.7000000000000002</v>
      </c>
      <c r="I220" s="14">
        <f>IFERROR(H220/H329, "NA")</f>
      </c>
      <c r="J220" s="15"/>
      <c r="K220" s="13">
        <v>3.7000000000000002</v>
      </c>
      <c r="L220" s="14">
        <f>IFERROR(K220/K329, "NA")</f>
      </c>
      <c r="M220" s="15"/>
      <c r="N220" s="13">
        <v>3.7000000000000002</v>
      </c>
      <c r="O220" s="14">
        <f>IFERROR(N220/N329, "NA")</f>
      </c>
      <c r="P220" s="15"/>
      <c r="Q220" s="13">
        <v>0</v>
      </c>
      <c r="R220" s="14">
        <f>IFERROR(Q220/Q329, "NA")</f>
      </c>
    </row>
    <row r="221" ht="16.5" customHeight="1">
      <c t="s" r="A221" s="12">
        <v>225</v>
      </c>
      <c r="B221" s="13">
        <v>0</v>
      </c>
      <c r="C221" s="14">
        <f>IFERROR(B221/B329, "NA")</f>
      </c>
      <c r="D221" s="15"/>
      <c r="E221" s="13">
        <v>0</v>
      </c>
      <c r="F221" s="14">
        <f>IFERROR(E221/E329, "NA")</f>
      </c>
      <c r="G221" s="15"/>
      <c r="H221" s="13">
        <v>0</v>
      </c>
      <c r="I221" s="14">
        <f>IFERROR(H221/H329, "NA")</f>
      </c>
      <c r="J221" s="15"/>
      <c r="K221" s="13">
        <v>0</v>
      </c>
      <c r="L221" s="14">
        <f>IFERROR(K221/K329, "NA")</f>
      </c>
      <c r="M221" s="15"/>
      <c r="N221" s="13">
        <v>0</v>
      </c>
      <c r="O221" s="14">
        <f>IFERROR(N221/N329, "NA")</f>
      </c>
      <c r="P221" s="15"/>
      <c r="Q221" s="13">
        <v>0</v>
      </c>
      <c r="R221" s="14">
        <f>IFERROR(Q221/Q329, "NA")</f>
      </c>
    </row>
    <row r="222" ht="16.5" customHeight="1">
      <c t="s" r="A222" s="12">
        <v>226</v>
      </c>
      <c r="B222" s="13">
        <v>0</v>
      </c>
      <c r="C222" s="14">
        <f>IFERROR(B222/B329, "NA")</f>
      </c>
      <c r="D222" s="15"/>
      <c r="E222" s="13">
        <v>0</v>
      </c>
      <c r="F222" s="14">
        <f>IFERROR(E222/E329, "NA")</f>
      </c>
      <c r="G222" s="15"/>
      <c r="H222" s="13">
        <v>0</v>
      </c>
      <c r="I222" s="14">
        <f>IFERROR(H222/H329, "NA")</f>
      </c>
      <c r="J222" s="15"/>
      <c r="K222" s="13">
        <v>0</v>
      </c>
      <c r="L222" s="14">
        <f>IFERROR(K222/K329, "NA")</f>
      </c>
      <c r="M222" s="15"/>
      <c r="N222" s="13">
        <v>0</v>
      </c>
      <c r="O222" s="14">
        <f>IFERROR(N222/N329, "NA")</f>
      </c>
      <c r="P222" s="15"/>
      <c r="Q222" s="13">
        <v>0</v>
      </c>
      <c r="R222" s="14">
        <f>IFERROR(Q222/Q329, "NA")</f>
      </c>
    </row>
    <row r="223" ht="16.5" customHeight="1">
      <c t="s" r="A223" s="12">
        <v>227</v>
      </c>
      <c r="B223" s="13">
        <v>0</v>
      </c>
      <c r="C223" s="14">
        <f>IFERROR(B223/B329, "NA")</f>
      </c>
      <c r="D223" s="15"/>
      <c r="E223" s="13">
        <v>0</v>
      </c>
      <c r="F223" s="14">
        <f>IFERROR(E223/E329, "NA")</f>
      </c>
      <c r="G223" s="15"/>
      <c r="H223" s="13">
        <v>0</v>
      </c>
      <c r="I223" s="14">
        <f>IFERROR(H223/H329, "NA")</f>
      </c>
      <c r="J223" s="15"/>
      <c r="K223" s="13">
        <v>0</v>
      </c>
      <c r="L223" s="14">
        <f>IFERROR(K223/K329, "NA")</f>
      </c>
      <c r="M223" s="15"/>
      <c r="N223" s="13">
        <v>0</v>
      </c>
      <c r="O223" s="14">
        <f>IFERROR(N223/N329, "NA")</f>
      </c>
      <c r="P223" s="15"/>
      <c r="Q223" s="13">
        <v>0</v>
      </c>
      <c r="R223" s="14">
        <f>IFERROR(Q223/Q329, "NA")</f>
      </c>
    </row>
    <row r="224" ht="16.5" customHeight="1">
      <c t="s" r="A224" s="12">
        <v>228</v>
      </c>
      <c r="B224" s="13">
        <v>0</v>
      </c>
      <c r="C224" s="14">
        <f>IFERROR(B224/B329, "NA")</f>
      </c>
      <c r="D224" s="15"/>
      <c r="E224" s="13">
        <v>0</v>
      </c>
      <c r="F224" s="14">
        <f>IFERROR(E224/E329, "NA")</f>
      </c>
      <c r="G224" s="15"/>
      <c r="H224" s="13">
        <v>0</v>
      </c>
      <c r="I224" s="14">
        <f>IFERROR(H224/H329, "NA")</f>
      </c>
      <c r="J224" s="15"/>
      <c r="K224" s="13">
        <v>0</v>
      </c>
      <c r="L224" s="14">
        <f>IFERROR(K224/K329, "NA")</f>
      </c>
      <c r="M224" s="15"/>
      <c r="N224" s="13">
        <v>223.38999999999999</v>
      </c>
      <c r="O224" s="14">
        <f>IFERROR(N224/N329, "NA")</f>
      </c>
      <c r="P224" s="15"/>
      <c r="Q224" s="13">
        <v>0</v>
      </c>
      <c r="R224" s="14">
        <f>IFERROR(Q224/Q329, "NA")</f>
      </c>
    </row>
    <row r="225" ht="16.5" customHeight="1">
      <c t="s" r="A225" s="12">
        <v>229</v>
      </c>
      <c r="B225" s="13">
        <v>0</v>
      </c>
      <c r="C225" s="14">
        <f>IFERROR(B225/B329, "NA")</f>
      </c>
      <c r="D225" s="15"/>
      <c r="E225" s="13">
        <v>0</v>
      </c>
      <c r="F225" s="14">
        <f>IFERROR(E225/E329, "NA")</f>
      </c>
      <c r="G225" s="15"/>
      <c r="H225" s="13">
        <v>0</v>
      </c>
      <c r="I225" s="14">
        <f>IFERROR(H225/H329, "NA")</f>
      </c>
      <c r="J225" s="15"/>
      <c r="K225" s="13">
        <v>1718.6300000000001</v>
      </c>
      <c r="L225" s="14">
        <f>IFERROR(K225/K329, "NA")</f>
      </c>
      <c r="M225" s="15"/>
      <c r="N225" s="13">
        <v>0</v>
      </c>
      <c r="O225" s="14">
        <f>IFERROR(N225/N329, "NA")</f>
      </c>
      <c r="P225" s="15"/>
      <c r="Q225" s="13">
        <v>0</v>
      </c>
      <c r="R225" s="14">
        <f>IFERROR(Q225/Q329, "NA")</f>
      </c>
    </row>
    <row r="226" ht="16.5" customHeight="1">
      <c t="s" r="A226" s="12">
        <v>230</v>
      </c>
      <c r="B226" s="13">
        <v>-15.68</v>
      </c>
      <c r="C226" s="14">
        <f>IFERROR(B226/B329, "NA")</f>
      </c>
      <c r="D226" s="15"/>
      <c r="E226" s="13">
        <v>-63.579999999999998</v>
      </c>
      <c r="F226" s="14">
        <f>IFERROR(E226/E329, "NA")</f>
      </c>
      <c r="G226" s="15"/>
      <c r="H226" s="13">
        <v>-9.9100000000000001</v>
      </c>
      <c r="I226" s="14">
        <f>IFERROR(H226/H329, "NA")</f>
      </c>
      <c r="J226" s="15"/>
      <c r="K226" s="13">
        <v>-6.7199999999999998</v>
      </c>
      <c r="L226" s="14">
        <f>IFERROR(K226/K329, "NA")</f>
      </c>
      <c r="M226" s="15"/>
      <c r="N226" s="13">
        <v>-6.75</v>
      </c>
      <c r="O226" s="14">
        <f>IFERROR(N226/N329, "NA")</f>
      </c>
      <c r="P226" s="15"/>
      <c r="Q226" s="13">
        <v>7729.0600000000004</v>
      </c>
      <c r="R226" s="14">
        <f>IFERROR(Q226/Q329, "NA")</f>
      </c>
    </row>
    <row r="227" ht="16.5" customHeight="1">
      <c t="s" r="A227" s="12">
        <v>231</v>
      </c>
      <c r="B227" s="13">
        <v>1462.72</v>
      </c>
      <c r="C227" s="14">
        <f>IFERROR(B227/B329, "NA")</f>
      </c>
      <c r="D227" s="15"/>
      <c r="E227" s="13">
        <v>0</v>
      </c>
      <c r="F227" s="14">
        <f>IFERROR(E227/E329, "NA")</f>
      </c>
      <c r="G227" s="15"/>
      <c r="H227" s="13">
        <v>148</v>
      </c>
      <c r="I227" s="14">
        <f>IFERROR(H227/H329, "NA")</f>
      </c>
      <c r="J227" s="15"/>
      <c r="K227" s="13">
        <v>5.5499999999999998</v>
      </c>
      <c r="L227" s="14">
        <f>IFERROR(K227/K329, "NA")</f>
      </c>
      <c r="M227" s="15"/>
      <c r="N227" s="13">
        <v>1088.5899999999999</v>
      </c>
      <c r="O227" s="14">
        <f>IFERROR(N227/N329, "NA")</f>
      </c>
      <c r="P227" s="15"/>
      <c r="Q227" s="13">
        <v>0</v>
      </c>
      <c r="R227" s="14">
        <f>IFERROR(Q227/Q329, "NA")</f>
      </c>
    </row>
    <row r="228" ht="16.5" customHeight="1">
      <c t="s" r="A228" s="12">
        <v>232</v>
      </c>
      <c r="B228" s="13">
        <v>0</v>
      </c>
      <c r="C228" s="14">
        <f>IFERROR(B228/B329, "NA")</f>
      </c>
      <c r="D228" s="15"/>
      <c r="E228" s="13">
        <v>0.12</v>
      </c>
      <c r="F228" s="14">
        <f>IFERROR(E228/E329, "NA")</f>
      </c>
      <c r="G228" s="15"/>
      <c r="H228" s="13">
        <v>0</v>
      </c>
      <c r="I228" s="14">
        <f>IFERROR(H228/H329, "NA")</f>
      </c>
      <c r="J228" s="15"/>
      <c r="K228" s="13">
        <v>0.059999999999999998</v>
      </c>
      <c r="L228" s="14">
        <f>IFERROR(K228/K329, "NA")</f>
      </c>
      <c r="M228" s="15"/>
      <c r="N228" s="13">
        <v>0.089999999999999997</v>
      </c>
      <c r="O228" s="14">
        <f>IFERROR(N228/N329, "NA")</f>
      </c>
      <c r="P228" s="15"/>
      <c r="Q228" s="13">
        <v>4.3600000000000003</v>
      </c>
      <c r="R228" s="14">
        <f>IFERROR(Q228/Q329, "NA")</f>
      </c>
    </row>
    <row r="229" ht="16.5" customHeight="1">
      <c t="s" r="A229" s="12">
        <v>233</v>
      </c>
      <c r="B229" s="13">
        <v>0</v>
      </c>
      <c r="C229" s="14">
        <f>IFERROR(B229/B329, "NA")</f>
      </c>
      <c r="D229" s="15"/>
      <c r="E229" s="13">
        <v>0</v>
      </c>
      <c r="F229" s="14">
        <f>IFERROR(E229/E329, "NA")</f>
      </c>
      <c r="G229" s="15"/>
      <c r="H229" s="13">
        <v>0</v>
      </c>
      <c r="I229" s="14">
        <f>IFERROR(H229/H329, "NA")</f>
      </c>
      <c r="J229" s="15"/>
      <c r="K229" s="13">
        <v>0</v>
      </c>
      <c r="L229" s="14">
        <f>IFERROR(K229/K329, "NA")</f>
      </c>
      <c r="M229" s="15"/>
      <c r="N229" s="13">
        <v>0</v>
      </c>
      <c r="O229" s="14">
        <f>IFERROR(N229/N329, "NA")</f>
      </c>
      <c r="P229" s="15"/>
      <c r="Q229" s="13">
        <v>0</v>
      </c>
      <c r="R229" s="14">
        <f>IFERROR(Q229/Q329, "NA")</f>
      </c>
    </row>
    <row r="230" ht="16.5" customHeight="1">
      <c t="s" r="A230" s="12">
        <v>234</v>
      </c>
      <c r="B230" s="13">
        <v>0</v>
      </c>
      <c r="C230" s="14">
        <f>IFERROR(B230/B329, "NA")</f>
      </c>
      <c r="D230" s="15"/>
      <c r="E230" s="13">
        <v>0</v>
      </c>
      <c r="F230" s="14">
        <f>IFERROR(E230/E329, "NA")</f>
      </c>
      <c r="G230" s="15"/>
      <c r="H230" s="13">
        <v>437.31</v>
      </c>
      <c r="I230" s="14">
        <f>IFERROR(H230/H329, "NA")</f>
      </c>
      <c r="J230" s="15"/>
      <c r="K230" s="13">
        <v>809.91999999999996</v>
      </c>
      <c r="L230" s="14">
        <f>IFERROR(K230/K329, "NA")</f>
      </c>
      <c r="M230" s="15"/>
      <c r="N230" s="13">
        <v>0</v>
      </c>
      <c r="O230" s="14">
        <f>IFERROR(N230/N329, "NA")</f>
      </c>
      <c r="P230" s="15"/>
      <c r="Q230" s="13">
        <v>0</v>
      </c>
      <c r="R230" s="14">
        <f>IFERROR(Q230/Q329, "NA")</f>
      </c>
    </row>
    <row r="231" ht="16.5" customHeight="1">
      <c t="s" r="A231" s="12">
        <v>235</v>
      </c>
      <c r="B231" s="13">
        <v>0</v>
      </c>
      <c r="C231" s="14">
        <f>IFERROR(B231/B329, "NA")</f>
      </c>
      <c r="D231" s="15"/>
      <c r="E231" s="13">
        <v>0</v>
      </c>
      <c r="F231" s="14">
        <f>IFERROR(E231/E329, "NA")</f>
      </c>
      <c r="G231" s="15"/>
      <c r="H231" s="13">
        <v>0</v>
      </c>
      <c r="I231" s="14">
        <f>IFERROR(H231/H329, "NA")</f>
      </c>
      <c r="J231" s="15"/>
      <c r="K231" s="13">
        <v>0</v>
      </c>
      <c r="L231" s="14">
        <f>IFERROR(K231/K329, "NA")</f>
      </c>
      <c r="M231" s="15"/>
      <c r="N231" s="13">
        <v>0</v>
      </c>
      <c r="O231" s="14">
        <f>IFERROR(N231/N329, "NA")</f>
      </c>
      <c r="P231" s="15"/>
      <c r="Q231" s="13">
        <v>0</v>
      </c>
      <c r="R231" s="14">
        <f>IFERROR(Q231/Q329, "NA")</f>
      </c>
    </row>
    <row r="232" ht="16.5" customHeight="1">
      <c t="s" r="A232" s="12">
        <v>236</v>
      </c>
      <c r="B232" s="13">
        <v>0</v>
      </c>
      <c r="C232" s="14">
        <f>IFERROR(B232/B329, "NA")</f>
      </c>
      <c r="D232" s="15"/>
      <c r="E232" s="13">
        <v>0</v>
      </c>
      <c r="F232" s="14">
        <f>IFERROR(E232/E329, "NA")</f>
      </c>
      <c r="G232" s="15"/>
      <c r="H232" s="13">
        <v>0</v>
      </c>
      <c r="I232" s="14">
        <f>IFERROR(H232/H329, "NA")</f>
      </c>
      <c r="J232" s="15"/>
      <c r="K232" s="13">
        <v>150</v>
      </c>
      <c r="L232" s="14">
        <f>IFERROR(K232/K329, "NA")</f>
      </c>
      <c r="M232" s="15"/>
      <c r="N232" s="13">
        <v>0</v>
      </c>
      <c r="O232" s="14">
        <f>IFERROR(N232/N329, "NA")</f>
      </c>
      <c r="P232" s="15"/>
      <c r="Q232" s="13">
        <v>0</v>
      </c>
      <c r="R232" s="14">
        <f>IFERROR(Q232/Q329, "NA")</f>
      </c>
    </row>
    <row r="233" ht="16.5" customHeight="1">
      <c t="s" r="A233" s="12">
        <v>237</v>
      </c>
      <c r="B233" s="13">
        <v>0</v>
      </c>
      <c r="C233" s="14">
        <f>IFERROR(B233/B329, "NA")</f>
      </c>
      <c r="D233" s="15"/>
      <c r="E233" s="13">
        <v>0</v>
      </c>
      <c r="F233" s="14">
        <f>IFERROR(E233/E329, "NA")</f>
      </c>
      <c r="G233" s="15"/>
      <c r="H233" s="13">
        <v>0</v>
      </c>
      <c r="I233" s="14">
        <f>IFERROR(H233/H329, "NA")</f>
      </c>
      <c r="J233" s="15"/>
      <c r="K233" s="13">
        <v>0</v>
      </c>
      <c r="L233" s="14">
        <f>IFERROR(K233/K329, "NA")</f>
      </c>
      <c r="M233" s="15"/>
      <c r="N233" s="13">
        <v>0</v>
      </c>
      <c r="O233" s="14">
        <f>IFERROR(N233/N329, "NA")</f>
      </c>
      <c r="P233" s="15"/>
      <c r="Q233" s="13">
        <v>0</v>
      </c>
      <c r="R233" s="14">
        <f>IFERROR(Q233/Q329, "NA")</f>
      </c>
    </row>
    <row r="234" ht="16.5" customHeight="1">
      <c t="s" r="A234" s="12">
        <v>238</v>
      </c>
      <c r="B234" s="13">
        <v>9.1899999999999995</v>
      </c>
      <c r="C234" s="14">
        <f>IFERROR(B234/B329, "NA")</f>
      </c>
      <c r="D234" s="15"/>
      <c r="E234" s="13">
        <v>6.0999999999999996</v>
      </c>
      <c r="F234" s="14">
        <f>IFERROR(E234/E329, "NA")</f>
      </c>
      <c r="G234" s="15"/>
      <c r="H234" s="13">
        <v>4.4100000000000001</v>
      </c>
      <c r="I234" s="14">
        <f>IFERROR(H234/H329, "NA")</f>
      </c>
      <c r="J234" s="15"/>
      <c r="K234" s="13">
        <v>16.98</v>
      </c>
      <c r="L234" s="14">
        <f>IFERROR(K234/K329, "NA")</f>
      </c>
      <c r="M234" s="15"/>
      <c r="N234" s="13">
        <v>0</v>
      </c>
      <c r="O234" s="14">
        <f>IFERROR(N234/N329, "NA")</f>
      </c>
      <c r="P234" s="15"/>
      <c r="Q234" s="13">
        <v>0</v>
      </c>
      <c r="R234" s="14">
        <f>IFERROR(Q234/Q329, "NA")</f>
      </c>
    </row>
    <row r="235" ht="16.5" customHeight="1">
      <c t="s" r="A235" s="12">
        <v>239</v>
      </c>
      <c r="B235" s="13">
        <v>280.56999999999999</v>
      </c>
      <c r="C235" s="14">
        <f>IFERROR(B235/B329, "NA")</f>
      </c>
      <c r="D235" s="15"/>
      <c r="E235" s="13">
        <v>553.50999999999999</v>
      </c>
      <c r="F235" s="14">
        <f>IFERROR(E235/E329, "NA")</f>
      </c>
      <c r="G235" s="15"/>
      <c r="H235" s="13">
        <v>135.37</v>
      </c>
      <c r="I235" s="14">
        <f>IFERROR(H235/H329, "NA")</f>
      </c>
      <c r="J235" s="15"/>
      <c r="K235" s="13">
        <v>10.460000000000001</v>
      </c>
      <c r="L235" s="14">
        <f>IFERROR(K235/K329, "NA")</f>
      </c>
      <c r="M235" s="15"/>
      <c r="N235" s="13">
        <v>12.869999999999999</v>
      </c>
      <c r="O235" s="14">
        <f>IFERROR(N235/N329, "NA")</f>
      </c>
      <c r="P235" s="15"/>
      <c r="Q235" s="13">
        <v>122.34999999999999</v>
      </c>
      <c r="R235" s="14">
        <f>IFERROR(Q235/Q329, "NA")</f>
      </c>
    </row>
    <row r="236" ht="16.5" customHeight="1">
      <c t="s" r="A236" s="12">
        <v>240</v>
      </c>
      <c r="B236" s="13">
        <v>32742.849999999999</v>
      </c>
      <c r="C236" s="14">
        <f>IFERROR(B236/B329, "NA")</f>
      </c>
      <c r="D236" s="15"/>
      <c r="E236" s="13">
        <v>0</v>
      </c>
      <c r="F236" s="14">
        <f>IFERROR(E236/E329, "NA")</f>
      </c>
      <c r="G236" s="15"/>
      <c r="H236" s="13">
        <v>0</v>
      </c>
      <c r="I236" s="14">
        <f>IFERROR(H236/H329, "NA")</f>
      </c>
      <c r="J236" s="15"/>
      <c r="K236" s="13">
        <v>0</v>
      </c>
      <c r="L236" s="14">
        <f>IFERROR(K236/K329, "NA")</f>
      </c>
      <c r="M236" s="15"/>
      <c r="N236" s="13">
        <v>32742.849999999999</v>
      </c>
      <c r="O236" s="14">
        <f>IFERROR(N236/N329, "NA")</f>
      </c>
      <c r="P236" s="15"/>
      <c r="Q236" s="13">
        <v>0</v>
      </c>
      <c r="R236" s="14">
        <f>IFERROR(Q236/Q329, "NA")</f>
      </c>
    </row>
    <row r="237" ht="16.5" customHeight="1">
      <c t="s" r="A237" s="12">
        <v>241</v>
      </c>
      <c r="B237" s="13">
        <v>348.29000000000002</v>
      </c>
      <c r="C237" s="14">
        <f>IFERROR(B237/B329, "NA")</f>
      </c>
      <c r="D237" s="15"/>
      <c r="E237" s="13">
        <v>694.49000000000001</v>
      </c>
      <c r="F237" s="14">
        <f>IFERROR(E237/E329, "NA")</f>
      </c>
      <c r="G237" s="15"/>
      <c r="H237" s="13">
        <v>1135.48</v>
      </c>
      <c r="I237" s="14">
        <f>IFERROR(H237/H329, "NA")</f>
      </c>
      <c r="J237" s="15"/>
      <c r="K237" s="13">
        <v>0</v>
      </c>
      <c r="L237" s="14">
        <f>IFERROR(K237/K329, "NA")</f>
      </c>
      <c r="M237" s="15"/>
      <c r="N237" s="13">
        <v>348.29000000000002</v>
      </c>
      <c r="O237" s="14">
        <f>IFERROR(N237/N329, "NA")</f>
      </c>
      <c r="P237" s="15"/>
      <c r="Q237" s="13">
        <v>503.52999999999997</v>
      </c>
      <c r="R237" s="14">
        <f>IFERROR(Q237/Q329, "NA")</f>
      </c>
    </row>
    <row r="238" ht="16.5" customHeight="1">
      <c t="s" r="A238" s="12">
        <v>242</v>
      </c>
      <c r="B238" s="13">
        <v>0</v>
      </c>
      <c r="C238" s="14">
        <f>IFERROR(B238/B329, "NA")</f>
      </c>
      <c r="D238" s="15"/>
      <c r="E238" s="13">
        <v>0</v>
      </c>
      <c r="F238" s="14">
        <f>IFERROR(E238/E329, "NA")</f>
      </c>
      <c r="G238" s="15"/>
      <c r="H238" s="13">
        <v>0</v>
      </c>
      <c r="I238" s="14">
        <f>IFERROR(H238/H329, "NA")</f>
      </c>
      <c r="J238" s="15"/>
      <c r="K238" s="13">
        <v>20.489999999999998</v>
      </c>
      <c r="L238" s="14">
        <f>IFERROR(K238/K329, "NA")</f>
      </c>
      <c r="M238" s="15"/>
      <c r="N238" s="13">
        <v>0</v>
      </c>
      <c r="O238" s="14">
        <f>IFERROR(N238/N329, "NA")</f>
      </c>
      <c r="P238" s="15"/>
      <c r="Q238" s="13">
        <v>0</v>
      </c>
      <c r="R238" s="14">
        <f>IFERROR(Q238/Q329, "NA")</f>
      </c>
    </row>
    <row r="239" ht="16.5" customHeight="1">
      <c t="s" r="A239" s="12">
        <v>243</v>
      </c>
      <c r="B239" s="13">
        <v>0</v>
      </c>
      <c r="C239" s="14">
        <f>IFERROR(B239/B329, "NA")</f>
      </c>
      <c r="D239" s="15"/>
      <c r="E239" s="13">
        <v>0</v>
      </c>
      <c r="F239" s="14">
        <f>IFERROR(E239/E329, "NA")</f>
      </c>
      <c r="G239" s="15"/>
      <c r="H239" s="13">
        <v>0</v>
      </c>
      <c r="I239" s="14">
        <f>IFERROR(H239/H329, "NA")</f>
      </c>
      <c r="J239" s="15"/>
      <c r="K239" s="13">
        <v>0</v>
      </c>
      <c r="L239" s="14">
        <f>IFERROR(K239/K329, "NA")</f>
      </c>
      <c r="M239" s="15"/>
      <c r="N239" s="13">
        <v>0</v>
      </c>
      <c r="O239" s="14">
        <f>IFERROR(N239/N329, "NA")</f>
      </c>
      <c r="P239" s="15"/>
      <c r="Q239" s="13">
        <v>0</v>
      </c>
      <c r="R239" s="14">
        <f>IFERROR(Q239/Q329, "NA")</f>
      </c>
    </row>
    <row r="240" ht="16.5" customHeight="1">
      <c t="s" r="A240" s="12">
        <v>244</v>
      </c>
      <c r="B240" s="13">
        <v>0</v>
      </c>
      <c r="C240" s="14">
        <f>IFERROR(B240/B329, "NA")</f>
      </c>
      <c r="D240" s="15"/>
      <c r="E240" s="13">
        <v>0</v>
      </c>
      <c r="F240" s="14">
        <f>IFERROR(E240/E329, "NA")</f>
      </c>
      <c r="G240" s="15"/>
      <c r="H240" s="13">
        <v>0</v>
      </c>
      <c r="I240" s="14">
        <f>IFERROR(H240/H329, "NA")</f>
      </c>
      <c r="J240" s="15"/>
      <c r="K240" s="13">
        <v>0</v>
      </c>
      <c r="L240" s="14">
        <f>IFERROR(K240/K329, "NA")</f>
      </c>
      <c r="M240" s="15"/>
      <c r="N240" s="13">
        <v>0</v>
      </c>
      <c r="O240" s="14">
        <f>IFERROR(N240/N329, "NA")</f>
      </c>
      <c r="P240" s="15"/>
      <c r="Q240" s="13">
        <v>0</v>
      </c>
      <c r="R240" s="14">
        <f>IFERROR(Q240/Q329, "NA")</f>
      </c>
    </row>
    <row r="241" ht="16.5" customHeight="1">
      <c t="s" r="A241" s="16">
        <v>245</v>
      </c>
      <c r="B241" s="17">
        <f>IFERROR(B214+B215+B216+B217+B218+B219+B220+B221+B222+B223+B224+B225+B226+B227+B228+B229+B230+B231+B232+B233+B234+B235+B236+B237+B238+B239+B240, "NA")</f>
      </c>
      <c r="C241" s="18">
        <f>IFERROR(B241/B329, "NA")</f>
      </c>
      <c r="D241" s="8"/>
      <c r="E241" s="17">
        <f>IFERROR(E214+E215+E216+E217+E218+E219+E220+E221+E222+E223+E224+E225+E226+E227+E228+E229+E230+E231+E232+E233+E234+E235+E236+E237+E238+E239+E240, "NA")</f>
      </c>
      <c r="F241" s="18">
        <f>IFERROR(E241/E329, "NA")</f>
      </c>
      <c r="G241" s="8"/>
      <c r="H241" s="17">
        <f>IFERROR(H214+H215+H216+H217+H218+H219+H220+H221+H222+H223+H224+H225+H226+H227+H228+H229+H230+H231+H232+H233+H234+H235+H236+H237+H238+H239+H240, "NA")</f>
      </c>
      <c r="I241" s="18">
        <f>IFERROR(H241/H329, "NA")</f>
      </c>
      <c r="J241" s="8"/>
      <c r="K241" s="17">
        <f>IFERROR(K214+K215+K216+K217+K218+K219+K220+K221+K222+K223+K224+K225+K226+K227+K228+K229+K230+K231+K232+K233+K234+K235+K236+K237+K238+K239+K240, "NA")</f>
      </c>
      <c r="L241" s="18">
        <f>IFERROR(K241/K329, "NA")</f>
      </c>
      <c r="M241" s="8"/>
      <c r="N241" s="17">
        <f>IFERROR(N214+N215+N216+N217+N218+N219+N220+N221+N222+N223+N224+N225+N226+N227+N228+N229+N230+N231+N232+N233+N234+N235+N236+N237+N238+N239+N240, "NA")</f>
      </c>
      <c r="O241" s="18">
        <f>IFERROR(N241/N329, "NA")</f>
      </c>
      <c r="P241" s="8"/>
      <c r="Q241" s="17">
        <f>IFERROR(Q214+Q215+Q216+Q217+Q218+Q219+Q220+Q221+Q222+Q223+Q224+Q225+Q226+Q227+Q228+Q229+Q230+Q231+Q232+Q233+Q234+Q235+Q236+Q237+Q238+Q239+Q240, "NA")</f>
      </c>
      <c r="R241" s="18">
        <f>IFERROR(Q241/Q329, "NA")</f>
      </c>
    </row>
    <row r="242" ht="16.5" customHeight="1">
      <c t="s" r="A242" s="11">
        <v>246</v>
      </c>
      <c r="B242" s="8"/>
      <c r="C242" s="9"/>
      <c r="D242" s="10"/>
      <c r="E242" s="8"/>
      <c r="F242" s="9"/>
      <c r="G242" s="10"/>
      <c r="H242" s="8"/>
      <c r="I242" s="9"/>
      <c r="J242" s="10"/>
      <c r="K242" s="8"/>
      <c r="L242" s="9"/>
      <c r="M242" s="10"/>
      <c r="N242" s="8"/>
      <c r="O242" s="9"/>
      <c r="P242" s="10"/>
      <c r="Q242" s="8"/>
      <c r="R242" s="9"/>
    </row>
    <row r="243" ht="16.5" customHeight="1">
      <c t="s" r="A243" s="12">
        <v>247</v>
      </c>
      <c r="B243" s="13">
        <v>0</v>
      </c>
      <c r="C243" s="14">
        <f>IFERROR(B243/B329, "NA")</f>
      </c>
      <c r="D243" s="15"/>
      <c r="E243" s="13">
        <v>0</v>
      </c>
      <c r="F243" s="14">
        <f>IFERROR(E243/E329, "NA")</f>
      </c>
      <c r="G243" s="15"/>
      <c r="H243" s="13">
        <v>0</v>
      </c>
      <c r="I243" s="14">
        <f>IFERROR(H243/H329, "NA")</f>
      </c>
      <c r="J243" s="15"/>
      <c r="K243" s="13">
        <v>0</v>
      </c>
      <c r="L243" s="14">
        <f>IFERROR(K243/K329, "NA")</f>
      </c>
      <c r="M243" s="15"/>
      <c r="N243" s="13">
        <v>0</v>
      </c>
      <c r="O243" s="14">
        <f>IFERROR(N243/N329, "NA")</f>
      </c>
      <c r="P243" s="15"/>
      <c r="Q243" s="13">
        <v>0</v>
      </c>
      <c r="R243" s="14">
        <f>IFERROR(Q243/Q329, "NA")</f>
      </c>
    </row>
    <row r="244" ht="16.5" customHeight="1">
      <c t="s" r="A244" s="12">
        <v>248</v>
      </c>
      <c r="B244" s="13">
        <v>0</v>
      </c>
      <c r="C244" s="14">
        <f>IFERROR(B244/B329, "NA")</f>
      </c>
      <c r="D244" s="15"/>
      <c r="E244" s="13">
        <v>0</v>
      </c>
      <c r="F244" s="14">
        <f>IFERROR(E244/E329, "NA")</f>
      </c>
      <c r="G244" s="15"/>
      <c r="H244" s="13">
        <v>108.42</v>
      </c>
      <c r="I244" s="14">
        <f>IFERROR(H244/H329, "NA")</f>
      </c>
      <c r="J244" s="15"/>
      <c r="K244" s="13">
        <v>591.96000000000004</v>
      </c>
      <c r="L244" s="14">
        <f>IFERROR(K244/K329, "NA")</f>
      </c>
      <c r="M244" s="15"/>
      <c r="N244" s="13">
        <v>0</v>
      </c>
      <c r="O244" s="14">
        <f>IFERROR(N244/N329, "NA")</f>
      </c>
      <c r="P244" s="15"/>
      <c r="Q244" s="13">
        <v>0</v>
      </c>
      <c r="R244" s="14">
        <f>IFERROR(Q244/Q329, "NA")</f>
      </c>
    </row>
    <row r="245" ht="16.5" customHeight="1">
      <c t="s" r="A245" s="12">
        <v>249</v>
      </c>
      <c r="B245" s="13">
        <v>314.94</v>
      </c>
      <c r="C245" s="14">
        <f>IFERROR(B245/B329, "NA")</f>
      </c>
      <c r="D245" s="15"/>
      <c r="E245" s="13">
        <v>0</v>
      </c>
      <c r="F245" s="14">
        <f>IFERROR(E245/E329, "NA")</f>
      </c>
      <c r="G245" s="15"/>
      <c r="H245" s="13">
        <v>0</v>
      </c>
      <c r="I245" s="14">
        <f>IFERROR(H245/H329, "NA")</f>
      </c>
      <c r="J245" s="15"/>
      <c r="K245" s="13">
        <v>0</v>
      </c>
      <c r="L245" s="14">
        <f>IFERROR(K245/K329, "NA")</f>
      </c>
      <c r="M245" s="15"/>
      <c r="N245" s="13">
        <v>0</v>
      </c>
      <c r="O245" s="14">
        <f>IFERROR(N245/N329, "NA")</f>
      </c>
      <c r="P245" s="15"/>
      <c r="Q245" s="13">
        <v>0</v>
      </c>
      <c r="R245" s="14">
        <f>IFERROR(Q245/Q329, "NA")</f>
      </c>
    </row>
    <row r="246" ht="16.5" customHeight="1">
      <c t="s" r="A246" s="12">
        <v>250</v>
      </c>
      <c r="B246" s="13">
        <v>0</v>
      </c>
      <c r="C246" s="14">
        <f>IFERROR(B246/B329, "NA")</f>
      </c>
      <c r="D246" s="15"/>
      <c r="E246" s="13">
        <v>0</v>
      </c>
      <c r="F246" s="14">
        <f>IFERROR(E246/E329, "NA")</f>
      </c>
      <c r="G246" s="15"/>
      <c r="H246" s="13">
        <v>0</v>
      </c>
      <c r="I246" s="14">
        <f>IFERROR(H246/H329, "NA")</f>
      </c>
      <c r="J246" s="15"/>
      <c r="K246" s="13">
        <v>0</v>
      </c>
      <c r="L246" s="14">
        <f>IFERROR(K246/K329, "NA")</f>
      </c>
      <c r="M246" s="15"/>
      <c r="N246" s="13">
        <v>0</v>
      </c>
      <c r="O246" s="14">
        <f>IFERROR(N246/N329, "NA")</f>
      </c>
      <c r="P246" s="15"/>
      <c r="Q246" s="13">
        <v>0</v>
      </c>
      <c r="R246" s="14">
        <f>IFERROR(Q246/Q329, "NA")</f>
      </c>
    </row>
    <row r="247" ht="16.5" customHeight="1">
      <c t="s" r="A247" s="12">
        <v>251</v>
      </c>
      <c r="B247" s="13">
        <v>0</v>
      </c>
      <c r="C247" s="14">
        <f>IFERROR(B247/B329, "NA")</f>
      </c>
      <c r="D247" s="15"/>
      <c r="E247" s="13">
        <v>4813.1499999999996</v>
      </c>
      <c r="F247" s="14">
        <f>IFERROR(E247/E329, "NA")</f>
      </c>
      <c r="G247" s="15"/>
      <c r="H247" s="13">
        <v>0</v>
      </c>
      <c r="I247" s="14">
        <f>IFERROR(H247/H329, "NA")</f>
      </c>
      <c r="J247" s="15"/>
      <c r="K247" s="13">
        <v>0</v>
      </c>
      <c r="L247" s="14">
        <f>IFERROR(K247/K329, "NA")</f>
      </c>
      <c r="M247" s="15"/>
      <c r="N247" s="13">
        <v>0</v>
      </c>
      <c r="O247" s="14">
        <f>IFERROR(N247/N329, "NA")</f>
      </c>
      <c r="P247" s="15"/>
      <c r="Q247" s="13">
        <v>0</v>
      </c>
      <c r="R247" s="14">
        <f>IFERROR(Q247/Q329, "NA")</f>
      </c>
    </row>
    <row r="248" ht="16.5" customHeight="1">
      <c t="s" r="A248" s="12">
        <v>252</v>
      </c>
      <c r="B248" s="13">
        <v>0</v>
      </c>
      <c r="C248" s="14">
        <f>IFERROR(B248/B329, "NA")</f>
      </c>
      <c r="D248" s="15"/>
      <c r="E248" s="13">
        <v>0</v>
      </c>
      <c r="F248" s="14">
        <f>IFERROR(E248/E329, "NA")</f>
      </c>
      <c r="G248" s="15"/>
      <c r="H248" s="13">
        <v>541.62</v>
      </c>
      <c r="I248" s="14">
        <f>IFERROR(H248/H329, "NA")</f>
      </c>
      <c r="J248" s="15"/>
      <c r="K248" s="13">
        <v>0</v>
      </c>
      <c r="L248" s="14">
        <f>IFERROR(K248/K329, "NA")</f>
      </c>
      <c r="M248" s="15"/>
      <c r="N248" s="13">
        <v>316.64999999999998</v>
      </c>
      <c r="O248" s="14">
        <f>IFERROR(N248/N329, "NA")</f>
      </c>
      <c r="P248" s="15"/>
      <c r="Q248" s="13">
        <v>0</v>
      </c>
      <c r="R248" s="14">
        <f>IFERROR(Q248/Q329, "NA")</f>
      </c>
    </row>
    <row r="249" ht="16.5" customHeight="1">
      <c t="s" r="A249" s="12">
        <v>253</v>
      </c>
      <c r="B249" s="13">
        <v>3515</v>
      </c>
      <c r="C249" s="14">
        <f>IFERROR(B249/B329, "NA")</f>
      </c>
      <c r="D249" s="15"/>
      <c r="E249" s="13">
        <v>0</v>
      </c>
      <c r="F249" s="14">
        <f>IFERROR(E249/E329, "NA")</f>
      </c>
      <c r="G249" s="15"/>
      <c r="H249" s="13">
        <v>0</v>
      </c>
      <c r="I249" s="14">
        <f>IFERROR(H249/H329, "NA")</f>
      </c>
      <c r="J249" s="15"/>
      <c r="K249" s="13">
        <v>92.5</v>
      </c>
      <c r="L249" s="14">
        <f>IFERROR(K249/K329, "NA")</f>
      </c>
      <c r="M249" s="15"/>
      <c r="N249" s="13">
        <v>0</v>
      </c>
      <c r="O249" s="14">
        <f>IFERROR(N249/N329, "NA")</f>
      </c>
      <c r="P249" s="15"/>
      <c r="Q249" s="13">
        <v>0</v>
      </c>
      <c r="R249" s="14">
        <f>IFERROR(Q249/Q329, "NA")</f>
      </c>
    </row>
    <row r="250" ht="16.5" customHeight="1">
      <c t="s" r="A250" s="12">
        <v>254</v>
      </c>
      <c r="B250" s="13">
        <v>0</v>
      </c>
      <c r="C250" s="14">
        <f>IFERROR(B250/B329, "NA")</f>
      </c>
      <c r="D250" s="15"/>
      <c r="E250" s="13">
        <v>0</v>
      </c>
      <c r="F250" s="14">
        <f>IFERROR(E250/E329, "NA")</f>
      </c>
      <c r="G250" s="15"/>
      <c r="H250" s="13">
        <v>0</v>
      </c>
      <c r="I250" s="14">
        <f>IFERROR(H250/H329, "NA")</f>
      </c>
      <c r="J250" s="15"/>
      <c r="K250" s="13">
        <v>0</v>
      </c>
      <c r="L250" s="14">
        <f>IFERROR(K250/K329, "NA")</f>
      </c>
      <c r="M250" s="15"/>
      <c r="N250" s="13">
        <v>0</v>
      </c>
      <c r="O250" s="14">
        <f>IFERROR(N250/N329, "NA")</f>
      </c>
      <c r="P250" s="15"/>
      <c r="Q250" s="13">
        <v>0</v>
      </c>
      <c r="R250" s="14">
        <f>IFERROR(Q250/Q329, "NA")</f>
      </c>
    </row>
    <row r="251" ht="16.5" customHeight="1">
      <c t="s" r="A251" s="12">
        <v>255</v>
      </c>
      <c r="B251" s="13">
        <v>0</v>
      </c>
      <c r="C251" s="14">
        <f>IFERROR(B251/B329, "NA")</f>
      </c>
      <c r="D251" s="15"/>
      <c r="E251" s="13">
        <v>0</v>
      </c>
      <c r="F251" s="14">
        <f>IFERROR(E251/E329, "NA")</f>
      </c>
      <c r="G251" s="15"/>
      <c r="H251" s="13">
        <v>0</v>
      </c>
      <c r="I251" s="14">
        <f>IFERROR(H251/H329, "NA")</f>
      </c>
      <c r="J251" s="15"/>
      <c r="K251" s="13">
        <v>0</v>
      </c>
      <c r="L251" s="14">
        <f>IFERROR(K251/K329, "NA")</f>
      </c>
      <c r="M251" s="15"/>
      <c r="N251" s="13">
        <v>0</v>
      </c>
      <c r="O251" s="14">
        <f>IFERROR(N251/N329, "NA")</f>
      </c>
      <c r="P251" s="15"/>
      <c r="Q251" s="13">
        <v>0</v>
      </c>
      <c r="R251" s="14">
        <f>IFERROR(Q251/Q329, "NA")</f>
      </c>
    </row>
    <row r="252" ht="16.5" customHeight="1">
      <c t="s" r="A252" s="16">
        <v>256</v>
      </c>
      <c r="B252" s="17">
        <f>IFERROR(B243+B244+B245+B246+B247+B248+B249+B250+B251, "NA")</f>
      </c>
      <c r="C252" s="18">
        <f>IFERROR(B252/B329, "NA")</f>
      </c>
      <c r="D252" s="8"/>
      <c r="E252" s="17">
        <f>IFERROR(E243+E244+E245+E246+E247+E248+E249+E250+E251, "NA")</f>
      </c>
      <c r="F252" s="18">
        <f>IFERROR(E252/E329, "NA")</f>
      </c>
      <c r="G252" s="8"/>
      <c r="H252" s="17">
        <f>IFERROR(H243+H244+H245+H246+H247+H248+H249+H250+H251, "NA")</f>
      </c>
      <c r="I252" s="18">
        <f>IFERROR(H252/H329, "NA")</f>
      </c>
      <c r="J252" s="8"/>
      <c r="K252" s="17">
        <f>IFERROR(K243+K244+K245+K246+K247+K248+K249+K250+K251, "NA")</f>
      </c>
      <c r="L252" s="18">
        <f>IFERROR(K252/K329, "NA")</f>
      </c>
      <c r="M252" s="8"/>
      <c r="N252" s="17">
        <f>IFERROR(N243+N244+N245+N246+N247+N248+N249+N250+N251, "NA")</f>
      </c>
      <c r="O252" s="18">
        <f>IFERROR(N252/N329, "NA")</f>
      </c>
      <c r="P252" s="8"/>
      <c r="Q252" s="17">
        <f>IFERROR(Q243+Q244+Q245+Q246+Q247+Q248+Q249+Q250+Q251, "NA")</f>
      </c>
      <c r="R252" s="18">
        <f>IFERROR(Q252/Q329, "NA")</f>
      </c>
    </row>
    <row r="253" ht="16.5" customHeight="1">
      <c t="s" r="A253" s="11">
        <v>257</v>
      </c>
      <c r="B253" s="8"/>
      <c r="C253" s="9"/>
      <c r="D253" s="10"/>
      <c r="E253" s="8"/>
      <c r="F253" s="9"/>
      <c r="G253" s="10"/>
      <c r="H253" s="8"/>
      <c r="I253" s="9"/>
      <c r="J253" s="10"/>
      <c r="K253" s="8"/>
      <c r="L253" s="9"/>
      <c r="M253" s="10"/>
      <c r="N253" s="8"/>
      <c r="O253" s="9"/>
      <c r="P253" s="10"/>
      <c r="Q253" s="8"/>
      <c r="R253" s="9"/>
    </row>
    <row r="254" ht="16.5" customHeight="1">
      <c t="s" r="A254" s="12">
        <v>258</v>
      </c>
      <c r="B254" s="13">
        <v>0</v>
      </c>
      <c r="C254" s="14">
        <f>IFERROR(B254/B329, "NA")</f>
      </c>
      <c r="D254" s="15"/>
      <c r="E254" s="13">
        <v>0</v>
      </c>
      <c r="F254" s="14">
        <f>IFERROR(E254/E329, "NA")</f>
      </c>
      <c r="G254" s="15"/>
      <c r="H254" s="13">
        <v>0</v>
      </c>
      <c r="I254" s="14">
        <f>IFERROR(H254/H329, "NA")</f>
      </c>
      <c r="J254" s="15"/>
      <c r="K254" s="13">
        <v>0</v>
      </c>
      <c r="L254" s="14">
        <f>IFERROR(K254/K329, "NA")</f>
      </c>
      <c r="M254" s="15"/>
      <c r="N254" s="13">
        <v>0</v>
      </c>
      <c r="O254" s="14">
        <f>IFERROR(N254/N329, "NA")</f>
      </c>
      <c r="P254" s="15"/>
      <c r="Q254" s="13">
        <v>0</v>
      </c>
      <c r="R254" s="14">
        <f>IFERROR(Q254/Q329, "NA")</f>
      </c>
    </row>
    <row r="255" ht="16.5" customHeight="1">
      <c t="s" r="A255" s="12">
        <v>259</v>
      </c>
      <c r="B255" s="13">
        <v>0</v>
      </c>
      <c r="C255" s="14">
        <f>IFERROR(B255/B329, "NA")</f>
      </c>
      <c r="D255" s="15"/>
      <c r="E255" s="13">
        <v>0</v>
      </c>
      <c r="F255" s="14">
        <f>IFERROR(E255/E329, "NA")</f>
      </c>
      <c r="G255" s="15"/>
      <c r="H255" s="13">
        <v>0</v>
      </c>
      <c r="I255" s="14">
        <f>IFERROR(H255/H329, "NA")</f>
      </c>
      <c r="J255" s="15"/>
      <c r="K255" s="13">
        <v>0</v>
      </c>
      <c r="L255" s="14">
        <f>IFERROR(K255/K329, "NA")</f>
      </c>
      <c r="M255" s="15"/>
      <c r="N255" s="13">
        <v>0</v>
      </c>
      <c r="O255" s="14">
        <f>IFERROR(N255/N329, "NA")</f>
      </c>
      <c r="P255" s="15"/>
      <c r="Q255" s="13">
        <v>0</v>
      </c>
      <c r="R255" s="14">
        <f>IFERROR(Q255/Q329, "NA")</f>
      </c>
    </row>
    <row r="256" ht="16.5" customHeight="1">
      <c t="s" r="A256" s="12">
        <v>260</v>
      </c>
      <c r="B256" s="13">
        <v>0</v>
      </c>
      <c r="C256" s="14">
        <f>IFERROR(B256/B329, "NA")</f>
      </c>
      <c r="D256" s="15"/>
      <c r="E256" s="13">
        <v>1536.24</v>
      </c>
      <c r="F256" s="14">
        <f>IFERROR(E256/E329, "NA")</f>
      </c>
      <c r="G256" s="15"/>
      <c r="H256" s="13">
        <v>0</v>
      </c>
      <c r="I256" s="14">
        <f>IFERROR(H256/H329, "NA")</f>
      </c>
      <c r="J256" s="15"/>
      <c r="K256" s="13">
        <v>47194.25</v>
      </c>
      <c r="L256" s="14">
        <f>IFERROR(K256/K329, "NA")</f>
      </c>
      <c r="M256" s="15"/>
      <c r="N256" s="13">
        <v>5807.7399999999998</v>
      </c>
      <c r="O256" s="14">
        <f>IFERROR(N256/N329, "NA")</f>
      </c>
      <c r="P256" s="15"/>
      <c r="Q256" s="13">
        <v>0</v>
      </c>
      <c r="R256" s="14">
        <f>IFERROR(Q256/Q329, "NA")</f>
      </c>
    </row>
    <row r="257" ht="16.5" customHeight="1">
      <c t="s" r="A257" s="12">
        <v>261</v>
      </c>
      <c r="B257" s="13">
        <v>0</v>
      </c>
      <c r="C257" s="14">
        <f>IFERROR(B257/B329, "NA")</f>
      </c>
      <c r="D257" s="15"/>
      <c r="E257" s="13">
        <v>0</v>
      </c>
      <c r="F257" s="14">
        <f>IFERROR(E257/E329, "NA")</f>
      </c>
      <c r="G257" s="15"/>
      <c r="H257" s="13">
        <v>0</v>
      </c>
      <c r="I257" s="14">
        <f>IFERROR(H257/H329, "NA")</f>
      </c>
      <c r="J257" s="15"/>
      <c r="K257" s="13">
        <v>0</v>
      </c>
      <c r="L257" s="14">
        <f>IFERROR(K257/K329, "NA")</f>
      </c>
      <c r="M257" s="15"/>
      <c r="N257" s="13">
        <v>0</v>
      </c>
      <c r="O257" s="14">
        <f>IFERROR(N257/N329, "NA")</f>
      </c>
      <c r="P257" s="15"/>
      <c r="Q257" s="13">
        <v>0</v>
      </c>
      <c r="R257" s="14">
        <f>IFERROR(Q257/Q329, "NA")</f>
      </c>
    </row>
    <row r="258" ht="16.5" customHeight="1">
      <c t="s" r="A258" s="12">
        <v>262</v>
      </c>
      <c r="B258" s="13">
        <v>0</v>
      </c>
      <c r="C258" s="14">
        <f>IFERROR(B258/B329, "NA")</f>
      </c>
      <c r="D258" s="15"/>
      <c r="E258" s="13">
        <v>0</v>
      </c>
      <c r="F258" s="14">
        <f>IFERROR(E258/E329, "NA")</f>
      </c>
      <c r="G258" s="15"/>
      <c r="H258" s="13">
        <v>0</v>
      </c>
      <c r="I258" s="14">
        <f>IFERROR(H258/H329, "NA")</f>
      </c>
      <c r="J258" s="15"/>
      <c r="K258" s="13">
        <v>0</v>
      </c>
      <c r="L258" s="14">
        <f>IFERROR(K258/K329, "NA")</f>
      </c>
      <c r="M258" s="15"/>
      <c r="N258" s="13">
        <v>0</v>
      </c>
      <c r="O258" s="14">
        <f>IFERROR(N258/N329, "NA")</f>
      </c>
      <c r="P258" s="15"/>
      <c r="Q258" s="13">
        <v>0</v>
      </c>
      <c r="R258" s="14">
        <f>IFERROR(Q258/Q329, "NA")</f>
      </c>
    </row>
    <row r="259" ht="16.5" customHeight="1">
      <c t="s" r="A259" s="12">
        <v>263</v>
      </c>
      <c r="B259" s="13">
        <v>0</v>
      </c>
      <c r="C259" s="14">
        <f>IFERROR(B259/B329, "NA")</f>
      </c>
      <c r="D259" s="15"/>
      <c r="E259" s="13">
        <v>0</v>
      </c>
      <c r="F259" s="14">
        <f>IFERROR(E259/E329, "NA")</f>
      </c>
      <c r="G259" s="15"/>
      <c r="H259" s="13">
        <v>0</v>
      </c>
      <c r="I259" s="14">
        <f>IFERROR(H259/H329, "NA")</f>
      </c>
      <c r="J259" s="15"/>
      <c r="K259" s="13">
        <v>0</v>
      </c>
      <c r="L259" s="14">
        <f>IFERROR(K259/K329, "NA")</f>
      </c>
      <c r="M259" s="15"/>
      <c r="N259" s="13">
        <v>0</v>
      </c>
      <c r="O259" s="14">
        <f>IFERROR(N259/N329, "NA")</f>
      </c>
      <c r="P259" s="15"/>
      <c r="Q259" s="13">
        <v>0</v>
      </c>
      <c r="R259" s="14">
        <f>IFERROR(Q259/Q329, "NA")</f>
      </c>
    </row>
    <row r="260" ht="16.5" customHeight="1">
      <c t="s" r="A260" s="12">
        <v>264</v>
      </c>
      <c r="B260" s="13">
        <v>0</v>
      </c>
      <c r="C260" s="14">
        <f>IFERROR(B260/B329, "NA")</f>
      </c>
      <c r="D260" s="15"/>
      <c r="E260" s="13">
        <v>0</v>
      </c>
      <c r="F260" s="14">
        <f>IFERROR(E260/E329, "NA")</f>
      </c>
      <c r="G260" s="15"/>
      <c r="H260" s="13">
        <v>0</v>
      </c>
      <c r="I260" s="14">
        <f>IFERROR(H260/H329, "NA")</f>
      </c>
      <c r="J260" s="15"/>
      <c r="K260" s="13">
        <v>0</v>
      </c>
      <c r="L260" s="14">
        <f>IFERROR(K260/K329, "NA")</f>
      </c>
      <c r="M260" s="15"/>
      <c r="N260" s="13">
        <v>0</v>
      </c>
      <c r="O260" s="14">
        <f>IFERROR(N260/N329, "NA")</f>
      </c>
      <c r="P260" s="15"/>
      <c r="Q260" s="13">
        <v>0</v>
      </c>
      <c r="R260" s="14">
        <f>IFERROR(Q260/Q329, "NA")</f>
      </c>
    </row>
    <row r="261" ht="16.5" customHeight="1">
      <c t="s" r="A261" s="12">
        <v>265</v>
      </c>
      <c r="B261" s="13">
        <v>0</v>
      </c>
      <c r="C261" s="14">
        <f>IFERROR(B261/B329, "NA")</f>
      </c>
      <c r="D261" s="15"/>
      <c r="E261" s="13">
        <v>0</v>
      </c>
      <c r="F261" s="14">
        <f>IFERROR(E261/E329, "NA")</f>
      </c>
      <c r="G261" s="15"/>
      <c r="H261" s="13">
        <v>0</v>
      </c>
      <c r="I261" s="14">
        <f>IFERROR(H261/H329, "NA")</f>
      </c>
      <c r="J261" s="15"/>
      <c r="K261" s="13">
        <v>25755.130000000001</v>
      </c>
      <c r="L261" s="14">
        <f>IFERROR(K261/K329, "NA")</f>
      </c>
      <c r="M261" s="15"/>
      <c r="N261" s="13">
        <v>0</v>
      </c>
      <c r="O261" s="14">
        <f>IFERROR(N261/N329, "NA")</f>
      </c>
      <c r="P261" s="15"/>
      <c r="Q261" s="13">
        <v>0</v>
      </c>
      <c r="R261" s="14">
        <f>IFERROR(Q261/Q329, "NA")</f>
      </c>
    </row>
    <row r="262" ht="16.5" customHeight="1">
      <c t="s" r="A262" s="12">
        <v>266</v>
      </c>
      <c r="B262" s="13">
        <v>0</v>
      </c>
      <c r="C262" s="14">
        <f>IFERROR(B262/B329, "NA")</f>
      </c>
      <c r="D262" s="15"/>
      <c r="E262" s="13">
        <v>0</v>
      </c>
      <c r="F262" s="14">
        <f>IFERROR(E262/E329, "NA")</f>
      </c>
      <c r="G262" s="15"/>
      <c r="H262" s="13">
        <v>0</v>
      </c>
      <c r="I262" s="14">
        <f>IFERROR(H262/H329, "NA")</f>
      </c>
      <c r="J262" s="15"/>
      <c r="K262" s="13">
        <v>8848.5300000000007</v>
      </c>
      <c r="L262" s="14">
        <f>IFERROR(K262/K329, "NA")</f>
      </c>
      <c r="M262" s="15"/>
      <c r="N262" s="13">
        <v>0</v>
      </c>
      <c r="O262" s="14">
        <f>IFERROR(N262/N329, "NA")</f>
      </c>
      <c r="P262" s="15"/>
      <c r="Q262" s="13">
        <v>0</v>
      </c>
      <c r="R262" s="14">
        <f>IFERROR(Q262/Q329, "NA")</f>
      </c>
    </row>
    <row r="263" ht="16.5" customHeight="1">
      <c t="s" r="A263" s="16">
        <v>267</v>
      </c>
      <c r="B263" s="17">
        <f>IFERROR(B254+B255+B256+B257+B258+B259+B260+B261+B262, "NA")</f>
      </c>
      <c r="C263" s="18">
        <f>IFERROR(B263/B329, "NA")</f>
      </c>
      <c r="D263" s="8"/>
      <c r="E263" s="17">
        <f>IFERROR(E254+E255+E256+E257+E258+E259+E260+E261+E262, "NA")</f>
      </c>
      <c r="F263" s="18">
        <f>IFERROR(E263/E329, "NA")</f>
      </c>
      <c r="G263" s="8"/>
      <c r="H263" s="17">
        <f>IFERROR(H254+H255+H256+H257+H258+H259+H260+H261+H262, "NA")</f>
      </c>
      <c r="I263" s="18">
        <f>IFERROR(H263/H329, "NA")</f>
      </c>
      <c r="J263" s="8"/>
      <c r="K263" s="17">
        <f>IFERROR(K254+K255+K256+K257+K258+K259+K260+K261+K262, "NA")</f>
      </c>
      <c r="L263" s="18">
        <f>IFERROR(K263/K329, "NA")</f>
      </c>
      <c r="M263" s="8"/>
      <c r="N263" s="17">
        <f>IFERROR(N254+N255+N256+N257+N258+N259+N260+N261+N262, "NA")</f>
      </c>
      <c r="O263" s="18">
        <f>IFERROR(N263/N329, "NA")</f>
      </c>
      <c r="P263" s="8"/>
      <c r="Q263" s="17">
        <f>IFERROR(Q254+Q255+Q256+Q257+Q258+Q259+Q260+Q261+Q262, "NA")</f>
      </c>
      <c r="R263" s="18">
        <f>IFERROR(Q263/Q329, "NA")</f>
      </c>
    </row>
    <row r="264" ht="16.5" customHeight="1">
      <c t="s" r="A264" s="11">
        <v>268</v>
      </c>
      <c r="B264" s="8"/>
      <c r="C264" s="9"/>
      <c r="D264" s="10"/>
      <c r="E264" s="8"/>
      <c r="F264" s="9"/>
      <c r="G264" s="10"/>
      <c r="H264" s="8"/>
      <c r="I264" s="9"/>
      <c r="J264" s="10"/>
      <c r="K264" s="8"/>
      <c r="L264" s="9"/>
      <c r="M264" s="10"/>
      <c r="N264" s="8"/>
      <c r="O264" s="9"/>
      <c r="P264" s="10"/>
      <c r="Q264" s="8"/>
      <c r="R264" s="9"/>
    </row>
    <row r="265" ht="16.5" customHeight="1">
      <c t="s" r="A265" s="12">
        <v>269</v>
      </c>
      <c r="B265" s="13">
        <v>0</v>
      </c>
      <c r="C265" s="14">
        <f>IFERROR(B265/B329, "NA")</f>
      </c>
      <c r="D265" s="15"/>
      <c r="E265" s="13">
        <v>0</v>
      </c>
      <c r="F265" s="14">
        <f>IFERROR(E265/E329, "NA")</f>
      </c>
      <c r="G265" s="15"/>
      <c r="H265" s="13">
        <v>0</v>
      </c>
      <c r="I265" s="14">
        <f>IFERROR(H265/H329, "NA")</f>
      </c>
      <c r="J265" s="15"/>
      <c r="K265" s="13">
        <v>0</v>
      </c>
      <c r="L265" s="14">
        <f>IFERROR(K265/K329, "NA")</f>
      </c>
      <c r="M265" s="15"/>
      <c r="N265" s="13">
        <v>0</v>
      </c>
      <c r="O265" s="14">
        <f>IFERROR(N265/N329, "NA")</f>
      </c>
      <c r="P265" s="15"/>
      <c r="Q265" s="13">
        <v>0</v>
      </c>
      <c r="R265" s="14">
        <f>IFERROR(Q265/Q329, "NA")</f>
      </c>
    </row>
    <row r="266" ht="16.5" customHeight="1">
      <c t="s" r="A266" s="12">
        <v>270</v>
      </c>
      <c r="B266" s="13">
        <v>0</v>
      </c>
      <c r="C266" s="14">
        <f>IFERROR(B266/B329, "NA")</f>
      </c>
      <c r="D266" s="15"/>
      <c r="E266" s="13">
        <v>0</v>
      </c>
      <c r="F266" s="14">
        <f>IFERROR(E266/E329, "NA")</f>
      </c>
      <c r="G266" s="15"/>
      <c r="H266" s="13">
        <v>0</v>
      </c>
      <c r="I266" s="14">
        <f>IFERROR(H266/H329, "NA")</f>
      </c>
      <c r="J266" s="15"/>
      <c r="K266" s="13">
        <v>0</v>
      </c>
      <c r="L266" s="14">
        <f>IFERROR(K266/K329, "NA")</f>
      </c>
      <c r="M266" s="15"/>
      <c r="N266" s="13">
        <v>0</v>
      </c>
      <c r="O266" s="14">
        <f>IFERROR(N266/N329, "NA")</f>
      </c>
      <c r="P266" s="15"/>
      <c r="Q266" s="13">
        <v>0</v>
      </c>
      <c r="R266" s="14">
        <f>IFERROR(Q266/Q329, "NA")</f>
      </c>
    </row>
    <row r="267" ht="16.5" customHeight="1">
      <c t="s" r="A267" s="12">
        <v>271</v>
      </c>
      <c r="B267" s="13">
        <v>0</v>
      </c>
      <c r="C267" s="14">
        <f>IFERROR(B267/B329, "NA")</f>
      </c>
      <c r="D267" s="15"/>
      <c r="E267" s="13">
        <v>0</v>
      </c>
      <c r="F267" s="14">
        <f>IFERROR(E267/E329, "NA")</f>
      </c>
      <c r="G267" s="15"/>
      <c r="H267" s="13">
        <v>0</v>
      </c>
      <c r="I267" s="14">
        <f>IFERROR(H267/H329, "NA")</f>
      </c>
      <c r="J267" s="15"/>
      <c r="K267" s="13">
        <v>0</v>
      </c>
      <c r="L267" s="14">
        <f>IFERROR(K267/K329, "NA")</f>
      </c>
      <c r="M267" s="15"/>
      <c r="N267" s="13">
        <v>0</v>
      </c>
      <c r="O267" s="14">
        <f>IFERROR(N267/N329, "NA")</f>
      </c>
      <c r="P267" s="15"/>
      <c r="Q267" s="13">
        <v>0</v>
      </c>
      <c r="R267" s="14">
        <f>IFERROR(Q267/Q329, "NA")</f>
      </c>
    </row>
    <row r="268" ht="16.5" customHeight="1">
      <c t="s" r="A268" s="12">
        <v>272</v>
      </c>
      <c r="B268" s="13">
        <v>-8.3699999999999992</v>
      </c>
      <c r="C268" s="14">
        <f>IFERROR(B268/B329, "NA")</f>
      </c>
      <c r="D268" s="15"/>
      <c r="E268" s="13">
        <v>-20.399999999999999</v>
      </c>
      <c r="F268" s="14">
        <f>IFERROR(E268/E329, "NA")</f>
      </c>
      <c r="G268" s="15"/>
      <c r="H268" s="13">
        <v>0</v>
      </c>
      <c r="I268" s="14">
        <f>IFERROR(H268/H329, "NA")</f>
      </c>
      <c r="J268" s="15"/>
      <c r="K268" s="13">
        <v>-10.199999999999999</v>
      </c>
      <c r="L268" s="14">
        <f>IFERROR(K268/K329, "NA")</f>
      </c>
      <c r="M268" s="15"/>
      <c r="N268" s="13">
        <v>-0.01</v>
      </c>
      <c r="O268" s="14">
        <f>IFERROR(N268/N329, "NA")</f>
      </c>
      <c r="P268" s="15"/>
      <c r="Q268" s="13">
        <v>0</v>
      </c>
      <c r="R268" s="14">
        <f>IFERROR(Q268/Q329, "NA")</f>
      </c>
    </row>
    <row r="269" ht="16.5" customHeight="1">
      <c t="s" r="A269" s="12">
        <v>273</v>
      </c>
      <c r="B269" s="13">
        <v>0</v>
      </c>
      <c r="C269" s="14">
        <f>IFERROR(B269/B329, "NA")</f>
      </c>
      <c r="D269" s="15"/>
      <c r="E269" s="13">
        <v>0</v>
      </c>
      <c r="F269" s="14">
        <f>IFERROR(E269/E329, "NA")</f>
      </c>
      <c r="G269" s="15"/>
      <c r="H269" s="13">
        <v>0</v>
      </c>
      <c r="I269" s="14">
        <f>IFERROR(H269/H329, "NA")</f>
      </c>
      <c r="J269" s="15"/>
      <c r="K269" s="13">
        <v>0</v>
      </c>
      <c r="L269" s="14">
        <f>IFERROR(K269/K329, "NA")</f>
      </c>
      <c r="M269" s="15"/>
      <c r="N269" s="13">
        <v>0</v>
      </c>
      <c r="O269" s="14">
        <f>IFERROR(N269/N329, "NA")</f>
      </c>
      <c r="P269" s="15"/>
      <c r="Q269" s="13">
        <v>0</v>
      </c>
      <c r="R269" s="14">
        <f>IFERROR(Q269/Q329, "NA")</f>
      </c>
    </row>
    <row r="270" ht="16.5" customHeight="1">
      <c t="s" r="A270" s="12">
        <v>274</v>
      </c>
      <c r="B270" s="13">
        <v>0</v>
      </c>
      <c r="C270" s="14">
        <f>IFERROR(B270/B329, "NA")</f>
      </c>
      <c r="D270" s="15"/>
      <c r="E270" s="13">
        <v>0</v>
      </c>
      <c r="F270" s="14">
        <f>IFERROR(E270/E329, "NA")</f>
      </c>
      <c r="G270" s="15"/>
      <c r="H270" s="13">
        <v>0</v>
      </c>
      <c r="I270" s="14">
        <f>IFERROR(H270/H329, "NA")</f>
      </c>
      <c r="J270" s="15"/>
      <c r="K270" s="13">
        <v>0</v>
      </c>
      <c r="L270" s="14">
        <f>IFERROR(K270/K329, "NA")</f>
      </c>
      <c r="M270" s="15"/>
      <c r="N270" s="13">
        <v>0</v>
      </c>
      <c r="O270" s="14">
        <f>IFERROR(N270/N329, "NA")</f>
      </c>
      <c r="P270" s="15"/>
      <c r="Q270" s="13">
        <v>0</v>
      </c>
      <c r="R270" s="14">
        <f>IFERROR(Q270/Q329, "NA")</f>
      </c>
    </row>
    <row r="271" ht="16.5" customHeight="1">
      <c t="s" r="A271" s="12">
        <v>275</v>
      </c>
      <c r="B271" s="13">
        <v>0</v>
      </c>
      <c r="C271" s="14">
        <f>IFERROR(B271/B329, "NA")</f>
      </c>
      <c r="D271" s="15"/>
      <c r="E271" s="13">
        <v>0</v>
      </c>
      <c r="F271" s="14">
        <f>IFERROR(E271/E329, "NA")</f>
      </c>
      <c r="G271" s="15"/>
      <c r="H271" s="13">
        <v>0</v>
      </c>
      <c r="I271" s="14">
        <f>IFERROR(H271/H329, "NA")</f>
      </c>
      <c r="J271" s="15"/>
      <c r="K271" s="13">
        <v>0</v>
      </c>
      <c r="L271" s="14">
        <f>IFERROR(K271/K329, "NA")</f>
      </c>
      <c r="M271" s="15"/>
      <c r="N271" s="13">
        <v>0</v>
      </c>
      <c r="O271" s="14">
        <f>IFERROR(N271/N329, "NA")</f>
      </c>
      <c r="P271" s="15"/>
      <c r="Q271" s="13">
        <v>0</v>
      </c>
      <c r="R271" s="14">
        <f>IFERROR(Q271/Q329, "NA")</f>
      </c>
    </row>
    <row r="272" ht="16.5" customHeight="1">
      <c t="s" r="A272" s="12">
        <v>276</v>
      </c>
      <c r="B272" s="13">
        <v>0</v>
      </c>
      <c r="C272" s="14">
        <f>IFERROR(B272/B329, "NA")</f>
      </c>
      <c r="D272" s="15"/>
      <c r="E272" s="13">
        <v>0</v>
      </c>
      <c r="F272" s="14">
        <f>IFERROR(E272/E329, "NA")</f>
      </c>
      <c r="G272" s="15"/>
      <c r="H272" s="13">
        <v>0</v>
      </c>
      <c r="I272" s="14">
        <f>IFERROR(H272/H329, "NA")</f>
      </c>
      <c r="J272" s="15"/>
      <c r="K272" s="13">
        <v>0</v>
      </c>
      <c r="L272" s="14">
        <f>IFERROR(K272/K329, "NA")</f>
      </c>
      <c r="M272" s="15"/>
      <c r="N272" s="13">
        <v>0</v>
      </c>
      <c r="O272" s="14">
        <f>IFERROR(N272/N329, "NA")</f>
      </c>
      <c r="P272" s="15"/>
      <c r="Q272" s="13">
        <v>0</v>
      </c>
      <c r="R272" s="14">
        <f>IFERROR(Q272/Q329, "NA")</f>
      </c>
    </row>
    <row r="273" ht="16.5" customHeight="1">
      <c t="s" r="A273" s="12">
        <v>277</v>
      </c>
      <c r="B273" s="13">
        <v>0</v>
      </c>
      <c r="C273" s="14">
        <f>IFERROR(B273/B329, "NA")</f>
      </c>
      <c r="D273" s="15"/>
      <c r="E273" s="13">
        <v>0</v>
      </c>
      <c r="F273" s="14">
        <f>IFERROR(E273/E329, "NA")</f>
      </c>
      <c r="G273" s="15"/>
      <c r="H273" s="13">
        <v>0</v>
      </c>
      <c r="I273" s="14">
        <f>IFERROR(H273/H329, "NA")</f>
      </c>
      <c r="J273" s="15"/>
      <c r="K273" s="13">
        <v>0</v>
      </c>
      <c r="L273" s="14">
        <f>IFERROR(K273/K329, "NA")</f>
      </c>
      <c r="M273" s="15"/>
      <c r="N273" s="13">
        <v>0</v>
      </c>
      <c r="O273" s="14">
        <f>IFERROR(N273/N329, "NA")</f>
      </c>
      <c r="P273" s="15"/>
      <c r="Q273" s="13">
        <v>0</v>
      </c>
      <c r="R273" s="14">
        <f>IFERROR(Q273/Q329, "NA")</f>
      </c>
    </row>
    <row r="274" ht="16.5" customHeight="1">
      <c t="s" r="A274" s="12">
        <v>278</v>
      </c>
      <c r="B274" s="13">
        <v>0</v>
      </c>
      <c r="C274" s="14">
        <f>IFERROR(B274/B329, "NA")</f>
      </c>
      <c r="D274" s="15"/>
      <c r="E274" s="13">
        <v>0</v>
      </c>
      <c r="F274" s="14">
        <f>IFERROR(E274/E329, "NA")</f>
      </c>
      <c r="G274" s="15"/>
      <c r="H274" s="13">
        <v>0</v>
      </c>
      <c r="I274" s="14">
        <f>IFERROR(H274/H329, "NA")</f>
      </c>
      <c r="J274" s="15"/>
      <c r="K274" s="13">
        <v>0</v>
      </c>
      <c r="L274" s="14">
        <f>IFERROR(K274/K329, "NA")</f>
      </c>
      <c r="M274" s="15"/>
      <c r="N274" s="13">
        <v>0</v>
      </c>
      <c r="O274" s="14">
        <f>IFERROR(N274/N329, "NA")</f>
      </c>
      <c r="P274" s="15"/>
      <c r="Q274" s="13">
        <v>0</v>
      </c>
      <c r="R274" s="14">
        <f>IFERROR(Q274/Q329, "NA")</f>
      </c>
    </row>
    <row r="275" ht="16.5" customHeight="1">
      <c t="s" r="A275" s="12">
        <v>279</v>
      </c>
      <c r="B275" s="13">
        <v>0</v>
      </c>
      <c r="C275" s="14">
        <f>IFERROR(B275/B329, "NA")</f>
      </c>
      <c r="D275" s="15"/>
      <c r="E275" s="13">
        <v>0</v>
      </c>
      <c r="F275" s="14">
        <f>IFERROR(E275/E329, "NA")</f>
      </c>
      <c r="G275" s="15"/>
      <c r="H275" s="13">
        <v>0</v>
      </c>
      <c r="I275" s="14">
        <f>IFERROR(H275/H329, "NA")</f>
      </c>
      <c r="J275" s="15"/>
      <c r="K275" s="13">
        <v>0</v>
      </c>
      <c r="L275" s="14">
        <f>IFERROR(K275/K329, "NA")</f>
      </c>
      <c r="M275" s="15"/>
      <c r="N275" s="13">
        <v>0</v>
      </c>
      <c r="O275" s="14">
        <f>IFERROR(N275/N329, "NA")</f>
      </c>
      <c r="P275" s="15"/>
      <c r="Q275" s="13">
        <v>0</v>
      </c>
      <c r="R275" s="14">
        <f>IFERROR(Q275/Q329, "NA")</f>
      </c>
    </row>
    <row r="276" ht="16.5" customHeight="1">
      <c t="s" r="A276" s="12">
        <v>280</v>
      </c>
      <c r="B276" s="13">
        <v>0</v>
      </c>
      <c r="C276" s="14">
        <f>IFERROR(B276/B329, "NA")</f>
      </c>
      <c r="D276" s="15"/>
      <c r="E276" s="13">
        <v>0</v>
      </c>
      <c r="F276" s="14">
        <f>IFERROR(E276/E329, "NA")</f>
      </c>
      <c r="G276" s="15"/>
      <c r="H276" s="13">
        <v>0</v>
      </c>
      <c r="I276" s="14">
        <f>IFERROR(H276/H329, "NA")</f>
      </c>
      <c r="J276" s="15"/>
      <c r="K276" s="13">
        <v>0</v>
      </c>
      <c r="L276" s="14">
        <f>IFERROR(K276/K329, "NA")</f>
      </c>
      <c r="M276" s="15"/>
      <c r="N276" s="13">
        <v>0</v>
      </c>
      <c r="O276" s="14">
        <f>IFERROR(N276/N329, "NA")</f>
      </c>
      <c r="P276" s="15"/>
      <c r="Q276" s="13">
        <v>0</v>
      </c>
      <c r="R276" s="14">
        <f>IFERROR(Q276/Q329, "NA")</f>
      </c>
    </row>
    <row r="277" ht="16.5" customHeight="1">
      <c t="s" r="A277" s="12">
        <v>281</v>
      </c>
      <c r="B277" s="13">
        <v>0</v>
      </c>
      <c r="C277" s="14">
        <f>IFERROR(B277/B329, "NA")</f>
      </c>
      <c r="D277" s="15"/>
      <c r="E277" s="13">
        <v>0</v>
      </c>
      <c r="F277" s="14">
        <f>IFERROR(E277/E329, "NA")</f>
      </c>
      <c r="G277" s="15"/>
      <c r="H277" s="13">
        <v>0</v>
      </c>
      <c r="I277" s="14">
        <f>IFERROR(H277/H329, "NA")</f>
      </c>
      <c r="J277" s="15"/>
      <c r="K277" s="13">
        <v>0</v>
      </c>
      <c r="L277" s="14">
        <f>IFERROR(K277/K329, "NA")</f>
      </c>
      <c r="M277" s="15"/>
      <c r="N277" s="13">
        <v>0</v>
      </c>
      <c r="O277" s="14">
        <f>IFERROR(N277/N329, "NA")</f>
      </c>
      <c r="P277" s="15"/>
      <c r="Q277" s="13">
        <v>0</v>
      </c>
      <c r="R277" s="14">
        <f>IFERROR(Q277/Q329, "NA")</f>
      </c>
    </row>
    <row r="278" ht="16.5" customHeight="1">
      <c t="s" r="A278" s="12">
        <v>282</v>
      </c>
      <c r="B278" s="13">
        <v>-9439.2299999999996</v>
      </c>
      <c r="C278" s="14">
        <f>IFERROR(B278/B329, "NA")</f>
      </c>
      <c r="D278" s="15"/>
      <c r="E278" s="13">
        <v>-8065.29</v>
      </c>
      <c r="F278" s="14">
        <f>IFERROR(E278/E329, "NA")</f>
      </c>
      <c r="G278" s="15"/>
      <c r="H278" s="13">
        <v>-9655.1299999999992</v>
      </c>
      <c r="I278" s="14">
        <f>IFERROR(H278/H329, "NA")</f>
      </c>
      <c r="J278" s="15"/>
      <c r="K278" s="13">
        <v>-12106.82</v>
      </c>
      <c r="L278" s="14">
        <f>IFERROR(K278/K329, "NA")</f>
      </c>
      <c r="M278" s="15"/>
      <c r="N278" s="13">
        <v>-11381.370000000001</v>
      </c>
      <c r="O278" s="14">
        <f>IFERROR(N278/N329, "NA")</f>
      </c>
      <c r="P278" s="15"/>
      <c r="Q278" s="13">
        <v>-3445.98</v>
      </c>
      <c r="R278" s="14">
        <f>IFERROR(Q278/Q329, "NA")</f>
      </c>
    </row>
    <row r="279" ht="16.5" customHeight="1">
      <c t="s" r="A279" s="12">
        <v>283</v>
      </c>
      <c r="B279" s="13">
        <v>0</v>
      </c>
      <c r="C279" s="14">
        <f>IFERROR(B279/B329, "NA")</f>
      </c>
      <c r="D279" s="15"/>
      <c r="E279" s="13">
        <v>0</v>
      </c>
      <c r="F279" s="14">
        <f>IFERROR(E279/E329, "NA")</f>
      </c>
      <c r="G279" s="15"/>
      <c r="H279" s="13">
        <v>0</v>
      </c>
      <c r="I279" s="14">
        <f>IFERROR(H279/H329, "NA")</f>
      </c>
      <c r="J279" s="15"/>
      <c r="K279" s="13">
        <v>0</v>
      </c>
      <c r="L279" s="14">
        <f>IFERROR(K279/K329, "NA")</f>
      </c>
      <c r="M279" s="15"/>
      <c r="N279" s="13">
        <v>0</v>
      </c>
      <c r="O279" s="14">
        <f>IFERROR(N279/N329, "NA")</f>
      </c>
      <c r="P279" s="15"/>
      <c r="Q279" s="13">
        <v>0</v>
      </c>
      <c r="R279" s="14">
        <f>IFERROR(Q279/Q329, "NA")</f>
      </c>
    </row>
    <row r="280" ht="16.5" customHeight="1">
      <c t="s" r="A280" s="12">
        <v>284</v>
      </c>
      <c r="B280" s="13">
        <v>0</v>
      </c>
      <c r="C280" s="14">
        <f>IFERROR(B280/B329, "NA")</f>
      </c>
      <c r="D280" s="15"/>
      <c r="E280" s="13">
        <v>0</v>
      </c>
      <c r="F280" s="14">
        <f>IFERROR(E280/E329, "NA")</f>
      </c>
      <c r="G280" s="15"/>
      <c r="H280" s="13">
        <v>0</v>
      </c>
      <c r="I280" s="14">
        <f>IFERROR(H280/H329, "NA")</f>
      </c>
      <c r="J280" s="15"/>
      <c r="K280" s="13">
        <v>0</v>
      </c>
      <c r="L280" s="14">
        <f>IFERROR(K280/K329, "NA")</f>
      </c>
      <c r="M280" s="15"/>
      <c r="N280" s="13">
        <v>0</v>
      </c>
      <c r="O280" s="14">
        <f>IFERROR(N280/N329, "NA")</f>
      </c>
      <c r="P280" s="15"/>
      <c r="Q280" s="13">
        <v>0</v>
      </c>
      <c r="R280" s="14">
        <f>IFERROR(Q280/Q329, "NA")</f>
      </c>
    </row>
    <row r="281" ht="16.5" customHeight="1">
      <c t="s" r="A281" s="12">
        <v>285</v>
      </c>
      <c r="B281" s="13">
        <v>0</v>
      </c>
      <c r="C281" s="14">
        <f>IFERROR(B281/B329, "NA")</f>
      </c>
      <c r="D281" s="15"/>
      <c r="E281" s="13">
        <v>0</v>
      </c>
      <c r="F281" s="14">
        <f>IFERROR(E281/E329, "NA")</f>
      </c>
      <c r="G281" s="15"/>
      <c r="H281" s="13">
        <v>0</v>
      </c>
      <c r="I281" s="14">
        <f>IFERROR(H281/H329, "NA")</f>
      </c>
      <c r="J281" s="15"/>
      <c r="K281" s="13">
        <v>0</v>
      </c>
      <c r="L281" s="14">
        <f>IFERROR(K281/K329, "NA")</f>
      </c>
      <c r="M281" s="15"/>
      <c r="N281" s="13">
        <v>0</v>
      </c>
      <c r="O281" s="14">
        <f>IFERROR(N281/N329, "NA")</f>
      </c>
      <c r="P281" s="15"/>
      <c r="Q281" s="13">
        <v>0</v>
      </c>
      <c r="R281" s="14">
        <f>IFERROR(Q281/Q329, "NA")</f>
      </c>
    </row>
    <row r="282" ht="16.5" customHeight="1">
      <c t="s" r="A282" s="12">
        <v>286</v>
      </c>
      <c r="B282" s="13">
        <v>0</v>
      </c>
      <c r="C282" s="14">
        <f>IFERROR(B282/B329, "NA")</f>
      </c>
      <c r="D282" s="15"/>
      <c r="E282" s="13">
        <v>0</v>
      </c>
      <c r="F282" s="14">
        <f>IFERROR(E282/E329, "NA")</f>
      </c>
      <c r="G282" s="15"/>
      <c r="H282" s="13">
        <v>0</v>
      </c>
      <c r="I282" s="14">
        <f>IFERROR(H282/H329, "NA")</f>
      </c>
      <c r="J282" s="15"/>
      <c r="K282" s="13">
        <v>0</v>
      </c>
      <c r="L282" s="14">
        <f>IFERROR(K282/K329, "NA")</f>
      </c>
      <c r="M282" s="15"/>
      <c r="N282" s="13">
        <v>0</v>
      </c>
      <c r="O282" s="14">
        <f>IFERROR(N282/N329, "NA")</f>
      </c>
      <c r="P282" s="15"/>
      <c r="Q282" s="13">
        <v>0</v>
      </c>
      <c r="R282" s="14">
        <f>IFERROR(Q282/Q329, "NA")</f>
      </c>
    </row>
    <row r="283" ht="16.5" customHeight="1">
      <c t="s" r="A283" s="16">
        <v>287</v>
      </c>
      <c r="B283" s="17">
        <f>IFERROR(B265+B266+B267+B268+B269+B270+B271+B272+B273+B274+B275+B276+B277+B278+B279+B280+B281+B282, "NA")</f>
      </c>
      <c r="C283" s="18">
        <f>IFERROR(B283/B329, "NA")</f>
      </c>
      <c r="D283" s="8"/>
      <c r="E283" s="17">
        <f>IFERROR(E265+E266+E267+E268+E269+E270+E271+E272+E273+E274+E275+E276+E277+E278+E279+E280+E281+E282, "NA")</f>
      </c>
      <c r="F283" s="18">
        <f>IFERROR(E283/E329, "NA")</f>
      </c>
      <c r="G283" s="8"/>
      <c r="H283" s="17">
        <f>IFERROR(H265+H266+H267+H268+H269+H270+H271+H272+H273+H274+H275+H276+H277+H278+H279+H280+H281+H282, "NA")</f>
      </c>
      <c r="I283" s="18">
        <f>IFERROR(H283/H329, "NA")</f>
      </c>
      <c r="J283" s="8"/>
      <c r="K283" s="17">
        <f>IFERROR(K265+K266+K267+K268+K269+K270+K271+K272+K273+K274+K275+K276+K277+K278+K279+K280+K281+K282, "NA")</f>
      </c>
      <c r="L283" s="18">
        <f>IFERROR(K283/K329, "NA")</f>
      </c>
      <c r="M283" s="8"/>
      <c r="N283" s="17">
        <f>IFERROR(N265+N266+N267+N268+N269+N270+N271+N272+N273+N274+N275+N276+N277+N278+N279+N280+N281+N282, "NA")</f>
      </c>
      <c r="O283" s="18">
        <f>IFERROR(N283/N329, "NA")</f>
      </c>
      <c r="P283" s="8"/>
      <c r="Q283" s="17">
        <f>IFERROR(Q265+Q266+Q267+Q268+Q269+Q270+Q271+Q272+Q273+Q274+Q275+Q276+Q277+Q278+Q279+Q280+Q281+Q282, "NA")</f>
      </c>
      <c r="R283" s="18">
        <f>IFERROR(Q283/Q329, "NA")</f>
      </c>
    </row>
    <row r="284" ht="16.5" customHeight="1">
      <c t="s" r="A284" s="20">
        <v>288</v>
      </c>
      <c r="B284" s="17">
        <f>IFERROR(B214+B215+B216+B217+B218+B219+B220+B221+B222+B223+B224+B225+B226+B227+B228+B229+B230+B231+B232+B233+B234+B235+B236+B237+B238+B239+B240+B243+B244+B245+B246+B247+B248+B249+B250+B251+B254+B255+B256+B257+B258+B259+B260+B261+B262+B265+B266+B267+B268+B269+B270+B271+B272+B273+B274+B275+B276+B277+B278+B279+B280+B281+B282, "NA")</f>
      </c>
      <c r="C284" s="18">
        <f>IFERROR(B284/B329, "NA")</f>
      </c>
      <c r="D284" s="8"/>
      <c r="E284" s="17">
        <f>IFERROR(E214+E215+E216+E217+E218+E219+E220+E221+E222+E223+E224+E225+E226+E227+E228+E229+E230+E231+E232+E233+E234+E235+E236+E237+E238+E239+E240+E243+E244+E245+E246+E247+E248+E249+E250+E251+E254+E255+E256+E257+E258+E259+E260+E261+E262+E265+E266+E267+E268+E269+E270+E271+E272+E273+E274+E275+E276+E277+E278+E279+E280+E281+E282, "NA")</f>
      </c>
      <c r="F284" s="18">
        <f>IFERROR(E284/E329, "NA")</f>
      </c>
      <c r="G284" s="8"/>
      <c r="H284" s="17">
        <f>IFERROR(H214+H215+H216+H217+H218+H219+H220+H221+H222+H223+H224+H225+H226+H227+H228+H229+H230+H231+H232+H233+H234+H235+H236+H237+H238+H239+H240+H243+H244+H245+H246+H247+H248+H249+H250+H251+H254+H255+H256+H257+H258+H259+H260+H261+H262+H265+H266+H267+H268+H269+H270+H271+H272+H273+H274+H275+H276+H277+H278+H279+H280+H281+H282, "NA")</f>
      </c>
      <c r="I284" s="18">
        <f>IFERROR(H284/H329, "NA")</f>
      </c>
      <c r="J284" s="8"/>
      <c r="K284" s="17">
        <f>IFERROR(K214+K215+K216+K217+K218+K219+K220+K221+K222+K223+K224+K225+K226+K227+K228+K229+K230+K231+K232+K233+K234+K235+K236+K237+K238+K239+K240+K243+K244+K245+K246+K247+K248+K249+K250+K251+K254+K255+K256+K257+K258+K259+K260+K261+K262+K265+K266+K267+K268+K269+K270+K271+K272+K273+K274+K275+K276+K277+K278+K279+K280+K281+K282, "NA")</f>
      </c>
      <c r="L284" s="18">
        <f>IFERROR(K284/K329, "NA")</f>
      </c>
      <c r="M284" s="8"/>
      <c r="N284" s="17">
        <f>IFERROR(N214+N215+N216+N217+N218+N219+N220+N221+N222+N223+N224+N225+N226+N227+N228+N229+N230+N231+N232+N233+N234+N235+N236+N237+N238+N239+N240+N243+N244+N245+N246+N247+N248+N249+N250+N251+N254+N255+N256+N257+N258+N259+N260+N261+N262+N265+N266+N267+N268+N269+N270+N271+N272+N273+N274+N275+N276+N277+N278+N279+N280+N281+N282, "NA")</f>
      </c>
      <c r="O284" s="18">
        <f>IFERROR(N284/N329, "NA")</f>
      </c>
      <c r="P284" s="8"/>
      <c r="Q284" s="17">
        <f>IFERROR(Q214+Q215+Q216+Q217+Q218+Q219+Q220+Q221+Q222+Q223+Q224+Q225+Q226+Q227+Q228+Q229+Q230+Q231+Q232+Q233+Q234+Q235+Q236+Q237+Q238+Q239+Q240+Q243+Q244+Q245+Q246+Q247+Q248+Q249+Q250+Q251+Q254+Q255+Q256+Q257+Q258+Q259+Q260+Q261+Q262+Q265+Q266+Q267+Q268+Q269+Q270+Q271+Q272+Q273+Q274+Q275+Q276+Q277+Q278+Q279+Q280+Q281+Q282, "NA")</f>
      </c>
      <c r="R284" s="18">
        <f>IFERROR(Q284/Q329, "NA")</f>
      </c>
    </row>
    <row r="285" ht="16.5" customHeight="1">
      <c t="s" r="A285" s="7">
        <v>289</v>
      </c>
      <c r="B285" s="8"/>
      <c r="C285" s="9"/>
      <c r="D285" s="10"/>
      <c r="E285" s="8"/>
      <c r="F285" s="9"/>
      <c r="G285" s="10"/>
      <c r="H285" s="8"/>
      <c r="I285" s="9"/>
      <c r="J285" s="10"/>
      <c r="K285" s="8"/>
      <c r="L285" s="9"/>
      <c r="M285" s="10"/>
      <c r="N285" s="8"/>
      <c r="O285" s="9"/>
      <c r="P285" s="10"/>
      <c r="Q285" s="8"/>
      <c r="R285" s="9"/>
    </row>
    <row r="286" ht="16.5" customHeight="1">
      <c t="s" r="A286" s="11">
        <v>290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</row>
    <row r="287" ht="16.5" customHeight="1">
      <c t="s" r="A287" s="12">
        <v>291</v>
      </c>
      <c r="B287" s="13">
        <v>0</v>
      </c>
      <c r="C287" s="14">
        <f>IFERROR(B287/B329, "NA")</f>
      </c>
      <c r="D287" s="15"/>
      <c r="E287" s="13">
        <v>0</v>
      </c>
      <c r="F287" s="14">
        <f>IFERROR(E287/E329, "NA")</f>
      </c>
      <c r="G287" s="15"/>
      <c r="H287" s="13">
        <v>0</v>
      </c>
      <c r="I287" s="14">
        <f>IFERROR(H287/H329, "NA")</f>
      </c>
      <c r="J287" s="15"/>
      <c r="K287" s="13">
        <v>0</v>
      </c>
      <c r="L287" s="14">
        <f>IFERROR(K287/K329, "NA")</f>
      </c>
      <c r="M287" s="15"/>
      <c r="N287" s="13">
        <v>0</v>
      </c>
      <c r="O287" s="14">
        <f>IFERROR(N287/N329, "NA")</f>
      </c>
      <c r="P287" s="15"/>
      <c r="Q287" s="13">
        <v>0</v>
      </c>
      <c r="R287" s="14">
        <f>IFERROR(Q287/Q329, "NA")</f>
      </c>
    </row>
    <row r="288" ht="16.5" customHeight="1">
      <c t="s" r="A288" s="12">
        <v>292</v>
      </c>
      <c r="B288" s="13">
        <v>0</v>
      </c>
      <c r="C288" s="14">
        <f>IFERROR(B288/B329, "NA")</f>
      </c>
      <c r="D288" s="15"/>
      <c r="E288" s="13">
        <v>0</v>
      </c>
      <c r="F288" s="14">
        <f>IFERROR(E288/E329, "NA")</f>
      </c>
      <c r="G288" s="15"/>
      <c r="H288" s="13">
        <v>0</v>
      </c>
      <c r="I288" s="14">
        <f>IFERROR(H288/H329, "NA")</f>
      </c>
      <c r="J288" s="15"/>
      <c r="K288" s="13">
        <v>0</v>
      </c>
      <c r="L288" s="14">
        <f>IFERROR(K288/K329, "NA")</f>
      </c>
      <c r="M288" s="15"/>
      <c r="N288" s="13">
        <v>0</v>
      </c>
      <c r="O288" s="14">
        <f>IFERROR(N288/N329, "NA")</f>
      </c>
      <c r="P288" s="15"/>
      <c r="Q288" s="13">
        <v>0</v>
      </c>
      <c r="R288" s="14">
        <f>IFERROR(Q288/Q329, "NA")</f>
      </c>
    </row>
    <row r="289" ht="16.5" customHeight="1">
      <c t="s" r="A289" s="12">
        <v>293</v>
      </c>
      <c r="B289" s="13">
        <v>3825</v>
      </c>
      <c r="C289" s="14">
        <f>IFERROR(B289/B329, "NA")</f>
      </c>
      <c r="D289" s="15"/>
      <c r="E289" s="13">
        <v>500</v>
      </c>
      <c r="F289" s="14">
        <f>IFERROR(E289/E329, "NA")</f>
      </c>
      <c r="G289" s="15"/>
      <c r="H289" s="13">
        <v>0</v>
      </c>
      <c r="I289" s="14">
        <f>IFERROR(H289/H329, "NA")</f>
      </c>
      <c r="J289" s="15"/>
      <c r="K289" s="13">
        <v>0</v>
      </c>
      <c r="L289" s="14">
        <f>IFERROR(K289/K329, "NA")</f>
      </c>
      <c r="M289" s="15"/>
      <c r="N289" s="13">
        <v>2900</v>
      </c>
      <c r="O289" s="14">
        <f>IFERROR(N289/N329, "NA")</f>
      </c>
      <c r="P289" s="15"/>
      <c r="Q289" s="13">
        <v>0</v>
      </c>
      <c r="R289" s="14">
        <f>IFERROR(Q289/Q329, "NA")</f>
      </c>
    </row>
    <row r="290" ht="16.5" customHeight="1">
      <c t="s" r="A290" s="12">
        <v>294</v>
      </c>
      <c r="B290" s="13">
        <v>0</v>
      </c>
      <c r="C290" s="14">
        <f>IFERROR(B290/B329, "NA")</f>
      </c>
      <c r="D290" s="15"/>
      <c r="E290" s="13">
        <v>0</v>
      </c>
      <c r="F290" s="14">
        <f>IFERROR(E290/E329, "NA")</f>
      </c>
      <c r="G290" s="15"/>
      <c r="H290" s="13">
        <v>0</v>
      </c>
      <c r="I290" s="14">
        <f>IFERROR(H290/H329, "NA")</f>
      </c>
      <c r="J290" s="15"/>
      <c r="K290" s="13">
        <v>0</v>
      </c>
      <c r="L290" s="14">
        <f>IFERROR(K290/K329, "NA")</f>
      </c>
      <c r="M290" s="15"/>
      <c r="N290" s="13">
        <v>0</v>
      </c>
      <c r="O290" s="14">
        <f>IFERROR(N290/N329, "NA")</f>
      </c>
      <c r="P290" s="15"/>
      <c r="Q290" s="13">
        <v>0</v>
      </c>
      <c r="R290" s="14">
        <f>IFERROR(Q290/Q329, "NA")</f>
      </c>
    </row>
    <row r="291" ht="16.5" customHeight="1">
      <c t="s" r="A291" s="12">
        <v>295</v>
      </c>
      <c r="B291" s="13">
        <v>15034.799999999999</v>
      </c>
      <c r="C291" s="14">
        <f>IFERROR(B291/B329, "NA")</f>
      </c>
      <c r="D291" s="15"/>
      <c r="E291" s="13">
        <v>8795.8500000000004</v>
      </c>
      <c r="F291" s="14">
        <f>IFERROR(E291/E329, "NA")</f>
      </c>
      <c r="G291" s="15"/>
      <c r="H291" s="13">
        <v>14655.08</v>
      </c>
      <c r="I291" s="14">
        <f>IFERROR(H291/H329, "NA")</f>
      </c>
      <c r="J291" s="15"/>
      <c r="K291" s="13">
        <v>13818.48</v>
      </c>
      <c r="L291" s="14">
        <f>IFERROR(K291/K329, "NA")</f>
      </c>
      <c r="M291" s="15"/>
      <c r="N291" s="13">
        <v>17302.259999999998</v>
      </c>
      <c r="O291" s="14">
        <f>IFERROR(N291/N329, "NA")</f>
      </c>
      <c r="P291" s="15"/>
      <c r="Q291" s="13">
        <v>0</v>
      </c>
      <c r="R291" s="14">
        <f>IFERROR(Q291/Q329, "NA")</f>
      </c>
    </row>
    <row r="292" ht="16.5" customHeight="1">
      <c t="s" r="A292" s="12">
        <v>296</v>
      </c>
      <c r="B292" s="13">
        <v>0</v>
      </c>
      <c r="C292" s="14">
        <f>IFERROR(B292/B329, "NA")</f>
      </c>
      <c r="D292" s="15"/>
      <c r="E292" s="13">
        <v>0</v>
      </c>
      <c r="F292" s="14">
        <f>IFERROR(E292/E329, "NA")</f>
      </c>
      <c r="G292" s="15"/>
      <c r="H292" s="13">
        <v>0</v>
      </c>
      <c r="I292" s="14">
        <f>IFERROR(H292/H329, "NA")</f>
      </c>
      <c r="J292" s="15"/>
      <c r="K292" s="13">
        <v>0</v>
      </c>
      <c r="L292" s="14">
        <f>IFERROR(K292/K329, "NA")</f>
      </c>
      <c r="M292" s="15"/>
      <c r="N292" s="13">
        <v>0</v>
      </c>
      <c r="O292" s="14">
        <f>IFERROR(N292/N329, "NA")</f>
      </c>
      <c r="P292" s="15"/>
      <c r="Q292" s="13">
        <v>0</v>
      </c>
      <c r="R292" s="14">
        <f>IFERROR(Q292/Q329, "NA")</f>
      </c>
    </row>
    <row r="293" ht="16.5" customHeight="1">
      <c t="s" r="A293" s="12">
        <v>297</v>
      </c>
      <c r="B293" s="13">
        <v>0</v>
      </c>
      <c r="C293" s="14">
        <f>IFERROR(B293/B329, "NA")</f>
      </c>
      <c r="D293" s="15"/>
      <c r="E293" s="13">
        <v>0</v>
      </c>
      <c r="F293" s="14">
        <f>IFERROR(E293/E329, "NA")</f>
      </c>
      <c r="G293" s="15"/>
      <c r="H293" s="13">
        <v>0</v>
      </c>
      <c r="I293" s="14">
        <f>IFERROR(H293/H329, "NA")</f>
      </c>
      <c r="J293" s="15"/>
      <c r="K293" s="13">
        <v>0</v>
      </c>
      <c r="L293" s="14">
        <f>IFERROR(K293/K329, "NA")</f>
      </c>
      <c r="M293" s="15"/>
      <c r="N293" s="13">
        <v>0</v>
      </c>
      <c r="O293" s="14">
        <f>IFERROR(N293/N329, "NA")</f>
      </c>
      <c r="P293" s="15"/>
      <c r="Q293" s="13">
        <v>0</v>
      </c>
      <c r="R293" s="14">
        <f>IFERROR(Q293/Q329, "NA")</f>
      </c>
    </row>
    <row r="294" ht="16.5" customHeight="1">
      <c t="s" r="A294" s="12">
        <v>298</v>
      </c>
      <c r="B294" s="13">
        <v>0</v>
      </c>
      <c r="C294" s="14">
        <f>IFERROR(B294/B329, "NA")</f>
      </c>
      <c r="D294" s="15"/>
      <c r="E294" s="13">
        <v>516.51999999999998</v>
      </c>
      <c r="F294" s="14">
        <f>IFERROR(E294/E329, "NA")</f>
      </c>
      <c r="G294" s="15"/>
      <c r="H294" s="13">
        <v>0</v>
      </c>
      <c r="I294" s="14">
        <f>IFERROR(H294/H329, "NA")</f>
      </c>
      <c r="J294" s="15"/>
      <c r="K294" s="13">
        <v>588.00999999999999</v>
      </c>
      <c r="L294" s="14">
        <f>IFERROR(K294/K329, "NA")</f>
      </c>
      <c r="M294" s="15"/>
      <c r="N294" s="13">
        <v>0</v>
      </c>
      <c r="O294" s="14">
        <f>IFERROR(N294/N329, "NA")</f>
      </c>
      <c r="P294" s="15"/>
      <c r="Q294" s="13">
        <v>0</v>
      </c>
      <c r="R294" s="14">
        <f>IFERROR(Q294/Q329, "NA")</f>
      </c>
    </row>
    <row r="295" ht="16.5" customHeight="1">
      <c t="s" r="A295" s="12">
        <v>299</v>
      </c>
      <c r="B295" s="13">
        <v>480</v>
      </c>
      <c r="C295" s="14">
        <f>IFERROR(B295/B329, "NA")</f>
      </c>
      <c r="D295" s="15"/>
      <c r="E295" s="13">
        <v>1500</v>
      </c>
      <c r="F295" s="14">
        <f>IFERROR(E295/E329, "NA")</f>
      </c>
      <c r="G295" s="15"/>
      <c r="H295" s="13">
        <v>0</v>
      </c>
      <c r="I295" s="14">
        <f>IFERROR(H295/H329, "NA")</f>
      </c>
      <c r="J295" s="15"/>
      <c r="K295" s="13">
        <v>0</v>
      </c>
      <c r="L295" s="14">
        <f>IFERROR(K295/K329, "NA")</f>
      </c>
      <c r="M295" s="15"/>
      <c r="N295" s="13">
        <v>2399.6300000000001</v>
      </c>
      <c r="O295" s="14">
        <f>IFERROR(N295/N329, "NA")</f>
      </c>
      <c r="P295" s="15"/>
      <c r="Q295" s="13">
        <v>0</v>
      </c>
      <c r="R295" s="14">
        <f>IFERROR(Q295/Q329, "NA")</f>
      </c>
    </row>
    <row r="296" ht="16.5" customHeight="1">
      <c t="s" r="A296" s="12">
        <v>300</v>
      </c>
      <c r="B296" s="13">
        <v>0</v>
      </c>
      <c r="C296" s="14">
        <f>IFERROR(B296/B329, "NA")</f>
      </c>
      <c r="D296" s="15"/>
      <c r="E296" s="13">
        <v>0</v>
      </c>
      <c r="F296" s="14">
        <f>IFERROR(E296/E329, "NA")</f>
      </c>
      <c r="G296" s="15"/>
      <c r="H296" s="13">
        <v>0</v>
      </c>
      <c r="I296" s="14">
        <f>IFERROR(H296/H329, "NA")</f>
      </c>
      <c r="J296" s="15"/>
      <c r="K296" s="13">
        <v>0</v>
      </c>
      <c r="L296" s="14">
        <f>IFERROR(K296/K329, "NA")</f>
      </c>
      <c r="M296" s="15"/>
      <c r="N296" s="13">
        <v>0</v>
      </c>
      <c r="O296" s="14">
        <f>IFERROR(N296/N329, "NA")</f>
      </c>
      <c r="P296" s="15"/>
      <c r="Q296" s="13">
        <v>0</v>
      </c>
      <c r="R296" s="14">
        <f>IFERROR(Q296/Q329, "NA")</f>
      </c>
    </row>
    <row r="297" ht="16.5" customHeight="1">
      <c t="s" r="A297" s="12">
        <v>301</v>
      </c>
      <c r="B297" s="13">
        <v>0</v>
      </c>
      <c r="C297" s="14">
        <f>IFERROR(B297/B329, "NA")</f>
      </c>
      <c r="D297" s="15"/>
      <c r="E297" s="13">
        <v>0</v>
      </c>
      <c r="F297" s="14">
        <f>IFERROR(E297/E329, "NA")</f>
      </c>
      <c r="G297" s="15"/>
      <c r="H297" s="13">
        <v>0</v>
      </c>
      <c r="I297" s="14">
        <f>IFERROR(H297/H329, "NA")</f>
      </c>
      <c r="J297" s="15"/>
      <c r="K297" s="13">
        <v>0</v>
      </c>
      <c r="L297" s="14">
        <f>IFERROR(K297/K329, "NA")</f>
      </c>
      <c r="M297" s="15"/>
      <c r="N297" s="13">
        <v>0</v>
      </c>
      <c r="O297" s="14">
        <f>IFERROR(N297/N329, "NA")</f>
      </c>
      <c r="P297" s="15"/>
      <c r="Q297" s="13">
        <v>0</v>
      </c>
      <c r="R297" s="14">
        <f>IFERROR(Q297/Q329, "NA")</f>
      </c>
    </row>
    <row r="298" ht="16.5" customHeight="1">
      <c t="s" r="A298" s="12">
        <v>302</v>
      </c>
      <c r="B298" s="13">
        <v>0</v>
      </c>
      <c r="C298" s="14">
        <f>IFERROR(B298/B329, "NA")</f>
      </c>
      <c r="D298" s="15"/>
      <c r="E298" s="13">
        <v>0</v>
      </c>
      <c r="F298" s="14">
        <f>IFERROR(E298/E329, "NA")</f>
      </c>
      <c r="G298" s="15"/>
      <c r="H298" s="13">
        <v>0</v>
      </c>
      <c r="I298" s="14">
        <f>IFERROR(H298/H329, "NA")</f>
      </c>
      <c r="J298" s="15"/>
      <c r="K298" s="13">
        <v>0</v>
      </c>
      <c r="L298" s="14">
        <f>IFERROR(K298/K329, "NA")</f>
      </c>
      <c r="M298" s="15"/>
      <c r="N298" s="13">
        <v>0</v>
      </c>
      <c r="O298" s="14">
        <f>IFERROR(N298/N329, "NA")</f>
      </c>
      <c r="P298" s="15"/>
      <c r="Q298" s="13">
        <v>0</v>
      </c>
      <c r="R298" s="14">
        <f>IFERROR(Q298/Q329, "NA")</f>
      </c>
    </row>
    <row r="299" ht="16.5" customHeight="1">
      <c t="s" r="A299" s="12">
        <v>303</v>
      </c>
      <c r="B299" s="13">
        <v>0</v>
      </c>
      <c r="C299" s="14">
        <f>IFERROR(B299/B329, "NA")</f>
      </c>
      <c r="D299" s="15"/>
      <c r="E299" s="13">
        <v>0</v>
      </c>
      <c r="F299" s="14">
        <f>IFERROR(E299/E329, "NA")</f>
      </c>
      <c r="G299" s="15"/>
      <c r="H299" s="13">
        <v>0</v>
      </c>
      <c r="I299" s="14">
        <f>IFERROR(H299/H329, "NA")</f>
      </c>
      <c r="J299" s="15"/>
      <c r="K299" s="13">
        <v>0</v>
      </c>
      <c r="L299" s="14">
        <f>IFERROR(K299/K329, "NA")</f>
      </c>
      <c r="M299" s="15"/>
      <c r="N299" s="13">
        <v>0</v>
      </c>
      <c r="O299" s="14">
        <f>IFERROR(N299/N329, "NA")</f>
      </c>
      <c r="P299" s="15"/>
      <c r="Q299" s="13">
        <v>0</v>
      </c>
      <c r="R299" s="14">
        <f>IFERROR(Q299/Q329, "NA")</f>
      </c>
    </row>
    <row r="300" ht="16.5" customHeight="1">
      <c t="s" r="A300" s="12">
        <v>304</v>
      </c>
      <c r="B300" s="13">
        <v>0</v>
      </c>
      <c r="C300" s="14">
        <f>IFERROR(B300/B329, "NA")</f>
      </c>
      <c r="D300" s="15"/>
      <c r="E300" s="13">
        <v>0</v>
      </c>
      <c r="F300" s="14">
        <f>IFERROR(E300/E329, "NA")</f>
      </c>
      <c r="G300" s="15"/>
      <c r="H300" s="13">
        <v>0</v>
      </c>
      <c r="I300" s="14">
        <f>IFERROR(H300/H329, "NA")</f>
      </c>
      <c r="J300" s="15"/>
      <c r="K300" s="13">
        <v>0</v>
      </c>
      <c r="L300" s="14">
        <f>IFERROR(K300/K329, "NA")</f>
      </c>
      <c r="M300" s="15"/>
      <c r="N300" s="13">
        <v>0</v>
      </c>
      <c r="O300" s="14">
        <f>IFERROR(N300/N329, "NA")</f>
      </c>
      <c r="P300" s="15"/>
      <c r="Q300" s="13">
        <v>0</v>
      </c>
      <c r="R300" s="14">
        <f>IFERROR(Q300/Q329, "NA")</f>
      </c>
    </row>
    <row r="301" ht="16.5" customHeight="1">
      <c t="s" r="A301" s="12">
        <v>305</v>
      </c>
      <c r="B301" s="13">
        <v>0</v>
      </c>
      <c r="C301" s="14">
        <f>IFERROR(B301/B329, "NA")</f>
      </c>
      <c r="D301" s="15"/>
      <c r="E301" s="13">
        <v>0</v>
      </c>
      <c r="F301" s="14">
        <f>IFERROR(E301/E329, "NA")</f>
      </c>
      <c r="G301" s="15"/>
      <c r="H301" s="13">
        <v>0</v>
      </c>
      <c r="I301" s="14">
        <f>IFERROR(H301/H329, "NA")</f>
      </c>
      <c r="J301" s="15"/>
      <c r="K301" s="13">
        <v>0</v>
      </c>
      <c r="L301" s="14">
        <f>IFERROR(K301/K329, "NA")</f>
      </c>
      <c r="M301" s="15"/>
      <c r="N301" s="13">
        <v>0</v>
      </c>
      <c r="O301" s="14">
        <f>IFERROR(N301/N329, "NA")</f>
      </c>
      <c r="P301" s="15"/>
      <c r="Q301" s="13">
        <v>0</v>
      </c>
      <c r="R301" s="14">
        <f>IFERROR(Q301/Q329, "NA")</f>
      </c>
    </row>
    <row r="302" ht="16.5" customHeight="1">
      <c t="s" r="A302" s="12">
        <v>306</v>
      </c>
      <c r="B302" s="13">
        <v>0</v>
      </c>
      <c r="C302" s="14">
        <f>IFERROR(B302/B329, "NA")</f>
      </c>
      <c r="D302" s="15"/>
      <c r="E302" s="13">
        <v>0</v>
      </c>
      <c r="F302" s="14">
        <f>IFERROR(E302/E329, "NA")</f>
      </c>
      <c r="G302" s="15"/>
      <c r="H302" s="13">
        <v>0</v>
      </c>
      <c r="I302" s="14">
        <f>IFERROR(H302/H329, "NA")</f>
      </c>
      <c r="J302" s="15"/>
      <c r="K302" s="13">
        <v>0</v>
      </c>
      <c r="L302" s="14">
        <f>IFERROR(K302/K329, "NA")</f>
      </c>
      <c r="M302" s="15"/>
      <c r="N302" s="13">
        <v>0</v>
      </c>
      <c r="O302" s="14">
        <f>IFERROR(N302/N329, "NA")</f>
      </c>
      <c r="P302" s="15"/>
      <c r="Q302" s="13">
        <v>0</v>
      </c>
      <c r="R302" s="14">
        <f>IFERROR(Q302/Q329, "NA")</f>
      </c>
    </row>
    <row r="303" ht="16.5" customHeight="1">
      <c t="s" r="A303" s="12">
        <v>307</v>
      </c>
      <c r="B303" s="13">
        <v>0</v>
      </c>
      <c r="C303" s="14">
        <f>IFERROR(B303/B329, "NA")</f>
      </c>
      <c r="D303" s="15"/>
      <c r="E303" s="13">
        <v>0</v>
      </c>
      <c r="F303" s="14">
        <f>IFERROR(E303/E329, "NA")</f>
      </c>
      <c r="G303" s="15"/>
      <c r="H303" s="13">
        <v>0</v>
      </c>
      <c r="I303" s="14">
        <f>IFERROR(H303/H329, "NA")</f>
      </c>
      <c r="J303" s="15"/>
      <c r="K303" s="13">
        <v>0</v>
      </c>
      <c r="L303" s="14">
        <f>IFERROR(K303/K329, "NA")</f>
      </c>
      <c r="M303" s="15"/>
      <c r="N303" s="13">
        <v>0</v>
      </c>
      <c r="O303" s="14">
        <f>IFERROR(N303/N329, "NA")</f>
      </c>
      <c r="P303" s="15"/>
      <c r="Q303" s="13">
        <v>0</v>
      </c>
      <c r="R303" s="14">
        <f>IFERROR(Q303/Q329, "NA")</f>
      </c>
    </row>
    <row r="304" ht="16.5" customHeight="1">
      <c t="s" r="A304" s="12">
        <v>308</v>
      </c>
      <c r="B304" s="13">
        <v>0</v>
      </c>
      <c r="C304" s="14">
        <f>IFERROR(B304/B329, "NA")</f>
      </c>
      <c r="D304" s="15"/>
      <c r="E304" s="13">
        <v>0</v>
      </c>
      <c r="F304" s="14">
        <f>IFERROR(E304/E329, "NA")</f>
      </c>
      <c r="G304" s="15"/>
      <c r="H304" s="13">
        <v>0</v>
      </c>
      <c r="I304" s="14">
        <f>IFERROR(H304/H329, "NA")</f>
      </c>
      <c r="J304" s="15"/>
      <c r="K304" s="13">
        <v>0</v>
      </c>
      <c r="L304" s="14">
        <f>IFERROR(K304/K329, "NA")</f>
      </c>
      <c r="M304" s="15"/>
      <c r="N304" s="13">
        <v>0</v>
      </c>
      <c r="O304" s="14">
        <f>IFERROR(N304/N329, "NA")</f>
      </c>
      <c r="P304" s="15"/>
      <c r="Q304" s="13">
        <v>0</v>
      </c>
      <c r="R304" s="14">
        <f>IFERROR(Q304/Q329, "NA")</f>
      </c>
    </row>
    <row r="305" ht="30.75" customHeight="1">
      <c t="s" r="A305" s="12">
        <v>309</v>
      </c>
      <c r="B305" s="13">
        <v>0</v>
      </c>
      <c r="C305" s="14">
        <f>IFERROR(B305/B329, "NA")</f>
      </c>
      <c r="D305" s="15"/>
      <c r="E305" s="13">
        <v>0</v>
      </c>
      <c r="F305" s="14">
        <f>IFERROR(E305/E329, "NA")</f>
      </c>
      <c r="G305" s="15"/>
      <c r="H305" s="13">
        <v>0</v>
      </c>
      <c r="I305" s="14">
        <f>IFERROR(H305/H329, "NA")</f>
      </c>
      <c r="J305" s="15"/>
      <c r="K305" s="13">
        <v>0</v>
      </c>
      <c r="L305" s="14">
        <f>IFERROR(K305/K329, "NA")</f>
      </c>
      <c r="M305" s="15"/>
      <c r="N305" s="13">
        <v>0</v>
      </c>
      <c r="O305" s="14">
        <f>IFERROR(N305/N329, "NA")</f>
      </c>
      <c r="P305" s="15"/>
      <c r="Q305" s="13">
        <v>0</v>
      </c>
      <c r="R305" s="14">
        <f>IFERROR(Q305/Q329, "NA")</f>
      </c>
    </row>
    <row r="306" ht="16.5" customHeight="1">
      <c t="s" r="A306" s="12">
        <v>310</v>
      </c>
      <c r="B306" s="13">
        <v>0</v>
      </c>
      <c r="C306" s="14">
        <f>IFERROR(B306/B329, "NA")</f>
      </c>
      <c r="D306" s="15"/>
      <c r="E306" s="13">
        <v>0</v>
      </c>
      <c r="F306" s="14">
        <f>IFERROR(E306/E329, "NA")</f>
      </c>
      <c r="G306" s="15"/>
      <c r="H306" s="13">
        <v>0</v>
      </c>
      <c r="I306" s="14">
        <f>IFERROR(H306/H329, "NA")</f>
      </c>
      <c r="J306" s="15"/>
      <c r="K306" s="13">
        <v>0</v>
      </c>
      <c r="L306" s="14">
        <f>IFERROR(K306/K329, "NA")</f>
      </c>
      <c r="M306" s="15"/>
      <c r="N306" s="13">
        <v>0</v>
      </c>
      <c r="O306" s="14">
        <f>IFERROR(N306/N329, "NA")</f>
      </c>
      <c r="P306" s="15"/>
      <c r="Q306" s="13">
        <v>0</v>
      </c>
      <c r="R306" s="14">
        <f>IFERROR(Q306/Q329, "NA")</f>
      </c>
    </row>
    <row r="307" ht="16.5" customHeight="1">
      <c t="s" r="A307" s="12">
        <v>311</v>
      </c>
      <c r="B307" s="13">
        <v>0</v>
      </c>
      <c r="C307" s="14">
        <f>IFERROR(B307/B329, "NA")</f>
      </c>
      <c r="D307" s="15"/>
      <c r="E307" s="13">
        <v>0</v>
      </c>
      <c r="F307" s="14">
        <f>IFERROR(E307/E329, "NA")</f>
      </c>
      <c r="G307" s="15"/>
      <c r="H307" s="13">
        <v>0</v>
      </c>
      <c r="I307" s="14">
        <f>IFERROR(H307/H329, "NA")</f>
      </c>
      <c r="J307" s="15"/>
      <c r="K307" s="13">
        <v>0</v>
      </c>
      <c r="L307" s="14">
        <f>IFERROR(K307/K329, "NA")</f>
      </c>
      <c r="M307" s="15"/>
      <c r="N307" s="13">
        <v>0</v>
      </c>
      <c r="O307" s="14">
        <f>IFERROR(N307/N329, "NA")</f>
      </c>
      <c r="P307" s="15"/>
      <c r="Q307" s="13">
        <v>0</v>
      </c>
      <c r="R307" s="14">
        <f>IFERROR(Q307/Q329, "NA")</f>
      </c>
    </row>
    <row r="308" ht="16.5" customHeight="1">
      <c t="s" r="A308" s="12">
        <v>312</v>
      </c>
      <c r="B308" s="13">
        <v>0</v>
      </c>
      <c r="C308" s="14">
        <f>IFERROR(B308/B329, "NA")</f>
      </c>
      <c r="D308" s="15"/>
      <c r="E308" s="13">
        <v>0</v>
      </c>
      <c r="F308" s="14">
        <f>IFERROR(E308/E329, "NA")</f>
      </c>
      <c r="G308" s="15"/>
      <c r="H308" s="13">
        <v>0</v>
      </c>
      <c r="I308" s="14">
        <f>IFERROR(H308/H329, "NA")</f>
      </c>
      <c r="J308" s="15"/>
      <c r="K308" s="13">
        <v>0</v>
      </c>
      <c r="L308" s="14">
        <f>IFERROR(K308/K329, "NA")</f>
      </c>
      <c r="M308" s="15"/>
      <c r="N308" s="13">
        <v>0</v>
      </c>
      <c r="O308" s="14">
        <f>IFERROR(N308/N329, "NA")</f>
      </c>
      <c r="P308" s="15"/>
      <c r="Q308" s="13">
        <v>0</v>
      </c>
      <c r="R308" s="14">
        <f>IFERROR(Q308/Q329, "NA")</f>
      </c>
    </row>
    <row r="309" ht="16.5" customHeight="1">
      <c t="s" r="A309" s="12">
        <v>313</v>
      </c>
      <c r="B309" s="13">
        <v>0</v>
      </c>
      <c r="C309" s="14">
        <f>IFERROR(B309/B329, "NA")</f>
      </c>
      <c r="D309" s="15"/>
      <c r="E309" s="13">
        <v>0</v>
      </c>
      <c r="F309" s="14">
        <f>IFERROR(E309/E329, "NA")</f>
      </c>
      <c r="G309" s="15"/>
      <c r="H309" s="13">
        <v>0</v>
      </c>
      <c r="I309" s="14">
        <f>IFERROR(H309/H329, "NA")</f>
      </c>
      <c r="J309" s="15"/>
      <c r="K309" s="13">
        <v>0</v>
      </c>
      <c r="L309" s="14">
        <f>IFERROR(K309/K329, "NA")</f>
      </c>
      <c r="M309" s="15"/>
      <c r="N309" s="13">
        <v>0</v>
      </c>
      <c r="O309" s="14">
        <f>IFERROR(N309/N329, "NA")</f>
      </c>
      <c r="P309" s="15"/>
      <c r="Q309" s="13">
        <v>0</v>
      </c>
      <c r="R309" s="14">
        <f>IFERROR(Q309/Q329, "NA")</f>
      </c>
    </row>
    <row r="310" ht="16.5" customHeight="1">
      <c t="s" r="A310" s="12">
        <v>314</v>
      </c>
      <c r="B310" s="13">
        <v>0</v>
      </c>
      <c r="C310" s="14">
        <f>IFERROR(B310/B329, "NA")</f>
      </c>
      <c r="D310" s="15"/>
      <c r="E310" s="13">
        <v>0</v>
      </c>
      <c r="F310" s="14">
        <f>IFERROR(E310/E329, "NA")</f>
      </c>
      <c r="G310" s="15"/>
      <c r="H310" s="13">
        <v>0</v>
      </c>
      <c r="I310" s="14">
        <f>IFERROR(H310/H329, "NA")</f>
      </c>
      <c r="J310" s="15"/>
      <c r="K310" s="13">
        <v>0</v>
      </c>
      <c r="L310" s="14">
        <f>IFERROR(K310/K329, "NA")</f>
      </c>
      <c r="M310" s="15"/>
      <c r="N310" s="13">
        <v>0</v>
      </c>
      <c r="O310" s="14">
        <f>IFERROR(N310/N329, "NA")</f>
      </c>
      <c r="P310" s="15"/>
      <c r="Q310" s="13">
        <v>0</v>
      </c>
      <c r="R310" s="14">
        <f>IFERROR(Q310/Q329, "NA")</f>
      </c>
    </row>
    <row r="311" ht="16.5" customHeight="1">
      <c t="s" r="A311" s="12">
        <v>315</v>
      </c>
      <c r="B311" s="13">
        <v>0</v>
      </c>
      <c r="C311" s="14">
        <f>IFERROR(B311/B329, "NA")</f>
      </c>
      <c r="D311" s="15"/>
      <c r="E311" s="13">
        <v>0</v>
      </c>
      <c r="F311" s="14">
        <f>IFERROR(E311/E329, "NA")</f>
      </c>
      <c r="G311" s="15"/>
      <c r="H311" s="13">
        <v>0</v>
      </c>
      <c r="I311" s="14">
        <f>IFERROR(H311/H329, "NA")</f>
      </c>
      <c r="J311" s="15"/>
      <c r="K311" s="13">
        <v>0</v>
      </c>
      <c r="L311" s="14">
        <f>IFERROR(K311/K329, "NA")</f>
      </c>
      <c r="M311" s="15"/>
      <c r="N311" s="13">
        <v>0</v>
      </c>
      <c r="O311" s="14">
        <f>IFERROR(N311/N329, "NA")</f>
      </c>
      <c r="P311" s="15"/>
      <c r="Q311" s="13">
        <v>0</v>
      </c>
      <c r="R311" s="14">
        <f>IFERROR(Q311/Q329, "NA")</f>
      </c>
    </row>
    <row r="312" ht="16.5" customHeight="1">
      <c t="s" r="A312" s="12">
        <v>316</v>
      </c>
      <c r="B312" s="13">
        <v>0</v>
      </c>
      <c r="C312" s="14">
        <f>IFERROR(B312/B329, "NA")</f>
      </c>
      <c r="D312" s="15"/>
      <c r="E312" s="13">
        <v>0</v>
      </c>
      <c r="F312" s="14">
        <f>IFERROR(E312/E329, "NA")</f>
      </c>
      <c r="G312" s="15"/>
      <c r="H312" s="13">
        <v>0</v>
      </c>
      <c r="I312" s="14">
        <f>IFERROR(H312/H329, "NA")</f>
      </c>
      <c r="J312" s="15"/>
      <c r="K312" s="13">
        <v>0</v>
      </c>
      <c r="L312" s="14">
        <f>IFERROR(K312/K329, "NA")</f>
      </c>
      <c r="M312" s="15"/>
      <c r="N312" s="13">
        <v>0</v>
      </c>
      <c r="O312" s="14">
        <f>IFERROR(N312/N329, "NA")</f>
      </c>
      <c r="P312" s="15"/>
      <c r="Q312" s="13">
        <v>0</v>
      </c>
      <c r="R312" s="14">
        <f>IFERROR(Q312/Q329, "NA")</f>
      </c>
    </row>
    <row r="313" ht="16.5" customHeight="1">
      <c t="s" r="A313" s="12">
        <v>317</v>
      </c>
      <c r="B313" s="13">
        <v>0</v>
      </c>
      <c r="C313" s="14">
        <f>IFERROR(B313/B329, "NA")</f>
      </c>
      <c r="D313" s="15"/>
      <c r="E313" s="13">
        <v>0</v>
      </c>
      <c r="F313" s="14">
        <f>IFERROR(E313/E329, "NA")</f>
      </c>
      <c r="G313" s="15"/>
      <c r="H313" s="13">
        <v>0</v>
      </c>
      <c r="I313" s="14">
        <f>IFERROR(H313/H329, "NA")</f>
      </c>
      <c r="J313" s="15"/>
      <c r="K313" s="13">
        <v>0</v>
      </c>
      <c r="L313" s="14">
        <f>IFERROR(K313/K329, "NA")</f>
      </c>
      <c r="M313" s="15"/>
      <c r="N313" s="13">
        <v>0</v>
      </c>
      <c r="O313" s="14">
        <f>IFERROR(N313/N329, "NA")</f>
      </c>
      <c r="P313" s="15"/>
      <c r="Q313" s="13">
        <v>0</v>
      </c>
      <c r="R313" s="14">
        <f>IFERROR(Q313/Q329, "NA")</f>
      </c>
    </row>
    <row r="314" ht="16.5" customHeight="1">
      <c t="s" r="A314" s="12">
        <v>318</v>
      </c>
      <c r="B314" s="13">
        <v>0</v>
      </c>
      <c r="C314" s="14">
        <f>IFERROR(B314/B329, "NA")</f>
      </c>
      <c r="D314" s="15"/>
      <c r="E314" s="13">
        <v>0</v>
      </c>
      <c r="F314" s="14">
        <f>IFERROR(E314/E329, "NA")</f>
      </c>
      <c r="G314" s="15"/>
      <c r="H314" s="13">
        <v>0</v>
      </c>
      <c r="I314" s="14">
        <f>IFERROR(H314/H329, "NA")</f>
      </c>
      <c r="J314" s="15"/>
      <c r="K314" s="13">
        <v>0</v>
      </c>
      <c r="L314" s="14">
        <f>IFERROR(K314/K329, "NA")</f>
      </c>
      <c r="M314" s="15"/>
      <c r="N314" s="13">
        <v>0</v>
      </c>
      <c r="O314" s="14">
        <f>IFERROR(N314/N329, "NA")</f>
      </c>
      <c r="P314" s="15"/>
      <c r="Q314" s="13">
        <v>0</v>
      </c>
      <c r="R314" s="14">
        <f>IFERROR(Q314/Q329, "NA")</f>
      </c>
    </row>
    <row r="315" ht="16.5" customHeight="1">
      <c t="s" r="A315" s="12">
        <v>319</v>
      </c>
      <c r="B315" s="13">
        <v>0</v>
      </c>
      <c r="C315" s="14">
        <f>IFERROR(B315/B329, "NA")</f>
      </c>
      <c r="D315" s="15"/>
      <c r="E315" s="13">
        <v>0</v>
      </c>
      <c r="F315" s="14">
        <f>IFERROR(E315/E329, "NA")</f>
      </c>
      <c r="G315" s="15"/>
      <c r="H315" s="13">
        <v>0</v>
      </c>
      <c r="I315" s="14">
        <f>IFERROR(H315/H329, "NA")</f>
      </c>
      <c r="J315" s="15"/>
      <c r="K315" s="13">
        <v>0</v>
      </c>
      <c r="L315" s="14">
        <f>IFERROR(K315/K329, "NA")</f>
      </c>
      <c r="M315" s="15"/>
      <c r="N315" s="13">
        <v>0</v>
      </c>
      <c r="O315" s="14">
        <f>IFERROR(N315/N329, "NA")</f>
      </c>
      <c r="P315" s="15"/>
      <c r="Q315" s="13">
        <v>0</v>
      </c>
      <c r="R315" s="14">
        <f>IFERROR(Q315/Q329, "NA")</f>
      </c>
    </row>
    <row r="316" ht="16.5" customHeight="1">
      <c t="s" r="A316" s="16">
        <v>320</v>
      </c>
      <c r="B316" s="17">
        <f>IFERROR(B287+B288+B289+B290+B291+B292+B293+B294+B295+B296+B297+B298+B299+B300+B301+B302+B303+B304+B305+B306+B307+B308+B309+B310+B311+B312+B313+B314+B315, "NA")</f>
      </c>
      <c r="C316" s="18">
        <f>IFERROR(B316/B329, "NA")</f>
      </c>
      <c r="D316" s="8"/>
      <c r="E316" s="17">
        <f>IFERROR(E287+E288+E289+E290+E291+E292+E293+E294+E295+E296+E297+E298+E299+E300+E301+E302+E303+E304+E305+E306+E307+E308+E309+E310+E311+E312+E313+E314+E315, "NA")</f>
      </c>
      <c r="F316" s="18">
        <f>IFERROR(E316/E329, "NA")</f>
      </c>
      <c r="G316" s="8"/>
      <c r="H316" s="17">
        <f>IFERROR(H287+H288+H289+H290+H291+H292+H293+H294+H295+H296+H297+H298+H299+H300+H301+H302+H303+H304+H305+H306+H307+H308+H309+H310+H311+H312+H313+H314+H315, "NA")</f>
      </c>
      <c r="I316" s="18">
        <f>IFERROR(H316/H329, "NA")</f>
      </c>
      <c r="J316" s="8"/>
      <c r="K316" s="17">
        <f>IFERROR(K287+K288+K289+K290+K291+K292+K293+K294+K295+K296+K297+K298+K299+K300+K301+K302+K303+K304+K305+K306+K307+K308+K309+K310+K311+K312+K313+K314+K315, "NA")</f>
      </c>
      <c r="L316" s="18">
        <f>IFERROR(K316/K329, "NA")</f>
      </c>
      <c r="M316" s="8"/>
      <c r="N316" s="17">
        <f>IFERROR(N287+N288+N289+N290+N291+N292+N293+N294+N295+N296+N297+N298+N299+N300+N301+N302+N303+N304+N305+N306+N307+N308+N309+N310+N311+N312+N313+N314+N315, "NA")</f>
      </c>
      <c r="O316" s="18">
        <f>IFERROR(N316/N329, "NA")</f>
      </c>
      <c r="P316" s="8"/>
      <c r="Q316" s="17">
        <f>IFERROR(Q287+Q288+Q289+Q290+Q291+Q292+Q293+Q294+Q295+Q296+Q297+Q298+Q299+Q300+Q301+Q302+Q303+Q304+Q305+Q306+Q307+Q308+Q309+Q310+Q311+Q312+Q313+Q314+Q315, "NA")</f>
      </c>
      <c r="R316" s="18">
        <f>IFERROR(Q316/Q329, "NA")</f>
      </c>
    </row>
    <row r="317" ht="16.5" customHeight="1">
      <c t="s" r="A317" s="11">
        <v>321</v>
      </c>
      <c r="B317" s="8"/>
      <c r="C317" s="9"/>
      <c r="D317" s="10"/>
      <c r="E317" s="8"/>
      <c r="F317" s="9"/>
      <c r="G317" s="10"/>
      <c r="H317" s="8"/>
      <c r="I317" s="9"/>
      <c r="J317" s="10"/>
      <c r="K317" s="8"/>
      <c r="L317" s="9"/>
      <c r="M317" s="10"/>
      <c r="N317" s="8"/>
      <c r="O317" s="9"/>
      <c r="P317" s="10"/>
      <c r="Q317" s="8"/>
      <c r="R317" s="9"/>
    </row>
    <row r="318" ht="16.5" customHeight="1">
      <c t="s" r="A318" s="12">
        <v>322</v>
      </c>
      <c r="B318" s="13">
        <v>0</v>
      </c>
      <c r="C318" s="14">
        <f>IFERROR(B318/B329, "NA")</f>
      </c>
      <c r="D318" s="15"/>
      <c r="E318" s="13">
        <v>0</v>
      </c>
      <c r="F318" s="14">
        <f>IFERROR(E318/E329, "NA")</f>
      </c>
      <c r="G318" s="15"/>
      <c r="H318" s="13">
        <v>0</v>
      </c>
      <c r="I318" s="14">
        <f>IFERROR(H318/H329, "NA")</f>
      </c>
      <c r="J318" s="15"/>
      <c r="K318" s="13">
        <v>0</v>
      </c>
      <c r="L318" s="14">
        <f>IFERROR(K318/K329, "NA")</f>
      </c>
      <c r="M318" s="15"/>
      <c r="N318" s="13">
        <v>0</v>
      </c>
      <c r="O318" s="14">
        <f>IFERROR(N318/N329, "NA")</f>
      </c>
      <c r="P318" s="15"/>
      <c r="Q318" s="13">
        <v>0</v>
      </c>
      <c r="R318" s="14">
        <f>IFERROR(Q318/Q329, "NA")</f>
      </c>
    </row>
    <row r="319" ht="16.5" customHeight="1">
      <c t="s" r="A319" s="12">
        <v>323</v>
      </c>
      <c r="B319" s="13">
        <v>0</v>
      </c>
      <c r="C319" s="14">
        <f>IFERROR(B319/B329, "NA")</f>
      </c>
      <c r="D319" s="15"/>
      <c r="E319" s="13">
        <v>0</v>
      </c>
      <c r="F319" s="14">
        <f>IFERROR(E319/E329, "NA")</f>
      </c>
      <c r="G319" s="15"/>
      <c r="H319" s="13">
        <v>0</v>
      </c>
      <c r="I319" s="14">
        <f>IFERROR(H319/H329, "NA")</f>
      </c>
      <c r="J319" s="15"/>
      <c r="K319" s="13">
        <v>0</v>
      </c>
      <c r="L319" s="14">
        <f>IFERROR(K319/K329, "NA")</f>
      </c>
      <c r="M319" s="15"/>
      <c r="N319" s="13">
        <v>0</v>
      </c>
      <c r="O319" s="14">
        <f>IFERROR(N319/N329, "NA")</f>
      </c>
      <c r="P319" s="15"/>
      <c r="Q319" s="13">
        <v>0</v>
      </c>
      <c r="R319" s="14">
        <f>IFERROR(Q319/Q329, "NA")</f>
      </c>
    </row>
    <row r="320" ht="16.5" customHeight="1">
      <c t="s" r="A320" s="12">
        <v>324</v>
      </c>
      <c r="B320" s="13">
        <v>0</v>
      </c>
      <c r="C320" s="14">
        <f>IFERROR(B320/B329, "NA")</f>
      </c>
      <c r="D320" s="15"/>
      <c r="E320" s="13">
        <v>0</v>
      </c>
      <c r="F320" s="14">
        <f>IFERROR(E320/E329, "NA")</f>
      </c>
      <c r="G320" s="15"/>
      <c r="H320" s="13">
        <v>0</v>
      </c>
      <c r="I320" s="14">
        <f>IFERROR(H320/H329, "NA")</f>
      </c>
      <c r="J320" s="15"/>
      <c r="K320" s="13">
        <v>0</v>
      </c>
      <c r="L320" s="14">
        <f>IFERROR(K320/K329, "NA")</f>
      </c>
      <c r="M320" s="15"/>
      <c r="N320" s="13">
        <v>0</v>
      </c>
      <c r="O320" s="14">
        <f>IFERROR(N320/N329, "NA")</f>
      </c>
      <c r="P320" s="15"/>
      <c r="Q320" s="13">
        <v>0</v>
      </c>
      <c r="R320" s="14">
        <f>IFERROR(Q320/Q329, "NA")</f>
      </c>
    </row>
    <row r="321" ht="16.5" customHeight="1">
      <c t="s" r="A321" s="12">
        <v>325</v>
      </c>
      <c r="B321" s="13">
        <v>0</v>
      </c>
      <c r="C321" s="14">
        <f>IFERROR(B321/B329, "NA")</f>
      </c>
      <c r="D321" s="15"/>
      <c r="E321" s="13">
        <v>0</v>
      </c>
      <c r="F321" s="14">
        <f>IFERROR(E321/E329, "NA")</f>
      </c>
      <c r="G321" s="15"/>
      <c r="H321" s="13">
        <v>0</v>
      </c>
      <c r="I321" s="14">
        <f>IFERROR(H321/H329, "NA")</f>
      </c>
      <c r="J321" s="15"/>
      <c r="K321" s="13">
        <v>0</v>
      </c>
      <c r="L321" s="14">
        <f>IFERROR(K321/K329, "NA")</f>
      </c>
      <c r="M321" s="15"/>
      <c r="N321" s="13">
        <v>0</v>
      </c>
      <c r="O321" s="14">
        <f>IFERROR(N321/N329, "NA")</f>
      </c>
      <c r="P321" s="15"/>
      <c r="Q321" s="13">
        <v>0</v>
      </c>
      <c r="R321" s="14">
        <f>IFERROR(Q321/Q329, "NA")</f>
      </c>
    </row>
    <row r="322" ht="16.5" customHeight="1">
      <c t="s" r="A322" s="12">
        <v>326</v>
      </c>
      <c r="B322" s="13">
        <v>0</v>
      </c>
      <c r="C322" s="14">
        <f>IFERROR(B322/B329, "NA")</f>
      </c>
      <c r="D322" s="15"/>
      <c r="E322" s="13">
        <v>0</v>
      </c>
      <c r="F322" s="14">
        <f>IFERROR(E322/E329, "NA")</f>
      </c>
      <c r="G322" s="15"/>
      <c r="H322" s="13">
        <v>0</v>
      </c>
      <c r="I322" s="14">
        <f>IFERROR(H322/H329, "NA")</f>
      </c>
      <c r="J322" s="15"/>
      <c r="K322" s="13">
        <v>0</v>
      </c>
      <c r="L322" s="14">
        <f>IFERROR(K322/K329, "NA")</f>
      </c>
      <c r="M322" s="15"/>
      <c r="N322" s="13">
        <v>0</v>
      </c>
      <c r="O322" s="14">
        <f>IFERROR(N322/N329, "NA")</f>
      </c>
      <c r="P322" s="15"/>
      <c r="Q322" s="13">
        <v>0</v>
      </c>
      <c r="R322" s="14">
        <f>IFERROR(Q322/Q329, "NA")</f>
      </c>
    </row>
    <row r="323" ht="16.5" customHeight="1">
      <c t="s" r="A323" s="12">
        <v>327</v>
      </c>
      <c r="B323" s="13">
        <v>0</v>
      </c>
      <c r="C323" s="14">
        <f>IFERROR(B323/B329, "NA")</f>
      </c>
      <c r="D323" s="15"/>
      <c r="E323" s="13">
        <v>0</v>
      </c>
      <c r="F323" s="14">
        <f>IFERROR(E323/E329, "NA")</f>
      </c>
      <c r="G323" s="15"/>
      <c r="H323" s="13">
        <v>0</v>
      </c>
      <c r="I323" s="14">
        <f>IFERROR(H323/H329, "NA")</f>
      </c>
      <c r="J323" s="15"/>
      <c r="K323" s="13">
        <v>0</v>
      </c>
      <c r="L323" s="14">
        <f>IFERROR(K323/K329, "NA")</f>
      </c>
      <c r="M323" s="15"/>
      <c r="N323" s="13">
        <v>0</v>
      </c>
      <c r="O323" s="14">
        <f>IFERROR(N323/N329, "NA")</f>
      </c>
      <c r="P323" s="15"/>
      <c r="Q323" s="13">
        <v>0</v>
      </c>
      <c r="R323" s="14">
        <f>IFERROR(Q323/Q329, "NA")</f>
      </c>
    </row>
    <row r="324" ht="16.5" customHeight="1">
      <c t="s" r="A324" s="12">
        <v>328</v>
      </c>
      <c r="B324" s="13">
        <v>0</v>
      </c>
      <c r="C324" s="14">
        <f>IFERROR(B324/B329, "NA")</f>
      </c>
      <c r="D324" s="15"/>
      <c r="E324" s="13">
        <v>0</v>
      </c>
      <c r="F324" s="14">
        <f>IFERROR(E324/E329, "NA")</f>
      </c>
      <c r="G324" s="15"/>
      <c r="H324" s="13">
        <v>0</v>
      </c>
      <c r="I324" s="14">
        <f>IFERROR(H324/H329, "NA")</f>
      </c>
      <c r="J324" s="15"/>
      <c r="K324" s="13">
        <v>0</v>
      </c>
      <c r="L324" s="14">
        <f>IFERROR(K324/K329, "NA")</f>
      </c>
      <c r="M324" s="15"/>
      <c r="N324" s="13">
        <v>0</v>
      </c>
      <c r="O324" s="14">
        <f>IFERROR(N324/N329, "NA")</f>
      </c>
      <c r="P324" s="15"/>
      <c r="Q324" s="13">
        <v>0</v>
      </c>
      <c r="R324" s="14">
        <f>IFERROR(Q324/Q329, "NA")</f>
      </c>
    </row>
    <row r="325" ht="16.5" customHeight="1">
      <c t="s" r="A325" s="12">
        <v>329</v>
      </c>
      <c r="B325" s="13">
        <v>0</v>
      </c>
      <c r="C325" s="14">
        <f>IFERROR(B325/B329, "NA")</f>
      </c>
      <c r="D325" s="15"/>
      <c r="E325" s="13">
        <v>0</v>
      </c>
      <c r="F325" s="14">
        <f>IFERROR(E325/E329, "NA")</f>
      </c>
      <c r="G325" s="15"/>
      <c r="H325" s="13">
        <v>0</v>
      </c>
      <c r="I325" s="14">
        <f>IFERROR(H325/H329, "NA")</f>
      </c>
      <c r="J325" s="15"/>
      <c r="K325" s="13">
        <v>0</v>
      </c>
      <c r="L325" s="14">
        <f>IFERROR(K325/K329, "NA")</f>
      </c>
      <c r="M325" s="15"/>
      <c r="N325" s="13">
        <v>0</v>
      </c>
      <c r="O325" s="14">
        <f>IFERROR(N325/N329, "NA")</f>
      </c>
      <c r="P325" s="15"/>
      <c r="Q325" s="13">
        <v>0</v>
      </c>
      <c r="R325" s="14">
        <f>IFERROR(Q325/Q329, "NA")</f>
      </c>
    </row>
    <row r="326" ht="16.5" customHeight="1">
      <c t="s" r="A326" s="16">
        <v>330</v>
      </c>
      <c r="B326" s="17">
        <f>IFERROR(B318+B319+B320+B321+B322+B323+B324+B325, "NA")</f>
      </c>
      <c r="C326" s="18">
        <f>IFERROR(B326/B329, "NA")</f>
      </c>
      <c r="D326" s="8"/>
      <c r="E326" s="17">
        <f>IFERROR(E318+E319+E320+E321+E322+E323+E324+E325, "NA")</f>
      </c>
      <c r="F326" s="18">
        <f>IFERROR(E326/E329, "NA")</f>
      </c>
      <c r="G326" s="8"/>
      <c r="H326" s="17">
        <f>IFERROR(H318+H319+H320+H321+H322+H323+H324+H325, "NA")</f>
      </c>
      <c r="I326" s="18">
        <f>IFERROR(H326/H329, "NA")</f>
      </c>
      <c r="J326" s="8"/>
      <c r="K326" s="17">
        <f>IFERROR(K318+K319+K320+K321+K322+K323+K324+K325, "NA")</f>
      </c>
      <c r="L326" s="18">
        <f>IFERROR(K326/K329, "NA")</f>
      </c>
      <c r="M326" s="8"/>
      <c r="N326" s="17">
        <f>IFERROR(N318+N319+N320+N321+N322+N323+N324+N325, "NA")</f>
      </c>
      <c r="O326" s="18">
        <f>IFERROR(N326/N329, "NA")</f>
      </c>
      <c r="P326" s="8"/>
      <c r="Q326" s="17">
        <f>IFERROR(Q318+Q319+Q320+Q321+Q322+Q323+Q324+Q325, "NA")</f>
      </c>
      <c r="R326" s="18">
        <f>IFERROR(Q326/Q329, "NA")</f>
      </c>
    </row>
    <row r="327" ht="16.5" customHeight="1">
      <c t="s" r="A327" s="20">
        <v>331</v>
      </c>
      <c r="B327" s="17">
        <f>IFERROR(B287+B288+B289+B290+B291+B292+B293+B294+B295+B296+B297+B298+B299+B300+B301+B302+B303+B304+B305+B306+B307+B308+B309+B310+B311+B312+B313+B314+B315+B318+B319+B320+B321+B322+B323+B324+B325, "NA")</f>
      </c>
      <c r="C327" s="18">
        <f>IFERROR(B327/B329, "NA")</f>
      </c>
      <c r="D327" s="8"/>
      <c r="E327" s="17">
        <f>IFERROR(E287+E288+E289+E290+E291+E292+E293+E294+E295+E296+E297+E298+E299+E300+E301+E302+E303+E304+E305+E306+E307+E308+E309+E310+E311+E312+E313+E314+E315+E318+E319+E320+E321+E322+E323+E324+E325, "NA")</f>
      </c>
      <c r="F327" s="18">
        <f>IFERROR(E327/E329, "NA")</f>
      </c>
      <c r="G327" s="8"/>
      <c r="H327" s="17">
        <f>IFERROR(H287+H288+H289+H290+H291+H292+H293+H294+H295+H296+H297+H298+H299+H300+H301+H302+H303+H304+H305+H306+H307+H308+H309+H310+H311+H312+H313+H314+H315+H318+H319+H320+H321+H322+H323+H324+H325, "NA")</f>
      </c>
      <c r="I327" s="18">
        <f>IFERROR(H327/H329, "NA")</f>
      </c>
      <c r="J327" s="8"/>
      <c r="K327" s="17">
        <f>IFERROR(K287+K288+K289+K290+K291+K292+K293+K294+K295+K296+K297+K298+K299+K300+K301+K302+K303+K304+K305+K306+K307+K308+K309+K310+K311+K312+K313+K314+K315+K318+K319+K320+K321+K322+K323+K324+K325, "NA")</f>
      </c>
      <c r="L327" s="18">
        <f>IFERROR(K327/K329, "NA")</f>
      </c>
      <c r="M327" s="8"/>
      <c r="N327" s="17">
        <f>IFERROR(N287+N288+N289+N290+N291+N292+N293+N294+N295+N296+N297+N298+N299+N300+N301+N302+N303+N304+N305+N306+N307+N308+N309+N310+N311+N312+N313+N314+N315+N318+N319+N320+N321+N322+N323+N324+N325, "NA")</f>
      </c>
      <c r="O327" s="18">
        <f>IFERROR(N327/N329, "NA")</f>
      </c>
      <c r="P327" s="8"/>
      <c r="Q327" s="17">
        <f>IFERROR(Q287+Q288+Q289+Q290+Q291+Q292+Q293+Q294+Q295+Q296+Q297+Q298+Q299+Q300+Q301+Q302+Q303+Q304+Q305+Q306+Q307+Q308+Q309+Q310+Q311+Q312+Q313+Q314+Q315+Q318+Q319+Q320+Q321+Q322+Q323+Q324+Q325, "NA")</f>
      </c>
      <c r="R327" s="18">
        <f>IFERROR(Q327/Q329, "NA")</f>
      </c>
    </row>
    <row r="328" ht="16.5" customHeight="1">
      <c t="s" r="A328" s="20">
        <v>332</v>
      </c>
      <c r="B328" s="17">
        <f>IFERROR(+B52-B157-B211-B284-B327, "NA")</f>
      </c>
      <c r="C328" s="18">
        <f>IFERROR(B328/B329, "NA")</f>
      </c>
      <c r="D328" s="8"/>
      <c r="E328" s="17">
        <f>IFERROR(+E52-E157-E211-E284-E327, "NA")</f>
      </c>
      <c r="F328" s="18">
        <f>IFERROR(E328/E329, "NA")</f>
      </c>
      <c r="G328" s="8"/>
      <c r="H328" s="17">
        <f>IFERROR(+H52-H157-H211-H284-H327, "NA")</f>
      </c>
      <c r="I328" s="18">
        <f>IFERROR(H328/H329, "NA")</f>
      </c>
      <c r="J328" s="8"/>
      <c r="K328" s="17">
        <f>IFERROR(+K52-K157-K211-K284-K327, "NA")</f>
      </c>
      <c r="L328" s="18">
        <f>IFERROR(K328/K329, "NA")</f>
      </c>
      <c r="M328" s="8"/>
      <c r="N328" s="17">
        <f>IFERROR(+N52-N157-N211-N284-N327, "NA")</f>
      </c>
      <c r="O328" s="18">
        <f>IFERROR(N328/N329, "NA")</f>
      </c>
      <c r="P328" s="8"/>
      <c r="Q328" s="17">
        <f>IFERROR(+Q52-Q157-Q211-Q284-Q327, "NA")</f>
      </c>
      <c r="R328" s="18">
        <f>IFERROR(Q328/Q329, "NA")</f>
      </c>
    </row>
    <row r="329" hidden="1">
      <c t="s" r="A329" s="24">
        <v>56</v>
      </c>
      <c r="B329" s="13">
        <v>290229.07000000001</v>
      </c>
      <c r="C329" s="25"/>
      <c r="D329" s="15"/>
      <c r="E329" s="13">
        <v>161195.03</v>
      </c>
      <c r="F329" s="25"/>
      <c r="G329" s="15"/>
      <c r="H329" s="13">
        <v>278686</v>
      </c>
      <c r="I329" s="25"/>
      <c r="J329" s="15"/>
      <c r="K329" s="13">
        <v>369200.28000000003</v>
      </c>
      <c r="L329" s="25"/>
      <c r="M329" s="15"/>
      <c r="N329" s="13">
        <v>337582.28000000003</v>
      </c>
      <c r="O329" s="25"/>
      <c r="P329" s="15"/>
      <c r="Q329" s="13">
        <v>326997.59999999998</v>
      </c>
      <c r="R329" s="25"/>
    </row>
    <row r="330"/>
    <row r="331"/>
    <row r="332">
      <c t="s" r="A332" s="26">
        <v>333</v>
      </c>
    </row>
    <row r="333">
      <c t="s" r="A333" s="26">
        <v>334</v>
      </c>
    </row>
    <row r="334">
      <c t="s" r="A334" s="26">
        <v>335</v>
      </c>
    </row>
  </sheetData>
  <mergeCells count="15">
    <mergeCell ref="A1:R1"/>
    <mergeCell ref="A2:R2"/>
    <mergeCell ref="A3:R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</mergeCells>
  <ignoredErrors>
    <ignoredError sqref="A1:R33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2026-10-12T14:12:16Z</dcterms:created>
  <dcterms:modified xsi:type="dcterms:W3CDTF">2026-10-12T14:12:16Z</dcterms:modified>
</cp:coreProperties>
</file>