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 date1904="0"/>
  <sheets>
    <sheet name="AVA Coconut Grove, LLC" sheetId="1" r:id="rId1"/>
    <sheet name="AVA Orlando, LLC" sheetId="2" r:id="rId2"/>
    <sheet name="4 - Casa Neos" sheetId="3" r:id="rId3"/>
    <sheet name="11 - CN Lounge Rooftop" sheetId="4" r:id="rId4"/>
    <sheet name="2 - MILA Miami, LLC" sheetId="5" r:id="rId5"/>
    <sheet name="10 - Mila II MM Club" sheetId="6" r:id="rId6"/>
    <sheet name="RIVIERA Brickell, LLC" sheetId="7" r:id="rId7"/>
  </sheets>
  <definedNames>
    <definedName name="_xlnm.Print_Titles" localSheetId="0">'AVA Coconut Grove, LLC'!$1:$5</definedName>
    <definedName name="_xlnm.Print_Titles" localSheetId="1">'AVA Orlando, LLC'!$1:$5</definedName>
    <definedName name="_xlnm.Print_Titles" localSheetId="2">'4 - Casa Neos'!$1:$5</definedName>
    <definedName name="_xlnm.Print_Titles" localSheetId="3">'11 - CN Lounge Rooftop'!$1:$5</definedName>
    <definedName name="_xlnm.Print_Titles" localSheetId="4">'2 - MILA Miami, LLC'!$1:$5</definedName>
    <definedName name="_xlnm.Print_Titles" localSheetId="5">'10 - Mila II MM Club'!$1:$5</definedName>
    <definedName name="_xlnm.Print_Titles" localSheetId="6">'RIVIERA Brickell, LLC'!$1:$5</definedName>
  </definedNames>
  <calcPr fullCalcOnLoad="1"/>
</workbook>
</file>

<file path=xl/sharedStrings.xml><?xml version="1.0" encoding="utf-8"?>
<sst xmlns="http://schemas.openxmlformats.org/spreadsheetml/2006/main">
  <si>
    <t>P&amp;L - Custom by Week</t>
  </si>
  <si>
    <t>08/01/2026 - 08/30/2026</t>
  </si>
  <si>
    <t>AVA Coconut Grove, LLC</t>
  </si>
  <si>
    <t/>
  </si>
  <si>
    <t>Week 31</t>
  </si>
  <si>
    <t>Week 32</t>
  </si>
  <si>
    <t>Week 33</t>
  </si>
  <si>
    <t>Week 34</t>
  </si>
  <si>
    <t>Week 35</t>
  </si>
  <si>
    <t>Sales</t>
  </si>
  <si>
    <t>Food Sales</t>
  </si>
  <si>
    <t>4010 - Food Sales</t>
  </si>
  <si>
    <t>4015 - Commissary sales</t>
  </si>
  <si>
    <t>Total Food Sales</t>
  </si>
  <si>
    <t>4020 - N/A Beverage Sales</t>
  </si>
  <si>
    <t>LBW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</si>
  <si>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</si>
  <si>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</si>
  <si>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</si>
  <si>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</si>
  <si>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</si>
  <si>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</si>
  <si>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</si>
  <si>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</si>
  <si>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</si>
  <si>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</si>
  <si>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</si>
  <si>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</si>
  <si>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</si>
  <si>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</si>
  <si>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</si>
  <si>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</si>
  <si>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</si>
  <si>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</si>
  <si>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</si>
  <si>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</si>
  <si>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</si>
  <si>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</si>
  <si>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</si>
  <si>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</si>
  <si>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</si>
  <si>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</si>
  <si>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</si>
  <si>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</si>
  <si>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</si>
  <si>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</si>
  <si>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</si>
  <si>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</si>
  <si>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</si>
  <si>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</si>
  <si>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</si>
  <si>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</si>
  <si>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</si>
  <si>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</si>
  <si>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</si>
  <si>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Total Sales</t>
  </si>
  <si>
    <t>Prime Cost</t>
  </si>
  <si>
    <t>Food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</si>
  <si>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</si>
  <si>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</si>
  <si>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</si>
  <si>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</si>
  <si>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</si>
  <si>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</si>
  <si>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</si>
  <si>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</si>
  <si>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</si>
  <si>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</si>
  <si>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</si>
  <si>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</si>
  <si>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LBW Cost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</si>
  <si>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</si>
  <si>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</si>
  <si>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</si>
  <si>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</si>
  <si>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</si>
  <si>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</si>
  <si>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</si>
  <si>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</si>
  <si>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</si>
  <si>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</si>
  <si>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</si>
  <si>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</si>
  <si>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</si>
  <si>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Payroll Expenses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</si>
  <si>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</si>
  <si>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</si>
  <si>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</si>
  <si>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</si>
  <si>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</si>
  <si>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</si>
  <si>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</si>
  <si>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</si>
  <si>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</si>
  <si>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</si>
  <si>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</si>
  <si>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</si>
  <si>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</si>
  <si>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</si>
  <si>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</si>
  <si>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</si>
  <si>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</si>
  <si>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</si>
  <si>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</si>
  <si>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</si>
  <si>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</si>
  <si>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</si>
  <si>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</si>
  <si>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</si>
  <si>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</si>
  <si>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</si>
  <si>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</si>
  <si>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</si>
  <si>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</si>
  <si>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</si>
  <si>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</si>
  <si>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</si>
  <si>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</si>
  <si>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</si>
  <si>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</si>
  <si>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</si>
  <si>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</si>
  <si>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</si>
  <si>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Total Payroll Expenses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</si>
  <si>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</si>
  <si>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</si>
  <si>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</si>
  <si>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</si>
  <si>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</si>
  <si>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</si>
  <si>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</si>
  <si>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</si>
  <si>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</si>
  <si>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</si>
  <si>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 xml:space="preserve"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</si>
  <si>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</si>
  <si>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</si>
  <si>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</si>
  <si>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</si>
  <si>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</si>
  <si>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</si>
  <si>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</si>
  <si>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</si>
  <si>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</si>
  <si>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</si>
  <si>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</si>
  <si>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</si>
  <si>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</si>
  <si>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</si>
  <si>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</si>
  <si>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</si>
  <si>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</si>
  <si>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</si>
  <si>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</si>
  <si>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</si>
  <si>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</si>
  <si>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</si>
  <si>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</si>
  <si>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</si>
  <si>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</si>
  <si>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</si>
  <si>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</si>
  <si>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</si>
  <si>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</si>
  <si>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</si>
  <si>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</si>
  <si>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</si>
  <si>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</si>
  <si>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</si>
  <si>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</si>
  <si>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</si>
  <si>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</si>
  <si>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</si>
  <si>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</si>
  <si>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</si>
  <si>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</si>
  <si>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</si>
  <si>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</si>
  <si>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</si>
  <si>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</si>
  <si>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</si>
  <si>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</si>
  <si>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</si>
  <si>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</si>
  <si>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</si>
  <si>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</si>
  <si>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</si>
  <si>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</si>
  <si>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</si>
  <si>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</si>
  <si>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</si>
  <si>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</si>
  <si>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</si>
  <si>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</si>
  <si>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</si>
  <si>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</si>
  <si>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</si>
  <si>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</si>
  <si>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</si>
  <si>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</si>
  <si>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</si>
  <si>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</si>
  <si>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</si>
  <si>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</si>
  <si>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</si>
  <si>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</si>
  <si>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</si>
  <si>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</si>
  <si>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</si>
  <si>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</si>
  <si>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</si>
  <si>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</si>
  <si>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</si>
  <si>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</si>
  <si>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</si>
  <si>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</si>
  <si>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</si>
  <si>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</si>
  <si>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</si>
  <si>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</si>
  <si>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</si>
  <si>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</si>
  <si>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</si>
  <si>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</si>
  <si>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</si>
  <si>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</si>
  <si>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</si>
  <si>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</si>
  <si>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</si>
  <si>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</si>
  <si>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</si>
  <si>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</si>
  <si>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</si>
  <si>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</si>
  <si>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</si>
  <si>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</si>
  <si>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</si>
  <si>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</si>
  <si>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</si>
  <si>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</si>
  <si>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</si>
  <si>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</si>
  <si>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</si>
  <si>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</si>
  <si>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</si>
  <si>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</si>
  <si>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</si>
  <si>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</si>
  <si>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</si>
  <si>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</si>
  <si>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</si>
  <si>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</si>
  <si>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</si>
  <si>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</si>
  <si>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</si>
  <si>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</si>
  <si>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</si>
  <si>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</si>
  <si>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</si>
  <si>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</si>
  <si>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</si>
  <si>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</si>
  <si>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</si>
  <si>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</si>
  <si>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</si>
  <si>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</si>
  <si>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</si>
  <si>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</si>
  <si>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</si>
  <si>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</si>
  <si>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</si>
  <si>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</si>
  <si>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</si>
  <si>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</si>
  <si>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</si>
  <si>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</si>
  <si>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</si>
  <si>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</si>
  <si>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</si>
  <si>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</si>
  <si>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</si>
  <si>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</si>
  <si>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</si>
  <si>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</si>
  <si>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</si>
  <si>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</si>
  <si>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</si>
  <si>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</si>
  <si>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</si>
  <si>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</si>
  <si>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</si>
  <si>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</si>
  <si>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</si>
  <si>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</si>
  <si>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</si>
  <si>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</si>
  <si>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</si>
  <si>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</si>
  <si>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</si>
  <si>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</si>
  <si>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</si>
  <si>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</si>
  <si>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</si>
  <si>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</si>
  <si>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</si>
  <si>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</si>
  <si>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</si>
  <si>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</si>
  <si>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</si>
  <si>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</si>
  <si>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</si>
  <si>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</si>
  <si>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</si>
  <si>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</si>
  <si>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</si>
  <si>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</si>
  <si>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</si>
  <si>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</si>
  <si>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</si>
  <si>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</si>
  <si>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</si>
  <si>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</si>
  <si>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</si>
  <si>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</si>
  <si>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</si>
  <si>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</si>
  <si>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</si>
  <si>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</si>
  <si>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</si>
  <si>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</si>
  <si>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</si>
  <si>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</si>
  <si>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09/01/2026 02:36 PM PDT</t>
  </si>
  <si>
    <t>AVA Orlando, LLC</t>
  </si>
  <si>
    <t>4 - Casa Neos</t>
  </si>
  <si>
    <t>11 - CN Lounge Rooftop</t>
  </si>
  <si>
    <t>2 - MILA Miami, LLC</t>
  </si>
  <si>
    <t>10 - Mila II MM Club</t>
  </si>
  <si>
    <t>RIVIERA Brickell, LLC</t>
  </si>
</sst>
</file>

<file path=xl/styles.xml><?xml version="1.0" encoding="utf-8"?>
<styleSheet xmlns="http://schemas.openxmlformats.org/spreadsheetml/2006/main">
  <numFmts count="2">
    <numFmt numFmtId="164" formatCode="#,##0.0%"/>
    <numFmt numFmtId="165" formatCode="#,##0.0"/>
  </numFmts>
  <fonts count="9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2"/>
      <color rgb="FF696969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i/>
      <sz val="8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9D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  <xf numFmtId="0" fontId="6" fillId="0" borderId="0" xfId="0" applyNumberFormat="1" applyFont="1" applyAlignment="1">
      <alignment horizontal="left" vertical="center" wrapText="1"/>
    </xf>
    <xf numFmtId="4" fontId="6" fillId="0" borderId="0" xfId="0" applyNumberFormat="1" applyFont="1" applyAlignment="1">
      <alignment vertical="center"/>
    </xf>
    <xf numFmtId="164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2"/>
    </xf>
    <xf numFmtId="4" fontId="4" fillId="0" borderId="0" xfId="0" applyNumberFormat="1" applyFont="1" applyAlignment="1">
      <alignment vertical="center"/>
    </xf>
    <xf numFmtId="164" fontId="8" fillId="0" borderId="0" xfId="0" applyNumberFormat="1" applyFont="1" applyAlignment="1">
      <alignment horizontal="right" vertical="center"/>
    </xf>
    <xf numFmtId="0" fontId="4" fillId="0" borderId="0" xfId="0" applyNumberFormat="1" applyFont="1" applyAlignment="1">
      <alignment vertical="center"/>
    </xf>
    <xf numFmtId="4" fontId="6" fillId="0" borderId="0" xfId="0" applyNumberFormat="1" applyFont="1" applyAlignment="1">
      <alignment horizontal="left" vertical="center" wrapText="1" indent="1"/>
    </xf>
    <xf numFmtId="4" fontId="6" fillId="0" borderId="0" xfId="0" applyNumberFormat="1" applyFont="1" applyAlignment="1">
      <alignment horizontal="right" vertical="center"/>
    </xf>
    <xf numFmtId="164" fontId="7" fillId="0" borderId="0" xfId="0" applyNumberFormat="1" applyFont="1" applyAlignment="1">
      <alignment horizontal="right" vertical="center"/>
    </xf>
    <xf numFmtId="0" fontId="4" fillId="0" borderId="0" xfId="0" applyNumberFormat="1" applyFont="1" applyAlignment="1">
      <alignment horizontal="left" vertical="center" wrapText="1" indent="1"/>
    </xf>
    <xf numFmtId="4" fontId="6" fillId="0" borderId="0" xfId="0" applyNumberFormat="1" applyFont="1" applyAlignment="1">
      <alignment horizontal="left" vertical="center" wrapText="1"/>
    </xf>
    <xf numFmtId="0" fontId="6" fillId="0" borderId="0" xfId="0" applyNumberFormat="1" applyFont="1" applyAlignment="1">
      <alignment horizontal="left" vertical="center" wrapText="1" indent="2"/>
    </xf>
    <xf numFmtId="0" fontId="4" fillId="0" borderId="0" xfId="0" applyNumberFormat="1" applyFont="1" applyAlignment="1">
      <alignment horizontal="left" vertical="center" wrapText="1" indent="3"/>
    </xf>
    <xf numFmtId="4" fontId="6" fillId="0" borderId="0" xfId="0" applyNumberFormat="1" applyFont="1" applyAlignment="1">
      <alignment horizontal="left" vertical="center" wrapText="1" indent="2"/>
    </xf>
    <xf numFmtId="0" fontId="4" fillId="0" borderId="0" xfId="0" applyNumberFormat="1" applyFont="1" applyAlignment="1">
      <alignment horizontal="left" vertical="center" wrapText="1"/>
    </xf>
    <xf numFmtId="165" fontId="8" fillId="0" borderId="0" xfId="0" applyNumberFormat="1" applyFont="1" applyAlignment="1">
      <alignment vertical="center"/>
    </xf>
    <xf numFmtId="0" fontId="4" fillId="0" borderId="0" xfId="0" applyNumberFormat="1" applyFont="1"/>
  </cellXfs>
  <cellStyles count="1">
    <cellStyle name="Normal" xfId="0" builtinId="0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theme" Target="theme/theme1.xml" /><Relationship Id="rId9" Type="http://schemas.openxmlformats.org/officeDocument/2006/relationships/styles" Target="styles.xml" /><Relationship Id="rId1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</row>
    <row r="3">
      <c t="s" r="A3" s="3">
        <v>2</v>
      </c>
      <c t="s" r="B3" s="3">
        <v>2</v>
      </c>
      <c t="s" r="C3" s="3">
        <v>2</v>
      </c>
      <c t="s" r="D3" s="3">
        <v>2</v>
      </c>
      <c t="s" r="E3" s="3">
        <v>2</v>
      </c>
      <c t="s" r="F3" s="3">
        <v>2</v>
      </c>
      <c t="s" r="G3" s="3">
        <v>2</v>
      </c>
      <c t="s" r="H3" s="3">
        <v>2</v>
      </c>
      <c t="s" r="I3" s="3">
        <v>2</v>
      </c>
      <c t="s" r="J3" s="3">
        <v>2</v>
      </c>
      <c t="s" r="K3" s="3">
        <v>2</v>
      </c>
      <c t="s" r="L3" s="3">
        <v>2</v>
      </c>
      <c t="s" r="M3" s="3">
        <v>2</v>
      </c>
      <c t="s" r="N3" s="3">
        <v>2</v>
      </c>
      <c t="s" r="O3" s="3">
        <v>2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8</v>
      </c>
      <c t="s" r="O5" s="6">
        <v>3</v>
      </c>
    </row>
    <row r="6" ht="16.5" customHeight="1">
      <c t="s" r="A6" s="7">
        <v>9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</row>
    <row r="7" ht="16.5" customHeight="1">
      <c t="s" r="A7" s="11">
        <v>10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</row>
    <row r="8" ht="16.5" customHeight="1">
      <c t="s" r="A8" s="12">
        <v>11</v>
      </c>
      <c r="B8" s="13">
        <v>47991.989999999998</v>
      </c>
      <c r="C8" s="14">
        <f>IFERROR(B8/B327, "NA")</f>
      </c>
      <c r="D8" s="15"/>
      <c r="E8" s="13">
        <v>137019.57999999999</v>
      </c>
      <c r="F8" s="14">
        <f>IFERROR(E8/E327, "NA")</f>
      </c>
      <c r="G8" s="15"/>
      <c r="H8" s="13">
        <v>138412.04999999999</v>
      </c>
      <c r="I8" s="14">
        <f>IFERROR(H8/H327, "NA")</f>
      </c>
      <c r="J8" s="15"/>
      <c r="K8" s="13">
        <v>146143.76999999999</v>
      </c>
      <c r="L8" s="14">
        <f>IFERROR(K8/K327, "NA")</f>
      </c>
      <c r="M8" s="15"/>
      <c r="N8" s="13">
        <v>132387.23999999999</v>
      </c>
      <c r="O8" s="14">
        <f>IFERROR(N8/N327, "NA")</f>
      </c>
    </row>
    <row r="9" ht="16.5" customHeight="1">
      <c t="s" r="A9" s="12">
        <v>12</v>
      </c>
      <c r="B9" s="13">
        <v>0</v>
      </c>
      <c r="C9" s="14">
        <f>IFERROR(B9/B327, "NA")</f>
      </c>
      <c r="D9" s="15"/>
      <c r="E9" s="13">
        <v>0</v>
      </c>
      <c r="F9" s="14">
        <f>IFERROR(E9/E327, "NA")</f>
      </c>
      <c r="G9" s="15"/>
      <c r="H9" s="13">
        <v>0</v>
      </c>
      <c r="I9" s="14">
        <f>IFERROR(H9/H327, "NA")</f>
      </c>
      <c r="J9" s="15"/>
      <c r="K9" s="13">
        <v>0</v>
      </c>
      <c r="L9" s="14">
        <f>IFERROR(K9/K327, "NA")</f>
      </c>
      <c r="M9" s="15"/>
      <c r="N9" s="13">
        <v>0</v>
      </c>
      <c r="O9" s="14">
        <f>IFERROR(N9/N327, "NA")</f>
      </c>
    </row>
    <row r="10" ht="16.5" customHeight="1">
      <c t="s" r="A10" s="16">
        <v>13</v>
      </c>
      <c r="B10" s="17">
        <f>IFERROR(B8+B9, "NA")</f>
      </c>
      <c r="C10" s="18">
        <f>IFERROR(B10/B327, "NA")</f>
      </c>
      <c r="D10" s="8"/>
      <c r="E10" s="17">
        <f>IFERROR(E8+E9, "NA")</f>
      </c>
      <c r="F10" s="18">
        <f>IFERROR(E10/E327, "NA")</f>
      </c>
      <c r="G10" s="8"/>
      <c r="H10" s="17">
        <f>IFERROR(H8+H9, "NA")</f>
      </c>
      <c r="I10" s="18">
        <f>IFERROR(H10/H327, "NA")</f>
      </c>
      <c r="J10" s="8"/>
      <c r="K10" s="17">
        <f>IFERROR(K8+K9, "NA")</f>
      </c>
      <c r="L10" s="18">
        <f>IFERROR(K10/K327, "NA")</f>
      </c>
      <c r="M10" s="8"/>
      <c r="N10" s="17">
        <f>IFERROR(N8+N9, "NA")</f>
      </c>
      <c r="O10" s="18">
        <f>IFERROR(N10/N327, "NA")</f>
      </c>
    </row>
    <row r="11" ht="16.5" customHeight="1">
      <c t="s" r="A11" s="19">
        <v>14</v>
      </c>
      <c r="B11" s="13">
        <v>3652</v>
      </c>
      <c r="C11" s="14">
        <f>IFERROR(B11/B327, "NA")</f>
      </c>
      <c r="D11" s="15"/>
      <c r="E11" s="13">
        <v>9456</v>
      </c>
      <c r="F11" s="14">
        <f>IFERROR(E11/E327, "NA")</f>
      </c>
      <c r="G11" s="15"/>
      <c r="H11" s="13">
        <v>9821</v>
      </c>
      <c r="I11" s="14">
        <f>IFERROR(H11/H327, "NA")</f>
      </c>
      <c r="J11" s="15"/>
      <c r="K11" s="13">
        <v>10049.5</v>
      </c>
      <c r="L11" s="14">
        <f>IFERROR(K11/K327, "NA")</f>
      </c>
      <c r="M11" s="15"/>
      <c r="N11" s="13">
        <v>8501</v>
      </c>
      <c r="O11" s="14">
        <f>IFERROR(N11/N327, "NA")</f>
      </c>
    </row>
    <row r="12" ht="16.5" customHeight="1">
      <c t="s" r="A12" s="11">
        <v>15</v>
      </c>
      <c r="B12" s="8"/>
      <c r="C12" s="9"/>
      <c r="D12" s="10"/>
      <c r="E12" s="8"/>
      <c r="F12" s="9"/>
      <c r="G12" s="10"/>
      <c r="H12" s="8"/>
      <c r="I12" s="9"/>
      <c r="J12" s="10"/>
      <c r="K12" s="8"/>
      <c r="L12" s="9"/>
      <c r="M12" s="10"/>
      <c r="N12" s="8"/>
      <c r="O12" s="9"/>
    </row>
    <row r="13" ht="16.5" customHeight="1">
      <c t="s" r="A13" s="12">
        <v>16</v>
      </c>
      <c r="B13" s="13">
        <v>0</v>
      </c>
      <c r="C13" s="14">
        <f>IFERROR(B13/B327, "NA")</f>
      </c>
      <c r="D13" s="15"/>
      <c r="E13" s="13">
        <v>0</v>
      </c>
      <c r="F13" s="14">
        <f>IFERROR(E13/E327, "NA")</f>
      </c>
      <c r="G13" s="15"/>
      <c r="H13" s="13">
        <v>0</v>
      </c>
      <c r="I13" s="14">
        <f>IFERROR(H13/H327, "NA")</f>
      </c>
      <c r="J13" s="15"/>
      <c r="K13" s="13">
        <v>0</v>
      </c>
      <c r="L13" s="14">
        <f>IFERROR(K13/K327, "NA")</f>
      </c>
      <c r="M13" s="15"/>
      <c r="N13" s="13">
        <v>0</v>
      </c>
      <c r="O13" s="14">
        <f>IFERROR(N13/N327, "NA")</f>
      </c>
    </row>
    <row r="14" ht="16.5" customHeight="1">
      <c t="s" r="A14" s="12">
        <v>17</v>
      </c>
      <c r="B14" s="13">
        <v>11771</v>
      </c>
      <c r="C14" s="14">
        <f>IFERROR(B14/B327, "NA")</f>
      </c>
      <c r="D14" s="15"/>
      <c r="E14" s="13">
        <v>29817</v>
      </c>
      <c r="F14" s="14">
        <f>IFERROR(E14/E327, "NA")</f>
      </c>
      <c r="G14" s="15"/>
      <c r="H14" s="13">
        <v>27823</v>
      </c>
      <c r="I14" s="14">
        <f>IFERROR(H14/H327, "NA")</f>
      </c>
      <c r="J14" s="15"/>
      <c r="K14" s="13">
        <v>31142</v>
      </c>
      <c r="L14" s="14">
        <f>IFERROR(K14/K327, "NA")</f>
      </c>
      <c r="M14" s="15"/>
      <c r="N14" s="13">
        <v>30622</v>
      </c>
      <c r="O14" s="14">
        <f>IFERROR(N14/N327, "NA")</f>
      </c>
    </row>
    <row r="15" ht="16.5" customHeight="1">
      <c t="s" r="A15" s="12">
        <v>18</v>
      </c>
      <c r="B15" s="13">
        <v>342</v>
      </c>
      <c r="C15" s="14">
        <f>IFERROR(B15/B327, "NA")</f>
      </c>
      <c r="D15" s="15"/>
      <c r="E15" s="13">
        <v>1292</v>
      </c>
      <c r="F15" s="14">
        <f>IFERROR(E15/E327, "NA")</f>
      </c>
      <c r="G15" s="15"/>
      <c r="H15" s="13">
        <v>693.5</v>
      </c>
      <c r="I15" s="14">
        <f>IFERROR(H15/H327, "NA")</f>
      </c>
      <c r="J15" s="15"/>
      <c r="K15" s="13">
        <v>988</v>
      </c>
      <c r="L15" s="14">
        <f>IFERROR(K15/K327, "NA")</f>
      </c>
      <c r="M15" s="15"/>
      <c r="N15" s="13">
        <v>853.5</v>
      </c>
      <c r="O15" s="14">
        <f>IFERROR(N15/N327, "NA")</f>
      </c>
    </row>
    <row r="16" ht="16.5" customHeight="1">
      <c t="s" r="A16" s="12">
        <v>19</v>
      </c>
      <c r="B16" s="13">
        <v>5405</v>
      </c>
      <c r="C16" s="14">
        <f>IFERROR(B16/B327, "NA")</f>
      </c>
      <c r="D16" s="15"/>
      <c r="E16" s="13">
        <v>17475</v>
      </c>
      <c r="F16" s="14">
        <f>IFERROR(E16/E327, "NA")</f>
      </c>
      <c r="G16" s="15"/>
      <c r="H16" s="13">
        <v>19740</v>
      </c>
      <c r="I16" s="14">
        <f>IFERROR(H16/H327, "NA")</f>
      </c>
      <c r="J16" s="15"/>
      <c r="K16" s="13">
        <v>26570</v>
      </c>
      <c r="L16" s="14">
        <f>IFERROR(K16/K327, "NA")</f>
      </c>
      <c r="M16" s="15"/>
      <c r="N16" s="13">
        <v>17260</v>
      </c>
      <c r="O16" s="14">
        <f>IFERROR(N16/N327, "NA")</f>
      </c>
    </row>
    <row r="17" ht="16.5" customHeight="1">
      <c t="s" r="A17" s="12">
        <v>20</v>
      </c>
      <c r="B17" s="13">
        <v>3585</v>
      </c>
      <c r="C17" s="14">
        <f>IFERROR(B17/B327, "NA")</f>
      </c>
      <c r="D17" s="15"/>
      <c r="E17" s="13">
        <v>10123</v>
      </c>
      <c r="F17" s="14">
        <f>IFERROR(E17/E327, "NA")</f>
      </c>
      <c r="G17" s="15"/>
      <c r="H17" s="13">
        <v>11874</v>
      </c>
      <c r="I17" s="14">
        <f>IFERROR(H17/H327, "NA")</f>
      </c>
      <c r="J17" s="15"/>
      <c r="K17" s="13">
        <v>11361</v>
      </c>
      <c r="L17" s="14">
        <f>IFERROR(K17/K327, "NA")</f>
      </c>
      <c r="M17" s="15"/>
      <c r="N17" s="13">
        <v>9976</v>
      </c>
      <c r="O17" s="14">
        <f>IFERROR(N17/N327, "NA")</f>
      </c>
    </row>
    <row r="18" ht="16.5" customHeight="1">
      <c t="s" r="A18" s="12">
        <v>21</v>
      </c>
      <c r="B18" s="13">
        <v>0</v>
      </c>
      <c r="C18" s="14">
        <f>IFERROR(B18/B327, "NA")</f>
      </c>
      <c r="D18" s="15"/>
      <c r="E18" s="13">
        <v>0</v>
      </c>
      <c r="F18" s="14">
        <f>IFERROR(E18/E327, "NA")</f>
      </c>
      <c r="G18" s="15"/>
      <c r="H18" s="13">
        <v>0</v>
      </c>
      <c r="I18" s="14">
        <f>IFERROR(H18/H327, "NA")</f>
      </c>
      <c r="J18" s="15"/>
      <c r="K18" s="13">
        <v>0</v>
      </c>
      <c r="L18" s="14">
        <f>IFERROR(K18/K327, "NA")</f>
      </c>
      <c r="M18" s="15"/>
      <c r="N18" s="13">
        <v>0</v>
      </c>
      <c r="O18" s="14">
        <f>IFERROR(N18/N327, "NA")</f>
      </c>
    </row>
    <row r="19" ht="16.5" customHeight="1">
      <c t="s" r="A19" s="16">
        <v>22</v>
      </c>
      <c r="B19" s="17">
        <f>IFERROR(B13+B14+B15+B16+B17+B18, "NA")</f>
      </c>
      <c r="C19" s="18">
        <f>IFERROR(B19/B327, "NA")</f>
      </c>
      <c r="D19" s="8"/>
      <c r="E19" s="17">
        <f>IFERROR(E13+E14+E15+E16+E17+E18, "NA")</f>
      </c>
      <c r="F19" s="18">
        <f>IFERROR(E19/E327, "NA")</f>
      </c>
      <c r="G19" s="8"/>
      <c r="H19" s="17">
        <f>IFERROR(H13+H14+H15+H16+H17+H18, "NA")</f>
      </c>
      <c r="I19" s="18">
        <f>IFERROR(H19/H327, "NA")</f>
      </c>
      <c r="J19" s="8"/>
      <c r="K19" s="17">
        <f>IFERROR(K13+K14+K15+K16+K17+K18, "NA")</f>
      </c>
      <c r="L19" s="18">
        <f>IFERROR(K19/K327, "NA")</f>
      </c>
      <c r="M19" s="8"/>
      <c r="N19" s="17">
        <f>IFERROR(N13+N14+N15+N16+N17+N18, "NA")</f>
      </c>
      <c r="O19" s="18">
        <f>IFERROR(N19/N327, "NA")</f>
      </c>
    </row>
    <row r="20" ht="16.5" customHeight="1">
      <c t="s" r="A20" s="11">
        <v>23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</row>
    <row r="21" ht="16.5" customHeight="1">
      <c t="s" r="A21" s="12">
        <v>24</v>
      </c>
      <c r="B21" s="13">
        <v>0</v>
      </c>
      <c r="C21" s="14">
        <f>IFERROR(B21/B327, "NA")</f>
      </c>
      <c r="D21" s="15"/>
      <c r="E21" s="13">
        <v>0</v>
      </c>
      <c r="F21" s="14">
        <f>IFERROR(E21/E327, "NA")</f>
      </c>
      <c r="G21" s="15"/>
      <c r="H21" s="13">
        <v>0</v>
      </c>
      <c r="I21" s="14">
        <f>IFERROR(H21/H327, "NA")</f>
      </c>
      <c r="J21" s="15"/>
      <c r="K21" s="13">
        <v>0</v>
      </c>
      <c r="L21" s="14">
        <f>IFERROR(K21/K327, "NA")</f>
      </c>
      <c r="M21" s="15"/>
      <c r="N21" s="13">
        <v>0</v>
      </c>
      <c r="O21" s="14">
        <f>IFERROR(N21/N327, "NA")</f>
      </c>
    </row>
    <row r="22" ht="16.5" customHeight="1">
      <c t="s" r="A22" s="12">
        <v>25</v>
      </c>
      <c r="B22" s="13">
        <v>0</v>
      </c>
      <c r="C22" s="14">
        <f>IFERROR(B22/B327, "NA")</f>
      </c>
      <c r="D22" s="15"/>
      <c r="E22" s="13">
        <v>361</v>
      </c>
      <c r="F22" s="14">
        <f>IFERROR(E22/E327, "NA")</f>
      </c>
      <c r="G22" s="15"/>
      <c r="H22" s="13">
        <v>59</v>
      </c>
      <c r="I22" s="14">
        <f>IFERROR(H22/H327, "NA")</f>
      </c>
      <c r="J22" s="15"/>
      <c r="K22" s="13">
        <v>59</v>
      </c>
      <c r="L22" s="14">
        <f>IFERROR(K22/K327, "NA")</f>
      </c>
      <c r="M22" s="15"/>
      <c r="N22" s="13">
        <v>277</v>
      </c>
      <c r="O22" s="14">
        <f>IFERROR(N22/N327, "NA")</f>
      </c>
    </row>
    <row r="23" ht="16.5" customHeight="1">
      <c t="s" r="A23" s="12">
        <v>26</v>
      </c>
      <c r="B23" s="13">
        <v>0</v>
      </c>
      <c r="C23" s="14">
        <f>IFERROR(B23/B327, "NA")</f>
      </c>
      <c r="D23" s="15"/>
      <c r="E23" s="13">
        <v>0</v>
      </c>
      <c r="F23" s="14">
        <f>IFERROR(E23/E327, "NA")</f>
      </c>
      <c r="G23" s="15"/>
      <c r="H23" s="13">
        <v>0</v>
      </c>
      <c r="I23" s="14">
        <f>IFERROR(H23/H327, "NA")</f>
      </c>
      <c r="J23" s="15"/>
      <c r="K23" s="13">
        <v>0</v>
      </c>
      <c r="L23" s="14">
        <f>IFERROR(K23/K327, "NA")</f>
      </c>
      <c r="M23" s="15"/>
      <c r="N23" s="13">
        <v>0</v>
      </c>
      <c r="O23" s="14">
        <f>IFERROR(N23/N327, "NA")</f>
      </c>
    </row>
    <row r="24" ht="16.5" customHeight="1">
      <c t="s" r="A24" s="12">
        <v>27</v>
      </c>
      <c r="B24" s="13">
        <v>0</v>
      </c>
      <c r="C24" s="14">
        <f>IFERROR(B24/B327, "NA")</f>
      </c>
      <c r="D24" s="15"/>
      <c r="E24" s="13">
        <v>0</v>
      </c>
      <c r="F24" s="14">
        <f>IFERROR(E24/E327, "NA")</f>
      </c>
      <c r="G24" s="15"/>
      <c r="H24" s="13">
        <v>0</v>
      </c>
      <c r="I24" s="14">
        <f>IFERROR(H24/H327, "NA")</f>
      </c>
      <c r="J24" s="15"/>
      <c r="K24" s="13">
        <v>0</v>
      </c>
      <c r="L24" s="14">
        <f>IFERROR(K24/K327, "NA")</f>
      </c>
      <c r="M24" s="15"/>
      <c r="N24" s="13">
        <v>0</v>
      </c>
      <c r="O24" s="14">
        <f>IFERROR(N24/N327, "NA")</f>
      </c>
    </row>
    <row r="25" ht="16.5" customHeight="1">
      <c t="s" r="A25" s="12">
        <v>28</v>
      </c>
      <c r="B25" s="13">
        <v>0</v>
      </c>
      <c r="C25" s="14">
        <f>IFERROR(B25/B327, "NA")</f>
      </c>
      <c r="D25" s="15"/>
      <c r="E25" s="13">
        <v>0</v>
      </c>
      <c r="F25" s="14">
        <f>IFERROR(E25/E327, "NA")</f>
      </c>
      <c r="G25" s="15"/>
      <c r="H25" s="13">
        <v>0</v>
      </c>
      <c r="I25" s="14">
        <f>IFERROR(H25/H327, "NA")</f>
      </c>
      <c r="J25" s="15"/>
      <c r="K25" s="13">
        <v>0</v>
      </c>
      <c r="L25" s="14">
        <f>IFERROR(K25/K327, "NA")</f>
      </c>
      <c r="M25" s="15"/>
      <c r="N25" s="13">
        <v>0</v>
      </c>
      <c r="O25" s="14">
        <f>IFERROR(N25/N327, "NA")</f>
      </c>
    </row>
    <row r="26" ht="16.5" customHeight="1">
      <c t="s" r="A26" s="12">
        <v>29</v>
      </c>
      <c r="B26" s="13">
        <v>0</v>
      </c>
      <c r="C26" s="14">
        <f>IFERROR(B26/B327, "NA")</f>
      </c>
      <c r="D26" s="15"/>
      <c r="E26" s="13">
        <v>0</v>
      </c>
      <c r="F26" s="14">
        <f>IFERROR(E26/E327, "NA")</f>
      </c>
      <c r="G26" s="15"/>
      <c r="H26" s="13">
        <v>0</v>
      </c>
      <c r="I26" s="14">
        <f>IFERROR(H26/H327, "NA")</f>
      </c>
      <c r="J26" s="15"/>
      <c r="K26" s="13">
        <v>0</v>
      </c>
      <c r="L26" s="14">
        <f>IFERROR(K26/K327, "NA")</f>
      </c>
      <c r="M26" s="15"/>
      <c r="N26" s="13">
        <v>0</v>
      </c>
      <c r="O26" s="14">
        <f>IFERROR(N26/N327, "NA")</f>
      </c>
    </row>
    <row r="27" ht="16.5" customHeight="1">
      <c t="s" r="A27" s="12">
        <v>30</v>
      </c>
      <c r="B27" s="13">
        <v>0</v>
      </c>
      <c r="C27" s="14">
        <f>IFERROR(B27/B327, "NA")</f>
      </c>
      <c r="D27" s="15"/>
      <c r="E27" s="13">
        <v>0</v>
      </c>
      <c r="F27" s="14">
        <f>IFERROR(E27/E327, "NA")</f>
      </c>
      <c r="G27" s="15"/>
      <c r="H27" s="13">
        <v>0</v>
      </c>
      <c r="I27" s="14">
        <f>IFERROR(H27/H327, "NA")</f>
      </c>
      <c r="J27" s="15"/>
      <c r="K27" s="13">
        <v>0</v>
      </c>
      <c r="L27" s="14">
        <f>IFERROR(K27/K327, "NA")</f>
      </c>
      <c r="M27" s="15"/>
      <c r="N27" s="13">
        <v>0</v>
      </c>
      <c r="O27" s="14">
        <f>IFERROR(N27/N327, "NA")</f>
      </c>
    </row>
    <row r="28" ht="16.5" customHeight="1">
      <c t="s" r="A28" s="12">
        <v>31</v>
      </c>
      <c r="B28" s="13">
        <v>0</v>
      </c>
      <c r="C28" s="14">
        <f>IFERROR(B28/B327, "NA")</f>
      </c>
      <c r="D28" s="15"/>
      <c r="E28" s="13">
        <v>0</v>
      </c>
      <c r="F28" s="14">
        <f>IFERROR(E28/E327, "NA")</f>
      </c>
      <c r="G28" s="15"/>
      <c r="H28" s="13">
        <v>0</v>
      </c>
      <c r="I28" s="14">
        <f>IFERROR(H28/H327, "NA")</f>
      </c>
      <c r="J28" s="15"/>
      <c r="K28" s="13">
        <v>0</v>
      </c>
      <c r="L28" s="14">
        <f>IFERROR(K28/K327, "NA")</f>
      </c>
      <c r="M28" s="15"/>
      <c r="N28" s="13">
        <v>0</v>
      </c>
      <c r="O28" s="14">
        <f>IFERROR(N28/N327, "NA")</f>
      </c>
    </row>
    <row r="29" ht="16.5" customHeight="1">
      <c t="s" r="A29" s="12">
        <v>32</v>
      </c>
      <c r="B29" s="13">
        <v>0</v>
      </c>
      <c r="C29" s="14">
        <f>IFERROR(B29/B327, "NA")</f>
      </c>
      <c r="D29" s="15"/>
      <c r="E29" s="13">
        <v>0</v>
      </c>
      <c r="F29" s="14">
        <f>IFERROR(E29/E327, "NA")</f>
      </c>
      <c r="G29" s="15"/>
      <c r="H29" s="13">
        <v>0</v>
      </c>
      <c r="I29" s="14">
        <f>IFERROR(H29/H327, "NA")</f>
      </c>
      <c r="J29" s="15"/>
      <c r="K29" s="13">
        <v>0</v>
      </c>
      <c r="L29" s="14">
        <f>IFERROR(K29/K327, "NA")</f>
      </c>
      <c r="M29" s="15"/>
      <c r="N29" s="13">
        <v>0</v>
      </c>
      <c r="O29" s="14">
        <f>IFERROR(N29/N327, "NA")</f>
      </c>
    </row>
    <row r="30" ht="16.5" customHeight="1">
      <c t="s" r="A30" s="16">
        <v>33</v>
      </c>
      <c r="B30" s="17">
        <f>IFERROR(B21+B22+B23+B24+B25+B26+B27+B28+B29, "NA")</f>
      </c>
      <c r="C30" s="18">
        <f>IFERROR(B30/B327, "NA")</f>
      </c>
      <c r="D30" s="8"/>
      <c r="E30" s="17">
        <f>IFERROR(E21+E22+E23+E24+E25+E26+E27+E28+E29, "NA")</f>
      </c>
      <c r="F30" s="18">
        <f>IFERROR(E30/E327, "NA")</f>
      </c>
      <c r="G30" s="8"/>
      <c r="H30" s="17">
        <f>IFERROR(H21+H22+H23+H24+H25+H26+H27+H28+H29, "NA")</f>
      </c>
      <c r="I30" s="18">
        <f>IFERROR(H30/H327, "NA")</f>
      </c>
      <c r="J30" s="8"/>
      <c r="K30" s="17">
        <f>IFERROR(K21+K22+K23+K24+K25+K26+K27+K28+K29, "NA")</f>
      </c>
      <c r="L30" s="18">
        <f>IFERROR(K30/K327, "NA")</f>
      </c>
      <c r="M30" s="8"/>
      <c r="N30" s="17">
        <f>IFERROR(N21+N22+N23+N24+N25+N26+N27+N28+N29, "NA")</f>
      </c>
      <c r="O30" s="18">
        <f>IFERROR(N30/N327, "NA")</f>
      </c>
    </row>
    <row r="31" ht="16.5" customHeight="1">
      <c t="s" r="A31" s="11">
        <v>34</v>
      </c>
      <c r="B31" s="8"/>
      <c r="C31" s="9"/>
      <c r="D31" s="10"/>
      <c r="E31" s="8"/>
      <c r="F31" s="9"/>
      <c r="G31" s="10"/>
      <c r="H31" s="8"/>
      <c r="I31" s="9"/>
      <c r="J31" s="10"/>
      <c r="K31" s="8"/>
      <c r="L31" s="9"/>
      <c r="M31" s="10"/>
      <c r="N31" s="8"/>
      <c r="O31" s="9"/>
    </row>
    <row r="32" ht="16.5" customHeight="1">
      <c t="s" r="A32" s="12">
        <v>35</v>
      </c>
      <c r="B32" s="13">
        <v>0</v>
      </c>
      <c r="C32" s="14">
        <f>IFERROR(B32/B327, "NA")</f>
      </c>
      <c r="D32" s="15"/>
      <c r="E32" s="13">
        <v>0</v>
      </c>
      <c r="F32" s="14">
        <f>IFERROR(E32/E327, "NA")</f>
      </c>
      <c r="G32" s="15"/>
      <c r="H32" s="13">
        <v>0</v>
      </c>
      <c r="I32" s="14">
        <f>IFERROR(H32/H327, "NA")</f>
      </c>
      <c r="J32" s="15"/>
      <c r="K32" s="13">
        <v>0</v>
      </c>
      <c r="L32" s="14">
        <f>IFERROR(K32/K327, "NA")</f>
      </c>
      <c r="M32" s="15"/>
      <c r="N32" s="13">
        <v>0</v>
      </c>
      <c r="O32" s="14">
        <f>IFERROR(N32/N327, "NA")</f>
      </c>
    </row>
    <row r="33" ht="16.5" customHeight="1">
      <c t="s" r="A33" s="12">
        <v>36</v>
      </c>
      <c r="B33" s="13">
        <v>0</v>
      </c>
      <c r="C33" s="14">
        <f>IFERROR(B33/B327, "NA")</f>
      </c>
      <c r="D33" s="15"/>
      <c r="E33" s="13">
        <v>0</v>
      </c>
      <c r="F33" s="14">
        <f>IFERROR(E33/E327, "NA")</f>
      </c>
      <c r="G33" s="15"/>
      <c r="H33" s="13">
        <v>0</v>
      </c>
      <c r="I33" s="14">
        <f>IFERROR(H33/H327, "NA")</f>
      </c>
      <c r="J33" s="15"/>
      <c r="K33" s="13">
        <v>0</v>
      </c>
      <c r="L33" s="14">
        <f>IFERROR(K33/K327, "NA")</f>
      </c>
      <c r="M33" s="15"/>
      <c r="N33" s="13">
        <v>0</v>
      </c>
      <c r="O33" s="14">
        <f>IFERROR(N33/N327, "NA")</f>
      </c>
    </row>
    <row r="34" ht="16.5" customHeight="1">
      <c t="s" r="A34" s="12">
        <v>37</v>
      </c>
      <c r="B34" s="13">
        <v>0</v>
      </c>
      <c r="C34" s="14">
        <f>IFERROR(B34/B327, "NA")</f>
      </c>
      <c r="D34" s="15"/>
      <c r="E34" s="13">
        <v>0</v>
      </c>
      <c r="F34" s="14">
        <f>IFERROR(E34/E327, "NA")</f>
      </c>
      <c r="G34" s="15"/>
      <c r="H34" s="13">
        <v>0</v>
      </c>
      <c r="I34" s="14">
        <f>IFERROR(H34/H327, "NA")</f>
      </c>
      <c r="J34" s="15"/>
      <c r="K34" s="13">
        <v>0</v>
      </c>
      <c r="L34" s="14">
        <f>IFERROR(K34/K327, "NA")</f>
      </c>
      <c r="M34" s="15"/>
      <c r="N34" s="13">
        <v>0</v>
      </c>
      <c r="O34" s="14">
        <f>IFERROR(N34/N327, "NA")</f>
      </c>
    </row>
    <row r="35" ht="16.5" customHeight="1">
      <c t="s" r="A35" s="12">
        <v>38</v>
      </c>
      <c r="B35" s="13">
        <v>0</v>
      </c>
      <c r="C35" s="14">
        <f>IFERROR(B35/B327, "NA")</f>
      </c>
      <c r="D35" s="15"/>
      <c r="E35" s="13">
        <v>0</v>
      </c>
      <c r="F35" s="14">
        <f>IFERROR(E35/E327, "NA")</f>
      </c>
      <c r="G35" s="15"/>
      <c r="H35" s="13">
        <v>0</v>
      </c>
      <c r="I35" s="14">
        <f>IFERROR(H35/H327, "NA")</f>
      </c>
      <c r="J35" s="15"/>
      <c r="K35" s="13">
        <v>0</v>
      </c>
      <c r="L35" s="14">
        <f>IFERROR(K35/K327, "NA")</f>
      </c>
      <c r="M35" s="15"/>
      <c r="N35" s="13">
        <v>0</v>
      </c>
      <c r="O35" s="14">
        <f>IFERROR(N35/N327, "NA")</f>
      </c>
    </row>
    <row r="36" ht="16.5" customHeight="1">
      <c t="s" r="A36" s="12">
        <v>39</v>
      </c>
      <c r="B36" s="13">
        <v>0</v>
      </c>
      <c r="C36" s="14">
        <f>IFERROR(B36/B327, "NA")</f>
      </c>
      <c r="D36" s="15"/>
      <c r="E36" s="13">
        <v>0</v>
      </c>
      <c r="F36" s="14">
        <f>IFERROR(E36/E327, "NA")</f>
      </c>
      <c r="G36" s="15"/>
      <c r="H36" s="13">
        <v>0</v>
      </c>
      <c r="I36" s="14">
        <f>IFERROR(H36/H327, "NA")</f>
      </c>
      <c r="J36" s="15"/>
      <c r="K36" s="13">
        <v>0</v>
      </c>
      <c r="L36" s="14">
        <f>IFERROR(K36/K327, "NA")</f>
      </c>
      <c r="M36" s="15"/>
      <c r="N36" s="13">
        <v>0</v>
      </c>
      <c r="O36" s="14">
        <f>IFERROR(N36/N327, "NA")</f>
      </c>
    </row>
    <row r="37" ht="16.5" customHeight="1">
      <c t="s" r="A37" s="16">
        <v>40</v>
      </c>
      <c r="B37" s="17">
        <f>IFERROR(B32+B33+B34+B35+B36, "NA")</f>
      </c>
      <c r="C37" s="18">
        <f>IFERROR(B37/B327, "NA")</f>
      </c>
      <c r="D37" s="8"/>
      <c r="E37" s="17">
        <f>IFERROR(E32+E33+E34+E35+E36, "NA")</f>
      </c>
      <c r="F37" s="18">
        <f>IFERROR(E37/E327, "NA")</f>
      </c>
      <c r="G37" s="8"/>
      <c r="H37" s="17">
        <f>IFERROR(H32+H33+H34+H35+H36, "NA")</f>
      </c>
      <c r="I37" s="18">
        <f>IFERROR(H37/H327, "NA")</f>
      </c>
      <c r="J37" s="8"/>
      <c r="K37" s="17">
        <f>IFERROR(K32+K33+K34+K35+K36, "NA")</f>
      </c>
      <c r="L37" s="18">
        <f>IFERROR(K37/K327, "NA")</f>
      </c>
      <c r="M37" s="8"/>
      <c r="N37" s="17">
        <f>IFERROR(N32+N33+N34+N35+N36, "NA")</f>
      </c>
      <c r="O37" s="18">
        <f>IFERROR(N37/N327, "NA")</f>
      </c>
    </row>
    <row r="38" ht="16.5" customHeight="1">
      <c t="s" r="A38" s="11">
        <v>41</v>
      </c>
      <c r="B38" s="8"/>
      <c r="C38" s="9"/>
      <c r="D38" s="10"/>
      <c r="E38" s="8"/>
      <c r="F38" s="9"/>
      <c r="G38" s="10"/>
      <c r="H38" s="8"/>
      <c r="I38" s="9"/>
      <c r="J38" s="10"/>
      <c r="K38" s="8"/>
      <c r="L38" s="9"/>
      <c r="M38" s="10"/>
      <c r="N38" s="8"/>
      <c r="O38" s="9"/>
    </row>
    <row r="39" ht="16.5" customHeight="1">
      <c t="s" r="A39" s="12">
        <v>42</v>
      </c>
      <c r="B39" s="13">
        <v>0</v>
      </c>
      <c r="C39" s="14">
        <f>IFERROR(B39/B327, "NA")</f>
      </c>
      <c r="D39" s="15"/>
      <c r="E39" s="13">
        <v>0</v>
      </c>
      <c r="F39" s="14">
        <f>IFERROR(E39/E327, "NA")</f>
      </c>
      <c r="G39" s="15"/>
      <c r="H39" s="13">
        <v>0</v>
      </c>
      <c r="I39" s="14">
        <f>IFERROR(H39/H327, "NA")</f>
      </c>
      <c r="J39" s="15"/>
      <c r="K39" s="13">
        <v>0</v>
      </c>
      <c r="L39" s="14">
        <f>IFERROR(K39/K327, "NA")</f>
      </c>
      <c r="M39" s="15"/>
      <c r="N39" s="13">
        <v>0</v>
      </c>
      <c r="O39" s="14">
        <f>IFERROR(N39/N327, "NA")</f>
      </c>
    </row>
    <row r="40" ht="16.5" customHeight="1">
      <c t="s" r="A40" s="12">
        <v>43</v>
      </c>
      <c r="B40" s="13">
        <v>-127.5</v>
      </c>
      <c r="C40" s="14">
        <f>IFERROR(B40/B327, "NA")</f>
      </c>
      <c r="D40" s="15"/>
      <c r="E40" s="13">
        <v>0</v>
      </c>
      <c r="F40" s="14">
        <f>IFERROR(E40/E327, "NA")</f>
      </c>
      <c r="G40" s="15"/>
      <c r="H40" s="13">
        <v>-50.25</v>
      </c>
      <c r="I40" s="14">
        <f>IFERROR(H40/H327, "NA")</f>
      </c>
      <c r="J40" s="15"/>
      <c r="K40" s="13">
        <v>-74.75</v>
      </c>
      <c r="L40" s="14">
        <f>IFERROR(K40/K327, "NA")</f>
      </c>
      <c r="M40" s="15"/>
      <c r="N40" s="13">
        <v>-36.25</v>
      </c>
      <c r="O40" s="14">
        <f>IFERROR(N40/N327, "NA")</f>
      </c>
    </row>
    <row r="41" ht="16.5" customHeight="1">
      <c t="s" r="A41" s="12">
        <v>44</v>
      </c>
      <c r="B41" s="13">
        <v>0</v>
      </c>
      <c r="C41" s="14">
        <f>IFERROR(B41/B327, "NA")</f>
      </c>
      <c r="D41" s="15"/>
      <c r="E41" s="13">
        <v>0</v>
      </c>
      <c r="F41" s="14">
        <f>IFERROR(E41/E327, "NA")</f>
      </c>
      <c r="G41" s="15"/>
      <c r="H41" s="13">
        <v>-17</v>
      </c>
      <c r="I41" s="14">
        <f>IFERROR(H41/H327, "NA")</f>
      </c>
      <c r="J41" s="15"/>
      <c r="K41" s="13">
        <v>0</v>
      </c>
      <c r="L41" s="14">
        <f>IFERROR(K41/K327, "NA")</f>
      </c>
      <c r="M41" s="15"/>
      <c r="N41" s="13">
        <v>0</v>
      </c>
      <c r="O41" s="14">
        <f>IFERROR(N41/N327, "NA")</f>
      </c>
    </row>
    <row r="42" ht="16.5" customHeight="1">
      <c t="s" r="A42" s="12">
        <v>45</v>
      </c>
      <c r="B42" s="13">
        <v>0</v>
      </c>
      <c r="C42" s="14">
        <f>IFERROR(B42/B327, "NA")</f>
      </c>
      <c r="D42" s="15"/>
      <c r="E42" s="13">
        <v>-29</v>
      </c>
      <c r="F42" s="14">
        <f>IFERROR(E42/E327, "NA")</f>
      </c>
      <c r="G42" s="15"/>
      <c r="H42" s="13">
        <v>0</v>
      </c>
      <c r="I42" s="14">
        <f>IFERROR(H42/H327, "NA")</f>
      </c>
      <c r="J42" s="15"/>
      <c r="K42" s="13">
        <v>-171.19999999999999</v>
      </c>
      <c r="L42" s="14">
        <f>IFERROR(K42/K327, "NA")</f>
      </c>
      <c r="M42" s="15"/>
      <c r="N42" s="13">
        <v>0</v>
      </c>
      <c r="O42" s="14">
        <f>IFERROR(N42/N327, "NA")</f>
      </c>
    </row>
    <row r="43" ht="16.5" customHeight="1">
      <c t="s" r="A43" s="12">
        <v>46</v>
      </c>
      <c r="B43" s="13">
        <v>-630</v>
      </c>
      <c r="C43" s="14">
        <f>IFERROR(B43/B327, "NA")</f>
      </c>
      <c r="D43" s="15"/>
      <c r="E43" s="13">
        <v>-1588</v>
      </c>
      <c r="F43" s="14">
        <f>IFERROR(E43/E327, "NA")</f>
      </c>
      <c r="G43" s="15"/>
      <c r="H43" s="13">
        <v>-800</v>
      </c>
      <c r="I43" s="14">
        <f>IFERROR(H43/H327, "NA")</f>
      </c>
      <c r="J43" s="15"/>
      <c r="K43" s="13">
        <v>-1690</v>
      </c>
      <c r="L43" s="14">
        <f>IFERROR(K43/K327, "NA")</f>
      </c>
      <c r="M43" s="15"/>
      <c r="N43" s="13">
        <v>-750</v>
      </c>
      <c r="O43" s="14">
        <f>IFERROR(N43/N327, "NA")</f>
      </c>
    </row>
    <row r="44" ht="16.5" customHeight="1">
      <c t="s" r="A44" s="12">
        <v>47</v>
      </c>
      <c r="B44" s="13">
        <v>-2035.4100000000001</v>
      </c>
      <c r="C44" s="14">
        <f>IFERROR(B44/B327, "NA")</f>
      </c>
      <c r="D44" s="15"/>
      <c r="E44" s="13">
        <v>-2072</v>
      </c>
      <c r="F44" s="14">
        <f>IFERROR(E44/E327, "NA")</f>
      </c>
      <c r="G44" s="15"/>
      <c r="H44" s="13">
        <v>-3371</v>
      </c>
      <c r="I44" s="14">
        <f>IFERROR(H44/H327, "NA")</f>
      </c>
      <c r="J44" s="15"/>
      <c r="K44" s="13">
        <v>-3310</v>
      </c>
      <c r="L44" s="14">
        <f>IFERROR(K44/K327, "NA")</f>
      </c>
      <c r="M44" s="15"/>
      <c r="N44" s="13">
        <v>-1939</v>
      </c>
      <c r="O44" s="14">
        <f>IFERROR(N44/N327, "NA")</f>
      </c>
    </row>
    <row r="45" ht="16.5" customHeight="1">
      <c t="s" r="A45" s="12">
        <v>48</v>
      </c>
      <c r="B45" s="13">
        <v>0</v>
      </c>
      <c r="C45" s="14">
        <f>IFERROR(B45/B327, "NA")</f>
      </c>
      <c r="D45" s="15"/>
      <c r="E45" s="13">
        <v>0</v>
      </c>
      <c r="F45" s="14">
        <f>IFERROR(E45/E327, "NA")</f>
      </c>
      <c r="G45" s="15"/>
      <c r="H45" s="13">
        <v>0</v>
      </c>
      <c r="I45" s="14">
        <f>IFERROR(H45/H327, "NA")</f>
      </c>
      <c r="J45" s="15"/>
      <c r="K45" s="13">
        <v>0</v>
      </c>
      <c r="L45" s="14">
        <f>IFERROR(K45/K327, "NA")</f>
      </c>
      <c r="M45" s="15"/>
      <c r="N45" s="13">
        <v>0</v>
      </c>
      <c r="O45" s="14">
        <f>IFERROR(N45/N327, "NA")</f>
      </c>
    </row>
    <row r="46" ht="16.5" customHeight="1">
      <c t="s" r="A46" s="12">
        <v>49</v>
      </c>
      <c r="B46" s="13">
        <v>0</v>
      </c>
      <c r="C46" s="14">
        <f>IFERROR(B46/B327, "NA")</f>
      </c>
      <c r="D46" s="15"/>
      <c r="E46" s="13">
        <v>0</v>
      </c>
      <c r="F46" s="14">
        <f>IFERROR(E46/E327, "NA")</f>
      </c>
      <c r="G46" s="15"/>
      <c r="H46" s="13">
        <v>-25</v>
      </c>
      <c r="I46" s="14">
        <f>IFERROR(H46/H327, "NA")</f>
      </c>
      <c r="J46" s="15"/>
      <c r="K46" s="13">
        <v>-35</v>
      </c>
      <c r="L46" s="14">
        <f>IFERROR(K46/K327, "NA")</f>
      </c>
      <c r="M46" s="15"/>
      <c r="N46" s="13">
        <v>-25</v>
      </c>
      <c r="O46" s="14">
        <f>IFERROR(N46/N327, "NA")</f>
      </c>
    </row>
    <row r="47" ht="16.5" customHeight="1">
      <c t="s" r="A47" s="12">
        <v>50</v>
      </c>
      <c r="B47" s="13">
        <v>-394</v>
      </c>
      <c r="C47" s="14">
        <f>IFERROR(B47/B327, "NA")</f>
      </c>
      <c r="D47" s="15"/>
      <c r="E47" s="13">
        <v>-2296</v>
      </c>
      <c r="F47" s="14">
        <f>IFERROR(E47/E327, "NA")</f>
      </c>
      <c r="G47" s="15"/>
      <c r="H47" s="13">
        <v>-2369</v>
      </c>
      <c r="I47" s="14">
        <f>IFERROR(H47/H327, "NA")</f>
      </c>
      <c r="J47" s="15"/>
      <c r="K47" s="13">
        <v>-4590.3000000000002</v>
      </c>
      <c r="L47" s="14">
        <f>IFERROR(K47/K327, "NA")</f>
      </c>
      <c r="M47" s="15"/>
      <c r="N47" s="13">
        <v>-2120.5</v>
      </c>
      <c r="O47" s="14">
        <f>IFERROR(N47/N327, "NA")</f>
      </c>
    </row>
    <row r="48" ht="16.5" customHeight="1">
      <c t="s" r="A48" s="12">
        <v>51</v>
      </c>
      <c r="B48" s="13">
        <v>0</v>
      </c>
      <c r="C48" s="14">
        <f>IFERROR(B48/B327, "NA")</f>
      </c>
      <c r="D48" s="15"/>
      <c r="E48" s="13">
        <v>0</v>
      </c>
      <c r="F48" s="14">
        <f>IFERROR(E48/E327, "NA")</f>
      </c>
      <c r="G48" s="15"/>
      <c r="H48" s="13">
        <v>0</v>
      </c>
      <c r="I48" s="14">
        <f>IFERROR(H48/H327, "NA")</f>
      </c>
      <c r="J48" s="15"/>
      <c r="K48" s="13">
        <v>0</v>
      </c>
      <c r="L48" s="14">
        <f>IFERROR(K48/K327, "NA")</f>
      </c>
      <c r="M48" s="15"/>
      <c r="N48" s="13">
        <v>0</v>
      </c>
      <c r="O48" s="14">
        <f>IFERROR(N48/N327, "NA")</f>
      </c>
    </row>
    <row r="49" ht="16.5" customHeight="1">
      <c t="s" r="A49" s="12">
        <v>52</v>
      </c>
      <c r="B49" s="13">
        <v>0</v>
      </c>
      <c r="C49" s="14">
        <f>IFERROR(B49/B327, "NA")</f>
      </c>
      <c r="D49" s="15"/>
      <c r="E49" s="13">
        <v>0</v>
      </c>
      <c r="F49" s="14">
        <f>IFERROR(E49/E327, "NA")</f>
      </c>
      <c r="G49" s="15"/>
      <c r="H49" s="13">
        <v>0</v>
      </c>
      <c r="I49" s="14">
        <f>IFERROR(H49/H327, "NA")</f>
      </c>
      <c r="J49" s="15"/>
      <c r="K49" s="13">
        <v>0</v>
      </c>
      <c r="L49" s="14">
        <f>IFERROR(K49/K327, "NA")</f>
      </c>
      <c r="M49" s="15"/>
      <c r="N49" s="13">
        <v>0</v>
      </c>
      <c r="O49" s="14">
        <f>IFERROR(N49/N327, "NA")</f>
      </c>
    </row>
    <row r="50" ht="16.5" customHeight="1">
      <c t="s" r="A50" s="12">
        <v>53</v>
      </c>
      <c r="B50" s="13">
        <v>0</v>
      </c>
      <c r="C50" s="14">
        <f>IFERROR(B50/B327, "NA")</f>
      </c>
      <c r="D50" s="15"/>
      <c r="E50" s="13">
        <v>0</v>
      </c>
      <c r="F50" s="14">
        <f>IFERROR(E50/E327, "NA")</f>
      </c>
      <c r="G50" s="15"/>
      <c r="H50" s="13">
        <v>0</v>
      </c>
      <c r="I50" s="14">
        <f>IFERROR(H50/H327, "NA")</f>
      </c>
      <c r="J50" s="15"/>
      <c r="K50" s="13">
        <v>0</v>
      </c>
      <c r="L50" s="14">
        <f>IFERROR(K50/K327, "NA")</f>
      </c>
      <c r="M50" s="15"/>
      <c r="N50" s="13">
        <v>0</v>
      </c>
      <c r="O50" s="14">
        <f>IFERROR(N50/N327, "NA")</f>
      </c>
    </row>
    <row r="51" ht="16.5" customHeight="1">
      <c t="s" r="A51" s="16">
        <v>54</v>
      </c>
      <c r="B51" s="17">
        <f>IFERROR(B39+B40+B41+B42+B43+B44+B45+B46+B47+B48+B49+B50, "NA")</f>
      </c>
      <c r="C51" s="18">
        <f>IFERROR(B51/B327, "NA")</f>
      </c>
      <c r="D51" s="8"/>
      <c r="E51" s="17">
        <f>IFERROR(E39+E40+E41+E42+E43+E44+E45+E46+E47+E48+E49+E50, "NA")</f>
      </c>
      <c r="F51" s="18">
        <f>IFERROR(E51/E327, "NA")</f>
      </c>
      <c r="G51" s="8"/>
      <c r="H51" s="17">
        <f>IFERROR(H39+H40+H41+H42+H43+H44+H45+H46+H47+H48+H49+H50, "NA")</f>
      </c>
      <c r="I51" s="18">
        <f>IFERROR(H51/H327, "NA")</f>
      </c>
      <c r="J51" s="8"/>
      <c r="K51" s="17">
        <f>IFERROR(K39+K40+K41+K42+K43+K44+K45+K46+K47+K48+K49+K50, "NA")</f>
      </c>
      <c r="L51" s="18">
        <f>IFERROR(K51/K327, "NA")</f>
      </c>
      <c r="M51" s="8"/>
      <c r="N51" s="17">
        <f>IFERROR(N39+N40+N41+N42+N43+N44+N45+N46+N47+N48+N49+N50, "NA")</f>
      </c>
      <c r="O51" s="18">
        <f>IFERROR(N51/N327, "NA")</f>
      </c>
    </row>
    <row r="52" ht="16.5" customHeight="1">
      <c t="s" r="A52" s="20">
        <v>55</v>
      </c>
      <c r="B52" s="17">
        <f>IFERROR(B8+B9+B11+B13+B14+B15+B16+B17+B18+B21+B22+B23+B24+B25+B26+B27+B28+B29+B32+B33+B34+B35+B36+B39+B40+B41+B42+B43+B44+B45+B46+B47+B48+B49+B50, "NA")</f>
      </c>
      <c r="C52" s="18">
        <f>IFERROR(B52/B327, "NA")</f>
      </c>
      <c r="D52" s="8"/>
      <c r="E52" s="17">
        <f>IFERROR(E8+E9+E11+E13+E14+E15+E16+E17+E18+E21+E22+E23+E24+E25+E26+E27+E28+E29+E32+E33+E34+E35+E36+E39+E40+E41+E42+E43+E44+E45+E46+E47+E48+E49+E50, "NA")</f>
      </c>
      <c r="F52" s="18">
        <f>IFERROR(E52/E327, "NA")</f>
      </c>
      <c r="G52" s="8"/>
      <c r="H52" s="17">
        <f>IFERROR(H8+H9+H11+H13+H14+H15+H16+H17+H18+H21+H22+H23+H24+H25+H26+H27+H28+H29+H32+H33+H34+H35+H36+H39+H40+H41+H42+H43+H44+H45+H46+H47+H48+H49+H50, "NA")</f>
      </c>
      <c r="I52" s="18">
        <f>IFERROR(H52/H327, "NA")</f>
      </c>
      <c r="J52" s="8"/>
      <c r="K52" s="17">
        <f>IFERROR(K8+K9+K11+K13+K14+K15+K16+K17+K18+K21+K22+K23+K24+K25+K26+K27+K28+K29+K32+K33+K34+K35+K36+K39+K40+K41+K42+K43+K44+K45+K46+K47+K48+K49+K50, "NA")</f>
      </c>
      <c r="L52" s="18">
        <f>IFERROR(K52/K327, "NA")</f>
      </c>
      <c r="M52" s="8"/>
      <c r="N52" s="17">
        <f>IFERROR(N8+N9+N11+N13+N14+N15+N16+N17+N18+N21+N22+N23+N24+N25+N26+N27+N28+N29+N32+N33+N34+N35+N36+N39+N40+N41+N42+N43+N44+N45+N46+N47+N48+N49+N50, "NA")</f>
      </c>
      <c r="O52" s="18">
        <f>IFERROR(N52/N327, "NA")</f>
      </c>
    </row>
    <row r="53" ht="16.5" customHeight="1">
      <c t="s" r="A53" s="7">
        <v>56</v>
      </c>
      <c r="B53" s="8"/>
      <c r="C53" s="9"/>
      <c r="D53" s="10"/>
      <c r="E53" s="8"/>
      <c r="F53" s="9"/>
      <c r="G53" s="10"/>
      <c r="H53" s="8"/>
      <c r="I53" s="9"/>
      <c r="J53" s="10"/>
      <c r="K53" s="8"/>
      <c r="L53" s="9"/>
      <c r="M53" s="10"/>
      <c r="N53" s="8"/>
      <c r="O53" s="9"/>
    </row>
    <row r="54" ht="16.5" customHeight="1">
      <c t="s" r="A54" s="11">
        <v>57</v>
      </c>
      <c r="B54" s="8"/>
      <c r="C54" s="9"/>
      <c r="D54" s="10"/>
      <c r="E54" s="8"/>
      <c r="F54" s="9"/>
      <c r="G54" s="10"/>
      <c r="H54" s="8"/>
      <c r="I54" s="9"/>
      <c r="J54" s="10"/>
      <c r="K54" s="8"/>
      <c r="L54" s="9"/>
      <c r="M54" s="10"/>
      <c r="N54" s="8"/>
      <c r="O54" s="9"/>
    </row>
    <row r="55" ht="16.5" customHeight="1">
      <c t="s" r="A55" s="12">
        <v>58</v>
      </c>
      <c r="B55" s="13">
        <v>0</v>
      </c>
      <c r="C55" s="14">
        <f>IFERROR(B55/B327, "NA")</f>
      </c>
      <c r="D55" s="15"/>
      <c r="E55" s="13">
        <v>0</v>
      </c>
      <c r="F55" s="14">
        <f>IFERROR(E55/E327, "NA")</f>
      </c>
      <c r="G55" s="15"/>
      <c r="H55" s="13">
        <v>0</v>
      </c>
      <c r="I55" s="14">
        <f>IFERROR(H55/H327, "NA")</f>
      </c>
      <c r="J55" s="15"/>
      <c r="K55" s="13">
        <v>0</v>
      </c>
      <c r="L55" s="14">
        <f>IFERROR(K55/K327, "NA")</f>
      </c>
      <c r="M55" s="15"/>
      <c r="N55" s="13">
        <v>0</v>
      </c>
      <c r="O55" s="14">
        <f>IFERROR(N55/N327, "NA")</f>
      </c>
    </row>
    <row r="56" ht="16.5" customHeight="1">
      <c t="s" r="A56" s="12">
        <v>59</v>
      </c>
      <c r="B56" s="13">
        <v>1405.1300000000001</v>
      </c>
      <c r="C56" s="14">
        <f>IFERROR(B56/B327, "NA")</f>
      </c>
      <c r="D56" s="15"/>
      <c r="E56" s="13">
        <v>5294.5299999999997</v>
      </c>
      <c r="F56" s="14">
        <f>IFERROR(E56/E327, "NA")</f>
      </c>
      <c r="G56" s="15"/>
      <c r="H56" s="13">
        <v>5647.6800000000003</v>
      </c>
      <c r="I56" s="14">
        <f>IFERROR(H56/H327, "NA")</f>
      </c>
      <c r="J56" s="15"/>
      <c r="K56" s="13">
        <v>5449.8500000000004</v>
      </c>
      <c r="L56" s="14">
        <f>IFERROR(K56/K327, "NA")</f>
      </c>
      <c r="M56" s="15"/>
      <c r="N56" s="13">
        <v>5721.2399999999998</v>
      </c>
      <c r="O56" s="14">
        <f>IFERROR(N56/N327, "NA")</f>
      </c>
    </row>
    <row r="57" ht="16.5" customHeight="1">
      <c t="s" r="A57" s="12">
        <v>60</v>
      </c>
      <c r="B57" s="13">
        <v>140.99000000000001</v>
      </c>
      <c r="C57" s="14">
        <f>IFERROR(B57/B327, "NA")</f>
      </c>
      <c r="D57" s="15"/>
      <c r="E57" s="13">
        <v>2494.3400000000001</v>
      </c>
      <c r="F57" s="14">
        <f>IFERROR(E57/E327, "NA")</f>
      </c>
      <c r="G57" s="15"/>
      <c r="H57" s="13">
        <v>1928.3</v>
      </c>
      <c r="I57" s="14">
        <f>IFERROR(H57/H327, "NA")</f>
      </c>
      <c r="J57" s="15"/>
      <c r="K57" s="13">
        <v>2581.1199999999999</v>
      </c>
      <c r="L57" s="14">
        <f>IFERROR(K57/K327, "NA")</f>
      </c>
      <c r="M57" s="15"/>
      <c r="N57" s="13">
        <v>3101.3099999999999</v>
      </c>
      <c r="O57" s="14">
        <f>IFERROR(N57/N327, "NA")</f>
      </c>
    </row>
    <row r="58" ht="16.5" customHeight="1">
      <c t="s" r="A58" s="12">
        <v>61</v>
      </c>
      <c r="B58" s="13">
        <v>1921.3900000000001</v>
      </c>
      <c r="C58" s="14">
        <f>IFERROR(B58/B327, "NA")</f>
      </c>
      <c r="D58" s="15"/>
      <c r="E58" s="13">
        <v>5331.8900000000003</v>
      </c>
      <c r="F58" s="14">
        <f>IFERROR(E58/E327, "NA")</f>
      </c>
      <c r="G58" s="15"/>
      <c r="H58" s="13">
        <v>6183.1000000000004</v>
      </c>
      <c r="I58" s="14">
        <f>IFERROR(H58/H327, "NA")</f>
      </c>
      <c r="J58" s="15"/>
      <c r="K58" s="13">
        <v>5907.25</v>
      </c>
      <c r="L58" s="14">
        <f>IFERROR(K58/K327, "NA")</f>
      </c>
      <c r="M58" s="15"/>
      <c r="N58" s="13">
        <v>5274.2200000000003</v>
      </c>
      <c r="O58" s="14">
        <f>IFERROR(N58/N327, "NA")</f>
      </c>
    </row>
    <row r="59" ht="16.5" customHeight="1">
      <c t="s" r="A59" s="12">
        <v>62</v>
      </c>
      <c r="B59" s="13">
        <v>-341.94</v>
      </c>
      <c r="C59" s="14">
        <f>IFERROR(B59/B327, "NA")</f>
      </c>
      <c r="D59" s="15"/>
      <c r="E59" s="13">
        <v>262.11000000000001</v>
      </c>
      <c r="F59" s="14">
        <f>IFERROR(E59/E327, "NA")</f>
      </c>
      <c r="G59" s="15"/>
      <c r="H59" s="13">
        <v>734.08000000000004</v>
      </c>
      <c r="I59" s="14">
        <f>IFERROR(H59/H327, "NA")</f>
      </c>
      <c r="J59" s="15"/>
      <c r="K59" s="13">
        <v>299.88999999999999</v>
      </c>
      <c r="L59" s="14">
        <f>IFERROR(K59/K327, "NA")</f>
      </c>
      <c r="M59" s="15"/>
      <c r="N59" s="13">
        <v>370.70999999999998</v>
      </c>
      <c r="O59" s="14">
        <f>IFERROR(N59/N327, "NA")</f>
      </c>
    </row>
    <row r="60" ht="16.5" customHeight="1">
      <c t="s" r="A60" s="12">
        <v>63</v>
      </c>
      <c r="B60" s="13">
        <v>1872.1700000000001</v>
      </c>
      <c r="C60" s="14">
        <f>IFERROR(B60/B327, "NA")</f>
      </c>
      <c r="D60" s="15"/>
      <c r="E60" s="13">
        <v>9509.1499999999996</v>
      </c>
      <c r="F60" s="14">
        <f>IFERROR(E60/E327, "NA")</f>
      </c>
      <c r="G60" s="15"/>
      <c r="H60" s="13">
        <v>11998.66</v>
      </c>
      <c r="I60" s="14">
        <f>IFERROR(H60/H327, "NA")</f>
      </c>
      <c r="J60" s="15"/>
      <c r="K60" s="13">
        <v>10494.559999999999</v>
      </c>
      <c r="L60" s="14">
        <f>IFERROR(K60/K327, "NA")</f>
      </c>
      <c r="M60" s="15"/>
      <c r="N60" s="13">
        <v>9116.5900000000001</v>
      </c>
      <c r="O60" s="14">
        <f>IFERROR(N60/N327, "NA")</f>
      </c>
    </row>
    <row r="61" ht="16.5" customHeight="1">
      <c t="s" r="A61" s="12">
        <v>64</v>
      </c>
      <c r="B61" s="13">
        <v>674.88</v>
      </c>
      <c r="C61" s="14">
        <f>IFERROR(B61/B327, "NA")</f>
      </c>
      <c r="D61" s="15"/>
      <c r="E61" s="13">
        <v>6172.1800000000003</v>
      </c>
      <c r="F61" s="14">
        <f>IFERROR(E61/E327, "NA")</f>
      </c>
      <c r="G61" s="15"/>
      <c r="H61" s="13">
        <v>7487.3000000000002</v>
      </c>
      <c r="I61" s="14">
        <f>IFERROR(H61/H327, "NA")</f>
      </c>
      <c r="J61" s="15"/>
      <c r="K61" s="13">
        <v>7360.3699999999999</v>
      </c>
      <c r="L61" s="14">
        <f>IFERROR(K61/K327, "NA")</f>
      </c>
      <c r="M61" s="15"/>
      <c r="N61" s="13">
        <v>5812.9799999999996</v>
      </c>
      <c r="O61" s="14">
        <f>IFERROR(N61/N327, "NA")</f>
      </c>
    </row>
    <row r="62" ht="16.5" customHeight="1">
      <c t="s" r="A62" s="12">
        <v>65</v>
      </c>
      <c r="B62" s="13">
        <v>466.04000000000002</v>
      </c>
      <c r="C62" s="14">
        <f>IFERROR(B62/B327, "NA")</f>
      </c>
      <c r="D62" s="15"/>
      <c r="E62" s="13">
        <v>415.89999999999998</v>
      </c>
      <c r="F62" s="14">
        <f>IFERROR(E62/E327, "NA")</f>
      </c>
      <c r="G62" s="15"/>
      <c r="H62" s="13">
        <v>1220.71</v>
      </c>
      <c r="I62" s="14">
        <f>IFERROR(H62/H327, "NA")</f>
      </c>
      <c r="J62" s="15"/>
      <c r="K62" s="13">
        <v>1278.1700000000001</v>
      </c>
      <c r="L62" s="14">
        <f>IFERROR(K62/K327, "NA")</f>
      </c>
      <c r="M62" s="15"/>
      <c r="N62" s="13">
        <v>1333.4100000000001</v>
      </c>
      <c r="O62" s="14">
        <f>IFERROR(N62/N327, "NA")</f>
      </c>
    </row>
    <row r="63" ht="16.5" customHeight="1">
      <c t="s" r="A63" s="12">
        <v>66</v>
      </c>
      <c r="B63" s="13">
        <v>-439.67000000000002</v>
      </c>
      <c r="C63" s="14">
        <f>IFERROR(B63/B327, "NA")</f>
      </c>
      <c r="D63" s="15"/>
      <c r="E63" s="13">
        <v>2432.9299999999998</v>
      </c>
      <c r="F63" s="14">
        <f>IFERROR(E63/E327, "NA")</f>
      </c>
      <c r="G63" s="15"/>
      <c r="H63" s="13">
        <v>1669.6900000000001</v>
      </c>
      <c r="I63" s="14">
        <f>IFERROR(H63/H327, "NA")</f>
      </c>
      <c r="J63" s="15"/>
      <c r="K63" s="13">
        <v>2486.1199999999999</v>
      </c>
      <c r="L63" s="14">
        <f>IFERROR(K63/K327, "NA")</f>
      </c>
      <c r="M63" s="15"/>
      <c r="N63" s="13">
        <v>2054.2600000000002</v>
      </c>
      <c r="O63" s="14">
        <f>IFERROR(N63/N327, "NA")</f>
      </c>
    </row>
    <row r="64" ht="16.5" customHeight="1">
      <c t="s" r="A64" s="12">
        <v>67</v>
      </c>
      <c r="B64" s="13">
        <v>0</v>
      </c>
      <c r="C64" s="14">
        <f>IFERROR(B64/B327, "NA")</f>
      </c>
      <c r="D64" s="15"/>
      <c r="E64" s="13">
        <v>0</v>
      </c>
      <c r="F64" s="14">
        <f>IFERROR(E64/E327, "NA")</f>
      </c>
      <c r="G64" s="15"/>
      <c r="H64" s="13">
        <v>0</v>
      </c>
      <c r="I64" s="14">
        <f>IFERROR(H64/H327, "NA")</f>
      </c>
      <c r="J64" s="15"/>
      <c r="K64" s="13">
        <v>0</v>
      </c>
      <c r="L64" s="14">
        <f>IFERROR(K64/K327, "NA")</f>
      </c>
      <c r="M64" s="15"/>
      <c r="N64" s="13">
        <v>0</v>
      </c>
      <c r="O64" s="14">
        <f>IFERROR(N64/N327, "NA")</f>
      </c>
    </row>
    <row r="65" ht="16.5" customHeight="1">
      <c t="s" r="A65" s="16">
        <v>68</v>
      </c>
      <c r="B65" s="17">
        <f>IFERROR(B55+B56+B57+B58+B59+B60+B61+B62+B63+B64, "NA")</f>
      </c>
      <c r="C65" s="18">
        <f>IFERROR(B65/B327, "NA")</f>
      </c>
      <c r="D65" s="8"/>
      <c r="E65" s="17">
        <f>IFERROR(E55+E56+E57+E58+E59+E60+E61+E62+E63+E64, "NA")</f>
      </c>
      <c r="F65" s="18">
        <f>IFERROR(E65/E327, "NA")</f>
      </c>
      <c r="G65" s="8"/>
      <c r="H65" s="17">
        <f>IFERROR(H55+H56+H57+H58+H59+H60+H61+H62+H63+H64, "NA")</f>
      </c>
      <c r="I65" s="18">
        <f>IFERROR(H65/H327, "NA")</f>
      </c>
      <c r="J65" s="8"/>
      <c r="K65" s="17">
        <f>IFERROR(K55+K56+K57+K58+K59+K60+K61+K62+K63+K64, "NA")</f>
      </c>
      <c r="L65" s="18">
        <f>IFERROR(K65/K327, "NA")</f>
      </c>
      <c r="M65" s="8"/>
      <c r="N65" s="17">
        <f>IFERROR(N55+N56+N57+N58+N59+N60+N61+N62+N63+N64, "NA")</f>
      </c>
      <c r="O65" s="18">
        <f>IFERROR(N65/N327, "NA")</f>
      </c>
    </row>
    <row r="66" ht="16.5" customHeight="1">
      <c t="s" r="A66" s="19">
        <v>69</v>
      </c>
      <c r="B66" s="13">
        <v>114.42</v>
      </c>
      <c r="C66" s="14">
        <f>IFERROR(B66/B327, "NA")</f>
      </c>
      <c r="D66" s="15"/>
      <c r="E66" s="13">
        <v>1706.6199999999999</v>
      </c>
      <c r="F66" s="14">
        <f>IFERROR(E66/E327, "NA")</f>
      </c>
      <c r="G66" s="15"/>
      <c r="H66" s="13">
        <v>1861.77</v>
      </c>
      <c r="I66" s="14">
        <f>IFERROR(H66/H327, "NA")</f>
      </c>
      <c r="J66" s="15"/>
      <c r="K66" s="13">
        <v>2508.52</v>
      </c>
      <c r="L66" s="14">
        <f>IFERROR(K66/K327, "NA")</f>
      </c>
      <c r="M66" s="15"/>
      <c r="N66" s="13">
        <v>4478.8000000000002</v>
      </c>
      <c r="O66" s="14">
        <f>IFERROR(N66/N327, "NA")</f>
      </c>
    </row>
    <row r="67" ht="16.5" customHeight="1">
      <c t="s" r="A67" s="11">
        <v>70</v>
      </c>
      <c r="B67" s="8"/>
      <c r="C67" s="9"/>
      <c r="D67" s="10"/>
      <c r="E67" s="8"/>
      <c r="F67" s="9"/>
      <c r="G67" s="10"/>
      <c r="H67" s="8"/>
      <c r="I67" s="9"/>
      <c r="J67" s="10"/>
      <c r="K67" s="8"/>
      <c r="L67" s="9"/>
      <c r="M67" s="10"/>
      <c r="N67" s="8"/>
      <c r="O67" s="9"/>
    </row>
    <row r="68" ht="16.5" customHeight="1">
      <c t="s" r="A68" s="12">
        <v>71</v>
      </c>
      <c r="B68" s="13">
        <v>0</v>
      </c>
      <c r="C68" s="14">
        <f>IFERROR(B68/B327, "NA")</f>
      </c>
      <c r="D68" s="15"/>
      <c r="E68" s="13">
        <v>0</v>
      </c>
      <c r="F68" s="14">
        <f>IFERROR(E68/E327, "NA")</f>
      </c>
      <c r="G68" s="15"/>
      <c r="H68" s="13">
        <v>0</v>
      </c>
      <c r="I68" s="14">
        <f>IFERROR(H68/H327, "NA")</f>
      </c>
      <c r="J68" s="15"/>
      <c r="K68" s="13">
        <v>0</v>
      </c>
      <c r="L68" s="14">
        <f>IFERROR(K68/K327, "NA")</f>
      </c>
      <c r="M68" s="15"/>
      <c r="N68" s="13">
        <v>0</v>
      </c>
      <c r="O68" s="14">
        <f>IFERROR(N68/N327, "NA")</f>
      </c>
    </row>
    <row r="69" ht="16.5" customHeight="1">
      <c t="s" r="A69" s="12">
        <v>72</v>
      </c>
      <c r="B69" s="13">
        <v>36</v>
      </c>
      <c r="C69" s="14">
        <f>IFERROR(B69/B327, "NA")</f>
      </c>
      <c r="D69" s="15"/>
      <c r="E69" s="13">
        <v>464</v>
      </c>
      <c r="F69" s="14">
        <f>IFERROR(E69/E327, "NA")</f>
      </c>
      <c r="G69" s="15"/>
      <c r="H69" s="13">
        <v>126</v>
      </c>
      <c r="I69" s="14">
        <f>IFERROR(H69/H327, "NA")</f>
      </c>
      <c r="J69" s="15"/>
      <c r="K69" s="13">
        <v>238</v>
      </c>
      <c r="L69" s="14">
        <f>IFERROR(K69/K327, "NA")</f>
      </c>
      <c r="M69" s="15"/>
      <c r="N69" s="13">
        <v>812</v>
      </c>
      <c r="O69" s="14">
        <f>IFERROR(N69/N327, "NA")</f>
      </c>
    </row>
    <row r="70" ht="16.5" customHeight="1">
      <c t="s" r="A70" s="12">
        <v>73</v>
      </c>
      <c r="B70" s="13">
        <v>0</v>
      </c>
      <c r="C70" s="14">
        <f>IFERROR(B70/B327, "NA")</f>
      </c>
      <c r="D70" s="15"/>
      <c r="E70" s="13">
        <v>0</v>
      </c>
      <c r="F70" s="14">
        <f>IFERROR(E70/E327, "NA")</f>
      </c>
      <c r="G70" s="15"/>
      <c r="H70" s="13">
        <v>0</v>
      </c>
      <c r="I70" s="14">
        <f>IFERROR(H70/H327, "NA")</f>
      </c>
      <c r="J70" s="15"/>
      <c r="K70" s="13">
        <v>4176</v>
      </c>
      <c r="L70" s="14">
        <f>IFERROR(K70/K327, "NA")</f>
      </c>
      <c r="M70" s="15"/>
      <c r="N70" s="13">
        <v>0</v>
      </c>
      <c r="O70" s="14">
        <f>IFERROR(N70/N327, "NA")</f>
      </c>
    </row>
    <row r="71" ht="16.5" customHeight="1">
      <c t="s" r="A71" s="12">
        <v>74</v>
      </c>
      <c r="B71" s="13">
        <v>2988</v>
      </c>
      <c r="C71" s="14">
        <f>IFERROR(B71/B327, "NA")</f>
      </c>
      <c r="D71" s="15"/>
      <c r="E71" s="13">
        <v>3077</v>
      </c>
      <c r="F71" s="14">
        <f>IFERROR(E71/E327, "NA")</f>
      </c>
      <c r="G71" s="15"/>
      <c r="H71" s="13">
        <v>5958.1599999999999</v>
      </c>
      <c r="I71" s="14">
        <f>IFERROR(H71/H327, "NA")</f>
      </c>
      <c r="J71" s="15"/>
      <c r="K71" s="13">
        <v>10984</v>
      </c>
      <c r="L71" s="14">
        <f>IFERROR(K71/K327, "NA")</f>
      </c>
      <c r="M71" s="15"/>
      <c r="N71" s="13">
        <v>570</v>
      </c>
      <c r="O71" s="14">
        <f>IFERROR(N71/N327, "NA")</f>
      </c>
    </row>
    <row r="72" ht="16.5" customHeight="1">
      <c t="s" r="A72" s="12">
        <v>75</v>
      </c>
      <c r="B72" s="13">
        <v>0</v>
      </c>
      <c r="C72" s="14">
        <f>IFERROR(B72/B327, "NA")</f>
      </c>
      <c r="D72" s="15"/>
      <c r="E72" s="13">
        <v>0</v>
      </c>
      <c r="F72" s="14">
        <f>IFERROR(E72/E327, "NA")</f>
      </c>
      <c r="G72" s="15"/>
      <c r="H72" s="13">
        <v>0</v>
      </c>
      <c r="I72" s="14">
        <f>IFERROR(H72/H327, "NA")</f>
      </c>
      <c r="J72" s="15"/>
      <c r="K72" s="13">
        <v>0</v>
      </c>
      <c r="L72" s="14">
        <f>IFERROR(K72/K327, "NA")</f>
      </c>
      <c r="M72" s="15"/>
      <c r="N72" s="13">
        <v>0</v>
      </c>
      <c r="O72" s="14">
        <f>IFERROR(N72/N327, "NA")</f>
      </c>
    </row>
    <row r="73" ht="16.5" customHeight="1">
      <c t="s" r="A73" s="12">
        <v>76</v>
      </c>
      <c r="B73" s="13">
        <v>1643.5</v>
      </c>
      <c r="C73" s="14">
        <f>IFERROR(B73/B327, "NA")</f>
      </c>
      <c r="D73" s="15"/>
      <c r="E73" s="13">
        <v>3224.79</v>
      </c>
      <c r="F73" s="14">
        <f>IFERROR(E73/E327, "NA")</f>
      </c>
      <c r="G73" s="15"/>
      <c r="H73" s="13">
        <v>3431.9200000000001</v>
      </c>
      <c r="I73" s="14">
        <f>IFERROR(H73/H327, "NA")</f>
      </c>
      <c r="J73" s="15"/>
      <c r="K73" s="13">
        <v>3566.4000000000001</v>
      </c>
      <c r="L73" s="14">
        <f>IFERROR(K73/K327, "NA")</f>
      </c>
      <c r="M73" s="15"/>
      <c r="N73" s="13">
        <v>187.80000000000001</v>
      </c>
      <c r="O73" s="14">
        <f>IFERROR(N73/N327, "NA")</f>
      </c>
    </row>
    <row r="74" ht="16.5" customHeight="1">
      <c t="s" r="A74" s="12">
        <v>77</v>
      </c>
      <c r="B74" s="13">
        <v>0</v>
      </c>
      <c r="C74" s="14">
        <f>IFERROR(B74/B327, "NA")</f>
      </c>
      <c r="D74" s="15"/>
      <c r="E74" s="13">
        <v>1277.24</v>
      </c>
      <c r="F74" s="14">
        <f>IFERROR(E74/E327, "NA")</f>
      </c>
      <c r="G74" s="15"/>
      <c r="H74" s="13">
        <v>1114.97</v>
      </c>
      <c r="I74" s="14">
        <f>IFERROR(H74/H327, "NA")</f>
      </c>
      <c r="J74" s="15"/>
      <c r="K74" s="13">
        <v>1683.3900000000001</v>
      </c>
      <c r="L74" s="14">
        <f>IFERROR(K74/K327, "NA")</f>
      </c>
      <c r="M74" s="15"/>
      <c r="N74" s="13">
        <v>1889.77</v>
      </c>
      <c r="O74" s="14">
        <f>IFERROR(N74/N327, "NA")</f>
      </c>
    </row>
    <row r="75" ht="16.5" customHeight="1">
      <c t="s" r="A75" s="12">
        <v>78</v>
      </c>
      <c r="B75" s="13">
        <v>-11.34</v>
      </c>
      <c r="C75" s="14">
        <f>IFERROR(B75/B327, "NA")</f>
      </c>
      <c r="D75" s="15"/>
      <c r="E75" s="13">
        <v>1136.4000000000001</v>
      </c>
      <c r="F75" s="14">
        <f>IFERROR(E75/E327, "NA")</f>
      </c>
      <c r="G75" s="15"/>
      <c r="H75" s="13">
        <v>806.75999999999999</v>
      </c>
      <c r="I75" s="14">
        <f>IFERROR(H75/H327, "NA")</f>
      </c>
      <c r="J75" s="15"/>
      <c r="K75" s="13">
        <v>662.99000000000001</v>
      </c>
      <c r="L75" s="14">
        <f>IFERROR(K75/K327, "NA")</f>
      </c>
      <c r="M75" s="15"/>
      <c r="N75" s="13">
        <v>941.89999999999998</v>
      </c>
      <c r="O75" s="14">
        <f>IFERROR(N75/N327, "NA")</f>
      </c>
    </row>
    <row r="76" ht="16.5" customHeight="1">
      <c t="s" r="A76" s="16">
        <v>79</v>
      </c>
      <c r="B76" s="17">
        <f>IFERROR(B68+B69+B70+B71+B72+B73+B74+B75, "NA")</f>
      </c>
      <c r="C76" s="18">
        <f>IFERROR(B76/B327, "NA")</f>
      </c>
      <c r="D76" s="8"/>
      <c r="E76" s="17">
        <f>IFERROR(E68+E69+E70+E71+E72+E73+E74+E75, "NA")</f>
      </c>
      <c r="F76" s="18">
        <f>IFERROR(E76/E327, "NA")</f>
      </c>
      <c r="G76" s="8"/>
      <c r="H76" s="17">
        <f>IFERROR(H68+H69+H70+H71+H72+H73+H74+H75, "NA")</f>
      </c>
      <c r="I76" s="18">
        <f>IFERROR(H76/H327, "NA")</f>
      </c>
      <c r="J76" s="8"/>
      <c r="K76" s="17">
        <f>IFERROR(K68+K69+K70+K71+K72+K73+K74+K75, "NA")</f>
      </c>
      <c r="L76" s="18">
        <f>IFERROR(K76/K327, "NA")</f>
      </c>
      <c r="M76" s="8"/>
      <c r="N76" s="17">
        <f>IFERROR(N68+N69+N70+N71+N72+N73+N74+N75, "NA")</f>
      </c>
      <c r="O76" s="18">
        <f>IFERROR(N76/N327, "NA")</f>
      </c>
    </row>
    <row r="77" ht="16.5" customHeight="1">
      <c t="s" r="A77" s="11">
        <v>80</v>
      </c>
      <c r="B77" s="8"/>
      <c r="C77" s="9"/>
      <c r="D77" s="10"/>
      <c r="E77" s="8"/>
      <c r="F77" s="9"/>
      <c r="G77" s="10"/>
      <c r="H77" s="8"/>
      <c r="I77" s="9"/>
      <c r="J77" s="10"/>
      <c r="K77" s="8"/>
      <c r="L77" s="9"/>
      <c r="M77" s="10"/>
      <c r="N77" s="8"/>
      <c r="O77" s="9"/>
    </row>
    <row r="78" ht="16.5" customHeight="1">
      <c t="s" r="A78" s="12">
        <v>81</v>
      </c>
      <c r="B78" s="13">
        <v>0</v>
      </c>
      <c r="C78" s="14">
        <f>IFERROR(B78/B327, "NA")</f>
      </c>
      <c r="D78" s="15"/>
      <c r="E78" s="13">
        <v>0</v>
      </c>
      <c r="F78" s="14">
        <f>IFERROR(E78/E327, "NA")</f>
      </c>
      <c r="G78" s="15"/>
      <c r="H78" s="13">
        <v>0</v>
      </c>
      <c r="I78" s="14">
        <f>IFERROR(H78/H327, "NA")</f>
      </c>
      <c r="J78" s="15"/>
      <c r="K78" s="13">
        <v>0</v>
      </c>
      <c r="L78" s="14">
        <f>IFERROR(K78/K327, "NA")</f>
      </c>
      <c r="M78" s="15"/>
      <c r="N78" s="13">
        <v>0</v>
      </c>
      <c r="O78" s="14">
        <f>IFERROR(N78/N327, "NA")</f>
      </c>
    </row>
    <row r="79" ht="16.5" customHeight="1">
      <c t="s" r="A79" s="12">
        <v>82</v>
      </c>
      <c r="B79" s="13">
        <v>0</v>
      </c>
      <c r="C79" s="14">
        <f>IFERROR(B79/B327, "NA")</f>
      </c>
      <c r="D79" s="15"/>
      <c r="E79" s="13">
        <v>0</v>
      </c>
      <c r="F79" s="14">
        <f>IFERROR(E79/E327, "NA")</f>
      </c>
      <c r="G79" s="15"/>
      <c r="H79" s="13">
        <v>0</v>
      </c>
      <c r="I79" s="14">
        <f>IFERROR(H79/H327, "NA")</f>
      </c>
      <c r="J79" s="15"/>
      <c r="K79" s="13">
        <v>0</v>
      </c>
      <c r="L79" s="14">
        <f>IFERROR(K79/K327, "NA")</f>
      </c>
      <c r="M79" s="15"/>
      <c r="N79" s="13">
        <v>0</v>
      </c>
      <c r="O79" s="14">
        <f>IFERROR(N79/N327, "NA")</f>
      </c>
    </row>
    <row r="80" ht="16.5" customHeight="1">
      <c t="s" r="A80" s="16">
        <v>83</v>
      </c>
      <c r="B80" s="17">
        <f>IFERROR(B78+B79, "NA")</f>
      </c>
      <c r="C80" s="18">
        <f>IFERROR(B80/B327, "NA")</f>
      </c>
      <c r="D80" s="8"/>
      <c r="E80" s="17">
        <f>IFERROR(E78+E79, "NA")</f>
      </c>
      <c r="F80" s="18">
        <f>IFERROR(E80/E327, "NA")</f>
      </c>
      <c r="G80" s="8"/>
      <c r="H80" s="17">
        <f>IFERROR(H78+H79, "NA")</f>
      </c>
      <c r="I80" s="18">
        <f>IFERROR(H80/H327, "NA")</f>
      </c>
      <c r="J80" s="8"/>
      <c r="K80" s="17">
        <f>IFERROR(K78+K79, "NA")</f>
      </c>
      <c r="L80" s="18">
        <f>IFERROR(K80/K327, "NA")</f>
      </c>
      <c r="M80" s="8"/>
      <c r="N80" s="17">
        <f>IFERROR(N78+N79, "NA")</f>
      </c>
      <c r="O80" s="18">
        <f>IFERROR(N80/N327, "NA")</f>
      </c>
    </row>
    <row r="81" ht="16.5" customHeight="1">
      <c t="s" r="A81" s="11">
        <v>84</v>
      </c>
      <c r="B81" s="8"/>
      <c r="C81" s="9"/>
      <c r="D81" s="10"/>
      <c r="E81" s="8"/>
      <c r="F81" s="9"/>
      <c r="G81" s="10"/>
      <c r="H81" s="8"/>
      <c r="I81" s="9"/>
      <c r="J81" s="10"/>
      <c r="K81" s="8"/>
      <c r="L81" s="9"/>
      <c r="M81" s="10"/>
      <c r="N81" s="8"/>
      <c r="O81" s="9"/>
    </row>
    <row r="82" ht="16.5" customHeight="1">
      <c t="s" r="A82" s="12">
        <v>85</v>
      </c>
      <c r="B82" s="13">
        <v>0</v>
      </c>
      <c r="C82" s="14">
        <f>IFERROR(B82/B327, "NA")</f>
      </c>
      <c r="D82" s="15"/>
      <c r="E82" s="13">
        <v>0</v>
      </c>
      <c r="F82" s="14">
        <f>IFERROR(E82/E327, "NA")</f>
      </c>
      <c r="G82" s="15"/>
      <c r="H82" s="13">
        <v>0</v>
      </c>
      <c r="I82" s="14">
        <f>IFERROR(H82/H327, "NA")</f>
      </c>
      <c r="J82" s="15"/>
      <c r="K82" s="13">
        <v>0</v>
      </c>
      <c r="L82" s="14">
        <f>IFERROR(K82/K327, "NA")</f>
      </c>
      <c r="M82" s="15"/>
      <c r="N82" s="13">
        <v>0</v>
      </c>
      <c r="O82" s="14">
        <f>IFERROR(N82/N327, "NA")</f>
      </c>
    </row>
    <row r="83" ht="16.5" customHeight="1">
      <c t="s" r="A83" s="21">
        <v>86</v>
      </c>
      <c r="B83" s="8"/>
      <c r="C83" s="9"/>
      <c r="D83" s="10"/>
      <c r="E83" s="8"/>
      <c r="F83" s="9"/>
      <c r="G83" s="10"/>
      <c r="H83" s="8"/>
      <c r="I83" s="9"/>
      <c r="J83" s="10"/>
      <c r="K83" s="8"/>
      <c r="L83" s="9"/>
      <c r="M83" s="10"/>
      <c r="N83" s="8"/>
      <c r="O83" s="9"/>
    </row>
    <row r="84" ht="16.5" customHeight="1">
      <c t="s" r="A84" s="22">
        <v>87</v>
      </c>
      <c r="B84" s="13">
        <v>0</v>
      </c>
      <c r="C84" s="14">
        <f>IFERROR(B84/B327, "NA")</f>
      </c>
      <c r="D84" s="15"/>
      <c r="E84" s="13">
        <v>0</v>
      </c>
      <c r="F84" s="14">
        <f>IFERROR(E84/E327, "NA")</f>
      </c>
      <c r="G84" s="15"/>
      <c r="H84" s="13">
        <v>0</v>
      </c>
      <c r="I84" s="14">
        <f>IFERROR(H84/H327, "NA")</f>
      </c>
      <c r="J84" s="15"/>
      <c r="K84" s="13">
        <v>0</v>
      </c>
      <c r="L84" s="14">
        <f>IFERROR(K84/K327, "NA")</f>
      </c>
      <c r="M84" s="15"/>
      <c r="N84" s="13">
        <v>0</v>
      </c>
      <c r="O84" s="14">
        <f>IFERROR(N84/N327, "NA")</f>
      </c>
    </row>
    <row r="85" ht="16.5" customHeight="1">
      <c t="s" r="A85" s="22">
        <v>88</v>
      </c>
      <c r="B85" s="13">
        <v>4198.8400000000001</v>
      </c>
      <c r="C85" s="14">
        <f>IFERROR(B85/B327, "NA")</f>
      </c>
      <c r="D85" s="15"/>
      <c r="E85" s="13">
        <v>11637.799999999999</v>
      </c>
      <c r="F85" s="14">
        <f>IFERROR(E85/E327, "NA")</f>
      </c>
      <c r="G85" s="15"/>
      <c r="H85" s="13">
        <v>553.25</v>
      </c>
      <c r="I85" s="14">
        <f>IFERROR(H85/H327, "NA")</f>
      </c>
      <c r="J85" s="15"/>
      <c r="K85" s="13">
        <v>20565.490000000002</v>
      </c>
      <c r="L85" s="14">
        <f>IFERROR(K85/K327, "NA")</f>
      </c>
      <c r="M85" s="15"/>
      <c r="N85" s="13">
        <v>0</v>
      </c>
      <c r="O85" s="14">
        <f>IFERROR(N85/N327, "NA")</f>
      </c>
    </row>
    <row r="86" ht="16.5" customHeight="1">
      <c t="s" r="A86" s="22">
        <v>89</v>
      </c>
      <c r="B86" s="13">
        <v>1822.1400000000001</v>
      </c>
      <c r="C86" s="14">
        <f>IFERROR(B86/B327, "NA")</f>
      </c>
      <c r="D86" s="15"/>
      <c r="E86" s="13">
        <v>3084.0799999999999</v>
      </c>
      <c r="F86" s="14">
        <f>IFERROR(E86/E327, "NA")</f>
      </c>
      <c r="G86" s="15"/>
      <c r="H86" s="13">
        <v>0</v>
      </c>
      <c r="I86" s="14">
        <f>IFERROR(H86/H327, "NA")</f>
      </c>
      <c r="J86" s="15"/>
      <c r="K86" s="13">
        <v>9687.9799999999996</v>
      </c>
      <c r="L86" s="14">
        <f>IFERROR(K86/K327, "NA")</f>
      </c>
      <c r="M86" s="15"/>
      <c r="N86" s="13">
        <v>0</v>
      </c>
      <c r="O86" s="14">
        <f>IFERROR(N86/N327, "NA")</f>
      </c>
    </row>
    <row r="87" ht="16.5" customHeight="1">
      <c t="s" r="A87" s="22">
        <v>90</v>
      </c>
      <c r="B87" s="13">
        <v>754.20000000000005</v>
      </c>
      <c r="C87" s="14">
        <f>IFERROR(B87/B327, "NA")</f>
      </c>
      <c r="D87" s="15"/>
      <c r="E87" s="13">
        <v>-79.719999999999999</v>
      </c>
      <c r="F87" s="14">
        <f>IFERROR(E87/E327, "NA")</f>
      </c>
      <c r="G87" s="15"/>
      <c r="H87" s="13">
        <v>420.39999999999998</v>
      </c>
      <c r="I87" s="14">
        <f>IFERROR(H87/H327, "NA")</f>
      </c>
      <c r="J87" s="15"/>
      <c r="K87" s="13">
        <v>1158.55</v>
      </c>
      <c r="L87" s="14">
        <f>IFERROR(K87/K327, "NA")</f>
      </c>
      <c r="M87" s="15"/>
      <c r="N87" s="13">
        <v>0</v>
      </c>
      <c r="O87" s="14">
        <f>IFERROR(N87/N327, "NA")</f>
      </c>
    </row>
    <row r="88" ht="16.5" customHeight="1">
      <c t="s" r="A88" s="22">
        <v>91</v>
      </c>
      <c r="B88" s="13">
        <v>0</v>
      </c>
      <c r="C88" s="14">
        <f>IFERROR(B88/B327, "NA")</f>
      </c>
      <c r="D88" s="15"/>
      <c r="E88" s="13">
        <v>0</v>
      </c>
      <c r="F88" s="14">
        <f>IFERROR(E88/E327, "NA")</f>
      </c>
      <c r="G88" s="15"/>
      <c r="H88" s="13">
        <v>0</v>
      </c>
      <c r="I88" s="14">
        <f>IFERROR(H88/H327, "NA")</f>
      </c>
      <c r="J88" s="15"/>
      <c r="K88" s="13">
        <v>0</v>
      </c>
      <c r="L88" s="14">
        <f>IFERROR(K88/K327, "NA")</f>
      </c>
      <c r="M88" s="15"/>
      <c r="N88" s="13">
        <v>0</v>
      </c>
      <c r="O88" s="14">
        <f>IFERROR(N88/N327, "NA")</f>
      </c>
    </row>
    <row r="89" ht="16.5" customHeight="1">
      <c t="s" r="A89" s="22">
        <v>92</v>
      </c>
      <c r="B89" s="13">
        <v>1898.1600000000001</v>
      </c>
      <c r="C89" s="14">
        <f>IFERROR(B89/B327, "NA")</f>
      </c>
      <c r="D89" s="15"/>
      <c r="E89" s="13">
        <v>4260.8599999999997</v>
      </c>
      <c r="F89" s="14">
        <f>IFERROR(E89/E327, "NA")</f>
      </c>
      <c r="G89" s="15"/>
      <c r="H89" s="13">
        <v>0</v>
      </c>
      <c r="I89" s="14">
        <f>IFERROR(H89/H327, "NA")</f>
      </c>
      <c r="J89" s="15"/>
      <c r="K89" s="13">
        <v>7530.4899999999998</v>
      </c>
      <c r="L89" s="14">
        <f>IFERROR(K89/K327, "NA")</f>
      </c>
      <c r="M89" s="15"/>
      <c r="N89" s="13">
        <v>0</v>
      </c>
      <c r="O89" s="14">
        <f>IFERROR(N89/N327, "NA")</f>
      </c>
    </row>
    <row r="90" ht="16.5" customHeight="1">
      <c t="s" r="A90" s="22">
        <v>93</v>
      </c>
      <c r="B90" s="13">
        <v>0</v>
      </c>
      <c r="C90" s="14">
        <f>IFERROR(B90/B327, "NA")</f>
      </c>
      <c r="D90" s="15"/>
      <c r="E90" s="13">
        <v>0</v>
      </c>
      <c r="F90" s="14">
        <f>IFERROR(E90/E327, "NA")</f>
      </c>
      <c r="G90" s="15"/>
      <c r="H90" s="13">
        <v>0</v>
      </c>
      <c r="I90" s="14">
        <f>IFERROR(H90/H327, "NA")</f>
      </c>
      <c r="J90" s="15"/>
      <c r="K90" s="13">
        <v>0</v>
      </c>
      <c r="L90" s="14">
        <f>IFERROR(K90/K327, "NA")</f>
      </c>
      <c r="M90" s="15"/>
      <c r="N90" s="13">
        <v>0</v>
      </c>
      <c r="O90" s="14">
        <f>IFERROR(N90/N327, "NA")</f>
      </c>
    </row>
    <row r="91" ht="16.5" customHeight="1">
      <c t="s" r="A91" s="22">
        <v>94</v>
      </c>
      <c r="B91" s="13">
        <v>0</v>
      </c>
      <c r="C91" s="14">
        <f>IFERROR(B91/B327, "NA")</f>
      </c>
      <c r="D91" s="15"/>
      <c r="E91" s="13">
        <v>0</v>
      </c>
      <c r="F91" s="14">
        <f>IFERROR(E91/E327, "NA")</f>
      </c>
      <c r="G91" s="15"/>
      <c r="H91" s="13">
        <v>0</v>
      </c>
      <c r="I91" s="14">
        <f>IFERROR(H91/H327, "NA")</f>
      </c>
      <c r="J91" s="15"/>
      <c r="K91" s="13">
        <v>0</v>
      </c>
      <c r="L91" s="14">
        <f>IFERROR(K91/K327, "NA")</f>
      </c>
      <c r="M91" s="15"/>
      <c r="N91" s="13">
        <v>0</v>
      </c>
      <c r="O91" s="14">
        <f>IFERROR(N91/N327, "NA")</f>
      </c>
    </row>
    <row r="92" ht="16.5" customHeight="1">
      <c t="s" r="A92" s="22">
        <v>95</v>
      </c>
      <c r="B92" s="13">
        <v>1015.5</v>
      </c>
      <c r="C92" s="14">
        <f>IFERROR(B92/B327, "NA")</f>
      </c>
      <c r="D92" s="15"/>
      <c r="E92" s="13">
        <v>3233.4299999999998</v>
      </c>
      <c r="F92" s="14">
        <f>IFERROR(E92/E327, "NA")</f>
      </c>
      <c r="G92" s="15"/>
      <c r="H92" s="13">
        <v>0</v>
      </c>
      <c r="I92" s="14">
        <f>IFERROR(H92/H327, "NA")</f>
      </c>
      <c r="J92" s="15"/>
      <c r="K92" s="13">
        <v>6013.6700000000001</v>
      </c>
      <c r="L92" s="14">
        <f>IFERROR(K92/K327, "NA")</f>
      </c>
      <c r="M92" s="15"/>
      <c r="N92" s="13">
        <v>0</v>
      </c>
      <c r="O92" s="14">
        <f>IFERROR(N92/N327, "NA")</f>
      </c>
    </row>
    <row r="93" ht="16.5" customHeight="1">
      <c t="s" r="A93" s="22">
        <v>96</v>
      </c>
      <c r="B93" s="13">
        <v>133.47999999999999</v>
      </c>
      <c r="C93" s="14">
        <f>IFERROR(B93/B327, "NA")</f>
      </c>
      <c r="D93" s="15"/>
      <c r="E93" s="13">
        <v>470.81999999999999</v>
      </c>
      <c r="F93" s="14">
        <f>IFERROR(E93/E327, "NA")</f>
      </c>
      <c r="G93" s="15"/>
      <c r="H93" s="13">
        <v>0</v>
      </c>
      <c r="I93" s="14">
        <f>IFERROR(H93/H327, "NA")</f>
      </c>
      <c r="J93" s="15"/>
      <c r="K93" s="13">
        <v>961.97000000000003</v>
      </c>
      <c r="L93" s="14">
        <f>IFERROR(K93/K327, "NA")</f>
      </c>
      <c r="M93" s="15"/>
      <c r="N93" s="13">
        <v>0</v>
      </c>
      <c r="O93" s="14">
        <f>IFERROR(N93/N327, "NA")</f>
      </c>
    </row>
    <row r="94" ht="16.5" customHeight="1">
      <c t="s" r="A94" s="22">
        <v>97</v>
      </c>
      <c r="B94" s="13">
        <v>0</v>
      </c>
      <c r="C94" s="14">
        <f>IFERROR(B94/B327, "NA")</f>
      </c>
      <c r="D94" s="15"/>
      <c r="E94" s="13">
        <v>0</v>
      </c>
      <c r="F94" s="14">
        <f>IFERROR(E94/E327, "NA")</f>
      </c>
      <c r="G94" s="15"/>
      <c r="H94" s="13">
        <v>0</v>
      </c>
      <c r="I94" s="14">
        <f>IFERROR(H94/H327, "NA")</f>
      </c>
      <c r="J94" s="15"/>
      <c r="K94" s="13">
        <v>0</v>
      </c>
      <c r="L94" s="14">
        <f>IFERROR(K94/K327, "NA")</f>
      </c>
      <c r="M94" s="15"/>
      <c r="N94" s="13">
        <v>0</v>
      </c>
      <c r="O94" s="14">
        <f>IFERROR(N94/N327, "NA")</f>
      </c>
    </row>
    <row r="95" ht="16.5" customHeight="1">
      <c t="s" r="A95" s="22">
        <v>98</v>
      </c>
      <c r="B95" s="13">
        <v>0</v>
      </c>
      <c r="C95" s="14">
        <f>IFERROR(B95/B327, "NA")</f>
      </c>
      <c r="D95" s="15"/>
      <c r="E95" s="13">
        <v>0</v>
      </c>
      <c r="F95" s="14">
        <f>IFERROR(E95/E327, "NA")</f>
      </c>
      <c r="G95" s="15"/>
      <c r="H95" s="13">
        <v>0</v>
      </c>
      <c r="I95" s="14">
        <f>IFERROR(H95/H327, "NA")</f>
      </c>
      <c r="J95" s="15"/>
      <c r="K95" s="13">
        <v>0</v>
      </c>
      <c r="L95" s="14">
        <f>IFERROR(K95/K327, "NA")</f>
      </c>
      <c r="M95" s="15"/>
      <c r="N95" s="13">
        <v>0</v>
      </c>
      <c r="O95" s="14">
        <f>IFERROR(N95/N327, "NA")</f>
      </c>
    </row>
    <row r="96" ht="16.5" customHeight="1">
      <c t="s" r="A96" s="22">
        <v>99</v>
      </c>
      <c r="B96" s="13">
        <v>0</v>
      </c>
      <c r="C96" s="14">
        <f>IFERROR(B96/B327, "NA")</f>
      </c>
      <c r="D96" s="15"/>
      <c r="E96" s="13">
        <v>0</v>
      </c>
      <c r="F96" s="14">
        <f>IFERROR(E96/E327, "NA")</f>
      </c>
      <c r="G96" s="15"/>
      <c r="H96" s="13">
        <v>0</v>
      </c>
      <c r="I96" s="14">
        <f>IFERROR(H96/H327, "NA")</f>
      </c>
      <c r="J96" s="15"/>
      <c r="K96" s="13">
        <v>0</v>
      </c>
      <c r="L96" s="14">
        <f>IFERROR(K96/K327, "NA")</f>
      </c>
      <c r="M96" s="15"/>
      <c r="N96" s="13">
        <v>0</v>
      </c>
      <c r="O96" s="14">
        <f>IFERROR(N96/N327, "NA")</f>
      </c>
    </row>
    <row r="97" ht="16.5" customHeight="1">
      <c t="s" r="A97" s="22">
        <v>100</v>
      </c>
      <c r="B97" s="13">
        <v>1037.4200000000001</v>
      </c>
      <c r="C97" s="14">
        <f>IFERROR(B97/B327, "NA")</f>
      </c>
      <c r="D97" s="15"/>
      <c r="E97" s="13">
        <v>2727.0599999999999</v>
      </c>
      <c r="F97" s="14">
        <f>IFERROR(E97/E327, "NA")</f>
      </c>
      <c r="G97" s="15"/>
      <c r="H97" s="13">
        <v>0</v>
      </c>
      <c r="I97" s="14">
        <f>IFERROR(H97/H327, "NA")</f>
      </c>
      <c r="J97" s="15"/>
      <c r="K97" s="13">
        <v>7002.6899999999996</v>
      </c>
      <c r="L97" s="14">
        <f>IFERROR(K97/K327, "NA")</f>
      </c>
      <c r="M97" s="15"/>
      <c r="N97" s="13">
        <v>0</v>
      </c>
      <c r="O97" s="14">
        <f>IFERROR(N97/N327, "NA")</f>
      </c>
    </row>
    <row r="98" ht="16.5" customHeight="1">
      <c t="s" r="A98" s="22">
        <v>101</v>
      </c>
      <c r="B98" s="13">
        <v>1016</v>
      </c>
      <c r="C98" s="14">
        <f>IFERROR(B98/B327, "NA")</f>
      </c>
      <c r="D98" s="15"/>
      <c r="E98" s="13">
        <v>1268</v>
      </c>
      <c r="F98" s="14">
        <f>IFERROR(E98/E327, "NA")</f>
      </c>
      <c r="G98" s="15"/>
      <c r="H98" s="13">
        <v>1268</v>
      </c>
      <c r="I98" s="14">
        <f>IFERROR(H98/H327, "NA")</f>
      </c>
      <c r="J98" s="15"/>
      <c r="K98" s="13">
        <v>1889</v>
      </c>
      <c r="L98" s="14">
        <f>IFERROR(K98/K327, "NA")</f>
      </c>
      <c r="M98" s="15"/>
      <c r="N98" s="13">
        <v>1384</v>
      </c>
      <c r="O98" s="14">
        <f>IFERROR(N98/N327, "NA")</f>
      </c>
    </row>
    <row r="99" ht="16.5" customHeight="1">
      <c t="s" r="A99" s="22">
        <v>102</v>
      </c>
      <c r="B99" s="13">
        <v>0</v>
      </c>
      <c r="C99" s="14">
        <f>IFERROR(B99/B327, "NA")</f>
      </c>
      <c r="D99" s="15"/>
      <c r="E99" s="13">
        <v>0</v>
      </c>
      <c r="F99" s="14">
        <f>IFERROR(E99/E327, "NA")</f>
      </c>
      <c r="G99" s="15"/>
      <c r="H99" s="13">
        <v>0</v>
      </c>
      <c r="I99" s="14">
        <f>IFERROR(H99/H327, "NA")</f>
      </c>
      <c r="J99" s="15"/>
      <c r="K99" s="13">
        <v>0</v>
      </c>
      <c r="L99" s="14">
        <f>IFERROR(K99/K327, "NA")</f>
      </c>
      <c r="M99" s="15"/>
      <c r="N99" s="13">
        <v>0</v>
      </c>
      <c r="O99" s="14">
        <f>IFERROR(N99/N327, "NA")</f>
      </c>
    </row>
    <row r="100" ht="16.5" customHeight="1">
      <c t="s" r="A100" s="22">
        <v>103</v>
      </c>
      <c r="B100" s="13">
        <v>0</v>
      </c>
      <c r="C100" s="14">
        <f>IFERROR(B100/B327, "NA")</f>
      </c>
      <c r="D100" s="15"/>
      <c r="E100" s="13">
        <v>0</v>
      </c>
      <c r="F100" s="14">
        <f>IFERROR(E100/E327, "NA")</f>
      </c>
      <c r="G100" s="15"/>
      <c r="H100" s="13">
        <v>0</v>
      </c>
      <c r="I100" s="14">
        <f>IFERROR(H100/H327, "NA")</f>
      </c>
      <c r="J100" s="15"/>
      <c r="K100" s="13">
        <v>0</v>
      </c>
      <c r="L100" s="14">
        <f>IFERROR(K100/K327, "NA")</f>
      </c>
      <c r="M100" s="15"/>
      <c r="N100" s="13">
        <v>0</v>
      </c>
      <c r="O100" s="14">
        <f>IFERROR(N100/N327, "NA")</f>
      </c>
    </row>
    <row r="101" ht="16.5" customHeight="1">
      <c t="s" r="A101" s="22">
        <v>104</v>
      </c>
      <c r="B101" s="13">
        <v>0</v>
      </c>
      <c r="C101" s="14">
        <f>IFERROR(B101/B327, "NA")</f>
      </c>
      <c r="D101" s="15"/>
      <c r="E101" s="13">
        <v>0</v>
      </c>
      <c r="F101" s="14">
        <f>IFERROR(E101/E327, "NA")</f>
      </c>
      <c r="G101" s="15"/>
      <c r="H101" s="13">
        <v>0</v>
      </c>
      <c r="I101" s="14">
        <f>IFERROR(H101/H327, "NA")</f>
      </c>
      <c r="J101" s="15"/>
      <c r="K101" s="13">
        <v>0</v>
      </c>
      <c r="L101" s="14">
        <f>IFERROR(K101/K327, "NA")</f>
      </c>
      <c r="M101" s="15"/>
      <c r="N101" s="13">
        <v>0</v>
      </c>
      <c r="O101" s="14">
        <f>IFERROR(N101/N327, "NA")</f>
      </c>
    </row>
    <row r="102" ht="16.5" customHeight="1">
      <c t="s" r="A102" s="22">
        <v>105</v>
      </c>
      <c r="B102" s="13">
        <v>0</v>
      </c>
      <c r="C102" s="14">
        <f>IFERROR(B102/B327, "NA")</f>
      </c>
      <c r="D102" s="15"/>
      <c r="E102" s="13">
        <v>0</v>
      </c>
      <c r="F102" s="14">
        <f>IFERROR(E102/E327, "NA")</f>
      </c>
      <c r="G102" s="15"/>
      <c r="H102" s="13">
        <v>0</v>
      </c>
      <c r="I102" s="14">
        <f>IFERROR(H102/H327, "NA")</f>
      </c>
      <c r="J102" s="15"/>
      <c r="K102" s="13">
        <v>0</v>
      </c>
      <c r="L102" s="14">
        <f>IFERROR(K102/K327, "NA")</f>
      </c>
      <c r="M102" s="15"/>
      <c r="N102" s="13">
        <v>0</v>
      </c>
      <c r="O102" s="14">
        <f>IFERROR(N102/N327, "NA")</f>
      </c>
    </row>
    <row r="103" ht="16.5" customHeight="1">
      <c t="s" r="A103" s="22">
        <v>106</v>
      </c>
      <c r="B103" s="13">
        <v>0</v>
      </c>
      <c r="C103" s="14">
        <f>IFERROR(B103/B327, "NA")</f>
      </c>
      <c r="D103" s="15"/>
      <c r="E103" s="13">
        <v>0</v>
      </c>
      <c r="F103" s="14">
        <f>IFERROR(E103/E327, "NA")</f>
      </c>
      <c r="G103" s="15"/>
      <c r="H103" s="13">
        <v>0</v>
      </c>
      <c r="I103" s="14">
        <f>IFERROR(H103/H327, "NA")</f>
      </c>
      <c r="J103" s="15"/>
      <c r="K103" s="13">
        <v>0</v>
      </c>
      <c r="L103" s="14">
        <f>IFERROR(K103/K327, "NA")</f>
      </c>
      <c r="M103" s="15"/>
      <c r="N103" s="13">
        <v>0</v>
      </c>
      <c r="O103" s="14">
        <f>IFERROR(N103/N327, "NA")</f>
      </c>
    </row>
    <row r="104" ht="16.5" customHeight="1">
      <c t="s" r="A104" s="22">
        <v>107</v>
      </c>
      <c r="B104" s="13">
        <v>0</v>
      </c>
      <c r="C104" s="14">
        <f>IFERROR(B104/B327, "NA")</f>
      </c>
      <c r="D104" s="15"/>
      <c r="E104" s="13">
        <v>0</v>
      </c>
      <c r="F104" s="14">
        <f>IFERROR(E104/E327, "NA")</f>
      </c>
      <c r="G104" s="15"/>
      <c r="H104" s="13">
        <v>0</v>
      </c>
      <c r="I104" s="14">
        <f>IFERROR(H104/H327, "NA")</f>
      </c>
      <c r="J104" s="15"/>
      <c r="K104" s="13">
        <v>0</v>
      </c>
      <c r="L104" s="14">
        <f>IFERROR(K104/K327, "NA")</f>
      </c>
      <c r="M104" s="15"/>
      <c r="N104" s="13">
        <v>0</v>
      </c>
      <c r="O104" s="14">
        <f>IFERROR(N104/N327, "NA")</f>
      </c>
    </row>
    <row r="105" ht="16.5" customHeight="1">
      <c t="s" r="A105" s="22">
        <v>108</v>
      </c>
      <c r="B105" s="13">
        <v>0</v>
      </c>
      <c r="C105" s="14">
        <f>IFERROR(B105/B327, "NA")</f>
      </c>
      <c r="D105" s="15"/>
      <c r="E105" s="13">
        <v>0</v>
      </c>
      <c r="F105" s="14">
        <f>IFERROR(E105/E327, "NA")</f>
      </c>
      <c r="G105" s="15"/>
      <c r="H105" s="13">
        <v>0</v>
      </c>
      <c r="I105" s="14">
        <f>IFERROR(H105/H327, "NA")</f>
      </c>
      <c r="J105" s="15"/>
      <c r="K105" s="13">
        <v>0</v>
      </c>
      <c r="L105" s="14">
        <f>IFERROR(K105/K327, "NA")</f>
      </c>
      <c r="M105" s="15"/>
      <c r="N105" s="13">
        <v>0</v>
      </c>
      <c r="O105" s="14">
        <f>IFERROR(N105/N327, "NA")</f>
      </c>
    </row>
    <row r="106" ht="16.5" customHeight="1">
      <c t="s" r="A106" s="22">
        <v>109</v>
      </c>
      <c r="B106" s="13">
        <v>0</v>
      </c>
      <c r="C106" s="14">
        <f>IFERROR(B106/B327, "NA")</f>
      </c>
      <c r="D106" s="15"/>
      <c r="E106" s="13">
        <v>0</v>
      </c>
      <c r="F106" s="14">
        <f>IFERROR(E106/E327, "NA")</f>
      </c>
      <c r="G106" s="15"/>
      <c r="H106" s="13">
        <v>0</v>
      </c>
      <c r="I106" s="14">
        <f>IFERROR(H106/H327, "NA")</f>
      </c>
      <c r="J106" s="15"/>
      <c r="K106" s="13">
        <v>240</v>
      </c>
      <c r="L106" s="14">
        <f>IFERROR(K106/K327, "NA")</f>
      </c>
      <c r="M106" s="15"/>
      <c r="N106" s="13">
        <v>0</v>
      </c>
      <c r="O106" s="14">
        <f>IFERROR(N106/N327, "NA")</f>
      </c>
    </row>
    <row r="107" ht="16.5" customHeight="1">
      <c t="s" r="A107" s="22">
        <v>110</v>
      </c>
      <c r="B107" s="13">
        <v>0</v>
      </c>
      <c r="C107" s="14">
        <f>IFERROR(B107/B327, "NA")</f>
      </c>
      <c r="D107" s="15"/>
      <c r="E107" s="13">
        <v>0</v>
      </c>
      <c r="F107" s="14">
        <f>IFERROR(E107/E327, "NA")</f>
      </c>
      <c r="G107" s="15"/>
      <c r="H107" s="13">
        <v>0</v>
      </c>
      <c r="I107" s="14">
        <f>IFERROR(H107/H327, "NA")</f>
      </c>
      <c r="J107" s="15"/>
      <c r="K107" s="13">
        <v>530.39999999999998</v>
      </c>
      <c r="L107" s="14">
        <f>IFERROR(K107/K327, "NA")</f>
      </c>
      <c r="M107" s="15"/>
      <c r="N107" s="13">
        <v>0</v>
      </c>
      <c r="O107" s="14">
        <f>IFERROR(N107/N327, "NA")</f>
      </c>
    </row>
    <row r="108" ht="16.5" customHeight="1">
      <c t="s" r="A108" s="22">
        <v>111</v>
      </c>
      <c r="B108" s="13">
        <v>0</v>
      </c>
      <c r="C108" s="14">
        <f>IFERROR(B108/B327, "NA")</f>
      </c>
      <c r="D108" s="15"/>
      <c r="E108" s="13">
        <v>0</v>
      </c>
      <c r="F108" s="14">
        <f>IFERROR(E108/E327, "NA")</f>
      </c>
      <c r="G108" s="15"/>
      <c r="H108" s="13">
        <v>0</v>
      </c>
      <c r="I108" s="14">
        <f>IFERROR(H108/H327, "NA")</f>
      </c>
      <c r="J108" s="15"/>
      <c r="K108" s="13">
        <v>0</v>
      </c>
      <c r="L108" s="14">
        <f>IFERROR(K108/K327, "NA")</f>
      </c>
      <c r="M108" s="15"/>
      <c r="N108" s="13">
        <v>0</v>
      </c>
      <c r="O108" s="14">
        <f>IFERROR(N108/N327, "NA")</f>
      </c>
    </row>
    <row r="109" ht="16.5" customHeight="1">
      <c t="s" r="A109" s="22">
        <v>112</v>
      </c>
      <c r="B109" s="13">
        <v>0</v>
      </c>
      <c r="C109" s="14">
        <f>IFERROR(B109/B327, "NA")</f>
      </c>
      <c r="D109" s="15"/>
      <c r="E109" s="13">
        <v>0</v>
      </c>
      <c r="F109" s="14">
        <f>IFERROR(E109/E327, "NA")</f>
      </c>
      <c r="G109" s="15"/>
      <c r="H109" s="13">
        <v>0</v>
      </c>
      <c r="I109" s="14">
        <f>IFERROR(H109/H327, "NA")</f>
      </c>
      <c r="J109" s="15"/>
      <c r="K109" s="13">
        <v>0</v>
      </c>
      <c r="L109" s="14">
        <f>IFERROR(K109/K327, "NA")</f>
      </c>
      <c r="M109" s="15"/>
      <c r="N109" s="13">
        <v>0</v>
      </c>
      <c r="O109" s="14">
        <f>IFERROR(N109/N327, "NA")</f>
      </c>
    </row>
    <row r="110" ht="16.5" customHeight="1">
      <c t="s" r="A110" s="22">
        <v>113</v>
      </c>
      <c r="B110" s="13">
        <v>657.70000000000005</v>
      </c>
      <c r="C110" s="14">
        <f>IFERROR(B110/B327, "NA")</f>
      </c>
      <c r="D110" s="15"/>
      <c r="E110" s="13">
        <v>176.94999999999999</v>
      </c>
      <c r="F110" s="14">
        <f>IFERROR(E110/E327, "NA")</f>
      </c>
      <c r="G110" s="15"/>
      <c r="H110" s="13">
        <v>0</v>
      </c>
      <c r="I110" s="14">
        <f>IFERROR(H110/H327, "NA")</f>
      </c>
      <c r="J110" s="15"/>
      <c r="K110" s="13">
        <v>0</v>
      </c>
      <c r="L110" s="14">
        <f>IFERROR(K110/K327, "NA")</f>
      </c>
      <c r="M110" s="15"/>
      <c r="N110" s="13">
        <v>0</v>
      </c>
      <c r="O110" s="14">
        <f>IFERROR(N110/N327, "NA")</f>
      </c>
    </row>
    <row r="111" ht="16.5" customHeight="1">
      <c t="s" r="A111" s="22">
        <v>114</v>
      </c>
      <c r="B111" s="13">
        <v>0</v>
      </c>
      <c r="C111" s="14">
        <f>IFERROR(B111/B327, "NA")</f>
      </c>
      <c r="D111" s="15"/>
      <c r="E111" s="13">
        <v>0</v>
      </c>
      <c r="F111" s="14">
        <f>IFERROR(E111/E327, "NA")</f>
      </c>
      <c r="G111" s="15"/>
      <c r="H111" s="13">
        <v>0</v>
      </c>
      <c r="I111" s="14">
        <f>IFERROR(H111/H327, "NA")</f>
      </c>
      <c r="J111" s="15"/>
      <c r="K111" s="13">
        <v>0</v>
      </c>
      <c r="L111" s="14">
        <f>IFERROR(K111/K327, "NA")</f>
      </c>
      <c r="M111" s="15"/>
      <c r="N111" s="13">
        <v>0</v>
      </c>
      <c r="O111" s="14">
        <f>IFERROR(N111/N327, "NA")</f>
      </c>
    </row>
    <row r="112" ht="16.5" customHeight="1">
      <c t="s" r="A112" s="22">
        <v>115</v>
      </c>
      <c r="B112" s="13">
        <v>119.41</v>
      </c>
      <c r="C112" s="14">
        <f>IFERROR(B112/B327, "NA")</f>
      </c>
      <c r="D112" s="15"/>
      <c r="E112" s="13">
        <v>0.050000000000000003</v>
      </c>
      <c r="F112" s="14">
        <f>IFERROR(E112/E327, "NA")</f>
      </c>
      <c r="G112" s="15"/>
      <c r="H112" s="13">
        <v>0</v>
      </c>
      <c r="I112" s="14">
        <f>IFERROR(H112/H327, "NA")</f>
      </c>
      <c r="J112" s="15"/>
      <c r="K112" s="13">
        <v>397.80000000000001</v>
      </c>
      <c r="L112" s="14">
        <f>IFERROR(K112/K327, "NA")</f>
      </c>
      <c r="M112" s="15"/>
      <c r="N112" s="13">
        <v>0</v>
      </c>
      <c r="O112" s="14">
        <f>IFERROR(N112/N327, "NA")</f>
      </c>
    </row>
    <row r="113" ht="16.5" customHeight="1">
      <c t="s" r="A113" s="22">
        <v>116</v>
      </c>
      <c r="B113" s="13">
        <v>0</v>
      </c>
      <c r="C113" s="14">
        <f>IFERROR(B113/B327, "NA")</f>
      </c>
      <c r="D113" s="15"/>
      <c r="E113" s="13">
        <v>0</v>
      </c>
      <c r="F113" s="14">
        <f>IFERROR(E113/E327, "NA")</f>
      </c>
      <c r="G113" s="15"/>
      <c r="H113" s="13">
        <v>0</v>
      </c>
      <c r="I113" s="14">
        <f>IFERROR(H113/H327, "NA")</f>
      </c>
      <c r="J113" s="15"/>
      <c r="K113" s="13">
        <v>0</v>
      </c>
      <c r="L113" s="14">
        <f>IFERROR(K113/K327, "NA")</f>
      </c>
      <c r="M113" s="15"/>
      <c r="N113" s="13">
        <v>0</v>
      </c>
      <c r="O113" s="14">
        <f>IFERROR(N113/N327, "NA")</f>
      </c>
    </row>
    <row r="114" ht="16.5" customHeight="1">
      <c t="s" r="A114" s="22">
        <v>117</v>
      </c>
      <c r="B114" s="13">
        <v>1042.8299999999999</v>
      </c>
      <c r="C114" s="14">
        <f>IFERROR(B114/B327, "NA")</f>
      </c>
      <c r="D114" s="15"/>
      <c r="E114" s="13">
        <v>1914.95</v>
      </c>
      <c r="F114" s="14">
        <f>IFERROR(E114/E327, "NA")</f>
      </c>
      <c r="G114" s="15"/>
      <c r="H114" s="13">
        <v>161.22999999999999</v>
      </c>
      <c r="I114" s="14">
        <f>IFERROR(H114/H327, "NA")</f>
      </c>
      <c r="J114" s="15"/>
      <c r="K114" s="13">
        <v>5464.3500000000004</v>
      </c>
      <c r="L114" s="14">
        <f>IFERROR(K114/K327, "NA")</f>
      </c>
      <c r="M114" s="15"/>
      <c r="N114" s="13">
        <v>272.92000000000002</v>
      </c>
      <c r="O114" s="14">
        <f>IFERROR(N114/N327, "NA")</f>
      </c>
    </row>
    <row r="115" ht="16.5" customHeight="1">
      <c t="s" r="A115" s="22">
        <v>118</v>
      </c>
      <c r="B115" s="13">
        <v>0</v>
      </c>
      <c r="C115" s="14">
        <f>IFERROR(B115/B327, "NA")</f>
      </c>
      <c r="D115" s="15"/>
      <c r="E115" s="13">
        <v>0</v>
      </c>
      <c r="F115" s="14">
        <f>IFERROR(E115/E327, "NA")</f>
      </c>
      <c r="G115" s="15"/>
      <c r="H115" s="13">
        <v>0</v>
      </c>
      <c r="I115" s="14">
        <f>IFERROR(H115/H327, "NA")</f>
      </c>
      <c r="J115" s="15"/>
      <c r="K115" s="13">
        <v>0</v>
      </c>
      <c r="L115" s="14">
        <f>IFERROR(K115/K327, "NA")</f>
      </c>
      <c r="M115" s="15"/>
      <c r="N115" s="13">
        <v>0</v>
      </c>
      <c r="O115" s="14">
        <f>IFERROR(N115/N327, "NA")</f>
      </c>
    </row>
    <row r="116" ht="16.5" customHeight="1">
      <c t="s" r="A116" s="22">
        <v>119</v>
      </c>
      <c r="B116" s="13">
        <v>0</v>
      </c>
      <c r="C116" s="14">
        <f>IFERROR(B116/B327, "NA")</f>
      </c>
      <c r="D116" s="15"/>
      <c r="E116" s="13">
        <v>0</v>
      </c>
      <c r="F116" s="14">
        <f>IFERROR(E116/E327, "NA")</f>
      </c>
      <c r="G116" s="15"/>
      <c r="H116" s="13">
        <v>0</v>
      </c>
      <c r="I116" s="14">
        <f>IFERROR(H116/H327, "NA")</f>
      </c>
      <c r="J116" s="15"/>
      <c r="K116" s="13">
        <v>0</v>
      </c>
      <c r="L116" s="14">
        <f>IFERROR(K116/K327, "NA")</f>
      </c>
      <c r="M116" s="15"/>
      <c r="N116" s="13">
        <v>0</v>
      </c>
      <c r="O116" s="14">
        <f>IFERROR(N116/N327, "NA")</f>
      </c>
    </row>
    <row r="117" ht="16.5" customHeight="1">
      <c t="s" r="A117" s="22">
        <v>120</v>
      </c>
      <c r="B117" s="13">
        <v>0</v>
      </c>
      <c r="C117" s="14">
        <f>IFERROR(B117/B327, "NA")</f>
      </c>
      <c r="D117" s="15"/>
      <c r="E117" s="13">
        <v>0</v>
      </c>
      <c r="F117" s="14">
        <f>IFERROR(E117/E327, "NA")</f>
      </c>
      <c r="G117" s="15"/>
      <c r="H117" s="13">
        <v>0</v>
      </c>
      <c r="I117" s="14">
        <f>IFERROR(H117/H327, "NA")</f>
      </c>
      <c r="J117" s="15"/>
      <c r="K117" s="13">
        <v>0</v>
      </c>
      <c r="L117" s="14">
        <f>IFERROR(K117/K327, "NA")</f>
      </c>
      <c r="M117" s="15"/>
      <c r="N117" s="13">
        <v>0</v>
      </c>
      <c r="O117" s="14">
        <f>IFERROR(N117/N327, "NA")</f>
      </c>
    </row>
    <row r="118" ht="16.5" customHeight="1">
      <c t="s" r="A118" s="22">
        <v>121</v>
      </c>
      <c r="B118" s="13">
        <v>0</v>
      </c>
      <c r="C118" s="14">
        <f>IFERROR(B118/B327, "NA")</f>
      </c>
      <c r="D118" s="15"/>
      <c r="E118" s="13">
        <v>6392.3100000000004</v>
      </c>
      <c r="F118" s="14">
        <f>IFERROR(E118/E327, "NA")</f>
      </c>
      <c r="G118" s="15"/>
      <c r="H118" s="13">
        <v>0</v>
      </c>
      <c r="I118" s="14">
        <f>IFERROR(H118/H327, "NA")</f>
      </c>
      <c r="J118" s="15"/>
      <c r="K118" s="13">
        <v>1321.2</v>
      </c>
      <c r="L118" s="14">
        <f>IFERROR(K118/K327, "NA")</f>
      </c>
      <c r="M118" s="15"/>
      <c r="N118" s="13">
        <v>0</v>
      </c>
      <c r="O118" s="14">
        <f>IFERROR(N118/N327, "NA")</f>
      </c>
    </row>
    <row r="119" ht="16.5" customHeight="1">
      <c t="s" r="A119" s="23">
        <v>122</v>
      </c>
      <c r="B119" s="17">
        <f>IFERROR(B84+B85+B86+B87+B88+B89+B90+B91+B92+B93+B94+B95+B96+B97+B98+B99+B100+B101+B102+B103+B104+B105+B106+B107+B108+B109+B110+B111+B112+B113+B114+B115+B116+B117+B118, "NA")</f>
      </c>
      <c r="C119" s="18">
        <f>IFERROR(B119/B327, "NA")</f>
      </c>
      <c r="D119" s="8"/>
      <c r="E119" s="17">
        <f>IFERROR(E84+E85+E86+E87+E88+E89+E90+E91+E92+E93+E94+E95+E96+E97+E98+E99+E100+E101+E102+E103+E104+E105+E106+E107+E108+E109+E110+E111+E112+E113+E114+E115+E116+E117+E118, "NA")</f>
      </c>
      <c r="F119" s="18">
        <f>IFERROR(E119/E327, "NA")</f>
      </c>
      <c r="G119" s="8"/>
      <c r="H119" s="17">
        <f>IFERROR(H84+H85+H86+H87+H88+H89+H90+H91+H92+H93+H94+H95+H96+H97+H98+H99+H100+H101+H102+H103+H104+H105+H106+H107+H108+H109+H110+H111+H112+H113+H114+H115+H116+H117+H118, "NA")</f>
      </c>
      <c r="I119" s="18">
        <f>IFERROR(H119/H327, "NA")</f>
      </c>
      <c r="J119" s="8"/>
      <c r="K119" s="17">
        <f>IFERROR(K84+K85+K86+K87+K88+K89+K90+K91+K92+K93+K94+K95+K96+K97+K98+K99+K100+K101+K102+K103+K104+K105+K106+K107+K108+K109+K110+K111+K112+K113+K114+K115+K116+K117+K118, "NA")</f>
      </c>
      <c r="L119" s="18">
        <f>IFERROR(K119/K327, "NA")</f>
      </c>
      <c r="M119" s="8"/>
      <c r="N119" s="17">
        <f>IFERROR(N84+N85+N86+N87+N88+N89+N90+N91+N92+N93+N94+N95+N96+N97+N98+N99+N100+N101+N102+N103+N104+N105+N106+N107+N108+N109+N110+N111+N112+N113+N114+N115+N116+N117+N118, "NA")</f>
      </c>
      <c r="O119" s="18">
        <f>IFERROR(N119/N327, "NA")</f>
      </c>
    </row>
    <row r="120" ht="16.5" customHeight="1">
      <c t="s" r="A120" s="16">
        <v>123</v>
      </c>
      <c r="B120" s="17">
        <f>IFERROR(B82+B84+B85+B86+B87+B88+B89+B90+B91+B92+B93+B94+B95+B96+B97+B98+B99+B100+B101+B102+B103+B104+B105+B106+B107+B108+B109+B110+B111+B112+B113+B114+B115+B116+B117+B118, "NA")</f>
      </c>
      <c r="C120" s="18">
        <f>IFERROR(B120/B327, "NA")</f>
      </c>
      <c r="D120" s="8"/>
      <c r="E120" s="17">
        <f>IFERROR(E82+E84+E85+E86+E87+E88+E89+E90+E91+E92+E93+E94+E95+E96+E97+E98+E99+E100+E101+E102+E103+E104+E105+E106+E107+E108+E109+E110+E111+E112+E113+E114+E115+E116+E117+E118, "NA")</f>
      </c>
      <c r="F120" s="18">
        <f>IFERROR(E120/E327, "NA")</f>
      </c>
      <c r="G120" s="8"/>
      <c r="H120" s="17">
        <f>IFERROR(H82+H84+H85+H86+H87+H88+H89+H90+H91+H92+H93+H94+H95+H96+H97+H98+H99+H100+H101+H102+H103+H104+H105+H106+H107+H108+H109+H110+H111+H112+H113+H114+H115+H116+H117+H118, "NA")</f>
      </c>
      <c r="I120" s="18">
        <f>IFERROR(H120/H327, "NA")</f>
      </c>
      <c r="J120" s="8"/>
      <c r="K120" s="17">
        <f>IFERROR(K82+K84+K85+K86+K87+K88+K89+K90+K91+K92+K93+K94+K95+K96+K97+K98+K99+K100+K101+K102+K103+K104+K105+K106+K107+K108+K109+K110+K111+K112+K113+K114+K115+K116+K117+K118, "NA")</f>
      </c>
      <c r="L120" s="18">
        <f>IFERROR(K120/K327, "NA")</f>
      </c>
      <c r="M120" s="8"/>
      <c r="N120" s="17">
        <f>IFERROR(N82+N84+N85+N86+N87+N88+N89+N90+N91+N92+N93+N94+N95+N96+N97+N98+N99+N100+N101+N102+N103+N104+N105+N106+N107+N108+N109+N110+N111+N112+N113+N114+N115+N116+N117+N118, "NA")</f>
      </c>
      <c r="O120" s="18">
        <f>IFERROR(N120/N327, "NA")</f>
      </c>
    </row>
    <row r="121" ht="16.5" customHeight="1">
      <c t="s" r="A121" s="11">
        <v>124</v>
      </c>
      <c r="B121" s="8"/>
      <c r="C121" s="9"/>
      <c r="D121" s="10"/>
      <c r="E121" s="8"/>
      <c r="F121" s="9"/>
      <c r="G121" s="10"/>
      <c r="H121" s="8"/>
      <c r="I121" s="9"/>
      <c r="J121" s="10"/>
      <c r="K121" s="8"/>
      <c r="L121" s="9"/>
      <c r="M121" s="10"/>
      <c r="N121" s="8"/>
      <c r="O121" s="9"/>
    </row>
    <row r="122" ht="16.5" customHeight="1">
      <c t="s" r="A122" s="12">
        <v>125</v>
      </c>
      <c r="B122" s="13">
        <v>0</v>
      </c>
      <c r="C122" s="14">
        <f>IFERROR(B122/B327, "NA")</f>
      </c>
      <c r="D122" s="15"/>
      <c r="E122" s="13">
        <v>0</v>
      </c>
      <c r="F122" s="14">
        <f>IFERROR(E122/E327, "NA")</f>
      </c>
      <c r="G122" s="15"/>
      <c r="H122" s="13">
        <v>0</v>
      </c>
      <c r="I122" s="14">
        <f>IFERROR(H122/H327, "NA")</f>
      </c>
      <c r="J122" s="15"/>
      <c r="K122" s="13">
        <v>0</v>
      </c>
      <c r="L122" s="14">
        <f>IFERROR(K122/K327, "NA")</f>
      </c>
      <c r="M122" s="15"/>
      <c r="N122" s="13">
        <v>0</v>
      </c>
      <c r="O122" s="14">
        <f>IFERROR(N122/N327, "NA")</f>
      </c>
    </row>
    <row r="123" ht="16.5" customHeight="1">
      <c t="s" r="A123" s="12">
        <v>126</v>
      </c>
      <c r="B123" s="13">
        <v>7714.1499999999996</v>
      </c>
      <c r="C123" s="14">
        <f>IFERROR(B123/B327, "NA")</f>
      </c>
      <c r="D123" s="15"/>
      <c r="E123" s="13">
        <v>11944.950000000001</v>
      </c>
      <c r="F123" s="14">
        <f>IFERROR(E123/E327, "NA")</f>
      </c>
      <c r="G123" s="15"/>
      <c r="H123" s="13">
        <v>7714.1499999999996</v>
      </c>
      <c r="I123" s="14">
        <f>IFERROR(H123/H327, "NA")</f>
      </c>
      <c r="J123" s="15"/>
      <c r="K123" s="13">
        <v>11808.16</v>
      </c>
      <c r="L123" s="14">
        <f>IFERROR(K123/K327, "NA")</f>
      </c>
      <c r="M123" s="15"/>
      <c r="N123" s="13">
        <v>0</v>
      </c>
      <c r="O123" s="14">
        <f>IFERROR(N123/N327, "NA")</f>
      </c>
    </row>
    <row r="124" ht="16.5" customHeight="1">
      <c t="s" r="A124" s="12">
        <v>127</v>
      </c>
      <c r="B124" s="13">
        <v>8269.2299999999996</v>
      </c>
      <c r="C124" s="14">
        <f>IFERROR(B124/B327, "NA")</f>
      </c>
      <c r="D124" s="15"/>
      <c r="E124" s="13">
        <v>12988.48</v>
      </c>
      <c r="F124" s="14">
        <f>IFERROR(E124/E327, "NA")</f>
      </c>
      <c r="G124" s="15"/>
      <c r="H124" s="13">
        <v>8269.2299999999996</v>
      </c>
      <c r="I124" s="14">
        <f>IFERROR(H124/H327, "NA")</f>
      </c>
      <c r="J124" s="15"/>
      <c r="K124" s="13">
        <v>5711.5500000000002</v>
      </c>
      <c r="L124" s="14">
        <f>IFERROR(K124/K327, "NA")</f>
      </c>
      <c r="M124" s="15"/>
      <c r="N124" s="13">
        <v>0</v>
      </c>
      <c r="O124" s="14">
        <f>IFERROR(N124/N327, "NA")</f>
      </c>
    </row>
    <row r="125" ht="30.75" customHeight="1">
      <c t="s" r="A125" s="12">
        <v>128</v>
      </c>
      <c r="B125" s="13">
        <v>0</v>
      </c>
      <c r="C125" s="14">
        <f>IFERROR(B125/B327, "NA")</f>
      </c>
      <c r="D125" s="15"/>
      <c r="E125" s="13">
        <v>0</v>
      </c>
      <c r="F125" s="14">
        <f>IFERROR(E125/E327, "NA")</f>
      </c>
      <c r="G125" s="15"/>
      <c r="H125" s="13">
        <v>0</v>
      </c>
      <c r="I125" s="14">
        <f>IFERROR(H125/H327, "NA")</f>
      </c>
      <c r="J125" s="15"/>
      <c r="K125" s="13">
        <v>0</v>
      </c>
      <c r="L125" s="14">
        <f>IFERROR(K125/K327, "NA")</f>
      </c>
      <c r="M125" s="15"/>
      <c r="N125" s="13">
        <v>0</v>
      </c>
      <c r="O125" s="14">
        <f>IFERROR(N125/N327, "NA")</f>
      </c>
    </row>
    <row r="126" ht="16.5" customHeight="1">
      <c t="s" r="A126" s="12">
        <v>129</v>
      </c>
      <c r="B126" s="13">
        <v>0</v>
      </c>
      <c r="C126" s="14">
        <f>IFERROR(B126/B327, "NA")</f>
      </c>
      <c r="D126" s="15"/>
      <c r="E126" s="13">
        <v>0</v>
      </c>
      <c r="F126" s="14">
        <f>IFERROR(E126/E327, "NA")</f>
      </c>
      <c r="G126" s="15"/>
      <c r="H126" s="13">
        <v>0</v>
      </c>
      <c r="I126" s="14">
        <f>IFERROR(H126/H327, "NA")</f>
      </c>
      <c r="J126" s="15"/>
      <c r="K126" s="13">
        <v>0</v>
      </c>
      <c r="L126" s="14">
        <f>IFERROR(K126/K327, "NA")</f>
      </c>
      <c r="M126" s="15"/>
      <c r="N126" s="13">
        <v>0</v>
      </c>
      <c r="O126" s="14">
        <f>IFERROR(N126/N327, "NA")</f>
      </c>
    </row>
    <row r="127" ht="16.5" customHeight="1">
      <c t="s" r="A127" s="12">
        <v>130</v>
      </c>
      <c r="B127" s="13">
        <v>0</v>
      </c>
      <c r="C127" s="14">
        <f>IFERROR(B127/B327, "NA")</f>
      </c>
      <c r="D127" s="15"/>
      <c r="E127" s="13">
        <v>0</v>
      </c>
      <c r="F127" s="14">
        <f>IFERROR(E127/E327, "NA")</f>
      </c>
      <c r="G127" s="15"/>
      <c r="H127" s="13">
        <v>0</v>
      </c>
      <c r="I127" s="14">
        <f>IFERROR(H127/H327, "NA")</f>
      </c>
      <c r="J127" s="15"/>
      <c r="K127" s="13">
        <v>0</v>
      </c>
      <c r="L127" s="14">
        <f>IFERROR(K127/K327, "NA")</f>
      </c>
      <c r="M127" s="15"/>
      <c r="N127" s="13">
        <v>0</v>
      </c>
      <c r="O127" s="14">
        <f>IFERROR(N127/N327, "NA")</f>
      </c>
    </row>
    <row r="128" ht="16.5" customHeight="1">
      <c t="s" r="A128" s="12">
        <v>131</v>
      </c>
      <c r="B128" s="13">
        <v>0</v>
      </c>
      <c r="C128" s="14">
        <f>IFERROR(B128/B327, "NA")</f>
      </c>
      <c r="D128" s="15"/>
      <c r="E128" s="13">
        <v>0</v>
      </c>
      <c r="F128" s="14">
        <f>IFERROR(E128/E327, "NA")</f>
      </c>
      <c r="G128" s="15"/>
      <c r="H128" s="13">
        <v>0</v>
      </c>
      <c r="I128" s="14">
        <f>IFERROR(H128/H327, "NA")</f>
      </c>
      <c r="J128" s="15"/>
      <c r="K128" s="13">
        <v>0</v>
      </c>
      <c r="L128" s="14">
        <f>IFERROR(K128/K327, "NA")</f>
      </c>
      <c r="M128" s="15"/>
      <c r="N128" s="13">
        <v>0</v>
      </c>
      <c r="O128" s="14">
        <f>IFERROR(N128/N327, "NA")</f>
      </c>
    </row>
    <row r="129" ht="16.5" customHeight="1">
      <c t="s" r="A129" s="12">
        <v>132</v>
      </c>
      <c r="B129" s="13">
        <v>0</v>
      </c>
      <c r="C129" s="14">
        <f>IFERROR(B129/B327, "NA")</f>
      </c>
      <c r="D129" s="15"/>
      <c r="E129" s="13">
        <v>0</v>
      </c>
      <c r="F129" s="14">
        <f>IFERROR(E129/E327, "NA")</f>
      </c>
      <c r="G129" s="15"/>
      <c r="H129" s="13">
        <v>0</v>
      </c>
      <c r="I129" s="14">
        <f>IFERROR(H129/H327, "NA")</f>
      </c>
      <c r="J129" s="15"/>
      <c r="K129" s="13">
        <v>0</v>
      </c>
      <c r="L129" s="14">
        <f>IFERROR(K129/K327, "NA")</f>
      </c>
      <c r="M129" s="15"/>
      <c r="N129" s="13">
        <v>0</v>
      </c>
      <c r="O129" s="14">
        <f>IFERROR(N129/N327, "NA")</f>
      </c>
    </row>
    <row r="130" ht="16.5" customHeight="1">
      <c t="s" r="A130" s="12">
        <v>133</v>
      </c>
      <c r="B130" s="13">
        <v>0</v>
      </c>
      <c r="C130" s="14">
        <f>IFERROR(B130/B327, "NA")</f>
      </c>
      <c r="D130" s="15"/>
      <c r="E130" s="13">
        <v>-1.1200000000000001</v>
      </c>
      <c r="F130" s="14">
        <f>IFERROR(E130/E327, "NA")</f>
      </c>
      <c r="G130" s="15"/>
      <c r="H130" s="13">
        <v>336.31999999999999</v>
      </c>
      <c r="I130" s="14">
        <f>IFERROR(H130/H327, "NA")</f>
      </c>
      <c r="J130" s="15"/>
      <c r="K130" s="13">
        <v>-336.31999999999999</v>
      </c>
      <c r="L130" s="14">
        <f>IFERROR(K130/K327, "NA")</f>
      </c>
      <c r="M130" s="15"/>
      <c r="N130" s="13">
        <v>0</v>
      </c>
      <c r="O130" s="14">
        <f>IFERROR(N130/N327, "NA")</f>
      </c>
    </row>
    <row r="131" ht="16.5" customHeight="1">
      <c t="s" r="A131" s="12">
        <v>134</v>
      </c>
      <c r="B131" s="13">
        <v>0</v>
      </c>
      <c r="C131" s="14">
        <f>IFERROR(B131/B327, "NA")</f>
      </c>
      <c r="D131" s="15"/>
      <c r="E131" s="13">
        <v>0</v>
      </c>
      <c r="F131" s="14">
        <f>IFERROR(E131/E327, "NA")</f>
      </c>
      <c r="G131" s="15"/>
      <c r="H131" s="13">
        <v>0</v>
      </c>
      <c r="I131" s="14">
        <f>IFERROR(H131/H327, "NA")</f>
      </c>
      <c r="J131" s="15"/>
      <c r="K131" s="13">
        <v>0</v>
      </c>
      <c r="L131" s="14">
        <f>IFERROR(K131/K327, "NA")</f>
      </c>
      <c r="M131" s="15"/>
      <c r="N131" s="13">
        <v>0</v>
      </c>
      <c r="O131" s="14">
        <f>IFERROR(N131/N327, "NA")</f>
      </c>
    </row>
    <row r="132" ht="16.5" customHeight="1">
      <c t="s" r="A132" s="12">
        <v>135</v>
      </c>
      <c r="B132" s="13">
        <v>0</v>
      </c>
      <c r="C132" s="14">
        <f>IFERROR(B132/B327, "NA")</f>
      </c>
      <c r="D132" s="15"/>
      <c r="E132" s="13">
        <v>0</v>
      </c>
      <c r="F132" s="14">
        <f>IFERROR(E132/E327, "NA")</f>
      </c>
      <c r="G132" s="15"/>
      <c r="H132" s="13">
        <v>0</v>
      </c>
      <c r="I132" s="14">
        <f>IFERROR(H132/H327, "NA")</f>
      </c>
      <c r="J132" s="15"/>
      <c r="K132" s="13">
        <v>0</v>
      </c>
      <c r="L132" s="14">
        <f>IFERROR(K132/K327, "NA")</f>
      </c>
      <c r="M132" s="15"/>
      <c r="N132" s="13">
        <v>0</v>
      </c>
      <c r="O132" s="14">
        <f>IFERROR(N132/N327, "NA")</f>
      </c>
    </row>
    <row r="133" ht="16.5" customHeight="1">
      <c t="s" r="A133" s="12">
        <v>136</v>
      </c>
      <c r="B133" s="13">
        <v>0</v>
      </c>
      <c r="C133" s="14">
        <f>IFERROR(B133/B327, "NA")</f>
      </c>
      <c r="D133" s="15"/>
      <c r="E133" s="13">
        <v>0</v>
      </c>
      <c r="F133" s="14">
        <f>IFERROR(E133/E327, "NA")</f>
      </c>
      <c r="G133" s="15"/>
      <c r="H133" s="13">
        <v>0</v>
      </c>
      <c r="I133" s="14">
        <f>IFERROR(H133/H327, "NA")</f>
      </c>
      <c r="J133" s="15"/>
      <c r="K133" s="13">
        <v>0</v>
      </c>
      <c r="L133" s="14">
        <f>IFERROR(K133/K327, "NA")</f>
      </c>
      <c r="M133" s="15"/>
      <c r="N133" s="13">
        <v>0</v>
      </c>
      <c r="O133" s="14">
        <f>IFERROR(N133/N327, "NA")</f>
      </c>
    </row>
    <row r="134" ht="16.5" customHeight="1">
      <c t="s" r="A134" s="12">
        <v>137</v>
      </c>
      <c r="B134" s="13">
        <v>0</v>
      </c>
      <c r="C134" s="14">
        <f>IFERROR(B134/B327, "NA")</f>
      </c>
      <c r="D134" s="15"/>
      <c r="E134" s="13">
        <v>0</v>
      </c>
      <c r="F134" s="14">
        <f>IFERROR(E134/E327, "NA")</f>
      </c>
      <c r="G134" s="15"/>
      <c r="H134" s="13">
        <v>0</v>
      </c>
      <c r="I134" s="14">
        <f>IFERROR(H134/H327, "NA")</f>
      </c>
      <c r="J134" s="15"/>
      <c r="K134" s="13">
        <v>0</v>
      </c>
      <c r="L134" s="14">
        <f>IFERROR(K134/K327, "NA")</f>
      </c>
      <c r="M134" s="15"/>
      <c r="N134" s="13">
        <v>0</v>
      </c>
      <c r="O134" s="14">
        <f>IFERROR(N134/N327, "NA")</f>
      </c>
    </row>
    <row r="135" ht="16.5" customHeight="1">
      <c t="s" r="A135" s="12">
        <v>138</v>
      </c>
      <c r="B135" s="13">
        <v>0</v>
      </c>
      <c r="C135" s="14">
        <f>IFERROR(B135/B327, "NA")</f>
      </c>
      <c r="D135" s="15"/>
      <c r="E135" s="13">
        <v>0</v>
      </c>
      <c r="F135" s="14">
        <f>IFERROR(E135/E327, "NA")</f>
      </c>
      <c r="G135" s="15"/>
      <c r="H135" s="13">
        <v>0</v>
      </c>
      <c r="I135" s="14">
        <f>IFERROR(H135/H327, "NA")</f>
      </c>
      <c r="J135" s="15"/>
      <c r="K135" s="13">
        <v>0</v>
      </c>
      <c r="L135" s="14">
        <f>IFERROR(K135/K327, "NA")</f>
      </c>
      <c r="M135" s="15"/>
      <c r="N135" s="13">
        <v>0</v>
      </c>
      <c r="O135" s="14">
        <f>IFERROR(N135/N327, "NA")</f>
      </c>
    </row>
    <row r="136" ht="16.5" customHeight="1">
      <c t="s" r="A136" s="12">
        <v>139</v>
      </c>
      <c r="B136" s="13">
        <v>0</v>
      </c>
      <c r="C136" s="14">
        <f>IFERROR(B136/B327, "NA")</f>
      </c>
      <c r="D136" s="15"/>
      <c r="E136" s="13">
        <v>0</v>
      </c>
      <c r="F136" s="14">
        <f>IFERROR(E136/E327, "NA")</f>
      </c>
      <c r="G136" s="15"/>
      <c r="H136" s="13">
        <v>0</v>
      </c>
      <c r="I136" s="14">
        <f>IFERROR(H136/H327, "NA")</f>
      </c>
      <c r="J136" s="15"/>
      <c r="K136" s="13">
        <v>0</v>
      </c>
      <c r="L136" s="14">
        <f>IFERROR(K136/K327, "NA")</f>
      </c>
      <c r="M136" s="15"/>
      <c r="N136" s="13">
        <v>0</v>
      </c>
      <c r="O136" s="14">
        <f>IFERROR(N136/N327, "NA")</f>
      </c>
    </row>
    <row r="137" ht="16.5" customHeight="1">
      <c t="s" r="A137" s="12">
        <v>140</v>
      </c>
      <c r="B137" s="13">
        <v>0</v>
      </c>
      <c r="C137" s="14">
        <f>IFERROR(B137/B327, "NA")</f>
      </c>
      <c r="D137" s="15"/>
      <c r="E137" s="13">
        <v>0</v>
      </c>
      <c r="F137" s="14">
        <f>IFERROR(E137/E327, "NA")</f>
      </c>
      <c r="G137" s="15"/>
      <c r="H137" s="13">
        <v>0</v>
      </c>
      <c r="I137" s="14">
        <f>IFERROR(H137/H327, "NA")</f>
      </c>
      <c r="J137" s="15"/>
      <c r="K137" s="13">
        <v>0</v>
      </c>
      <c r="L137" s="14">
        <f>IFERROR(K137/K327, "NA")</f>
      </c>
      <c r="M137" s="15"/>
      <c r="N137" s="13">
        <v>0</v>
      </c>
      <c r="O137" s="14">
        <f>IFERROR(N137/N327, "NA")</f>
      </c>
    </row>
    <row r="138" ht="16.5" customHeight="1">
      <c t="s" r="A138" s="12">
        <v>141</v>
      </c>
      <c r="B138" s="13">
        <v>0</v>
      </c>
      <c r="C138" s="14">
        <f>IFERROR(B138/B327, "NA")</f>
      </c>
      <c r="D138" s="15"/>
      <c r="E138" s="13">
        <v>0</v>
      </c>
      <c r="F138" s="14">
        <f>IFERROR(E138/E327, "NA")</f>
      </c>
      <c r="G138" s="15"/>
      <c r="H138" s="13">
        <v>0</v>
      </c>
      <c r="I138" s="14">
        <f>IFERROR(H138/H327, "NA")</f>
      </c>
      <c r="J138" s="15"/>
      <c r="K138" s="13">
        <v>0</v>
      </c>
      <c r="L138" s="14">
        <f>IFERROR(K138/K327, "NA")</f>
      </c>
      <c r="M138" s="15"/>
      <c r="N138" s="13">
        <v>0</v>
      </c>
      <c r="O138" s="14">
        <f>IFERROR(N138/N327, "NA")</f>
      </c>
    </row>
    <row r="139" ht="16.5" customHeight="1">
      <c t="s" r="A139" s="12">
        <v>142</v>
      </c>
      <c r="B139" s="13">
        <v>6920.1999999999998</v>
      </c>
      <c r="C139" s="14">
        <f>IFERROR(B139/B327, "NA")</f>
      </c>
      <c r="D139" s="15"/>
      <c r="E139" s="13">
        <v>6920.1999999999998</v>
      </c>
      <c r="F139" s="14">
        <f>IFERROR(E139/E327, "NA")</f>
      </c>
      <c r="G139" s="15"/>
      <c r="H139" s="13">
        <v>6920.1999999999998</v>
      </c>
      <c r="I139" s="14">
        <f>IFERROR(H139/H327, "NA")</f>
      </c>
      <c r="J139" s="15"/>
      <c r="K139" s="13">
        <v>6920.1999999999998</v>
      </c>
      <c r="L139" s="14">
        <f>IFERROR(K139/K327, "NA")</f>
      </c>
      <c r="M139" s="15"/>
      <c r="N139" s="13">
        <v>6920.1999999999998</v>
      </c>
      <c r="O139" s="14">
        <f>IFERROR(N139/N327, "NA")</f>
      </c>
    </row>
    <row r="140" ht="16.5" customHeight="1">
      <c t="s" r="A140" s="12">
        <v>143</v>
      </c>
      <c r="B140" s="13">
        <v>0</v>
      </c>
      <c r="C140" s="14">
        <f>IFERROR(B140/B327, "NA")</f>
      </c>
      <c r="D140" s="15"/>
      <c r="E140" s="13">
        <v>0</v>
      </c>
      <c r="F140" s="14">
        <f>IFERROR(E140/E327, "NA")</f>
      </c>
      <c r="G140" s="15"/>
      <c r="H140" s="13">
        <v>0</v>
      </c>
      <c r="I140" s="14">
        <f>IFERROR(H140/H327, "NA")</f>
      </c>
      <c r="J140" s="15"/>
      <c r="K140" s="13">
        <v>0</v>
      </c>
      <c r="L140" s="14">
        <f>IFERROR(K140/K327, "NA")</f>
      </c>
      <c r="M140" s="15"/>
      <c r="N140" s="13">
        <v>0</v>
      </c>
      <c r="O140" s="14">
        <f>IFERROR(N140/N327, "NA")</f>
      </c>
    </row>
    <row r="141" ht="16.5" customHeight="1">
      <c t="s" r="A141" s="12">
        <v>144</v>
      </c>
      <c r="B141" s="13">
        <v>1057.6900000000001</v>
      </c>
      <c r="C141" s="14">
        <f>IFERROR(B141/B327, "NA")</f>
      </c>
      <c r="D141" s="15"/>
      <c r="E141" s="13">
        <v>1057.7</v>
      </c>
      <c r="F141" s="14">
        <f>IFERROR(E141/E327, "NA")</f>
      </c>
      <c r="G141" s="15"/>
      <c r="H141" s="13">
        <v>2596.48</v>
      </c>
      <c r="I141" s="14">
        <f>IFERROR(H141/H327, "NA")</f>
      </c>
      <c r="J141" s="15"/>
      <c r="K141" s="13">
        <v>1155.8099999999999</v>
      </c>
      <c r="L141" s="14">
        <f>IFERROR(K141/K327, "NA")</f>
      </c>
      <c r="M141" s="15"/>
      <c r="N141" s="13">
        <v>0</v>
      </c>
      <c r="O141" s="14">
        <f>IFERROR(N141/N327, "NA")</f>
      </c>
    </row>
    <row r="142" ht="16.5" customHeight="1">
      <c t="s" r="A142" s="12">
        <v>145</v>
      </c>
      <c r="B142" s="13">
        <v>0</v>
      </c>
      <c r="C142" s="14">
        <f>IFERROR(B142/B327, "NA")</f>
      </c>
      <c r="D142" s="15"/>
      <c r="E142" s="13">
        <v>0</v>
      </c>
      <c r="F142" s="14">
        <f>IFERROR(E142/E327, "NA")</f>
      </c>
      <c r="G142" s="15"/>
      <c r="H142" s="13">
        <v>0</v>
      </c>
      <c r="I142" s="14">
        <f>IFERROR(H142/H327, "NA")</f>
      </c>
      <c r="J142" s="15"/>
      <c r="K142" s="13">
        <v>0</v>
      </c>
      <c r="L142" s="14">
        <f>IFERROR(K142/K327, "NA")</f>
      </c>
      <c r="M142" s="15"/>
      <c r="N142" s="13">
        <v>0</v>
      </c>
      <c r="O142" s="14">
        <f>IFERROR(N142/N327, "NA")</f>
      </c>
    </row>
    <row r="143" ht="16.5" customHeight="1">
      <c t="s" r="A143" s="16">
        <v>146</v>
      </c>
      <c r="B143" s="17">
        <f>IFERROR(B122+B123+B124+B125+B126+B127+B128+B129+B130+B131+B132+B133+B134+B135+B136+B137+B138+B139+B140+B141+B142, "NA")</f>
      </c>
      <c r="C143" s="18">
        <f>IFERROR(B143/B327, "NA")</f>
      </c>
      <c r="D143" s="8"/>
      <c r="E143" s="17">
        <f>IFERROR(E122+E123+E124+E125+E126+E127+E128+E129+E130+E131+E132+E133+E134+E135+E136+E137+E138+E139+E140+E141+E142, "NA")</f>
      </c>
      <c r="F143" s="18">
        <f>IFERROR(E143/E327, "NA")</f>
      </c>
      <c r="G143" s="8"/>
      <c r="H143" s="17">
        <f>IFERROR(H122+H123+H124+H125+H126+H127+H128+H129+H130+H131+H132+H133+H134+H135+H136+H137+H138+H139+H140+H141+H142, "NA")</f>
      </c>
      <c r="I143" s="18">
        <f>IFERROR(H143/H327, "NA")</f>
      </c>
      <c r="J143" s="8"/>
      <c r="K143" s="17">
        <f>IFERROR(K122+K123+K124+K125+K126+K127+K128+K129+K130+K131+K132+K133+K134+K135+K136+K137+K138+K139+K140+K141+K142, "NA")</f>
      </c>
      <c r="L143" s="18">
        <f>IFERROR(K143/K327, "NA")</f>
      </c>
      <c r="M143" s="8"/>
      <c r="N143" s="17">
        <f>IFERROR(N122+N123+N124+N125+N126+N127+N128+N129+N130+N131+N132+N133+N134+N135+N136+N137+N138+N139+N140+N141+N142, "NA")</f>
      </c>
      <c r="O143" s="18">
        <f>IFERROR(N143/N327, "NA")</f>
      </c>
    </row>
    <row r="144" ht="16.5" customHeight="1">
      <c t="s" r="A144" s="11">
        <v>147</v>
      </c>
      <c r="B144" s="8"/>
      <c r="C144" s="9"/>
      <c r="D144" s="10"/>
      <c r="E144" s="8"/>
      <c r="F144" s="9"/>
      <c r="G144" s="10"/>
      <c r="H144" s="8"/>
      <c r="I144" s="9"/>
      <c r="J144" s="10"/>
      <c r="K144" s="8"/>
      <c r="L144" s="9"/>
      <c r="M144" s="10"/>
      <c r="N144" s="8"/>
      <c r="O144" s="9"/>
    </row>
    <row r="145" ht="16.5" customHeight="1">
      <c t="s" r="A145" s="12">
        <v>148</v>
      </c>
      <c r="B145" s="13">
        <v>0</v>
      </c>
      <c r="C145" s="14">
        <f>IFERROR(B145/B327, "NA")</f>
      </c>
      <c r="D145" s="15"/>
      <c r="E145" s="13">
        <v>0</v>
      </c>
      <c r="F145" s="14">
        <f>IFERROR(E145/E327, "NA")</f>
      </c>
      <c r="G145" s="15"/>
      <c r="H145" s="13">
        <v>0</v>
      </c>
      <c r="I145" s="14">
        <f>IFERROR(H145/H327, "NA")</f>
      </c>
      <c r="J145" s="15"/>
      <c r="K145" s="13">
        <v>0</v>
      </c>
      <c r="L145" s="14">
        <f>IFERROR(K145/K327, "NA")</f>
      </c>
      <c r="M145" s="15"/>
      <c r="N145" s="13">
        <v>0</v>
      </c>
      <c r="O145" s="14">
        <f>IFERROR(N145/N327, "NA")</f>
      </c>
    </row>
    <row r="146" ht="16.5" customHeight="1">
      <c t="s" r="A146" s="12">
        <v>149</v>
      </c>
      <c r="B146" s="13">
        <v>5530.1599999999999</v>
      </c>
      <c r="C146" s="14">
        <f>IFERROR(B146/B327, "NA")</f>
      </c>
      <c r="D146" s="15"/>
      <c r="E146" s="13">
        <v>7027.96</v>
      </c>
      <c r="F146" s="14">
        <f>IFERROR(E146/E327, "NA")</f>
      </c>
      <c r="G146" s="15"/>
      <c r="H146" s="13">
        <v>5955.1599999999999</v>
      </c>
      <c r="I146" s="14">
        <f>IFERROR(H146/H327, "NA")</f>
      </c>
      <c r="J146" s="15"/>
      <c r="K146" s="13">
        <v>7108.6000000000004</v>
      </c>
      <c r="L146" s="14">
        <f>IFERROR(K146/K327, "NA")</f>
      </c>
      <c r="M146" s="15"/>
      <c r="N146" s="13">
        <v>0</v>
      </c>
      <c r="O146" s="14">
        <f>IFERROR(N146/N327, "NA")</f>
      </c>
    </row>
    <row r="147" ht="16.5" customHeight="1">
      <c t="s" r="A147" s="12">
        <v>150</v>
      </c>
      <c r="B147" s="13">
        <v>427.58999999999997</v>
      </c>
      <c r="C147" s="14">
        <f>IFERROR(B147/B327, "NA")</f>
      </c>
      <c r="D147" s="15"/>
      <c r="E147" s="13">
        <v>450.06</v>
      </c>
      <c r="F147" s="14">
        <f>IFERROR(E147/E327, "NA")</f>
      </c>
      <c r="G147" s="15"/>
      <c r="H147" s="13">
        <v>460.44999999999999</v>
      </c>
      <c r="I147" s="14">
        <f>IFERROR(H147/H327, "NA")</f>
      </c>
      <c r="J147" s="15"/>
      <c r="K147" s="13">
        <v>331.51999999999998</v>
      </c>
      <c r="L147" s="14">
        <f>IFERROR(K147/K327, "NA")</f>
      </c>
      <c r="M147" s="15"/>
      <c r="N147" s="13">
        <v>0</v>
      </c>
      <c r="O147" s="14">
        <f>IFERROR(N147/N327, "NA")</f>
      </c>
    </row>
    <row r="148" ht="16.5" customHeight="1">
      <c t="s" r="A148" s="12">
        <v>151</v>
      </c>
      <c r="B148" s="13">
        <v>0</v>
      </c>
      <c r="C148" s="14">
        <f>IFERROR(B148/B327, "NA")</f>
      </c>
      <c r="D148" s="15"/>
      <c r="E148" s="13">
        <v>2885.6799999999998</v>
      </c>
      <c r="F148" s="14">
        <f>IFERROR(E148/E327, "NA")</f>
      </c>
      <c r="G148" s="15"/>
      <c r="H148" s="13">
        <v>0</v>
      </c>
      <c r="I148" s="14">
        <f>IFERROR(H148/H327, "NA")</f>
      </c>
      <c r="J148" s="15"/>
      <c r="K148" s="13">
        <v>2251.5799999999999</v>
      </c>
      <c r="L148" s="14">
        <f>IFERROR(K148/K327, "NA")</f>
      </c>
      <c r="M148" s="15"/>
      <c r="N148" s="13">
        <v>0</v>
      </c>
      <c r="O148" s="14">
        <f>IFERROR(N148/N327, "NA")</f>
      </c>
    </row>
    <row r="149" ht="16.5" customHeight="1">
      <c t="s" r="A149" s="12">
        <v>152</v>
      </c>
      <c r="B149" s="13">
        <v>783.90999999999997</v>
      </c>
      <c r="C149" s="14">
        <f>IFERROR(B149/B327, "NA")</f>
      </c>
      <c r="D149" s="15"/>
      <c r="E149" s="13">
        <v>898.60000000000002</v>
      </c>
      <c r="F149" s="14">
        <f>IFERROR(E149/E327, "NA")</f>
      </c>
      <c r="G149" s="15"/>
      <c r="H149" s="13">
        <v>844.15999999999997</v>
      </c>
      <c r="I149" s="14">
        <f>IFERROR(H149/H327, "NA")</f>
      </c>
      <c r="J149" s="15"/>
      <c r="K149" s="13">
        <v>976.67999999999995</v>
      </c>
      <c r="L149" s="14">
        <f>IFERROR(K149/K327, "NA")</f>
      </c>
      <c r="M149" s="15"/>
      <c r="N149" s="13">
        <v>0</v>
      </c>
      <c r="O149" s="14">
        <f>IFERROR(N149/N327, "NA")</f>
      </c>
    </row>
    <row r="150" ht="16.5" customHeight="1">
      <c t="s" r="A150" s="12">
        <v>153</v>
      </c>
      <c r="B150" s="13">
        <v>1123.3099999999999</v>
      </c>
      <c r="C150" s="14">
        <f>IFERROR(B150/B327, "NA")</f>
      </c>
      <c r="D150" s="15"/>
      <c r="E150" s="13">
        <v>1123.3099999999999</v>
      </c>
      <c r="F150" s="14">
        <f>IFERROR(E150/E327, "NA")</f>
      </c>
      <c r="G150" s="15"/>
      <c r="H150" s="13">
        <v>1123.3099999999999</v>
      </c>
      <c r="I150" s="14">
        <f>IFERROR(H150/H327, "NA")</f>
      </c>
      <c r="J150" s="15"/>
      <c r="K150" s="13">
        <v>1123.3099999999999</v>
      </c>
      <c r="L150" s="14">
        <f>IFERROR(K150/K327, "NA")</f>
      </c>
      <c r="M150" s="15"/>
      <c r="N150" s="13">
        <v>1053.9100000000001</v>
      </c>
      <c r="O150" s="14">
        <f>IFERROR(N150/N327, "NA")</f>
      </c>
    </row>
    <row r="151" ht="16.5" customHeight="1">
      <c t="s" r="A151" s="16">
        <v>154</v>
      </c>
      <c r="B151" s="17">
        <f>IFERROR(B145+B146+B147+B148+B149+B150, "NA")</f>
      </c>
      <c r="C151" s="18">
        <f>IFERROR(B151/B327, "NA")</f>
      </c>
      <c r="D151" s="8"/>
      <c r="E151" s="17">
        <f>IFERROR(E145+E146+E147+E148+E149+E150, "NA")</f>
      </c>
      <c r="F151" s="18">
        <f>IFERROR(E151/E327, "NA")</f>
      </c>
      <c r="G151" s="8"/>
      <c r="H151" s="17">
        <f>IFERROR(H145+H146+H147+H148+H149+H150, "NA")</f>
      </c>
      <c r="I151" s="18">
        <f>IFERROR(H151/H327, "NA")</f>
      </c>
      <c r="J151" s="8"/>
      <c r="K151" s="17">
        <f>IFERROR(K145+K146+K147+K148+K149+K150, "NA")</f>
      </c>
      <c r="L151" s="18">
        <f>IFERROR(K151/K327, "NA")</f>
      </c>
      <c r="M151" s="8"/>
      <c r="N151" s="17">
        <f>IFERROR(N145+N146+N147+N148+N149+N150, "NA")</f>
      </c>
      <c r="O151" s="18">
        <f>IFERROR(N151/N327, "NA")</f>
      </c>
    </row>
    <row r="152" ht="16.5" customHeight="1">
      <c t="s" r="A152" s="19">
        <v>155</v>
      </c>
      <c r="B152" s="13">
        <v>0</v>
      </c>
      <c r="C152" s="14">
        <f>IFERROR(B152/B327, "NA")</f>
      </c>
      <c r="D152" s="15"/>
      <c r="E152" s="13">
        <v>0</v>
      </c>
      <c r="F152" s="14">
        <f>IFERROR(E152/E327, "NA")</f>
      </c>
      <c r="G152" s="15"/>
      <c r="H152" s="13">
        <v>0</v>
      </c>
      <c r="I152" s="14">
        <f>IFERROR(H152/H327, "NA")</f>
      </c>
      <c r="J152" s="15"/>
      <c r="K152" s="13">
        <v>0</v>
      </c>
      <c r="L152" s="14">
        <f>IFERROR(K152/K327, "NA")</f>
      </c>
      <c r="M152" s="15"/>
      <c r="N152" s="13">
        <v>0</v>
      </c>
      <c r="O152" s="14">
        <f>IFERROR(N152/N327, "NA")</f>
      </c>
    </row>
    <row r="153" ht="16.5" customHeight="1">
      <c t="s" r="A153" s="19">
        <v>156</v>
      </c>
      <c r="B153" s="13">
        <v>0</v>
      </c>
      <c r="C153" s="14">
        <f>IFERROR(B153/B327, "NA")</f>
      </c>
      <c r="D153" s="15"/>
      <c r="E153" s="13">
        <v>-2212.1700000000001</v>
      </c>
      <c r="F153" s="14">
        <f>IFERROR(E153/E327, "NA")</f>
      </c>
      <c r="G153" s="15"/>
      <c r="H153" s="13">
        <v>0</v>
      </c>
      <c r="I153" s="14">
        <f>IFERROR(H153/H327, "NA")</f>
      </c>
      <c r="J153" s="15"/>
      <c r="K153" s="13">
        <v>5487.9099999999999</v>
      </c>
      <c r="L153" s="14">
        <f>IFERROR(K153/K327, "NA")</f>
      </c>
      <c r="M153" s="15"/>
      <c r="N153" s="13">
        <v>0</v>
      </c>
      <c r="O153" s="14">
        <f>IFERROR(N153/N327, "NA")</f>
      </c>
    </row>
    <row r="154" ht="16.5" customHeight="1">
      <c t="s" r="A154" s="19">
        <v>157</v>
      </c>
      <c r="B154" s="13">
        <v>0</v>
      </c>
      <c r="C154" s="14">
        <f>IFERROR(B154/B327, "NA")</f>
      </c>
      <c r="D154" s="15"/>
      <c r="E154" s="13">
        <v>-445.04000000000002</v>
      </c>
      <c r="F154" s="14">
        <f>IFERROR(E154/E327, "NA")</f>
      </c>
      <c r="G154" s="15"/>
      <c r="H154" s="13">
        <v>0</v>
      </c>
      <c r="I154" s="14">
        <f>IFERROR(H154/H327, "NA")</f>
      </c>
      <c r="J154" s="15"/>
      <c r="K154" s="13">
        <v>-352.79000000000002</v>
      </c>
      <c r="L154" s="14">
        <f>IFERROR(K154/K327, "NA")</f>
      </c>
      <c r="M154" s="15"/>
      <c r="N154" s="13">
        <v>0</v>
      </c>
      <c r="O154" s="14">
        <f>IFERROR(N154/N327, "NA")</f>
      </c>
    </row>
    <row r="155" ht="16.5" customHeight="1">
      <c t="s" r="A155" s="19">
        <v>158</v>
      </c>
      <c r="B155" s="13">
        <v>0</v>
      </c>
      <c r="C155" s="14">
        <f>IFERROR(B155/B327, "NA")</f>
      </c>
      <c r="D155" s="15"/>
      <c r="E155" s="13">
        <v>-56.030000000000001</v>
      </c>
      <c r="F155" s="14">
        <f>IFERROR(E155/E327, "NA")</f>
      </c>
      <c r="G155" s="15"/>
      <c r="H155" s="13">
        <v>0</v>
      </c>
      <c r="I155" s="14">
        <f>IFERROR(H155/H327, "NA")</f>
      </c>
      <c r="J155" s="15"/>
      <c r="K155" s="13">
        <v>-49.82</v>
      </c>
      <c r="L155" s="14">
        <f>IFERROR(K155/K327, "NA")</f>
      </c>
      <c r="M155" s="15"/>
      <c r="N155" s="13">
        <v>0</v>
      </c>
      <c r="O155" s="14">
        <f>IFERROR(N155/N327, "NA")</f>
      </c>
    </row>
    <row r="156" ht="16.5" customHeight="1">
      <c t="s" r="A156" s="19">
        <v>159</v>
      </c>
      <c r="B156" s="13">
        <v>0</v>
      </c>
      <c r="C156" s="14">
        <f>IFERROR(B156/B327, "NA")</f>
      </c>
      <c r="D156" s="15"/>
      <c r="E156" s="13">
        <v>0</v>
      </c>
      <c r="F156" s="14">
        <f>IFERROR(E156/E327, "NA")</f>
      </c>
      <c r="G156" s="15"/>
      <c r="H156" s="13">
        <v>0</v>
      </c>
      <c r="I156" s="14">
        <f>IFERROR(H156/H327, "NA")</f>
      </c>
      <c r="J156" s="15"/>
      <c r="K156" s="13">
        <v>0</v>
      </c>
      <c r="L156" s="14">
        <f>IFERROR(K156/K327, "NA")</f>
      </c>
      <c r="M156" s="15"/>
      <c r="N156" s="13">
        <v>0</v>
      </c>
      <c r="O156" s="14">
        <f>IFERROR(N156/N327, "NA")</f>
      </c>
    </row>
    <row r="157" ht="16.5" customHeight="1">
      <c t="s" r="A157" s="20">
        <v>160</v>
      </c>
      <c r="B157" s="17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</c>
      <c r="C157" s="18">
        <f>IFERROR(B157/B327, "NA")</f>
      </c>
      <c r="D157" s="8"/>
      <c r="E157" s="17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</c>
      <c r="F157" s="18">
        <f>IFERROR(E157/E327, "NA")</f>
      </c>
      <c r="G157" s="8"/>
      <c r="H157" s="17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</c>
      <c r="I157" s="18">
        <f>IFERROR(H157/H327, "NA")</f>
      </c>
      <c r="J157" s="8"/>
      <c r="K157" s="17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</c>
      <c r="L157" s="18">
        <f>IFERROR(K157/K327, "NA")</f>
      </c>
      <c r="M157" s="8"/>
      <c r="N157" s="17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</c>
      <c r="O157" s="18">
        <f>IFERROR(N157/N327, "NA")</f>
      </c>
    </row>
    <row r="158" ht="16.5" customHeight="1">
      <c t="s" r="A158" s="7">
        <v>161</v>
      </c>
      <c r="B158" s="8"/>
      <c r="C158" s="9"/>
      <c r="D158" s="10"/>
      <c r="E158" s="8"/>
      <c r="F158" s="9"/>
      <c r="G158" s="10"/>
      <c r="H158" s="8"/>
      <c r="I158" s="9"/>
      <c r="J158" s="10"/>
      <c r="K158" s="8"/>
      <c r="L158" s="9"/>
      <c r="M158" s="10"/>
      <c r="N158" s="8"/>
      <c r="O158" s="9"/>
    </row>
    <row r="159" ht="16.5" customHeight="1">
      <c t="s" r="A159" s="11">
        <v>162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</row>
    <row r="160" ht="16.5" customHeight="1">
      <c t="s" r="A160" s="12">
        <v>163</v>
      </c>
      <c r="B160" s="13">
        <v>0</v>
      </c>
      <c r="C160" s="14">
        <f>IFERROR(B160/B327, "NA")</f>
      </c>
      <c r="D160" s="15"/>
      <c r="E160" s="13">
        <v>0</v>
      </c>
      <c r="F160" s="14">
        <f>IFERROR(E160/E327, "NA")</f>
      </c>
      <c r="G160" s="15"/>
      <c r="H160" s="13">
        <v>0</v>
      </c>
      <c r="I160" s="14">
        <f>IFERROR(H160/H327, "NA")</f>
      </c>
      <c r="J160" s="15"/>
      <c r="K160" s="13">
        <v>0</v>
      </c>
      <c r="L160" s="14">
        <f>IFERROR(K160/K327, "NA")</f>
      </c>
      <c r="M160" s="15"/>
      <c r="N160" s="13">
        <v>0</v>
      </c>
      <c r="O160" s="14">
        <f>IFERROR(N160/N327, "NA")</f>
      </c>
    </row>
    <row r="161" ht="16.5" customHeight="1">
      <c t="s" r="A161" s="12">
        <v>164</v>
      </c>
      <c r="B161" s="13">
        <v>0</v>
      </c>
      <c r="C161" s="14">
        <f>IFERROR(B161/B327, "NA")</f>
      </c>
      <c r="D161" s="15"/>
      <c r="E161" s="13">
        <v>0</v>
      </c>
      <c r="F161" s="14">
        <f>IFERROR(E161/E327, "NA")</f>
      </c>
      <c r="G161" s="15"/>
      <c r="H161" s="13">
        <v>0</v>
      </c>
      <c r="I161" s="14">
        <f>IFERROR(H161/H327, "NA")</f>
      </c>
      <c r="J161" s="15"/>
      <c r="K161" s="13">
        <v>0</v>
      </c>
      <c r="L161" s="14">
        <f>IFERROR(K161/K327, "NA")</f>
      </c>
      <c r="M161" s="15"/>
      <c r="N161" s="13">
        <v>0</v>
      </c>
      <c r="O161" s="14">
        <f>IFERROR(N161/N327, "NA")</f>
      </c>
    </row>
    <row r="162" ht="16.5" customHeight="1">
      <c t="s" r="A162" s="12">
        <v>165</v>
      </c>
      <c r="B162" s="13">
        <v>0</v>
      </c>
      <c r="C162" s="14">
        <f>IFERROR(B162/B327, "NA")</f>
      </c>
      <c r="D162" s="15"/>
      <c r="E162" s="13">
        <v>0</v>
      </c>
      <c r="F162" s="14">
        <f>IFERROR(E162/E327, "NA")</f>
      </c>
      <c r="G162" s="15"/>
      <c r="H162" s="13">
        <v>0</v>
      </c>
      <c r="I162" s="14">
        <f>IFERROR(H162/H327, "NA")</f>
      </c>
      <c r="J162" s="15"/>
      <c r="K162" s="13">
        <v>0</v>
      </c>
      <c r="L162" s="14">
        <f>IFERROR(K162/K327, "NA")</f>
      </c>
      <c r="M162" s="15"/>
      <c r="N162" s="13">
        <v>0</v>
      </c>
      <c r="O162" s="14">
        <f>IFERROR(N162/N327, "NA")</f>
      </c>
    </row>
    <row r="163" ht="16.5" customHeight="1">
      <c t="s" r="A163" s="12">
        <v>166</v>
      </c>
      <c r="B163" s="13">
        <v>0</v>
      </c>
      <c r="C163" s="14">
        <f>IFERROR(B163/B327, "NA")</f>
      </c>
      <c r="D163" s="15"/>
      <c r="E163" s="13">
        <v>0</v>
      </c>
      <c r="F163" s="14">
        <f>IFERROR(E163/E327, "NA")</f>
      </c>
      <c r="G163" s="15"/>
      <c r="H163" s="13">
        <v>0</v>
      </c>
      <c r="I163" s="14">
        <f>IFERROR(H163/H327, "NA")</f>
      </c>
      <c r="J163" s="15"/>
      <c r="K163" s="13">
        <v>503.94</v>
      </c>
      <c r="L163" s="14">
        <f>IFERROR(K163/K327, "NA")</f>
      </c>
      <c r="M163" s="15"/>
      <c r="N163" s="13">
        <v>0</v>
      </c>
      <c r="O163" s="14">
        <f>IFERROR(N163/N327, "NA")</f>
      </c>
    </row>
    <row r="164" ht="16.5" customHeight="1">
      <c t="s" r="A164" s="12">
        <v>167</v>
      </c>
      <c r="B164" s="13">
        <v>0</v>
      </c>
      <c r="C164" s="14">
        <f>IFERROR(B164/B327, "NA")</f>
      </c>
      <c r="D164" s="15"/>
      <c r="E164" s="13">
        <v>0</v>
      </c>
      <c r="F164" s="14">
        <f>IFERROR(E164/E327, "NA")</f>
      </c>
      <c r="G164" s="15"/>
      <c r="H164" s="13">
        <v>0</v>
      </c>
      <c r="I164" s="14">
        <f>IFERROR(H164/H327, "NA")</f>
      </c>
      <c r="J164" s="15"/>
      <c r="K164" s="13">
        <v>0</v>
      </c>
      <c r="L164" s="14">
        <f>IFERROR(K164/K327, "NA")</f>
      </c>
      <c r="M164" s="15"/>
      <c r="N164" s="13">
        <v>0</v>
      </c>
      <c r="O164" s="14">
        <f>IFERROR(N164/N327, "NA")</f>
      </c>
    </row>
    <row r="165" ht="16.5" customHeight="1">
      <c t="s" r="A165" s="12">
        <v>168</v>
      </c>
      <c r="B165" s="13">
        <v>0</v>
      </c>
      <c r="C165" s="14">
        <f>IFERROR(B165/B327, "NA")</f>
      </c>
      <c r="D165" s="15"/>
      <c r="E165" s="13">
        <v>0</v>
      </c>
      <c r="F165" s="14">
        <f>IFERROR(E165/E327, "NA")</f>
      </c>
      <c r="G165" s="15"/>
      <c r="H165" s="13">
        <v>24.219999999999999</v>
      </c>
      <c r="I165" s="14">
        <f>IFERROR(H165/H327, "NA")</f>
      </c>
      <c r="J165" s="15"/>
      <c r="K165" s="13">
        <v>0</v>
      </c>
      <c r="L165" s="14">
        <f>IFERROR(K165/K327, "NA")</f>
      </c>
      <c r="M165" s="15"/>
      <c r="N165" s="13">
        <v>0</v>
      </c>
      <c r="O165" s="14">
        <f>IFERROR(N165/N327, "NA")</f>
      </c>
    </row>
    <row r="166" ht="16.5" customHeight="1">
      <c t="s" r="A166" s="12">
        <v>169</v>
      </c>
      <c r="B166" s="13">
        <v>231.80000000000001</v>
      </c>
      <c r="C166" s="14">
        <f>IFERROR(B166/B327, "NA")</f>
      </c>
      <c r="D166" s="15"/>
      <c r="E166" s="13">
        <v>555.5</v>
      </c>
      <c r="F166" s="14">
        <f>IFERROR(E166/E327, "NA")</f>
      </c>
      <c r="G166" s="15"/>
      <c r="H166" s="13">
        <v>731.95000000000005</v>
      </c>
      <c r="I166" s="14">
        <f>IFERROR(H166/H327, "NA")</f>
      </c>
      <c r="J166" s="15"/>
      <c r="K166" s="13">
        <v>522.94000000000005</v>
      </c>
      <c r="L166" s="14">
        <f>IFERROR(K166/K327, "NA")</f>
      </c>
      <c r="M166" s="15"/>
      <c r="N166" s="13">
        <v>884.01999999999998</v>
      </c>
      <c r="O166" s="14">
        <f>IFERROR(N166/N327, "NA")</f>
      </c>
    </row>
    <row r="167" ht="16.5" customHeight="1">
      <c t="s" r="A167" s="12">
        <v>170</v>
      </c>
      <c r="B167" s="13">
        <v>0</v>
      </c>
      <c r="C167" s="14">
        <f>IFERROR(B167/B327, "NA")</f>
      </c>
      <c r="D167" s="15"/>
      <c r="E167" s="13">
        <v>485.30000000000001</v>
      </c>
      <c r="F167" s="14">
        <f>IFERROR(E167/E327, "NA")</f>
      </c>
      <c r="G167" s="15"/>
      <c r="H167" s="13">
        <v>463.97000000000003</v>
      </c>
      <c r="I167" s="14">
        <f>IFERROR(H167/H327, "NA")</f>
      </c>
      <c r="J167" s="15"/>
      <c r="K167" s="13">
        <v>794.5</v>
      </c>
      <c r="L167" s="14">
        <f>IFERROR(K167/K327, "NA")</f>
      </c>
      <c r="M167" s="15"/>
      <c r="N167" s="13">
        <v>384.56</v>
      </c>
      <c r="O167" s="14">
        <f>IFERROR(N167/N327, "NA")</f>
      </c>
    </row>
    <row r="168" ht="16.5" customHeight="1">
      <c t="s" r="A168" s="12">
        <v>171</v>
      </c>
      <c r="B168" s="13">
        <v>0</v>
      </c>
      <c r="C168" s="14">
        <f>IFERROR(B168/B327, "NA")</f>
      </c>
      <c r="D168" s="15"/>
      <c r="E168" s="13">
        <v>1696.3199999999999</v>
      </c>
      <c r="F168" s="14">
        <f>IFERROR(E168/E327, "NA")</f>
      </c>
      <c r="G168" s="15"/>
      <c r="H168" s="13">
        <v>2122.23</v>
      </c>
      <c r="I168" s="14">
        <f>IFERROR(H168/H327, "NA")</f>
      </c>
      <c r="J168" s="15"/>
      <c r="K168" s="13">
        <v>1651.96</v>
      </c>
      <c r="L168" s="14">
        <f>IFERROR(K168/K327, "NA")</f>
      </c>
      <c r="M168" s="15"/>
      <c r="N168" s="13">
        <v>1035.45</v>
      </c>
      <c r="O168" s="14">
        <f>IFERROR(N168/N327, "NA")</f>
      </c>
    </row>
    <row r="169" ht="16.5" customHeight="1">
      <c t="s" r="A169" s="12">
        <v>172</v>
      </c>
      <c r="B169" s="13">
        <v>0</v>
      </c>
      <c r="C169" s="14">
        <f>IFERROR(B169/B327, "NA")</f>
      </c>
      <c r="D169" s="15"/>
      <c r="E169" s="13">
        <v>0</v>
      </c>
      <c r="F169" s="14">
        <f>IFERROR(E169/E327, "NA")</f>
      </c>
      <c r="G169" s="15"/>
      <c r="H169" s="13">
        <v>0</v>
      </c>
      <c r="I169" s="14">
        <f>IFERROR(H169/H327, "NA")</f>
      </c>
      <c r="J169" s="15"/>
      <c r="K169" s="13">
        <v>0</v>
      </c>
      <c r="L169" s="14">
        <f>IFERROR(K169/K327, "NA")</f>
      </c>
      <c r="M169" s="15"/>
      <c r="N169" s="13">
        <v>0</v>
      </c>
      <c r="O169" s="14">
        <f>IFERROR(N169/N327, "NA")</f>
      </c>
    </row>
    <row r="170" ht="16.5" customHeight="1">
      <c t="s" r="A170" s="12">
        <v>173</v>
      </c>
      <c r="B170" s="13">
        <v>0</v>
      </c>
      <c r="C170" s="14">
        <f>IFERROR(B170/B327, "NA")</f>
      </c>
      <c r="D170" s="15"/>
      <c r="E170" s="13">
        <v>636.12</v>
      </c>
      <c r="F170" s="14">
        <f>IFERROR(E170/E327, "NA")</f>
      </c>
      <c r="G170" s="15"/>
      <c r="H170" s="13">
        <v>195.19</v>
      </c>
      <c r="I170" s="14">
        <f>IFERROR(H170/H327, "NA")</f>
      </c>
      <c r="J170" s="15"/>
      <c r="K170" s="13">
        <v>8.5500000000000007</v>
      </c>
      <c r="L170" s="14">
        <f>IFERROR(K170/K327, "NA")</f>
      </c>
      <c r="M170" s="15"/>
      <c r="N170" s="13">
        <v>14.25</v>
      </c>
      <c r="O170" s="14">
        <f>IFERROR(N170/N327, "NA")</f>
      </c>
    </row>
    <row r="171" ht="16.5" customHeight="1">
      <c t="s" r="A171" s="12">
        <v>174</v>
      </c>
      <c r="B171" s="13">
        <v>0</v>
      </c>
      <c r="C171" s="14">
        <f>IFERROR(B171/B327, "NA")</f>
      </c>
      <c r="D171" s="15"/>
      <c r="E171" s="13">
        <v>5580.96</v>
      </c>
      <c r="F171" s="14">
        <f>IFERROR(E171/E327, "NA")</f>
      </c>
      <c r="G171" s="15"/>
      <c r="H171" s="13">
        <v>680.51999999999998</v>
      </c>
      <c r="I171" s="14">
        <f>IFERROR(H171/H327, "NA")</f>
      </c>
      <c r="J171" s="15"/>
      <c r="K171" s="13">
        <v>0</v>
      </c>
      <c r="L171" s="14">
        <f>IFERROR(K171/K327, "NA")</f>
      </c>
      <c r="M171" s="15"/>
      <c r="N171" s="13">
        <v>0</v>
      </c>
      <c r="O171" s="14">
        <f>IFERROR(N171/N327, "NA")</f>
      </c>
    </row>
    <row r="172" ht="16.5" customHeight="1">
      <c t="s" r="A172" s="12">
        <v>175</v>
      </c>
      <c r="B172" s="13">
        <v>0</v>
      </c>
      <c r="C172" s="14">
        <f>IFERROR(B172/B327, "NA")</f>
      </c>
      <c r="D172" s="15"/>
      <c r="E172" s="13">
        <v>0</v>
      </c>
      <c r="F172" s="14">
        <f>IFERROR(E172/E327, "NA")</f>
      </c>
      <c r="G172" s="15"/>
      <c r="H172" s="13">
        <v>0</v>
      </c>
      <c r="I172" s="14">
        <f>IFERROR(H172/H327, "NA")</f>
      </c>
      <c r="J172" s="15"/>
      <c r="K172" s="13">
        <v>0</v>
      </c>
      <c r="L172" s="14">
        <f>IFERROR(K172/K327, "NA")</f>
      </c>
      <c r="M172" s="15"/>
      <c r="N172" s="13">
        <v>0</v>
      </c>
      <c r="O172" s="14">
        <f>IFERROR(N172/N327, "NA")</f>
      </c>
    </row>
    <row r="173" ht="16.5" customHeight="1">
      <c t="s" r="A173" s="12">
        <v>176</v>
      </c>
      <c r="B173" s="13">
        <v>0</v>
      </c>
      <c r="C173" s="14">
        <f>IFERROR(B173/B327, "NA")</f>
      </c>
      <c r="D173" s="15"/>
      <c r="E173" s="13">
        <v>0</v>
      </c>
      <c r="F173" s="14">
        <f>IFERROR(E173/E327, "NA")</f>
      </c>
      <c r="G173" s="15"/>
      <c r="H173" s="13">
        <v>0</v>
      </c>
      <c r="I173" s="14">
        <f>IFERROR(H173/H327, "NA")</f>
      </c>
      <c r="J173" s="15"/>
      <c r="K173" s="13">
        <v>0</v>
      </c>
      <c r="L173" s="14">
        <f>IFERROR(K173/K327, "NA")</f>
      </c>
      <c r="M173" s="15"/>
      <c r="N173" s="13">
        <v>0</v>
      </c>
      <c r="O173" s="14">
        <f>IFERROR(N173/N327, "NA")</f>
      </c>
    </row>
    <row r="174" ht="16.5" customHeight="1">
      <c t="s" r="A174" s="12">
        <v>177</v>
      </c>
      <c r="B174" s="13">
        <v>0</v>
      </c>
      <c r="C174" s="14">
        <f>IFERROR(B174/B327, "NA")</f>
      </c>
      <c r="D174" s="15"/>
      <c r="E174" s="13">
        <v>0</v>
      </c>
      <c r="F174" s="14">
        <f>IFERROR(E174/E327, "NA")</f>
      </c>
      <c r="G174" s="15"/>
      <c r="H174" s="13">
        <v>0</v>
      </c>
      <c r="I174" s="14">
        <f>IFERROR(H174/H327, "NA")</f>
      </c>
      <c r="J174" s="15"/>
      <c r="K174" s="13">
        <v>0</v>
      </c>
      <c r="L174" s="14">
        <f>IFERROR(K174/K327, "NA")</f>
      </c>
      <c r="M174" s="15"/>
      <c r="N174" s="13">
        <v>0</v>
      </c>
      <c r="O174" s="14">
        <f>IFERROR(N174/N327, "NA")</f>
      </c>
    </row>
    <row r="175" ht="16.5" customHeight="1">
      <c t="s" r="A175" s="12">
        <v>178</v>
      </c>
      <c r="B175" s="13">
        <v>0</v>
      </c>
      <c r="C175" s="14">
        <f>IFERROR(B175/B327, "NA")</f>
      </c>
      <c r="D175" s="15"/>
      <c r="E175" s="13">
        <v>1272.3</v>
      </c>
      <c r="F175" s="14">
        <f>IFERROR(E175/E327, "NA")</f>
      </c>
      <c r="G175" s="15"/>
      <c r="H175" s="13">
        <v>85.450000000000003</v>
      </c>
      <c r="I175" s="14">
        <f>IFERROR(H175/H327, "NA")</f>
      </c>
      <c r="J175" s="15"/>
      <c r="K175" s="13">
        <v>1216.04</v>
      </c>
      <c r="L175" s="14">
        <f>IFERROR(K175/K327, "NA")</f>
      </c>
      <c r="M175" s="15"/>
      <c r="N175" s="13">
        <v>752.89999999999998</v>
      </c>
      <c r="O175" s="14">
        <f>IFERROR(N175/N327, "NA")</f>
      </c>
    </row>
    <row r="176" ht="16.5" customHeight="1">
      <c t="s" r="A176" s="12">
        <v>179</v>
      </c>
      <c r="B176" s="13">
        <v>0</v>
      </c>
      <c r="C176" s="14">
        <f>IFERROR(B176/B327, "NA")</f>
      </c>
      <c r="D176" s="15"/>
      <c r="E176" s="13">
        <v>0</v>
      </c>
      <c r="F176" s="14">
        <f>IFERROR(E176/E327, "NA")</f>
      </c>
      <c r="G176" s="15"/>
      <c r="H176" s="13">
        <v>439.60000000000002</v>
      </c>
      <c r="I176" s="14">
        <f>IFERROR(H176/H327, "NA")</f>
      </c>
      <c r="J176" s="15"/>
      <c r="K176" s="13">
        <v>439.60000000000002</v>
      </c>
      <c r="L176" s="14">
        <f>IFERROR(K176/K327, "NA")</f>
      </c>
      <c r="M176" s="15"/>
      <c r="N176" s="13">
        <v>109.90000000000001</v>
      </c>
      <c r="O176" s="14">
        <f>IFERROR(N176/N327, "NA")</f>
      </c>
    </row>
    <row r="177" ht="16.5" customHeight="1">
      <c t="s" r="A177" s="12">
        <v>180</v>
      </c>
      <c r="B177" s="13">
        <v>0</v>
      </c>
      <c r="C177" s="14">
        <f>IFERROR(B177/B327, "NA")</f>
      </c>
      <c r="D177" s="15"/>
      <c r="E177" s="13">
        <v>1348.77</v>
      </c>
      <c r="F177" s="14">
        <f>IFERROR(E177/E327, "NA")</f>
      </c>
      <c r="G177" s="15"/>
      <c r="H177" s="13">
        <v>1534.5999999999999</v>
      </c>
      <c r="I177" s="14">
        <f>IFERROR(H177/H327, "NA")</f>
      </c>
      <c r="J177" s="15"/>
      <c r="K177" s="13">
        <v>1574.8599999999999</v>
      </c>
      <c r="L177" s="14">
        <f>IFERROR(K177/K327, "NA")</f>
      </c>
      <c r="M177" s="15"/>
      <c r="N177" s="13">
        <v>1641.8900000000001</v>
      </c>
      <c r="O177" s="14">
        <f>IFERROR(N177/N327, "NA")</f>
      </c>
    </row>
    <row r="178" ht="16.5" customHeight="1">
      <c t="s" r="A178" s="12">
        <v>181</v>
      </c>
      <c r="B178" s="13">
        <v>0</v>
      </c>
      <c r="C178" s="14">
        <f>IFERROR(B178/B327, "NA")</f>
      </c>
      <c r="D178" s="15"/>
      <c r="E178" s="13">
        <v>-18.77</v>
      </c>
      <c r="F178" s="14">
        <f>IFERROR(E178/E327, "NA")</f>
      </c>
      <c r="G178" s="15"/>
      <c r="H178" s="13">
        <v>0</v>
      </c>
      <c r="I178" s="14">
        <f>IFERROR(H178/H327, "NA")</f>
      </c>
      <c r="J178" s="15"/>
      <c r="K178" s="13">
        <v>-923.65999999999997</v>
      </c>
      <c r="L178" s="14">
        <f>IFERROR(K178/K327, "NA")</f>
      </c>
      <c r="M178" s="15"/>
      <c r="N178" s="13">
        <v>5201.1000000000004</v>
      </c>
      <c r="O178" s="14">
        <f>IFERROR(N178/N327, "NA")</f>
      </c>
    </row>
    <row r="179" ht="16.5" customHeight="1">
      <c t="s" r="A179" s="12">
        <v>182</v>
      </c>
      <c r="B179" s="13">
        <v>920</v>
      </c>
      <c r="C179" s="14">
        <f>IFERROR(B179/B327, "NA")</f>
      </c>
      <c r="D179" s="15"/>
      <c r="E179" s="13">
        <v>0</v>
      </c>
      <c r="F179" s="14">
        <f>IFERROR(E179/E327, "NA")</f>
      </c>
      <c r="G179" s="15"/>
      <c r="H179" s="13">
        <v>0</v>
      </c>
      <c r="I179" s="14">
        <f>IFERROR(H179/H327, "NA")</f>
      </c>
      <c r="J179" s="15"/>
      <c r="K179" s="13">
        <v>0</v>
      </c>
      <c r="L179" s="14">
        <f>IFERROR(K179/K327, "NA")</f>
      </c>
      <c r="M179" s="15"/>
      <c r="N179" s="13">
        <v>0</v>
      </c>
      <c r="O179" s="14">
        <f>IFERROR(N179/N327, "NA")</f>
      </c>
    </row>
    <row r="180" ht="16.5" customHeight="1">
      <c t="s" r="A180" s="12">
        <v>183</v>
      </c>
      <c r="B180" s="13">
        <v>0</v>
      </c>
      <c r="C180" s="14">
        <f>IFERROR(B180/B327, "NA")</f>
      </c>
      <c r="D180" s="15"/>
      <c r="E180" s="13">
        <v>0</v>
      </c>
      <c r="F180" s="14">
        <f>IFERROR(E180/E327, "NA")</f>
      </c>
      <c r="G180" s="15"/>
      <c r="H180" s="13">
        <v>0</v>
      </c>
      <c r="I180" s="14">
        <f>IFERROR(H180/H327, "NA")</f>
      </c>
      <c r="J180" s="15"/>
      <c r="K180" s="13">
        <v>0</v>
      </c>
      <c r="L180" s="14">
        <f>IFERROR(K180/K327, "NA")</f>
      </c>
      <c r="M180" s="15"/>
      <c r="N180" s="13">
        <v>0</v>
      </c>
      <c r="O180" s="14">
        <f>IFERROR(N180/N327, "NA")</f>
      </c>
    </row>
    <row r="181" ht="16.5" customHeight="1">
      <c t="s" r="A181" s="12">
        <v>184</v>
      </c>
      <c r="B181" s="13">
        <v>0</v>
      </c>
      <c r="C181" s="14">
        <f>IFERROR(B181/B327, "NA")</f>
      </c>
      <c r="D181" s="15"/>
      <c r="E181" s="13">
        <v>0</v>
      </c>
      <c r="F181" s="14">
        <f>IFERROR(E181/E327, "NA")</f>
      </c>
      <c r="G181" s="15"/>
      <c r="H181" s="13">
        <v>0</v>
      </c>
      <c r="I181" s="14">
        <f>IFERROR(H181/H327, "NA")</f>
      </c>
      <c r="J181" s="15"/>
      <c r="K181" s="13">
        <v>0</v>
      </c>
      <c r="L181" s="14">
        <f>IFERROR(K181/K327, "NA")</f>
      </c>
      <c r="M181" s="15"/>
      <c r="N181" s="13">
        <v>0</v>
      </c>
      <c r="O181" s="14">
        <f>IFERROR(N181/N327, "NA")</f>
      </c>
    </row>
    <row r="182" ht="16.5" customHeight="1">
      <c t="s" r="A182" s="12">
        <v>185</v>
      </c>
      <c r="B182" s="13">
        <v>0</v>
      </c>
      <c r="C182" s="14">
        <f>IFERROR(B182/B327, "NA")</f>
      </c>
      <c r="D182" s="15"/>
      <c r="E182" s="13">
        <v>0</v>
      </c>
      <c r="F182" s="14">
        <f>IFERROR(E182/E327, "NA")</f>
      </c>
      <c r="G182" s="15"/>
      <c r="H182" s="13">
        <v>0</v>
      </c>
      <c r="I182" s="14">
        <f>IFERROR(H182/H327, "NA")</f>
      </c>
      <c r="J182" s="15"/>
      <c r="K182" s="13">
        <v>1161.5799999999999</v>
      </c>
      <c r="L182" s="14">
        <f>IFERROR(K182/K327, "NA")</f>
      </c>
      <c r="M182" s="15"/>
      <c r="N182" s="13">
        <v>142.86000000000001</v>
      </c>
      <c r="O182" s="14">
        <f>IFERROR(N182/N327, "NA")</f>
      </c>
    </row>
    <row r="183" ht="16.5" customHeight="1">
      <c t="s" r="A183" s="12">
        <v>186</v>
      </c>
      <c r="B183" s="13">
        <v>0</v>
      </c>
      <c r="C183" s="14">
        <f>IFERROR(B183/B327, "NA")</f>
      </c>
      <c r="D183" s="15"/>
      <c r="E183" s="13">
        <v>992.00999999999999</v>
      </c>
      <c r="F183" s="14">
        <f>IFERROR(E183/E327, "NA")</f>
      </c>
      <c r="G183" s="15"/>
      <c r="H183" s="13">
        <v>1032.1300000000001</v>
      </c>
      <c r="I183" s="14">
        <f>IFERROR(H183/H327, "NA")</f>
      </c>
      <c r="J183" s="15"/>
      <c r="K183" s="13">
        <v>1679.95</v>
      </c>
      <c r="L183" s="14">
        <f>IFERROR(K183/K327, "NA")</f>
      </c>
      <c r="M183" s="15"/>
      <c r="N183" s="13">
        <v>1319.3499999999999</v>
      </c>
      <c r="O183" s="14">
        <f>IFERROR(N183/N327, "NA")</f>
      </c>
    </row>
    <row r="184" ht="16.5" customHeight="1">
      <c t="s" r="A184" s="12">
        <v>187</v>
      </c>
      <c r="B184" s="13">
        <v>0</v>
      </c>
      <c r="C184" s="14">
        <f>IFERROR(B184/B327, "NA")</f>
      </c>
      <c r="D184" s="15"/>
      <c r="E184" s="13">
        <v>44.950000000000003</v>
      </c>
      <c r="F184" s="14">
        <f>IFERROR(E184/E327, "NA")</f>
      </c>
      <c r="G184" s="15"/>
      <c r="H184" s="13">
        <v>20.010000000000002</v>
      </c>
      <c r="I184" s="14">
        <f>IFERROR(H184/H327, "NA")</f>
      </c>
      <c r="J184" s="15"/>
      <c r="K184" s="13">
        <v>0</v>
      </c>
      <c r="L184" s="14">
        <f>IFERROR(K184/K327, "NA")</f>
      </c>
      <c r="M184" s="15"/>
      <c r="N184" s="13">
        <v>0</v>
      </c>
      <c r="O184" s="14">
        <f>IFERROR(N184/N327, "NA")</f>
      </c>
    </row>
    <row r="185" ht="16.5" customHeight="1">
      <c t="s" r="A185" s="12">
        <v>188</v>
      </c>
      <c r="B185" s="13">
        <v>0</v>
      </c>
      <c r="C185" s="14">
        <f>IFERROR(B185/B327, "NA")</f>
      </c>
      <c r="D185" s="15"/>
      <c r="E185" s="13">
        <v>0</v>
      </c>
      <c r="F185" s="14">
        <f>IFERROR(E185/E327, "NA")</f>
      </c>
      <c r="G185" s="15"/>
      <c r="H185" s="13">
        <v>0</v>
      </c>
      <c r="I185" s="14">
        <f>IFERROR(H185/H327, "NA")</f>
      </c>
      <c r="J185" s="15"/>
      <c r="K185" s="13">
        <v>0</v>
      </c>
      <c r="L185" s="14">
        <f>IFERROR(K185/K327, "NA")</f>
      </c>
      <c r="M185" s="15"/>
      <c r="N185" s="13">
        <v>0</v>
      </c>
      <c r="O185" s="14">
        <f>IFERROR(N185/N327, "NA")</f>
      </c>
    </row>
    <row r="186" ht="16.5" customHeight="1">
      <c t="s" r="A186" s="12">
        <v>189</v>
      </c>
      <c r="B186" s="13">
        <v>0</v>
      </c>
      <c r="C186" s="14">
        <f>IFERROR(B186/B327, "NA")</f>
      </c>
      <c r="D186" s="15"/>
      <c r="E186" s="13">
        <v>0</v>
      </c>
      <c r="F186" s="14">
        <f>IFERROR(E186/E327, "NA")</f>
      </c>
      <c r="G186" s="15"/>
      <c r="H186" s="13">
        <v>0</v>
      </c>
      <c r="I186" s="14">
        <f>IFERROR(H186/H327, "NA")</f>
      </c>
      <c r="J186" s="15"/>
      <c r="K186" s="13">
        <v>0</v>
      </c>
      <c r="L186" s="14">
        <f>IFERROR(K186/K327, "NA")</f>
      </c>
      <c r="M186" s="15"/>
      <c r="N186" s="13">
        <v>0</v>
      </c>
      <c r="O186" s="14">
        <f>IFERROR(N186/N327, "NA")</f>
      </c>
    </row>
    <row r="187" ht="16.5" customHeight="1">
      <c t="s" r="A187" s="12">
        <v>190</v>
      </c>
      <c r="B187" s="13">
        <v>0</v>
      </c>
      <c r="C187" s="14">
        <f>IFERROR(B187/B327, "NA")</f>
      </c>
      <c r="D187" s="15"/>
      <c r="E187" s="13">
        <v>0</v>
      </c>
      <c r="F187" s="14">
        <f>IFERROR(E187/E327, "NA")</f>
      </c>
      <c r="G187" s="15"/>
      <c r="H187" s="13">
        <v>0</v>
      </c>
      <c r="I187" s="14">
        <f>IFERROR(H187/H327, "NA")</f>
      </c>
      <c r="J187" s="15"/>
      <c r="K187" s="13">
        <v>0</v>
      </c>
      <c r="L187" s="14">
        <f>IFERROR(K187/K327, "NA")</f>
      </c>
      <c r="M187" s="15"/>
      <c r="N187" s="13">
        <v>550</v>
      </c>
      <c r="O187" s="14">
        <f>IFERROR(N187/N327, "NA")</f>
      </c>
    </row>
    <row r="188" ht="16.5" customHeight="1">
      <c t="s" r="A188" s="12">
        <v>191</v>
      </c>
      <c r="B188" s="13">
        <v>0</v>
      </c>
      <c r="C188" s="14">
        <f>IFERROR(B188/B327, "NA")</f>
      </c>
      <c r="D188" s="15"/>
      <c r="E188" s="13">
        <v>0</v>
      </c>
      <c r="F188" s="14">
        <f>IFERROR(E188/E327, "NA")</f>
      </c>
      <c r="G188" s="15"/>
      <c r="H188" s="13">
        <v>1107.55</v>
      </c>
      <c r="I188" s="14">
        <f>IFERROR(H188/H327, "NA")</f>
      </c>
      <c r="J188" s="15"/>
      <c r="K188" s="13">
        <v>50</v>
      </c>
      <c r="L188" s="14">
        <f>IFERROR(K188/K327, "NA")</f>
      </c>
      <c r="M188" s="15"/>
      <c r="N188" s="13">
        <v>0</v>
      </c>
      <c r="O188" s="14">
        <f>IFERROR(N188/N327, "NA")</f>
      </c>
    </row>
    <row r="189" ht="16.5" customHeight="1">
      <c t="s" r="A189" s="12">
        <v>192</v>
      </c>
      <c r="B189" s="13">
        <v>0</v>
      </c>
      <c r="C189" s="14">
        <f>IFERROR(B189/B327, "NA")</f>
      </c>
      <c r="D189" s="15"/>
      <c r="E189" s="13">
        <v>644.05999999999995</v>
      </c>
      <c r="F189" s="14">
        <f>IFERROR(E189/E327, "NA")</f>
      </c>
      <c r="G189" s="15"/>
      <c r="H189" s="13">
        <v>0</v>
      </c>
      <c r="I189" s="14">
        <f>IFERROR(H189/H327, "NA")</f>
      </c>
      <c r="J189" s="15"/>
      <c r="K189" s="13">
        <v>3220.27</v>
      </c>
      <c r="L189" s="14">
        <f>IFERROR(K189/K327, "NA")</f>
      </c>
      <c r="M189" s="15"/>
      <c r="N189" s="13">
        <v>1165.47</v>
      </c>
      <c r="O189" s="14">
        <f>IFERROR(N189/N327, "NA")</f>
      </c>
    </row>
    <row r="190" ht="16.5" customHeight="1">
      <c t="s" r="A190" s="12">
        <v>193</v>
      </c>
      <c r="B190" s="13">
        <v>0</v>
      </c>
      <c r="C190" s="14">
        <f>IFERROR(B190/B327, "NA")</f>
      </c>
      <c r="D190" s="15"/>
      <c r="E190" s="13">
        <v>0</v>
      </c>
      <c r="F190" s="14">
        <f>IFERROR(E190/E327, "NA")</f>
      </c>
      <c r="G190" s="15"/>
      <c r="H190" s="13">
        <v>0</v>
      </c>
      <c r="I190" s="14">
        <f>IFERROR(H190/H327, "NA")</f>
      </c>
      <c r="J190" s="15"/>
      <c r="K190" s="13">
        <v>0</v>
      </c>
      <c r="L190" s="14">
        <f>IFERROR(K190/K327, "NA")</f>
      </c>
      <c r="M190" s="15"/>
      <c r="N190" s="13">
        <v>0</v>
      </c>
      <c r="O190" s="14">
        <f>IFERROR(N190/N327, "NA")</f>
      </c>
    </row>
    <row r="191" ht="16.5" customHeight="1">
      <c t="s" r="A191" s="12">
        <v>194</v>
      </c>
      <c r="B191" s="13">
        <v>0</v>
      </c>
      <c r="C191" s="14">
        <f>IFERROR(B191/B327, "NA")</f>
      </c>
      <c r="D191" s="15"/>
      <c r="E191" s="13">
        <v>0</v>
      </c>
      <c r="F191" s="14">
        <f>IFERROR(E191/E327, "NA")</f>
      </c>
      <c r="G191" s="15"/>
      <c r="H191" s="13">
        <v>0</v>
      </c>
      <c r="I191" s="14">
        <f>IFERROR(H191/H327, "NA")</f>
      </c>
      <c r="J191" s="15"/>
      <c r="K191" s="13">
        <v>0</v>
      </c>
      <c r="L191" s="14">
        <f>IFERROR(K191/K327, "NA")</f>
      </c>
      <c r="M191" s="15"/>
      <c r="N191" s="13">
        <v>0</v>
      </c>
      <c r="O191" s="14">
        <f>IFERROR(N191/N327, "NA")</f>
      </c>
    </row>
    <row r="192" ht="16.5" customHeight="1">
      <c t="s" r="A192" s="12">
        <v>195</v>
      </c>
      <c r="B192" s="13">
        <v>0</v>
      </c>
      <c r="C192" s="14">
        <f>IFERROR(B192/B327, "NA")</f>
      </c>
      <c r="D192" s="15"/>
      <c r="E192" s="13">
        <v>-19.18</v>
      </c>
      <c r="F192" s="14">
        <f>IFERROR(E192/E327, "NA")</f>
      </c>
      <c r="G192" s="15"/>
      <c r="H192" s="13">
        <v>535</v>
      </c>
      <c r="I192" s="14">
        <f>IFERROR(H192/H327, "NA")</f>
      </c>
      <c r="J192" s="15"/>
      <c r="K192" s="13">
        <v>3761.25</v>
      </c>
      <c r="L192" s="14">
        <f>IFERROR(K192/K327, "NA")</f>
      </c>
      <c r="M192" s="15"/>
      <c r="N192" s="13">
        <v>1250</v>
      </c>
      <c r="O192" s="14">
        <f>IFERROR(N192/N327, "NA")</f>
      </c>
    </row>
    <row r="193" ht="16.5" customHeight="1">
      <c t="s" r="A193" s="12">
        <v>196</v>
      </c>
      <c r="B193" s="13">
        <v>4160.1700000000001</v>
      </c>
      <c r="C193" s="14">
        <f>IFERROR(B193/B327, "NA")</f>
      </c>
      <c r="D193" s="15"/>
      <c r="E193" s="13">
        <v>4160.1700000000001</v>
      </c>
      <c r="F193" s="14">
        <f>IFERROR(E193/E327, "NA")</f>
      </c>
      <c r="G193" s="15"/>
      <c r="H193" s="13">
        <v>4160.1700000000001</v>
      </c>
      <c r="I193" s="14">
        <f>IFERROR(H193/H327, "NA")</f>
      </c>
      <c r="J193" s="15"/>
      <c r="K193" s="13">
        <v>4160.1700000000001</v>
      </c>
      <c r="L193" s="14">
        <f>IFERROR(K193/K327, "NA")</f>
      </c>
      <c r="M193" s="15"/>
      <c r="N193" s="13">
        <v>4160.1700000000001</v>
      </c>
      <c r="O193" s="14">
        <f>IFERROR(N193/N327, "NA")</f>
      </c>
    </row>
    <row r="194" ht="16.5" customHeight="1">
      <c t="s" r="A194" s="12">
        <v>197</v>
      </c>
      <c r="B194" s="13">
        <v>0</v>
      </c>
      <c r="C194" s="14">
        <f>IFERROR(B194/B327, "NA")</f>
      </c>
      <c r="D194" s="15"/>
      <c r="E194" s="13">
        <v>0</v>
      </c>
      <c r="F194" s="14">
        <f>IFERROR(E194/E327, "NA")</f>
      </c>
      <c r="G194" s="15"/>
      <c r="H194" s="13">
        <v>0</v>
      </c>
      <c r="I194" s="14">
        <f>IFERROR(H194/H327, "NA")</f>
      </c>
      <c r="J194" s="15"/>
      <c r="K194" s="13">
        <v>0</v>
      </c>
      <c r="L194" s="14">
        <f>IFERROR(K194/K327, "NA")</f>
      </c>
      <c r="M194" s="15"/>
      <c r="N194" s="13">
        <v>0</v>
      </c>
      <c r="O194" s="14">
        <f>IFERROR(N194/N327, "NA")</f>
      </c>
    </row>
    <row r="195" ht="16.5" customHeight="1">
      <c t="s" r="A195" s="12">
        <v>198</v>
      </c>
      <c r="B195" s="13">
        <v>0</v>
      </c>
      <c r="C195" s="14">
        <f>IFERROR(B195/B327, "NA")</f>
      </c>
      <c r="D195" s="15"/>
      <c r="E195" s="13">
        <v>0</v>
      </c>
      <c r="F195" s="14">
        <f>IFERROR(E195/E327, "NA")</f>
      </c>
      <c r="G195" s="15"/>
      <c r="H195" s="13">
        <v>0</v>
      </c>
      <c r="I195" s="14">
        <f>IFERROR(H195/H327, "NA")</f>
      </c>
      <c r="J195" s="15"/>
      <c r="K195" s="13">
        <v>0</v>
      </c>
      <c r="L195" s="14">
        <f>IFERROR(K195/K327, "NA")</f>
      </c>
      <c r="M195" s="15"/>
      <c r="N195" s="13">
        <v>180</v>
      </c>
      <c r="O195" s="14">
        <f>IFERROR(N195/N327, "NA")</f>
      </c>
    </row>
    <row r="196" ht="16.5" customHeight="1">
      <c t="s" r="A196" s="12">
        <v>199</v>
      </c>
      <c r="B196" s="13">
        <v>500</v>
      </c>
      <c r="C196" s="14">
        <f>IFERROR(B196/B327, "NA")</f>
      </c>
      <c r="D196" s="15"/>
      <c r="E196" s="13">
        <v>500</v>
      </c>
      <c r="F196" s="14">
        <f>IFERROR(E196/E327, "NA")</f>
      </c>
      <c r="G196" s="15"/>
      <c r="H196" s="13">
        <v>500</v>
      </c>
      <c r="I196" s="14">
        <f>IFERROR(H196/H327, "NA")</f>
      </c>
      <c r="J196" s="15"/>
      <c r="K196" s="13">
        <v>500</v>
      </c>
      <c r="L196" s="14">
        <f>IFERROR(K196/K327, "NA")</f>
      </c>
      <c r="M196" s="15"/>
      <c r="N196" s="13">
        <v>0</v>
      </c>
      <c r="O196" s="14">
        <f>IFERROR(N196/N327, "NA")</f>
      </c>
    </row>
    <row r="197" ht="16.5" customHeight="1">
      <c t="s" r="A197" s="12">
        <v>200</v>
      </c>
      <c r="B197" s="13">
        <v>0</v>
      </c>
      <c r="C197" s="14">
        <f>IFERROR(B197/B327, "NA")</f>
      </c>
      <c r="D197" s="15"/>
      <c r="E197" s="13">
        <v>0</v>
      </c>
      <c r="F197" s="14">
        <f>IFERROR(E197/E327, "NA")</f>
      </c>
      <c r="G197" s="15"/>
      <c r="H197" s="13">
        <v>0</v>
      </c>
      <c r="I197" s="14">
        <f>IFERROR(H197/H327, "NA")</f>
      </c>
      <c r="J197" s="15"/>
      <c r="K197" s="13">
        <v>6400</v>
      </c>
      <c r="L197" s="14">
        <f>IFERROR(K197/K327, "NA")</f>
      </c>
      <c r="M197" s="15"/>
      <c r="N197" s="13">
        <v>0</v>
      </c>
      <c r="O197" s="14">
        <f>IFERROR(N197/N327, "NA")</f>
      </c>
    </row>
    <row r="198" ht="16.5" customHeight="1">
      <c t="s" r="A198" s="12">
        <v>201</v>
      </c>
      <c r="B198" s="13">
        <v>0</v>
      </c>
      <c r="C198" s="14">
        <f>IFERROR(B198/B327, "NA")</f>
      </c>
      <c r="D198" s="15"/>
      <c r="E198" s="13">
        <v>0</v>
      </c>
      <c r="F198" s="14">
        <f>IFERROR(E198/E327, "NA")</f>
      </c>
      <c r="G198" s="15"/>
      <c r="H198" s="13">
        <v>0</v>
      </c>
      <c r="I198" s="14">
        <f>IFERROR(H198/H327, "NA")</f>
      </c>
      <c r="J198" s="15"/>
      <c r="K198" s="13">
        <v>0</v>
      </c>
      <c r="L198" s="14">
        <f>IFERROR(K198/K327, "NA")</f>
      </c>
      <c r="M198" s="15"/>
      <c r="N198" s="13">
        <v>0</v>
      </c>
      <c r="O198" s="14">
        <f>IFERROR(N198/N327, "NA")</f>
      </c>
    </row>
    <row r="199" ht="16.5" customHeight="1">
      <c t="s" r="A199" s="12">
        <v>202</v>
      </c>
      <c r="B199" s="13">
        <v>0</v>
      </c>
      <c r="C199" s="14">
        <f>IFERROR(B199/B327, "NA")</f>
      </c>
      <c r="D199" s="15"/>
      <c r="E199" s="13">
        <v>0</v>
      </c>
      <c r="F199" s="14">
        <f>IFERROR(E199/E327, "NA")</f>
      </c>
      <c r="G199" s="15"/>
      <c r="H199" s="13">
        <v>0</v>
      </c>
      <c r="I199" s="14">
        <f>IFERROR(H199/H327, "NA")</f>
      </c>
      <c r="J199" s="15"/>
      <c r="K199" s="13">
        <v>0</v>
      </c>
      <c r="L199" s="14">
        <f>IFERROR(K199/K327, "NA")</f>
      </c>
      <c r="M199" s="15"/>
      <c r="N199" s="13">
        <v>0</v>
      </c>
      <c r="O199" s="14">
        <f>IFERROR(N199/N327, "NA")</f>
      </c>
    </row>
    <row r="200" ht="16.5" customHeight="1">
      <c t="s" r="A200" s="12">
        <v>203</v>
      </c>
      <c r="B200" s="13">
        <v>0</v>
      </c>
      <c r="C200" s="14">
        <f>IFERROR(B200/B327, "NA")</f>
      </c>
      <c r="D200" s="15"/>
      <c r="E200" s="13">
        <v>0</v>
      </c>
      <c r="F200" s="14">
        <f>IFERROR(E200/E327, "NA")</f>
      </c>
      <c r="G200" s="15"/>
      <c r="H200" s="13">
        <v>0</v>
      </c>
      <c r="I200" s="14">
        <f>IFERROR(H200/H327, "NA")</f>
      </c>
      <c r="J200" s="15"/>
      <c r="K200" s="13">
        <v>0</v>
      </c>
      <c r="L200" s="14">
        <f>IFERROR(K200/K327, "NA")</f>
      </c>
      <c r="M200" s="15"/>
      <c r="N200" s="13">
        <v>0</v>
      </c>
      <c r="O200" s="14">
        <f>IFERROR(N200/N327, "NA")</f>
      </c>
    </row>
    <row r="201" ht="16.5" customHeight="1">
      <c t="s" r="A201" s="12">
        <v>204</v>
      </c>
      <c r="B201" s="13">
        <v>0</v>
      </c>
      <c r="C201" s="14">
        <f>IFERROR(B201/B327, "NA")</f>
      </c>
      <c r="D201" s="15"/>
      <c r="E201" s="13">
        <v>0</v>
      </c>
      <c r="F201" s="14">
        <f>IFERROR(E201/E327, "NA")</f>
      </c>
      <c r="G201" s="15"/>
      <c r="H201" s="13">
        <v>0</v>
      </c>
      <c r="I201" s="14">
        <f>IFERROR(H201/H327, "NA")</f>
      </c>
      <c r="J201" s="15"/>
      <c r="K201" s="13">
        <v>0</v>
      </c>
      <c r="L201" s="14">
        <f>IFERROR(K201/K327, "NA")</f>
      </c>
      <c r="M201" s="15"/>
      <c r="N201" s="13">
        <v>0</v>
      </c>
      <c r="O201" s="14">
        <f>IFERROR(N201/N327, "NA")</f>
      </c>
    </row>
    <row r="202" ht="16.5" customHeight="1">
      <c t="s" r="A202" s="12">
        <v>205</v>
      </c>
      <c r="B202" s="13">
        <v>0</v>
      </c>
      <c r="C202" s="14">
        <f>IFERROR(B202/B327, "NA")</f>
      </c>
      <c r="D202" s="15"/>
      <c r="E202" s="13">
        <v>0</v>
      </c>
      <c r="F202" s="14">
        <f>IFERROR(E202/E327, "NA")</f>
      </c>
      <c r="G202" s="15"/>
      <c r="H202" s="13">
        <v>0</v>
      </c>
      <c r="I202" s="14">
        <f>IFERROR(H202/H327, "NA")</f>
      </c>
      <c r="J202" s="15"/>
      <c r="K202" s="13">
        <v>0</v>
      </c>
      <c r="L202" s="14">
        <f>IFERROR(K202/K327, "NA")</f>
      </c>
      <c r="M202" s="15"/>
      <c r="N202" s="13">
        <v>0</v>
      </c>
      <c r="O202" s="14">
        <f>IFERROR(N202/N327, "NA")</f>
      </c>
    </row>
    <row r="203" ht="16.5" customHeight="1">
      <c t="s" r="A203" s="12">
        <v>206</v>
      </c>
      <c r="B203" s="13">
        <v>0</v>
      </c>
      <c r="C203" s="14">
        <f>IFERROR(B203/B327, "NA")</f>
      </c>
      <c r="D203" s="15"/>
      <c r="E203" s="13">
        <v>0</v>
      </c>
      <c r="F203" s="14">
        <f>IFERROR(E203/E327, "NA")</f>
      </c>
      <c r="G203" s="15"/>
      <c r="H203" s="13">
        <v>0</v>
      </c>
      <c r="I203" s="14">
        <f>IFERROR(H203/H327, "NA")</f>
      </c>
      <c r="J203" s="15"/>
      <c r="K203" s="13">
        <v>0</v>
      </c>
      <c r="L203" s="14">
        <f>IFERROR(K203/K327, "NA")</f>
      </c>
      <c r="M203" s="15"/>
      <c r="N203" s="13">
        <v>0</v>
      </c>
      <c r="O203" s="14">
        <f>IFERROR(N203/N327, "NA")</f>
      </c>
    </row>
    <row r="204" ht="16.5" customHeight="1">
      <c t="s" r="A204" s="12">
        <v>207</v>
      </c>
      <c r="B204" s="13">
        <v>0</v>
      </c>
      <c r="C204" s="14">
        <f>IFERROR(B204/B327, "NA")</f>
      </c>
      <c r="D204" s="15"/>
      <c r="E204" s="13">
        <v>0</v>
      </c>
      <c r="F204" s="14">
        <f>IFERROR(E204/E327, "NA")</f>
      </c>
      <c r="G204" s="15"/>
      <c r="H204" s="13">
        <v>0</v>
      </c>
      <c r="I204" s="14">
        <f>IFERROR(H204/H327, "NA")</f>
      </c>
      <c r="J204" s="15"/>
      <c r="K204" s="13">
        <v>0</v>
      </c>
      <c r="L204" s="14">
        <f>IFERROR(K204/K327, "NA")</f>
      </c>
      <c r="M204" s="15"/>
      <c r="N204" s="13">
        <v>0</v>
      </c>
      <c r="O204" s="14">
        <f>IFERROR(N204/N327, "NA")</f>
      </c>
    </row>
    <row r="205" ht="16.5" customHeight="1">
      <c t="s" r="A205" s="12">
        <v>208</v>
      </c>
      <c r="B205" s="13">
        <v>0</v>
      </c>
      <c r="C205" s="14">
        <f>IFERROR(B205/B327, "NA")</f>
      </c>
      <c r="D205" s="15"/>
      <c r="E205" s="13">
        <v>0</v>
      </c>
      <c r="F205" s="14">
        <f>IFERROR(E205/E327, "NA")</f>
      </c>
      <c r="G205" s="15"/>
      <c r="H205" s="13">
        <v>0</v>
      </c>
      <c r="I205" s="14">
        <f>IFERROR(H205/H327, "NA")</f>
      </c>
      <c r="J205" s="15"/>
      <c r="K205" s="13">
        <v>0</v>
      </c>
      <c r="L205" s="14">
        <f>IFERROR(K205/K327, "NA")</f>
      </c>
      <c r="M205" s="15"/>
      <c r="N205" s="13">
        <v>0</v>
      </c>
      <c r="O205" s="14">
        <f>IFERROR(N205/N327, "NA")</f>
      </c>
    </row>
    <row r="206" ht="16.5" customHeight="1">
      <c t="s" r="A206" s="12">
        <v>209</v>
      </c>
      <c r="B206" s="13">
        <v>0</v>
      </c>
      <c r="C206" s="14">
        <f>IFERROR(B206/B327, "NA")</f>
      </c>
      <c r="D206" s="15"/>
      <c r="E206" s="13">
        <v>0</v>
      </c>
      <c r="F206" s="14">
        <f>IFERROR(E206/E327, "NA")</f>
      </c>
      <c r="G206" s="15"/>
      <c r="H206" s="13">
        <v>0</v>
      </c>
      <c r="I206" s="14">
        <f>IFERROR(H206/H327, "NA")</f>
      </c>
      <c r="J206" s="15"/>
      <c r="K206" s="13">
        <v>0</v>
      </c>
      <c r="L206" s="14">
        <f>IFERROR(K206/K327, "NA")</f>
      </c>
      <c r="M206" s="15"/>
      <c r="N206" s="13">
        <v>0</v>
      </c>
      <c r="O206" s="14">
        <f>IFERROR(N206/N327, "NA")</f>
      </c>
    </row>
    <row r="207" ht="16.5" customHeight="1">
      <c t="s" r="A207" s="12">
        <v>210</v>
      </c>
      <c r="B207" s="13">
        <v>0</v>
      </c>
      <c r="C207" s="14">
        <f>IFERROR(B207/B327, "NA")</f>
      </c>
      <c r="D207" s="15"/>
      <c r="E207" s="13">
        <v>0</v>
      </c>
      <c r="F207" s="14">
        <f>IFERROR(E207/E327, "NA")</f>
      </c>
      <c r="G207" s="15"/>
      <c r="H207" s="13">
        <v>0</v>
      </c>
      <c r="I207" s="14">
        <f>IFERROR(H207/H327, "NA")</f>
      </c>
      <c r="J207" s="15"/>
      <c r="K207" s="13">
        <v>0</v>
      </c>
      <c r="L207" s="14">
        <f>IFERROR(K207/K327, "NA")</f>
      </c>
      <c r="M207" s="15"/>
      <c r="N207" s="13">
        <v>0</v>
      </c>
      <c r="O207" s="14">
        <f>IFERROR(N207/N327, "NA")</f>
      </c>
    </row>
    <row r="208" ht="16.5" customHeight="1">
      <c t="s" r="A208" s="12">
        <v>211</v>
      </c>
      <c r="B208" s="13">
        <v>0</v>
      </c>
      <c r="C208" s="14">
        <f>IFERROR(B208/B327, "NA")</f>
      </c>
      <c r="D208" s="15"/>
      <c r="E208" s="13">
        <v>0</v>
      </c>
      <c r="F208" s="14">
        <f>IFERROR(E208/E327, "NA")</f>
      </c>
      <c r="G208" s="15"/>
      <c r="H208" s="13">
        <v>0</v>
      </c>
      <c r="I208" s="14">
        <f>IFERROR(H208/H327, "NA")</f>
      </c>
      <c r="J208" s="15"/>
      <c r="K208" s="13">
        <v>0</v>
      </c>
      <c r="L208" s="14">
        <f>IFERROR(K208/K327, "NA")</f>
      </c>
      <c r="M208" s="15"/>
      <c r="N208" s="13">
        <v>0</v>
      </c>
      <c r="O208" s="14">
        <f>IFERROR(N208/N327, "NA")</f>
      </c>
    </row>
    <row r="209" ht="16.5" customHeight="1">
      <c t="s" r="A209" s="16">
        <v>212</v>
      </c>
      <c r="B209" s="17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</c>
      <c r="C209" s="18">
        <f>IFERROR(B209/B327, "NA")</f>
      </c>
      <c r="D209" s="8"/>
      <c r="E209" s="17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</c>
      <c r="F209" s="18">
        <f>IFERROR(E209/E327, "NA")</f>
      </c>
      <c r="G209" s="8"/>
      <c r="H209" s="17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</c>
      <c r="I209" s="18">
        <f>IFERROR(H209/H327, "NA")</f>
      </c>
      <c r="J209" s="8"/>
      <c r="K209" s="17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</c>
      <c r="L209" s="18">
        <f>IFERROR(K209/K327, "NA")</f>
      </c>
      <c r="M209" s="8"/>
      <c r="N209" s="17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</c>
      <c r="O209" s="18">
        <f>IFERROR(N209/N327, "NA")</f>
      </c>
    </row>
    <row r="210" ht="16.5" customHeight="1">
      <c t="s" r="A210" s="19">
        <v>213</v>
      </c>
      <c r="B210" s="13">
        <v>0</v>
      </c>
      <c r="C210" s="14">
        <f>IFERROR(B210/B327, "NA")</f>
      </c>
      <c r="D210" s="15"/>
      <c r="E210" s="13">
        <v>0</v>
      </c>
      <c r="F210" s="14">
        <f>IFERROR(E210/E327, "NA")</f>
      </c>
      <c r="G210" s="15"/>
      <c r="H210" s="13">
        <v>0</v>
      </c>
      <c r="I210" s="14">
        <f>IFERROR(H210/H327, "NA")</f>
      </c>
      <c r="J210" s="15"/>
      <c r="K210" s="13">
        <v>0</v>
      </c>
      <c r="L210" s="14">
        <f>IFERROR(K210/K327, "NA")</f>
      </c>
      <c r="M210" s="15"/>
      <c r="N210" s="13">
        <v>0</v>
      </c>
      <c r="O210" s="14">
        <f>IFERROR(N210/N327, "NA")</f>
      </c>
    </row>
    <row r="211" ht="16.5" customHeight="1">
      <c t="s" r="A211" s="20">
        <v>214</v>
      </c>
      <c r="B211" s="17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</c>
      <c r="C211" s="18">
        <f>IFERROR(B211/B327, "NA")</f>
      </c>
      <c r="D211" s="8"/>
      <c r="E211" s="17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</c>
      <c r="F211" s="18">
        <f>IFERROR(E211/E327, "NA")</f>
      </c>
      <c r="G211" s="8"/>
      <c r="H211" s="17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</c>
      <c r="I211" s="18">
        <f>IFERROR(H211/H327, "NA")</f>
      </c>
      <c r="J211" s="8"/>
      <c r="K211" s="17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</c>
      <c r="L211" s="18">
        <f>IFERROR(K211/K327, "NA")</f>
      </c>
      <c r="M211" s="8"/>
      <c r="N211" s="17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</c>
      <c r="O211" s="18">
        <f>IFERROR(N211/N327, "NA")</f>
      </c>
    </row>
    <row r="212" ht="16.5" customHeight="1">
      <c t="s" r="A212" s="7">
        <v>215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</row>
    <row r="213" ht="16.5" customHeight="1">
      <c t="s" r="A213" s="11">
        <v>216</v>
      </c>
      <c r="B213" s="8"/>
      <c r="C213" s="9"/>
      <c r="D213" s="10"/>
      <c r="E213" s="8"/>
      <c r="F213" s="9"/>
      <c r="G213" s="10"/>
      <c r="H213" s="8"/>
      <c r="I213" s="9"/>
      <c r="J213" s="10"/>
      <c r="K213" s="8"/>
      <c r="L213" s="9"/>
      <c r="M213" s="10"/>
      <c r="N213" s="8"/>
      <c r="O213" s="9"/>
    </row>
    <row r="214" ht="16.5" customHeight="1">
      <c t="s" r="A214" s="12">
        <v>217</v>
      </c>
      <c r="B214" s="13">
        <v>0</v>
      </c>
      <c r="C214" s="14">
        <f>IFERROR(B214/B327, "NA")</f>
      </c>
      <c r="D214" s="15"/>
      <c r="E214" s="13">
        <v>0</v>
      </c>
      <c r="F214" s="14">
        <f>IFERROR(E214/E327, "NA")</f>
      </c>
      <c r="G214" s="15"/>
      <c r="H214" s="13">
        <v>0</v>
      </c>
      <c r="I214" s="14">
        <f>IFERROR(H214/H327, "NA")</f>
      </c>
      <c r="J214" s="15"/>
      <c r="K214" s="13">
        <v>0</v>
      </c>
      <c r="L214" s="14">
        <f>IFERROR(K214/K327, "NA")</f>
      </c>
      <c r="M214" s="15"/>
      <c r="N214" s="13">
        <v>0</v>
      </c>
      <c r="O214" s="14">
        <f>IFERROR(N214/N327, "NA")</f>
      </c>
    </row>
    <row r="215" ht="16.5" customHeight="1">
      <c t="s" r="A215" s="12">
        <v>218</v>
      </c>
      <c r="B215" s="13">
        <v>882.50999999999999</v>
      </c>
      <c r="C215" s="14">
        <f>IFERROR(B215/B327, "NA")</f>
      </c>
      <c r="D215" s="15"/>
      <c r="E215" s="13">
        <v>4675.96</v>
      </c>
      <c r="F215" s="14">
        <f>IFERROR(E215/E327, "NA")</f>
      </c>
      <c r="G215" s="15"/>
      <c r="H215" s="13">
        <v>7151.79</v>
      </c>
      <c r="I215" s="14">
        <f>IFERROR(H215/H327, "NA")</f>
      </c>
      <c r="J215" s="15"/>
      <c r="K215" s="13">
        <v>5861.1000000000004</v>
      </c>
      <c r="L215" s="14">
        <f>IFERROR(K215/K327, "NA")</f>
      </c>
      <c r="M215" s="15"/>
      <c r="N215" s="13">
        <v>6810.9200000000001</v>
      </c>
      <c r="O215" s="14">
        <f>IFERROR(N215/N327, "NA")</f>
      </c>
    </row>
    <row r="216" ht="16.5" customHeight="1">
      <c t="s" r="A216" s="12">
        <v>219</v>
      </c>
      <c r="B216" s="13">
        <v>0</v>
      </c>
      <c r="C216" s="14">
        <f>IFERROR(B216/B327, "NA")</f>
      </c>
      <c r="D216" s="15"/>
      <c r="E216" s="13">
        <v>0</v>
      </c>
      <c r="F216" s="14">
        <f>IFERROR(E216/E327, "NA")</f>
      </c>
      <c r="G216" s="15"/>
      <c r="H216" s="13">
        <v>44.5</v>
      </c>
      <c r="I216" s="14">
        <f>IFERROR(H216/H327, "NA")</f>
      </c>
      <c r="J216" s="15"/>
      <c r="K216" s="13">
        <v>0</v>
      </c>
      <c r="L216" s="14">
        <f>IFERROR(K216/K327, "NA")</f>
      </c>
      <c r="M216" s="15"/>
      <c r="N216" s="13">
        <v>0</v>
      </c>
      <c r="O216" s="14">
        <f>IFERROR(N216/N327, "NA")</f>
      </c>
    </row>
    <row r="217" ht="16.5" customHeight="1">
      <c t="s" r="A217" s="12">
        <v>220</v>
      </c>
      <c r="B217" s="13">
        <v>3144</v>
      </c>
      <c r="C217" s="14">
        <f>IFERROR(B217/B327, "NA")</f>
      </c>
      <c r="D217" s="15"/>
      <c r="E217" s="13">
        <v>855.5</v>
      </c>
      <c r="F217" s="14">
        <f>IFERROR(E217/E327, "NA")</f>
      </c>
      <c r="G217" s="15"/>
      <c r="H217" s="13">
        <v>4740.6899999999996</v>
      </c>
      <c r="I217" s="14">
        <f>IFERROR(H217/H327, "NA")</f>
      </c>
      <c r="J217" s="15"/>
      <c r="K217" s="13">
        <v>4204.4799999999996</v>
      </c>
      <c r="L217" s="14">
        <f>IFERROR(K217/K327, "NA")</f>
      </c>
      <c r="M217" s="15"/>
      <c r="N217" s="13">
        <v>985</v>
      </c>
      <c r="O217" s="14">
        <f>IFERROR(N217/N327, "NA")</f>
      </c>
    </row>
    <row r="218" ht="16.5" customHeight="1">
      <c t="s" r="A218" s="12">
        <v>221</v>
      </c>
      <c r="B218" s="13">
        <v>0</v>
      </c>
      <c r="C218" s="14">
        <f>IFERROR(B218/B327, "NA")</f>
      </c>
      <c r="D218" s="15"/>
      <c r="E218" s="13">
        <v>343.75</v>
      </c>
      <c r="F218" s="14">
        <f>IFERROR(E218/E327, "NA")</f>
      </c>
      <c r="G218" s="15"/>
      <c r="H218" s="13">
        <v>0</v>
      </c>
      <c r="I218" s="14">
        <f>IFERROR(H218/H327, "NA")</f>
      </c>
      <c r="J218" s="15"/>
      <c r="K218" s="13">
        <v>298</v>
      </c>
      <c r="L218" s="14">
        <f>IFERROR(K218/K327, "NA")</f>
      </c>
      <c r="M218" s="15"/>
      <c r="N218" s="13">
        <v>0</v>
      </c>
      <c r="O218" s="14">
        <f>IFERROR(N218/N327, "NA")</f>
      </c>
    </row>
    <row r="219" ht="16.5" customHeight="1">
      <c t="s" r="A219" s="12">
        <v>222</v>
      </c>
      <c r="B219" s="13">
        <v>1377.0899999999999</v>
      </c>
      <c r="C219" s="14">
        <f>IFERROR(B219/B327, "NA")</f>
      </c>
      <c r="D219" s="15"/>
      <c r="E219" s="13">
        <v>1377.0899999999999</v>
      </c>
      <c r="F219" s="14">
        <f>IFERROR(E219/E327, "NA")</f>
      </c>
      <c r="G219" s="15"/>
      <c r="H219" s="13">
        <v>194.74000000000001</v>
      </c>
      <c r="I219" s="14">
        <f>IFERROR(H219/H327, "NA")</f>
      </c>
      <c r="J219" s="15"/>
      <c r="K219" s="13">
        <v>0</v>
      </c>
      <c r="L219" s="14">
        <f>IFERROR(K219/K327, "NA")</f>
      </c>
      <c r="M219" s="15"/>
      <c r="N219" s="13">
        <v>0</v>
      </c>
      <c r="O219" s="14">
        <f>IFERROR(N219/N327, "NA")</f>
      </c>
    </row>
    <row r="220" ht="16.5" customHeight="1">
      <c t="s" r="A220" s="12">
        <v>223</v>
      </c>
      <c r="B220" s="13">
        <v>0.98999999999999999</v>
      </c>
      <c r="C220" s="14">
        <f>IFERROR(B220/B327, "NA")</f>
      </c>
      <c r="D220" s="15"/>
      <c r="E220" s="13">
        <v>425.16000000000003</v>
      </c>
      <c r="F220" s="14">
        <f>IFERROR(E220/E327, "NA")</f>
      </c>
      <c r="G220" s="15"/>
      <c r="H220" s="13">
        <v>1309.73</v>
      </c>
      <c r="I220" s="14">
        <f>IFERROR(H220/H327, "NA")</f>
      </c>
      <c r="J220" s="15"/>
      <c r="K220" s="13">
        <v>300.11000000000001</v>
      </c>
      <c r="L220" s="14">
        <f>IFERROR(K220/K327, "NA")</f>
      </c>
      <c r="M220" s="15"/>
      <c r="N220" s="13">
        <v>366.29000000000002</v>
      </c>
      <c r="O220" s="14">
        <f>IFERROR(N220/N327, "NA")</f>
      </c>
    </row>
    <row r="221" ht="16.5" customHeight="1">
      <c t="s" r="A221" s="12">
        <v>224</v>
      </c>
      <c r="B221" s="13">
        <v>0</v>
      </c>
      <c r="C221" s="14">
        <f>IFERROR(B221/B327, "NA")</f>
      </c>
      <c r="D221" s="15"/>
      <c r="E221" s="13">
        <v>168.5</v>
      </c>
      <c r="F221" s="14">
        <f>IFERROR(E221/E327, "NA")</f>
      </c>
      <c r="G221" s="15"/>
      <c r="H221" s="13">
        <v>0</v>
      </c>
      <c r="I221" s="14">
        <f>IFERROR(H221/H327, "NA")</f>
      </c>
      <c r="J221" s="15"/>
      <c r="K221" s="13">
        <v>0</v>
      </c>
      <c r="L221" s="14">
        <f>IFERROR(K221/K327, "NA")</f>
      </c>
      <c r="M221" s="15"/>
      <c r="N221" s="13">
        <v>0</v>
      </c>
      <c r="O221" s="14">
        <f>IFERROR(N221/N327, "NA")</f>
      </c>
    </row>
    <row r="222" ht="16.5" customHeight="1">
      <c t="s" r="A222" s="12">
        <v>225</v>
      </c>
      <c r="B222" s="13">
        <v>0</v>
      </c>
      <c r="C222" s="14">
        <f>IFERROR(B222/B327, "NA")</f>
      </c>
      <c r="D222" s="15"/>
      <c r="E222" s="13">
        <v>0</v>
      </c>
      <c r="F222" s="14">
        <f>IFERROR(E222/E327, "NA")</f>
      </c>
      <c r="G222" s="15"/>
      <c r="H222" s="13">
        <v>0</v>
      </c>
      <c r="I222" s="14">
        <f>IFERROR(H222/H327, "NA")</f>
      </c>
      <c r="J222" s="15"/>
      <c r="K222" s="13">
        <v>0</v>
      </c>
      <c r="L222" s="14">
        <f>IFERROR(K222/K327, "NA")</f>
      </c>
      <c r="M222" s="15"/>
      <c r="N222" s="13">
        <v>0</v>
      </c>
      <c r="O222" s="14">
        <f>IFERROR(N222/N327, "NA")</f>
      </c>
    </row>
    <row r="223" ht="16.5" customHeight="1">
      <c t="s" r="A223" s="12">
        <v>226</v>
      </c>
      <c r="B223" s="13">
        <v>0</v>
      </c>
      <c r="C223" s="14">
        <f>IFERROR(B223/B327, "NA")</f>
      </c>
      <c r="D223" s="15"/>
      <c r="E223" s="13">
        <v>0</v>
      </c>
      <c r="F223" s="14">
        <f>IFERROR(E223/E327, "NA")</f>
      </c>
      <c r="G223" s="15"/>
      <c r="H223" s="13">
        <v>0</v>
      </c>
      <c r="I223" s="14">
        <f>IFERROR(H223/H327, "NA")</f>
      </c>
      <c r="J223" s="15"/>
      <c r="K223" s="13">
        <v>266.39999999999998</v>
      </c>
      <c r="L223" s="14">
        <f>IFERROR(K223/K327, "NA")</f>
      </c>
      <c r="M223" s="15"/>
      <c r="N223" s="13">
        <v>0</v>
      </c>
      <c r="O223" s="14">
        <f>IFERROR(N223/N327, "NA")</f>
      </c>
    </row>
    <row r="224" ht="16.5" customHeight="1">
      <c t="s" r="A224" s="12">
        <v>227</v>
      </c>
      <c r="B224" s="13">
        <v>0</v>
      </c>
      <c r="C224" s="14">
        <f>IFERROR(B224/B327, "NA")</f>
      </c>
      <c r="D224" s="15"/>
      <c r="E224" s="13">
        <v>0</v>
      </c>
      <c r="F224" s="14">
        <f>IFERROR(E224/E327, "NA")</f>
      </c>
      <c r="G224" s="15"/>
      <c r="H224" s="13">
        <v>0</v>
      </c>
      <c r="I224" s="14">
        <f>IFERROR(H224/H327, "NA")</f>
      </c>
      <c r="J224" s="15"/>
      <c r="K224" s="13">
        <v>0</v>
      </c>
      <c r="L224" s="14">
        <f>IFERROR(K224/K327, "NA")</f>
      </c>
      <c r="M224" s="15"/>
      <c r="N224" s="13">
        <v>0</v>
      </c>
      <c r="O224" s="14">
        <f>IFERROR(N224/N327, "NA")</f>
      </c>
    </row>
    <row r="225" ht="16.5" customHeight="1">
      <c t="s" r="A225" s="12">
        <v>228</v>
      </c>
      <c r="B225" s="13">
        <v>937.5</v>
      </c>
      <c r="C225" s="14">
        <f>IFERROR(B225/B327, "NA")</f>
      </c>
      <c r="D225" s="15"/>
      <c r="E225" s="13">
        <v>0</v>
      </c>
      <c r="F225" s="14">
        <f>IFERROR(E225/E327, "NA")</f>
      </c>
      <c r="G225" s="15"/>
      <c r="H225" s="13">
        <v>0</v>
      </c>
      <c r="I225" s="14">
        <f>IFERROR(H225/H327, "NA")</f>
      </c>
      <c r="J225" s="15"/>
      <c r="K225" s="13">
        <v>0</v>
      </c>
      <c r="L225" s="14">
        <f>IFERROR(K225/K327, "NA")</f>
      </c>
      <c r="M225" s="15"/>
      <c r="N225" s="13">
        <v>0</v>
      </c>
      <c r="O225" s="14">
        <f>IFERROR(N225/N327, "NA")</f>
      </c>
    </row>
    <row r="226" ht="16.5" customHeight="1">
      <c t="s" r="A226" s="12">
        <v>229</v>
      </c>
      <c r="B226" s="13">
        <v>-2.8500000000000001</v>
      </c>
      <c r="C226" s="14">
        <f>IFERROR(B226/B327, "NA")</f>
      </c>
      <c r="D226" s="15"/>
      <c r="E226" s="13">
        <v>-0.62</v>
      </c>
      <c r="F226" s="14">
        <f>IFERROR(E226/E327, "NA")</f>
      </c>
      <c r="G226" s="15"/>
      <c r="H226" s="13">
        <v>-4.1900000000000004</v>
      </c>
      <c r="I226" s="14">
        <f>IFERROR(H226/H327, "NA")</f>
      </c>
      <c r="J226" s="15"/>
      <c r="K226" s="13">
        <v>62.82</v>
      </c>
      <c r="L226" s="14">
        <f>IFERROR(K226/K327, "NA")</f>
      </c>
      <c r="M226" s="15"/>
      <c r="N226" s="13">
        <v>-27.02</v>
      </c>
      <c r="O226" s="14">
        <f>IFERROR(N226/N327, "NA")</f>
      </c>
    </row>
    <row r="227" ht="16.5" customHeight="1">
      <c t="s" r="A227" s="12">
        <v>230</v>
      </c>
      <c r="B227" s="13">
        <v>0</v>
      </c>
      <c r="C227" s="14">
        <f>IFERROR(B227/B327, "NA")</f>
      </c>
      <c r="D227" s="15"/>
      <c r="E227" s="13">
        <v>-15</v>
      </c>
      <c r="F227" s="14">
        <f>IFERROR(E227/E327, "NA")</f>
      </c>
      <c r="G227" s="15"/>
      <c r="H227" s="13">
        <v>0</v>
      </c>
      <c r="I227" s="14">
        <f>IFERROR(H227/H327, "NA")</f>
      </c>
      <c r="J227" s="15"/>
      <c r="K227" s="13">
        <v>1202.46</v>
      </c>
      <c r="L227" s="14">
        <f>IFERROR(K227/K327, "NA")</f>
      </c>
      <c r="M227" s="15"/>
      <c r="N227" s="13">
        <v>0</v>
      </c>
      <c r="O227" s="14">
        <f>IFERROR(N227/N327, "NA")</f>
      </c>
    </row>
    <row r="228" ht="16.5" customHeight="1">
      <c t="s" r="A228" s="12">
        <v>231</v>
      </c>
      <c r="B228" s="13">
        <v>0</v>
      </c>
      <c r="C228" s="14">
        <f>IFERROR(B228/B327, "NA")</f>
      </c>
      <c r="D228" s="15"/>
      <c r="E228" s="13">
        <v>0</v>
      </c>
      <c r="F228" s="14">
        <f>IFERROR(E228/E327, "NA")</f>
      </c>
      <c r="G228" s="15"/>
      <c r="H228" s="13">
        <v>0</v>
      </c>
      <c r="I228" s="14">
        <f>IFERROR(H228/H327, "NA")</f>
      </c>
      <c r="J228" s="15"/>
      <c r="K228" s="13">
        <v>16</v>
      </c>
      <c r="L228" s="14">
        <f>IFERROR(K228/K327, "NA")</f>
      </c>
      <c r="M228" s="15"/>
      <c r="N228" s="13">
        <v>0</v>
      </c>
      <c r="O228" s="14">
        <f>IFERROR(N228/N327, "NA")</f>
      </c>
    </row>
    <row r="229" ht="16.5" customHeight="1">
      <c t="s" r="A229" s="12">
        <v>232</v>
      </c>
      <c r="B229" s="13">
        <v>0</v>
      </c>
      <c r="C229" s="14">
        <f>IFERROR(B229/B327, "NA")</f>
      </c>
      <c r="D229" s="15"/>
      <c r="E229" s="13">
        <v>0</v>
      </c>
      <c r="F229" s="14">
        <f>IFERROR(E229/E327, "NA")</f>
      </c>
      <c r="G229" s="15"/>
      <c r="H229" s="13">
        <v>0</v>
      </c>
      <c r="I229" s="14">
        <f>IFERROR(H229/H327, "NA")</f>
      </c>
      <c r="J229" s="15"/>
      <c r="K229" s="13">
        <v>0</v>
      </c>
      <c r="L229" s="14">
        <f>IFERROR(K229/K327, "NA")</f>
      </c>
      <c r="M229" s="15"/>
      <c r="N229" s="13">
        <v>0</v>
      </c>
      <c r="O229" s="14">
        <f>IFERROR(N229/N327, "NA")</f>
      </c>
    </row>
    <row r="230" ht="16.5" customHeight="1">
      <c t="s" r="A230" s="12">
        <v>233</v>
      </c>
      <c r="B230" s="13">
        <v>1284.75</v>
      </c>
      <c r="C230" s="14">
        <f>IFERROR(B230/B327, "NA")</f>
      </c>
      <c r="D230" s="15"/>
      <c r="E230" s="13">
        <v>1000</v>
      </c>
      <c r="F230" s="14">
        <f>IFERROR(E230/E327, "NA")</f>
      </c>
      <c r="G230" s="15"/>
      <c r="H230" s="13">
        <v>0</v>
      </c>
      <c r="I230" s="14">
        <f>IFERROR(H230/H327, "NA")</f>
      </c>
      <c r="J230" s="15"/>
      <c r="K230" s="13">
        <v>0</v>
      </c>
      <c r="L230" s="14">
        <f>IFERROR(K230/K327, "NA")</f>
      </c>
      <c r="M230" s="15"/>
      <c r="N230" s="13">
        <v>0</v>
      </c>
      <c r="O230" s="14">
        <f>IFERROR(N230/N327, "NA")</f>
      </c>
    </row>
    <row r="231" ht="16.5" customHeight="1">
      <c t="s" r="A231" s="12">
        <v>234</v>
      </c>
      <c r="B231" s="13">
        <v>0</v>
      </c>
      <c r="C231" s="14">
        <f>IFERROR(B231/B327, "NA")</f>
      </c>
      <c r="D231" s="15"/>
      <c r="E231" s="13">
        <v>0</v>
      </c>
      <c r="F231" s="14">
        <f>IFERROR(E231/E327, "NA")</f>
      </c>
      <c r="G231" s="15"/>
      <c r="H231" s="13">
        <v>0</v>
      </c>
      <c r="I231" s="14">
        <f>IFERROR(H231/H327, "NA")</f>
      </c>
      <c r="J231" s="15"/>
      <c r="K231" s="13">
        <v>0</v>
      </c>
      <c r="L231" s="14">
        <f>IFERROR(K231/K327, "NA")</f>
      </c>
      <c r="M231" s="15"/>
      <c r="N231" s="13">
        <v>0</v>
      </c>
      <c r="O231" s="14">
        <f>IFERROR(N231/N327, "NA")</f>
      </c>
    </row>
    <row r="232" ht="16.5" customHeight="1">
      <c t="s" r="A232" s="12">
        <v>235</v>
      </c>
      <c r="B232" s="13">
        <v>0</v>
      </c>
      <c r="C232" s="14">
        <f>IFERROR(B232/B327, "NA")</f>
      </c>
      <c r="D232" s="15"/>
      <c r="E232" s="13">
        <v>0</v>
      </c>
      <c r="F232" s="14">
        <f>IFERROR(E232/E327, "NA")</f>
      </c>
      <c r="G232" s="15"/>
      <c r="H232" s="13">
        <v>0</v>
      </c>
      <c r="I232" s="14">
        <f>IFERROR(H232/H327, "NA")</f>
      </c>
      <c r="J232" s="15"/>
      <c r="K232" s="13">
        <v>0</v>
      </c>
      <c r="L232" s="14">
        <f>IFERROR(K232/K327, "NA")</f>
      </c>
      <c r="M232" s="15"/>
      <c r="N232" s="13">
        <v>0</v>
      </c>
      <c r="O232" s="14">
        <f>IFERROR(N232/N327, "NA")</f>
      </c>
    </row>
    <row r="233" ht="16.5" customHeight="1">
      <c t="s" r="A233" s="12">
        <v>236</v>
      </c>
      <c r="B233" s="13">
        <v>0</v>
      </c>
      <c r="C233" s="14">
        <f>IFERROR(B233/B327, "NA")</f>
      </c>
      <c r="D233" s="15"/>
      <c r="E233" s="13">
        <v>0</v>
      </c>
      <c r="F233" s="14">
        <f>IFERROR(E233/E327, "NA")</f>
      </c>
      <c r="G233" s="15"/>
      <c r="H233" s="13">
        <v>0</v>
      </c>
      <c r="I233" s="14">
        <f>IFERROR(H233/H327, "NA")</f>
      </c>
      <c r="J233" s="15"/>
      <c r="K233" s="13">
        <v>0</v>
      </c>
      <c r="L233" s="14">
        <f>IFERROR(K233/K327, "NA")</f>
      </c>
      <c r="M233" s="15"/>
      <c r="N233" s="13">
        <v>0</v>
      </c>
      <c r="O233" s="14">
        <f>IFERROR(N233/N327, "NA")</f>
      </c>
    </row>
    <row r="234" ht="16.5" customHeight="1">
      <c t="s" r="A234" s="12">
        <v>237</v>
      </c>
      <c r="B234" s="13">
        <v>106.63</v>
      </c>
      <c r="C234" s="14">
        <f>IFERROR(B234/B327, "NA")</f>
      </c>
      <c r="D234" s="15"/>
      <c r="E234" s="13">
        <v>42.810000000000002</v>
      </c>
      <c r="F234" s="14">
        <f>IFERROR(E234/E327, "NA")</f>
      </c>
      <c r="G234" s="15"/>
      <c r="H234" s="13">
        <v>153.03999999999999</v>
      </c>
      <c r="I234" s="14">
        <f>IFERROR(H234/H327, "NA")</f>
      </c>
      <c r="J234" s="15"/>
      <c r="K234" s="13">
        <v>37.520000000000003</v>
      </c>
      <c r="L234" s="14">
        <f>IFERROR(K234/K327, "NA")</f>
      </c>
      <c r="M234" s="15"/>
      <c r="N234" s="13">
        <v>0</v>
      </c>
      <c r="O234" s="14">
        <f>IFERROR(N234/N327, "NA")</f>
      </c>
    </row>
    <row r="235" ht="16.5" customHeight="1">
      <c t="s" r="A235" s="12">
        <v>238</v>
      </c>
      <c r="B235" s="13">
        <v>257.14999999999998</v>
      </c>
      <c r="C235" s="14">
        <f>IFERROR(B235/B327, "NA")</f>
      </c>
      <c r="D235" s="15"/>
      <c r="E235" s="13">
        <v>0</v>
      </c>
      <c r="F235" s="14">
        <f>IFERROR(E235/E327, "NA")</f>
      </c>
      <c r="G235" s="15"/>
      <c r="H235" s="13">
        <v>190.30000000000001</v>
      </c>
      <c r="I235" s="14">
        <f>IFERROR(H235/H327, "NA")</f>
      </c>
      <c r="J235" s="15"/>
      <c r="K235" s="13">
        <v>308.86000000000001</v>
      </c>
      <c r="L235" s="14">
        <f>IFERROR(K235/K327, "NA")</f>
      </c>
      <c r="M235" s="15"/>
      <c r="N235" s="13">
        <v>0</v>
      </c>
      <c r="O235" s="14">
        <f>IFERROR(N235/N327, "NA")</f>
      </c>
    </row>
    <row r="236" ht="16.5" customHeight="1">
      <c t="s" r="A236" s="12">
        <v>239</v>
      </c>
      <c r="B236" s="13">
        <v>431.75</v>
      </c>
      <c r="C236" s="14">
        <f>IFERROR(B236/B327, "NA")</f>
      </c>
      <c r="D236" s="15"/>
      <c r="E236" s="13">
        <v>4060.6300000000001</v>
      </c>
      <c r="F236" s="14">
        <f>IFERROR(E236/E327, "NA")</f>
      </c>
      <c r="G236" s="15"/>
      <c r="H236" s="13">
        <v>0</v>
      </c>
      <c r="I236" s="14">
        <f>IFERROR(H236/H327, "NA")</f>
      </c>
      <c r="J236" s="15"/>
      <c r="K236" s="13">
        <v>0</v>
      </c>
      <c r="L236" s="14">
        <f>IFERROR(K236/K327, "NA")</f>
      </c>
      <c r="M236" s="15"/>
      <c r="N236" s="13">
        <v>24919.349999999999</v>
      </c>
      <c r="O236" s="14">
        <f>IFERROR(N236/N327, "NA")</f>
      </c>
    </row>
    <row r="237" ht="16.5" customHeight="1">
      <c t="s" r="A237" s="12">
        <v>240</v>
      </c>
      <c r="B237" s="13">
        <v>2343.3000000000002</v>
      </c>
      <c r="C237" s="14">
        <f>IFERROR(B237/B327, "NA")</f>
      </c>
      <c r="D237" s="15"/>
      <c r="E237" s="13">
        <v>2181.9000000000001</v>
      </c>
      <c r="F237" s="14">
        <f>IFERROR(E237/E327, "NA")</f>
      </c>
      <c r="G237" s="15"/>
      <c r="H237" s="13">
        <v>0</v>
      </c>
      <c r="I237" s="14">
        <f>IFERROR(H237/H327, "NA")</f>
      </c>
      <c r="J237" s="15"/>
      <c r="K237" s="13">
        <v>0</v>
      </c>
      <c r="L237" s="14">
        <f>IFERROR(K237/K327, "NA")</f>
      </c>
      <c r="M237" s="15"/>
      <c r="N237" s="13">
        <v>909.5</v>
      </c>
      <c r="O237" s="14">
        <f>IFERROR(N237/N327, "NA")</f>
      </c>
    </row>
    <row r="238" ht="16.5" customHeight="1">
      <c t="s" r="A238" s="12">
        <v>241</v>
      </c>
      <c r="B238" s="13">
        <v>2101.3000000000002</v>
      </c>
      <c r="C238" s="14">
        <f>IFERROR(B238/B327, "NA")</f>
      </c>
      <c r="D238" s="15"/>
      <c r="E238" s="13">
        <v>2400</v>
      </c>
      <c r="F238" s="14">
        <f>IFERROR(E238/E327, "NA")</f>
      </c>
      <c r="G238" s="15"/>
      <c r="H238" s="13">
        <v>216.02000000000001</v>
      </c>
      <c r="I238" s="14">
        <f>IFERROR(H238/H327, "NA")</f>
      </c>
      <c r="J238" s="15"/>
      <c r="K238" s="13">
        <v>2388</v>
      </c>
      <c r="L238" s="14">
        <f>IFERROR(K238/K327, "NA")</f>
      </c>
      <c r="M238" s="15"/>
      <c r="N238" s="13">
        <v>0</v>
      </c>
      <c r="O238" s="14">
        <f>IFERROR(N238/N327, "NA")</f>
      </c>
    </row>
    <row r="239" ht="16.5" customHeight="1">
      <c t="s" r="A239" s="12">
        <v>242</v>
      </c>
      <c r="B239" s="13">
        <v>0</v>
      </c>
      <c r="C239" s="14">
        <f>IFERROR(B239/B327, "NA")</f>
      </c>
      <c r="D239" s="15"/>
      <c r="E239" s="13">
        <v>0</v>
      </c>
      <c r="F239" s="14">
        <f>IFERROR(E239/E327, "NA")</f>
      </c>
      <c r="G239" s="15"/>
      <c r="H239" s="13">
        <v>0</v>
      </c>
      <c r="I239" s="14">
        <f>IFERROR(H239/H327, "NA")</f>
      </c>
      <c r="J239" s="15"/>
      <c r="K239" s="13">
        <v>0</v>
      </c>
      <c r="L239" s="14">
        <f>IFERROR(K239/K327, "NA")</f>
      </c>
      <c r="M239" s="15"/>
      <c r="N239" s="13">
        <v>0</v>
      </c>
      <c r="O239" s="14">
        <f>IFERROR(N239/N327, "NA")</f>
      </c>
    </row>
    <row r="240" ht="16.5" customHeight="1">
      <c t="s" r="A240" s="12">
        <v>243</v>
      </c>
      <c r="B240" s="13">
        <v>0</v>
      </c>
      <c r="C240" s="14">
        <f>IFERROR(B240/B327, "NA")</f>
      </c>
      <c r="D240" s="15"/>
      <c r="E240" s="13">
        <v>0</v>
      </c>
      <c r="F240" s="14">
        <f>IFERROR(E240/E327, "NA")</f>
      </c>
      <c r="G240" s="15"/>
      <c r="H240" s="13">
        <v>0</v>
      </c>
      <c r="I240" s="14">
        <f>IFERROR(H240/H327, "NA")</f>
      </c>
      <c r="J240" s="15"/>
      <c r="K240" s="13">
        <v>0</v>
      </c>
      <c r="L240" s="14">
        <f>IFERROR(K240/K327, "NA")</f>
      </c>
      <c r="M240" s="15"/>
      <c r="N240" s="13">
        <v>0</v>
      </c>
      <c r="O240" s="14">
        <f>IFERROR(N240/N327, "NA")</f>
      </c>
    </row>
    <row r="241" ht="16.5" customHeight="1">
      <c t="s" r="A241" s="16">
        <v>244</v>
      </c>
      <c r="B241" s="17">
        <f>IFERROR(B214+B215+B216+B217+B218+B219+B220+B221+B222+B223+B224+B225+B226+B227+B228+B229+B230+B231+B232+B233+B234+B235+B236+B237+B238+B239+B240, "NA")</f>
      </c>
      <c r="C241" s="18">
        <f>IFERROR(B241/B327, "NA")</f>
      </c>
      <c r="D241" s="8"/>
      <c r="E241" s="17">
        <f>IFERROR(E214+E215+E216+E217+E218+E219+E220+E221+E222+E223+E224+E225+E226+E227+E228+E229+E230+E231+E232+E233+E234+E235+E236+E237+E238+E239+E240, "NA")</f>
      </c>
      <c r="F241" s="18">
        <f>IFERROR(E241/E327, "NA")</f>
      </c>
      <c r="G241" s="8"/>
      <c r="H241" s="17">
        <f>IFERROR(H214+H215+H216+H217+H218+H219+H220+H221+H222+H223+H224+H225+H226+H227+H228+H229+H230+H231+H232+H233+H234+H235+H236+H237+H238+H239+H240, "NA")</f>
      </c>
      <c r="I241" s="18">
        <f>IFERROR(H241/H327, "NA")</f>
      </c>
      <c r="J241" s="8"/>
      <c r="K241" s="17">
        <f>IFERROR(K214+K215+K216+K217+K218+K219+K220+K221+K222+K223+K224+K225+K226+K227+K228+K229+K230+K231+K232+K233+K234+K235+K236+K237+K238+K239+K240, "NA")</f>
      </c>
      <c r="L241" s="18">
        <f>IFERROR(K241/K327, "NA")</f>
      </c>
      <c r="M241" s="8"/>
      <c r="N241" s="17">
        <f>IFERROR(N214+N215+N216+N217+N218+N219+N220+N221+N222+N223+N224+N225+N226+N227+N228+N229+N230+N231+N232+N233+N234+N235+N236+N237+N238+N239+N240, "NA")</f>
      </c>
      <c r="O241" s="18">
        <f>IFERROR(N241/N327, "NA")</f>
      </c>
    </row>
    <row r="242" ht="16.5" customHeight="1">
      <c t="s" r="A242" s="11">
        <v>245</v>
      </c>
      <c r="B242" s="8"/>
      <c r="C242" s="9"/>
      <c r="D242" s="10"/>
      <c r="E242" s="8"/>
      <c r="F242" s="9"/>
      <c r="G242" s="10"/>
      <c r="H242" s="8"/>
      <c r="I242" s="9"/>
      <c r="J242" s="10"/>
      <c r="K242" s="8"/>
      <c r="L242" s="9"/>
      <c r="M242" s="10"/>
      <c r="N242" s="8"/>
      <c r="O242" s="9"/>
    </row>
    <row r="243" ht="16.5" customHeight="1">
      <c t="s" r="A243" s="12">
        <v>246</v>
      </c>
      <c r="B243" s="13">
        <v>0</v>
      </c>
      <c r="C243" s="14">
        <f>IFERROR(B243/B327, "NA")</f>
      </c>
      <c r="D243" s="15"/>
      <c r="E243" s="13">
        <v>0</v>
      </c>
      <c r="F243" s="14">
        <f>IFERROR(E243/E327, "NA")</f>
      </c>
      <c r="G243" s="15"/>
      <c r="H243" s="13">
        <v>0</v>
      </c>
      <c r="I243" s="14">
        <f>IFERROR(H243/H327, "NA")</f>
      </c>
      <c r="J243" s="15"/>
      <c r="K243" s="13">
        <v>0</v>
      </c>
      <c r="L243" s="14">
        <f>IFERROR(K243/K327, "NA")</f>
      </c>
      <c r="M243" s="15"/>
      <c r="N243" s="13">
        <v>0</v>
      </c>
      <c r="O243" s="14">
        <f>IFERROR(N243/N327, "NA")</f>
      </c>
    </row>
    <row r="244" ht="16.5" customHeight="1">
      <c t="s" r="A244" s="12">
        <v>247</v>
      </c>
      <c r="B244" s="13">
        <v>0</v>
      </c>
      <c r="C244" s="14">
        <f>IFERROR(B244/B327, "NA")</f>
      </c>
      <c r="D244" s="15"/>
      <c r="E244" s="13">
        <v>0</v>
      </c>
      <c r="F244" s="14">
        <f>IFERROR(E244/E327, "NA")</f>
      </c>
      <c r="G244" s="15"/>
      <c r="H244" s="13">
        <v>0</v>
      </c>
      <c r="I244" s="14">
        <f>IFERROR(H244/H327, "NA")</f>
      </c>
      <c r="J244" s="15"/>
      <c r="K244" s="13">
        <v>400</v>
      </c>
      <c r="L244" s="14">
        <f>IFERROR(K244/K327, "NA")</f>
      </c>
      <c r="M244" s="15"/>
      <c r="N244" s="13">
        <v>0</v>
      </c>
      <c r="O244" s="14">
        <f>IFERROR(N244/N327, "NA")</f>
      </c>
    </row>
    <row r="245" ht="16.5" customHeight="1">
      <c t="s" r="A245" s="12">
        <v>248</v>
      </c>
      <c r="B245" s="13">
        <v>0</v>
      </c>
      <c r="C245" s="14">
        <f>IFERROR(B245/B327, "NA")</f>
      </c>
      <c r="D245" s="15"/>
      <c r="E245" s="13">
        <v>0</v>
      </c>
      <c r="F245" s="14">
        <f>IFERROR(E245/E327, "NA")</f>
      </c>
      <c r="G245" s="15"/>
      <c r="H245" s="13">
        <v>0</v>
      </c>
      <c r="I245" s="14">
        <f>IFERROR(H245/H327, "NA")</f>
      </c>
      <c r="J245" s="15"/>
      <c r="K245" s="13">
        <v>0</v>
      </c>
      <c r="L245" s="14">
        <f>IFERROR(K245/K327, "NA")</f>
      </c>
      <c r="M245" s="15"/>
      <c r="N245" s="13">
        <v>0</v>
      </c>
      <c r="O245" s="14">
        <f>IFERROR(N245/N327, "NA")</f>
      </c>
    </row>
    <row r="246" ht="16.5" customHeight="1">
      <c t="s" r="A246" s="12">
        <v>249</v>
      </c>
      <c r="B246" s="13">
        <v>0</v>
      </c>
      <c r="C246" s="14">
        <f>IFERROR(B246/B327, "NA")</f>
      </c>
      <c r="D246" s="15"/>
      <c r="E246" s="13">
        <v>0</v>
      </c>
      <c r="F246" s="14">
        <f>IFERROR(E246/E327, "NA")</f>
      </c>
      <c r="G246" s="15"/>
      <c r="H246" s="13">
        <v>0</v>
      </c>
      <c r="I246" s="14">
        <f>IFERROR(H246/H327, "NA")</f>
      </c>
      <c r="J246" s="15"/>
      <c r="K246" s="13">
        <v>0</v>
      </c>
      <c r="L246" s="14">
        <f>IFERROR(K246/K327, "NA")</f>
      </c>
      <c r="M246" s="15"/>
      <c r="N246" s="13">
        <v>0</v>
      </c>
      <c r="O246" s="14">
        <f>IFERROR(N246/N327, "NA")</f>
      </c>
    </row>
    <row r="247" ht="16.5" customHeight="1">
      <c t="s" r="A247" s="12">
        <v>250</v>
      </c>
      <c r="B247" s="13">
        <v>0</v>
      </c>
      <c r="C247" s="14">
        <f>IFERROR(B247/B327, "NA")</f>
      </c>
      <c r="D247" s="15"/>
      <c r="E247" s="13">
        <v>5442.8500000000004</v>
      </c>
      <c r="F247" s="14">
        <f>IFERROR(E247/E327, "NA")</f>
      </c>
      <c r="G247" s="15"/>
      <c r="H247" s="13">
        <v>0</v>
      </c>
      <c r="I247" s="14">
        <f>IFERROR(H247/H327, "NA")</f>
      </c>
      <c r="J247" s="15"/>
      <c r="K247" s="13">
        <v>0</v>
      </c>
      <c r="L247" s="14">
        <f>IFERROR(K247/K327, "NA")</f>
      </c>
      <c r="M247" s="15"/>
      <c r="N247" s="13">
        <v>0</v>
      </c>
      <c r="O247" s="14">
        <f>IFERROR(N247/N327, "NA")</f>
      </c>
    </row>
    <row r="248" ht="16.5" customHeight="1">
      <c t="s" r="A248" s="12">
        <v>251</v>
      </c>
      <c r="B248" s="13">
        <v>0</v>
      </c>
      <c r="C248" s="14">
        <f>IFERROR(B248/B327, "NA")</f>
      </c>
      <c r="D248" s="15"/>
      <c r="E248" s="13">
        <v>0</v>
      </c>
      <c r="F248" s="14">
        <f>IFERROR(E248/E327, "NA")</f>
      </c>
      <c r="G248" s="15"/>
      <c r="H248" s="13">
        <v>0</v>
      </c>
      <c r="I248" s="14">
        <f>IFERROR(H248/H327, "NA")</f>
      </c>
      <c r="J248" s="15"/>
      <c r="K248" s="13">
        <v>1862.6199999999999</v>
      </c>
      <c r="L248" s="14">
        <f>IFERROR(K248/K327, "NA")</f>
      </c>
      <c r="M248" s="15"/>
      <c r="N248" s="13">
        <v>0</v>
      </c>
      <c r="O248" s="14">
        <f>IFERROR(N248/N327, "NA")</f>
      </c>
    </row>
    <row r="249" ht="16.5" customHeight="1">
      <c t="s" r="A249" s="12">
        <v>252</v>
      </c>
      <c r="B249" s="13">
        <v>0</v>
      </c>
      <c r="C249" s="14">
        <f>IFERROR(B249/B327, "NA")</f>
      </c>
      <c r="D249" s="15"/>
      <c r="E249" s="13">
        <v>0</v>
      </c>
      <c r="F249" s="14">
        <f>IFERROR(E249/E327, "NA")</f>
      </c>
      <c r="G249" s="15"/>
      <c r="H249" s="13">
        <v>0</v>
      </c>
      <c r="I249" s="14">
        <f>IFERROR(H249/H327, "NA")</f>
      </c>
      <c r="J249" s="15"/>
      <c r="K249" s="13">
        <v>0</v>
      </c>
      <c r="L249" s="14">
        <f>IFERROR(K249/K327, "NA")</f>
      </c>
      <c r="M249" s="15"/>
      <c r="N249" s="13">
        <v>0</v>
      </c>
      <c r="O249" s="14">
        <f>IFERROR(N249/N327, "NA")</f>
      </c>
    </row>
    <row r="250" ht="16.5" customHeight="1">
      <c t="s" r="A250" s="12">
        <v>253</v>
      </c>
      <c r="B250" s="13">
        <v>0</v>
      </c>
      <c r="C250" s="14">
        <f>IFERROR(B250/B327, "NA")</f>
      </c>
      <c r="D250" s="15"/>
      <c r="E250" s="13">
        <v>0</v>
      </c>
      <c r="F250" s="14">
        <f>IFERROR(E250/E327, "NA")</f>
      </c>
      <c r="G250" s="15"/>
      <c r="H250" s="13">
        <v>0</v>
      </c>
      <c r="I250" s="14">
        <f>IFERROR(H250/H327, "NA")</f>
      </c>
      <c r="J250" s="15"/>
      <c r="K250" s="13">
        <v>5163.9300000000003</v>
      </c>
      <c r="L250" s="14">
        <f>IFERROR(K250/K327, "NA")</f>
      </c>
      <c r="M250" s="15"/>
      <c r="N250" s="13">
        <v>0</v>
      </c>
      <c r="O250" s="14">
        <f>IFERROR(N250/N327, "NA")</f>
      </c>
    </row>
    <row r="251" ht="16.5" customHeight="1">
      <c t="s" r="A251" s="12">
        <v>254</v>
      </c>
      <c r="B251" s="13">
        <v>0</v>
      </c>
      <c r="C251" s="14">
        <f>IFERROR(B251/B327, "NA")</f>
      </c>
      <c r="D251" s="15"/>
      <c r="E251" s="13">
        <v>0</v>
      </c>
      <c r="F251" s="14">
        <f>IFERROR(E251/E327, "NA")</f>
      </c>
      <c r="G251" s="15"/>
      <c r="H251" s="13">
        <v>0</v>
      </c>
      <c r="I251" s="14">
        <f>IFERROR(H251/H327, "NA")</f>
      </c>
      <c r="J251" s="15"/>
      <c r="K251" s="13">
        <v>0</v>
      </c>
      <c r="L251" s="14">
        <f>IFERROR(K251/K327, "NA")</f>
      </c>
      <c r="M251" s="15"/>
      <c r="N251" s="13">
        <v>0</v>
      </c>
      <c r="O251" s="14">
        <f>IFERROR(N251/N327, "NA")</f>
      </c>
    </row>
    <row r="252" ht="16.5" customHeight="1">
      <c t="s" r="A252" s="16">
        <v>255</v>
      </c>
      <c r="B252" s="17">
        <f>IFERROR(B243+B244+B245+B246+B247+B248+B249+B250+B251, "NA")</f>
      </c>
      <c r="C252" s="18">
        <f>IFERROR(B252/B327, "NA")</f>
      </c>
      <c r="D252" s="8"/>
      <c r="E252" s="17">
        <f>IFERROR(E243+E244+E245+E246+E247+E248+E249+E250+E251, "NA")</f>
      </c>
      <c r="F252" s="18">
        <f>IFERROR(E252/E327, "NA")</f>
      </c>
      <c r="G252" s="8"/>
      <c r="H252" s="17">
        <f>IFERROR(H243+H244+H245+H246+H247+H248+H249+H250+H251, "NA")</f>
      </c>
      <c r="I252" s="18">
        <f>IFERROR(H252/H327, "NA")</f>
      </c>
      <c r="J252" s="8"/>
      <c r="K252" s="17">
        <f>IFERROR(K243+K244+K245+K246+K247+K248+K249+K250+K251, "NA")</f>
      </c>
      <c r="L252" s="18">
        <f>IFERROR(K252/K327, "NA")</f>
      </c>
      <c r="M252" s="8"/>
      <c r="N252" s="17">
        <f>IFERROR(N243+N244+N245+N246+N247+N248+N249+N250+N251, "NA")</f>
      </c>
      <c r="O252" s="18">
        <f>IFERROR(N252/N327, "NA")</f>
      </c>
    </row>
    <row r="253" ht="16.5" customHeight="1">
      <c t="s" r="A253" s="11">
        <v>256</v>
      </c>
      <c r="B253" s="8"/>
      <c r="C253" s="9"/>
      <c r="D253" s="10"/>
      <c r="E253" s="8"/>
      <c r="F253" s="9"/>
      <c r="G253" s="10"/>
      <c r="H253" s="8"/>
      <c r="I253" s="9"/>
      <c r="J253" s="10"/>
      <c r="K253" s="8"/>
      <c r="L253" s="9"/>
      <c r="M253" s="10"/>
      <c r="N253" s="8"/>
      <c r="O253" s="9"/>
    </row>
    <row r="254" ht="16.5" customHeight="1">
      <c t="s" r="A254" s="12">
        <v>257</v>
      </c>
      <c r="B254" s="13">
        <v>0</v>
      </c>
      <c r="C254" s="14">
        <f>IFERROR(B254/B327, "NA")</f>
      </c>
      <c r="D254" s="15"/>
      <c r="E254" s="13">
        <v>0</v>
      </c>
      <c r="F254" s="14">
        <f>IFERROR(E254/E327, "NA")</f>
      </c>
      <c r="G254" s="15"/>
      <c r="H254" s="13">
        <v>0</v>
      </c>
      <c r="I254" s="14">
        <f>IFERROR(H254/H327, "NA")</f>
      </c>
      <c r="J254" s="15"/>
      <c r="K254" s="13">
        <v>0</v>
      </c>
      <c r="L254" s="14">
        <f>IFERROR(K254/K327, "NA")</f>
      </c>
      <c r="M254" s="15"/>
      <c r="N254" s="13">
        <v>0</v>
      </c>
      <c r="O254" s="14">
        <f>IFERROR(N254/N327, "NA")</f>
      </c>
    </row>
    <row r="255" ht="16.5" customHeight="1">
      <c t="s" r="A255" s="12">
        <v>258</v>
      </c>
      <c r="B255" s="13">
        <v>0</v>
      </c>
      <c r="C255" s="14">
        <f>IFERROR(B255/B327, "NA")</f>
      </c>
      <c r="D255" s="15"/>
      <c r="E255" s="13">
        <v>0</v>
      </c>
      <c r="F255" s="14">
        <f>IFERROR(E255/E327, "NA")</f>
      </c>
      <c r="G255" s="15"/>
      <c r="H255" s="13">
        <v>0</v>
      </c>
      <c r="I255" s="14">
        <f>IFERROR(H255/H327, "NA")</f>
      </c>
      <c r="J255" s="15"/>
      <c r="K255" s="13">
        <v>0</v>
      </c>
      <c r="L255" s="14">
        <f>IFERROR(K255/K327, "NA")</f>
      </c>
      <c r="M255" s="15"/>
      <c r="N255" s="13">
        <v>0</v>
      </c>
      <c r="O255" s="14">
        <f>IFERROR(N255/N327, "NA")</f>
      </c>
    </row>
    <row r="256" ht="16.5" customHeight="1">
      <c t="s" r="A256" s="12">
        <v>259</v>
      </c>
      <c r="B256" s="13">
        <v>0</v>
      </c>
      <c r="C256" s="14">
        <f>IFERROR(B256/B327, "NA")</f>
      </c>
      <c r="D256" s="15"/>
      <c r="E256" s="13">
        <v>0</v>
      </c>
      <c r="F256" s="14">
        <f>IFERROR(E256/E327, "NA")</f>
      </c>
      <c r="G256" s="15"/>
      <c r="H256" s="13">
        <v>0</v>
      </c>
      <c r="I256" s="14">
        <f>IFERROR(H256/H327, "NA")</f>
      </c>
      <c r="J256" s="15"/>
      <c r="K256" s="13">
        <v>0</v>
      </c>
      <c r="L256" s="14">
        <f>IFERROR(K256/K327, "NA")</f>
      </c>
      <c r="M256" s="15"/>
      <c r="N256" s="13">
        <v>0</v>
      </c>
      <c r="O256" s="14">
        <f>IFERROR(N256/N327, "NA")</f>
      </c>
    </row>
    <row r="257" ht="16.5" customHeight="1">
      <c t="s" r="A257" s="12">
        <v>260</v>
      </c>
      <c r="B257" s="13">
        <v>0</v>
      </c>
      <c r="C257" s="14">
        <f>IFERROR(B257/B327, "NA")</f>
      </c>
      <c r="D257" s="15"/>
      <c r="E257" s="13">
        <v>0</v>
      </c>
      <c r="F257" s="14">
        <f>IFERROR(E257/E327, "NA")</f>
      </c>
      <c r="G257" s="15"/>
      <c r="H257" s="13">
        <v>0</v>
      </c>
      <c r="I257" s="14">
        <f>IFERROR(H257/H327, "NA")</f>
      </c>
      <c r="J257" s="15"/>
      <c r="K257" s="13">
        <v>0</v>
      </c>
      <c r="L257" s="14">
        <f>IFERROR(K257/K327, "NA")</f>
      </c>
      <c r="M257" s="15"/>
      <c r="N257" s="13">
        <v>0</v>
      </c>
      <c r="O257" s="14">
        <f>IFERROR(N257/N327, "NA")</f>
      </c>
    </row>
    <row r="258" ht="16.5" customHeight="1">
      <c t="s" r="A258" s="12">
        <v>261</v>
      </c>
      <c r="B258" s="13">
        <v>23466.700000000001</v>
      </c>
      <c r="C258" s="14">
        <f>IFERROR(B258/B327, "NA")</f>
      </c>
      <c r="D258" s="15"/>
      <c r="E258" s="13">
        <v>0</v>
      </c>
      <c r="F258" s="14">
        <f>IFERROR(E258/E327, "NA")</f>
      </c>
      <c r="G258" s="15"/>
      <c r="H258" s="13">
        <v>0</v>
      </c>
      <c r="I258" s="14">
        <f>IFERROR(H258/H327, "NA")</f>
      </c>
      <c r="J258" s="15"/>
      <c r="K258" s="13">
        <v>0</v>
      </c>
      <c r="L258" s="14">
        <f>IFERROR(K258/K327, "NA")</f>
      </c>
      <c r="M258" s="15"/>
      <c r="N258" s="13">
        <v>0</v>
      </c>
      <c r="O258" s="14">
        <f>IFERROR(N258/N327, "NA")</f>
      </c>
    </row>
    <row r="259" ht="16.5" customHeight="1">
      <c t="s" r="A259" s="12">
        <v>262</v>
      </c>
      <c r="B259" s="13">
        <v>0</v>
      </c>
      <c r="C259" s="14">
        <f>IFERROR(B259/B327, "NA")</f>
      </c>
      <c r="D259" s="15"/>
      <c r="E259" s="13">
        <v>0</v>
      </c>
      <c r="F259" s="14">
        <f>IFERROR(E259/E327, "NA")</f>
      </c>
      <c r="G259" s="15"/>
      <c r="H259" s="13">
        <v>0</v>
      </c>
      <c r="I259" s="14">
        <f>IFERROR(H259/H327, "NA")</f>
      </c>
      <c r="J259" s="15"/>
      <c r="K259" s="13">
        <v>0</v>
      </c>
      <c r="L259" s="14">
        <f>IFERROR(K259/K327, "NA")</f>
      </c>
      <c r="M259" s="15"/>
      <c r="N259" s="13">
        <v>0</v>
      </c>
      <c r="O259" s="14">
        <f>IFERROR(N259/N327, "NA")</f>
      </c>
    </row>
    <row r="260" ht="16.5" customHeight="1">
      <c t="s" r="A260" s="12">
        <v>263</v>
      </c>
      <c r="B260" s="13">
        <v>0</v>
      </c>
      <c r="C260" s="14">
        <f>IFERROR(B260/B327, "NA")</f>
      </c>
      <c r="D260" s="15"/>
      <c r="E260" s="13">
        <v>0</v>
      </c>
      <c r="F260" s="14">
        <f>IFERROR(E260/E327, "NA")</f>
      </c>
      <c r="G260" s="15"/>
      <c r="H260" s="13">
        <v>0</v>
      </c>
      <c r="I260" s="14">
        <f>IFERROR(H260/H327, "NA")</f>
      </c>
      <c r="J260" s="15"/>
      <c r="K260" s="13">
        <v>0</v>
      </c>
      <c r="L260" s="14">
        <f>IFERROR(K260/K327, "NA")</f>
      </c>
      <c r="M260" s="15"/>
      <c r="N260" s="13">
        <v>0</v>
      </c>
      <c r="O260" s="14">
        <f>IFERROR(N260/N327, "NA")</f>
      </c>
    </row>
    <row r="261" ht="16.5" customHeight="1">
      <c t="s" r="A261" s="12">
        <v>264</v>
      </c>
      <c r="B261" s="13">
        <v>0</v>
      </c>
      <c r="C261" s="14">
        <f>IFERROR(B261/B327, "NA")</f>
      </c>
      <c r="D261" s="15"/>
      <c r="E261" s="13">
        <v>0</v>
      </c>
      <c r="F261" s="14">
        <f>IFERROR(E261/E327, "NA")</f>
      </c>
      <c r="G261" s="15"/>
      <c r="H261" s="13">
        <v>0</v>
      </c>
      <c r="I261" s="14">
        <f>IFERROR(H261/H327, "NA")</f>
      </c>
      <c r="J261" s="15"/>
      <c r="K261" s="13">
        <v>37592.610000000001</v>
      </c>
      <c r="L261" s="14">
        <f>IFERROR(K261/K327, "NA")</f>
      </c>
      <c r="M261" s="15"/>
      <c r="N261" s="13">
        <v>0</v>
      </c>
      <c r="O261" s="14">
        <f>IFERROR(N261/N327, "NA")</f>
      </c>
    </row>
    <row r="262" ht="16.5" customHeight="1">
      <c t="s" r="A262" s="12">
        <v>265</v>
      </c>
      <c r="B262" s="13">
        <v>0</v>
      </c>
      <c r="C262" s="14">
        <f>IFERROR(B262/B327, "NA")</f>
      </c>
      <c r="D262" s="15"/>
      <c r="E262" s="13">
        <v>0</v>
      </c>
      <c r="F262" s="14">
        <f>IFERROR(E262/E327, "NA")</f>
      </c>
      <c r="G262" s="15"/>
      <c r="H262" s="13">
        <v>0</v>
      </c>
      <c r="I262" s="14">
        <f>IFERROR(H262/H327, "NA")</f>
      </c>
      <c r="J262" s="15"/>
      <c r="K262" s="13">
        <v>12417</v>
      </c>
      <c r="L262" s="14">
        <f>IFERROR(K262/K327, "NA")</f>
      </c>
      <c r="M262" s="15"/>
      <c r="N262" s="13">
        <v>0</v>
      </c>
      <c r="O262" s="14">
        <f>IFERROR(N262/N327, "NA")</f>
      </c>
    </row>
    <row r="263" ht="16.5" customHeight="1">
      <c t="s" r="A263" s="16">
        <v>266</v>
      </c>
      <c r="B263" s="17">
        <f>IFERROR(B254+B255+B256+B257+B258+B259+B260+B261+B262, "NA")</f>
      </c>
      <c r="C263" s="18">
        <f>IFERROR(B263/B327, "NA")</f>
      </c>
      <c r="D263" s="8"/>
      <c r="E263" s="17">
        <f>IFERROR(E254+E255+E256+E257+E258+E259+E260+E261+E262, "NA")</f>
      </c>
      <c r="F263" s="18">
        <f>IFERROR(E263/E327, "NA")</f>
      </c>
      <c r="G263" s="8"/>
      <c r="H263" s="17">
        <f>IFERROR(H254+H255+H256+H257+H258+H259+H260+H261+H262, "NA")</f>
      </c>
      <c r="I263" s="18">
        <f>IFERROR(H263/H327, "NA")</f>
      </c>
      <c r="J263" s="8"/>
      <c r="K263" s="17">
        <f>IFERROR(K254+K255+K256+K257+K258+K259+K260+K261+K262, "NA")</f>
      </c>
      <c r="L263" s="18">
        <f>IFERROR(K263/K327, "NA")</f>
      </c>
      <c r="M263" s="8"/>
      <c r="N263" s="17">
        <f>IFERROR(N254+N255+N256+N257+N258+N259+N260+N261+N262, "NA")</f>
      </c>
      <c r="O263" s="18">
        <f>IFERROR(N263/N327, "NA")</f>
      </c>
    </row>
    <row r="264" ht="16.5" customHeight="1">
      <c t="s" r="A264" s="11">
        <v>267</v>
      </c>
      <c r="B264" s="8"/>
      <c r="C264" s="9"/>
      <c r="D264" s="10"/>
      <c r="E264" s="8"/>
      <c r="F264" s="9"/>
      <c r="G264" s="10"/>
      <c r="H264" s="8"/>
      <c r="I264" s="9"/>
      <c r="J264" s="10"/>
      <c r="K264" s="8"/>
      <c r="L264" s="9"/>
      <c r="M264" s="10"/>
      <c r="N264" s="8"/>
      <c r="O264" s="9"/>
    </row>
    <row r="265" ht="16.5" customHeight="1">
      <c t="s" r="A265" s="12">
        <v>268</v>
      </c>
      <c r="B265" s="13">
        <v>0</v>
      </c>
      <c r="C265" s="14">
        <f>IFERROR(B265/B327, "NA")</f>
      </c>
      <c r="D265" s="15"/>
      <c r="E265" s="13">
        <v>0</v>
      </c>
      <c r="F265" s="14">
        <f>IFERROR(E265/E327, "NA")</f>
      </c>
      <c r="G265" s="15"/>
      <c r="H265" s="13">
        <v>0</v>
      </c>
      <c r="I265" s="14">
        <f>IFERROR(H265/H327, "NA")</f>
      </c>
      <c r="J265" s="15"/>
      <c r="K265" s="13">
        <v>0</v>
      </c>
      <c r="L265" s="14">
        <f>IFERROR(K265/K327, "NA")</f>
      </c>
      <c r="M265" s="15"/>
      <c r="N265" s="13">
        <v>0</v>
      </c>
      <c r="O265" s="14">
        <f>IFERROR(N265/N327, "NA")</f>
      </c>
    </row>
    <row r="266" ht="16.5" customHeight="1">
      <c t="s" r="A266" s="12">
        <v>269</v>
      </c>
      <c r="B266" s="13">
        <v>0</v>
      </c>
      <c r="C266" s="14">
        <f>IFERROR(B266/B327, "NA")</f>
      </c>
      <c r="D266" s="15"/>
      <c r="E266" s="13">
        <v>0</v>
      </c>
      <c r="F266" s="14">
        <f>IFERROR(E266/E327, "NA")</f>
      </c>
      <c r="G266" s="15"/>
      <c r="H266" s="13">
        <v>0</v>
      </c>
      <c r="I266" s="14">
        <f>IFERROR(H266/H327, "NA")</f>
      </c>
      <c r="J266" s="15"/>
      <c r="K266" s="13">
        <v>0</v>
      </c>
      <c r="L266" s="14">
        <f>IFERROR(K266/K327, "NA")</f>
      </c>
      <c r="M266" s="15"/>
      <c r="N266" s="13">
        <v>0</v>
      </c>
      <c r="O266" s="14">
        <f>IFERROR(N266/N327, "NA")</f>
      </c>
    </row>
    <row r="267" ht="16.5" customHeight="1">
      <c t="s" r="A267" s="12">
        <v>270</v>
      </c>
      <c r="B267" s="13">
        <v>0</v>
      </c>
      <c r="C267" s="14">
        <f>IFERROR(B267/B327, "NA")</f>
      </c>
      <c r="D267" s="15"/>
      <c r="E267" s="13">
        <v>0</v>
      </c>
      <c r="F267" s="14">
        <f>IFERROR(E267/E327, "NA")</f>
      </c>
      <c r="G267" s="15"/>
      <c r="H267" s="13">
        <v>0</v>
      </c>
      <c r="I267" s="14">
        <f>IFERROR(H267/H327, "NA")</f>
      </c>
      <c r="J267" s="15"/>
      <c r="K267" s="13">
        <v>0</v>
      </c>
      <c r="L267" s="14">
        <f>IFERROR(K267/K327, "NA")</f>
      </c>
      <c r="M267" s="15"/>
      <c r="N267" s="13">
        <v>0</v>
      </c>
      <c r="O267" s="14">
        <f>IFERROR(N267/N327, "NA")</f>
      </c>
    </row>
    <row r="268" ht="16.5" customHeight="1">
      <c t="s" r="A268" s="12">
        <v>271</v>
      </c>
      <c r="B268" s="13">
        <v>0</v>
      </c>
      <c r="C268" s="14">
        <f>IFERROR(B268/B327, "NA")</f>
      </c>
      <c r="D268" s="15"/>
      <c r="E268" s="13">
        <v>-2462.25</v>
      </c>
      <c r="F268" s="14">
        <f>IFERROR(E268/E327, "NA")</f>
      </c>
      <c r="G268" s="15"/>
      <c r="H268" s="13">
        <v>-1500</v>
      </c>
      <c r="I268" s="14">
        <f>IFERROR(H268/H327, "NA")</f>
      </c>
      <c r="J268" s="15"/>
      <c r="K268" s="13">
        <v>0</v>
      </c>
      <c r="L268" s="14">
        <f>IFERROR(K268/K327, "NA")</f>
      </c>
      <c r="M268" s="15"/>
      <c r="N268" s="13">
        <v>0</v>
      </c>
      <c r="O268" s="14">
        <f>IFERROR(N268/N327, "NA")</f>
      </c>
    </row>
    <row r="269" ht="16.5" customHeight="1">
      <c t="s" r="A269" s="12">
        <v>272</v>
      </c>
      <c r="B269" s="13">
        <v>0</v>
      </c>
      <c r="C269" s="14">
        <f>IFERROR(B269/B327, "NA")</f>
      </c>
      <c r="D269" s="15"/>
      <c r="E269" s="13">
        <v>0</v>
      </c>
      <c r="F269" s="14">
        <f>IFERROR(E269/E327, "NA")</f>
      </c>
      <c r="G269" s="15"/>
      <c r="H269" s="13">
        <v>0</v>
      </c>
      <c r="I269" s="14">
        <f>IFERROR(H269/H327, "NA")</f>
      </c>
      <c r="J269" s="15"/>
      <c r="K269" s="13">
        <v>0</v>
      </c>
      <c r="L269" s="14">
        <f>IFERROR(K269/K327, "NA")</f>
      </c>
      <c r="M269" s="15"/>
      <c r="N269" s="13">
        <v>0</v>
      </c>
      <c r="O269" s="14">
        <f>IFERROR(N269/N327, "NA")</f>
      </c>
    </row>
    <row r="270" ht="16.5" customHeight="1">
      <c t="s" r="A270" s="12">
        <v>273</v>
      </c>
      <c r="B270" s="13">
        <v>0</v>
      </c>
      <c r="C270" s="14">
        <f>IFERROR(B270/B327, "NA")</f>
      </c>
      <c r="D270" s="15"/>
      <c r="E270" s="13">
        <v>0</v>
      </c>
      <c r="F270" s="14">
        <f>IFERROR(E270/E327, "NA")</f>
      </c>
      <c r="G270" s="15"/>
      <c r="H270" s="13">
        <v>0</v>
      </c>
      <c r="I270" s="14">
        <f>IFERROR(H270/H327, "NA")</f>
      </c>
      <c r="J270" s="15"/>
      <c r="K270" s="13">
        <v>0</v>
      </c>
      <c r="L270" s="14">
        <f>IFERROR(K270/K327, "NA")</f>
      </c>
      <c r="M270" s="15"/>
      <c r="N270" s="13">
        <v>0</v>
      </c>
      <c r="O270" s="14">
        <f>IFERROR(N270/N327, "NA")</f>
      </c>
    </row>
    <row r="271" ht="16.5" customHeight="1">
      <c t="s" r="A271" s="12">
        <v>274</v>
      </c>
      <c r="B271" s="13">
        <v>0</v>
      </c>
      <c r="C271" s="14">
        <f>IFERROR(B271/B327, "NA")</f>
      </c>
      <c r="D271" s="15"/>
      <c r="E271" s="13">
        <v>0</v>
      </c>
      <c r="F271" s="14">
        <f>IFERROR(E271/E327, "NA")</f>
      </c>
      <c r="G271" s="15"/>
      <c r="H271" s="13">
        <v>0</v>
      </c>
      <c r="I271" s="14">
        <f>IFERROR(H271/H327, "NA")</f>
      </c>
      <c r="J271" s="15"/>
      <c r="K271" s="13">
        <v>0</v>
      </c>
      <c r="L271" s="14">
        <f>IFERROR(K271/K327, "NA")</f>
      </c>
      <c r="M271" s="15"/>
      <c r="N271" s="13">
        <v>0</v>
      </c>
      <c r="O271" s="14">
        <f>IFERROR(N271/N327, "NA")</f>
      </c>
    </row>
    <row r="272" ht="16.5" customHeight="1">
      <c t="s" r="A272" s="12">
        <v>275</v>
      </c>
      <c r="B272" s="13">
        <v>0</v>
      </c>
      <c r="C272" s="14">
        <f>IFERROR(B272/B327, "NA")</f>
      </c>
      <c r="D272" s="15"/>
      <c r="E272" s="13">
        <v>0</v>
      </c>
      <c r="F272" s="14">
        <f>IFERROR(E272/E327, "NA")</f>
      </c>
      <c r="G272" s="15"/>
      <c r="H272" s="13">
        <v>0</v>
      </c>
      <c r="I272" s="14">
        <f>IFERROR(H272/H327, "NA")</f>
      </c>
      <c r="J272" s="15"/>
      <c r="K272" s="13">
        <v>0</v>
      </c>
      <c r="L272" s="14">
        <f>IFERROR(K272/K327, "NA")</f>
      </c>
      <c r="M272" s="15"/>
      <c r="N272" s="13">
        <v>0</v>
      </c>
      <c r="O272" s="14">
        <f>IFERROR(N272/N327, "NA")</f>
      </c>
    </row>
    <row r="273" ht="16.5" customHeight="1">
      <c t="s" r="A273" s="12">
        <v>276</v>
      </c>
      <c r="B273" s="13">
        <v>0</v>
      </c>
      <c r="C273" s="14">
        <f>IFERROR(B273/B327, "NA")</f>
      </c>
      <c r="D273" s="15"/>
      <c r="E273" s="13">
        <v>0</v>
      </c>
      <c r="F273" s="14">
        <f>IFERROR(E273/E327, "NA")</f>
      </c>
      <c r="G273" s="15"/>
      <c r="H273" s="13">
        <v>0</v>
      </c>
      <c r="I273" s="14">
        <f>IFERROR(H273/H327, "NA")</f>
      </c>
      <c r="J273" s="15"/>
      <c r="K273" s="13">
        <v>0</v>
      </c>
      <c r="L273" s="14">
        <f>IFERROR(K273/K327, "NA")</f>
      </c>
      <c r="M273" s="15"/>
      <c r="N273" s="13">
        <v>0</v>
      </c>
      <c r="O273" s="14">
        <f>IFERROR(N273/N327, "NA")</f>
      </c>
    </row>
    <row r="274" ht="16.5" customHeight="1">
      <c t="s" r="A274" s="12">
        <v>277</v>
      </c>
      <c r="B274" s="13">
        <v>0</v>
      </c>
      <c r="C274" s="14">
        <f>IFERROR(B274/B327, "NA")</f>
      </c>
      <c r="D274" s="15"/>
      <c r="E274" s="13">
        <v>0</v>
      </c>
      <c r="F274" s="14">
        <f>IFERROR(E274/E327, "NA")</f>
      </c>
      <c r="G274" s="15"/>
      <c r="H274" s="13">
        <v>0</v>
      </c>
      <c r="I274" s="14">
        <f>IFERROR(H274/H327, "NA")</f>
      </c>
      <c r="J274" s="15"/>
      <c r="K274" s="13">
        <v>0</v>
      </c>
      <c r="L274" s="14">
        <f>IFERROR(K274/K327, "NA")</f>
      </c>
      <c r="M274" s="15"/>
      <c r="N274" s="13">
        <v>0</v>
      </c>
      <c r="O274" s="14">
        <f>IFERROR(N274/N327, "NA")</f>
      </c>
    </row>
    <row r="275" ht="16.5" customHeight="1">
      <c t="s" r="A275" s="12">
        <v>278</v>
      </c>
      <c r="B275" s="13">
        <v>0</v>
      </c>
      <c r="C275" s="14">
        <f>IFERROR(B275/B327, "NA")</f>
      </c>
      <c r="D275" s="15"/>
      <c r="E275" s="13">
        <v>0</v>
      </c>
      <c r="F275" s="14">
        <f>IFERROR(E275/E327, "NA")</f>
      </c>
      <c r="G275" s="15"/>
      <c r="H275" s="13">
        <v>0</v>
      </c>
      <c r="I275" s="14">
        <f>IFERROR(H275/H327, "NA")</f>
      </c>
      <c r="J275" s="15"/>
      <c r="K275" s="13">
        <v>0</v>
      </c>
      <c r="L275" s="14">
        <f>IFERROR(K275/K327, "NA")</f>
      </c>
      <c r="M275" s="15"/>
      <c r="N275" s="13">
        <v>0</v>
      </c>
      <c r="O275" s="14">
        <f>IFERROR(N275/N327, "NA")</f>
      </c>
    </row>
    <row r="276" ht="16.5" customHeight="1">
      <c t="s" r="A276" s="12">
        <v>279</v>
      </c>
      <c r="B276" s="13">
        <v>0</v>
      </c>
      <c r="C276" s="14">
        <f>IFERROR(B276/B327, "NA")</f>
      </c>
      <c r="D276" s="15"/>
      <c r="E276" s="13">
        <v>0</v>
      </c>
      <c r="F276" s="14">
        <f>IFERROR(E276/E327, "NA")</f>
      </c>
      <c r="G276" s="15"/>
      <c r="H276" s="13">
        <v>0</v>
      </c>
      <c r="I276" s="14">
        <f>IFERROR(H276/H327, "NA")</f>
      </c>
      <c r="J276" s="15"/>
      <c r="K276" s="13">
        <v>0</v>
      </c>
      <c r="L276" s="14">
        <f>IFERROR(K276/K327, "NA")</f>
      </c>
      <c r="M276" s="15"/>
      <c r="N276" s="13">
        <v>0</v>
      </c>
      <c r="O276" s="14">
        <f>IFERROR(N276/N327, "NA")</f>
      </c>
    </row>
    <row r="277" ht="16.5" customHeight="1">
      <c t="s" r="A277" s="12">
        <v>280</v>
      </c>
      <c r="B277" s="13">
        <v>0</v>
      </c>
      <c r="C277" s="14">
        <f>IFERROR(B277/B327, "NA")</f>
      </c>
      <c r="D277" s="15"/>
      <c r="E277" s="13">
        <v>0</v>
      </c>
      <c r="F277" s="14">
        <f>IFERROR(E277/E327, "NA")</f>
      </c>
      <c r="G277" s="15"/>
      <c r="H277" s="13">
        <v>0</v>
      </c>
      <c r="I277" s="14">
        <f>IFERROR(H277/H327, "NA")</f>
      </c>
      <c r="J277" s="15"/>
      <c r="K277" s="13">
        <v>0</v>
      </c>
      <c r="L277" s="14">
        <f>IFERROR(K277/K327, "NA")</f>
      </c>
      <c r="M277" s="15"/>
      <c r="N277" s="13">
        <v>0</v>
      </c>
      <c r="O277" s="14">
        <f>IFERROR(N277/N327, "NA")</f>
      </c>
    </row>
    <row r="278" ht="16.5" customHeight="1">
      <c t="s" r="A278" s="12">
        <v>281</v>
      </c>
      <c r="B278" s="13">
        <v>0</v>
      </c>
      <c r="C278" s="14">
        <f>IFERROR(B278/B327, "NA")</f>
      </c>
      <c r="D278" s="15"/>
      <c r="E278" s="13">
        <v>0</v>
      </c>
      <c r="F278" s="14">
        <f>IFERROR(E278/E327, "NA")</f>
      </c>
      <c r="G278" s="15"/>
      <c r="H278" s="13">
        <v>0</v>
      </c>
      <c r="I278" s="14">
        <f>IFERROR(H278/H327, "NA")</f>
      </c>
      <c r="J278" s="15"/>
      <c r="K278" s="13">
        <v>0</v>
      </c>
      <c r="L278" s="14">
        <f>IFERROR(K278/K327, "NA")</f>
      </c>
      <c r="M278" s="15"/>
      <c r="N278" s="13">
        <v>0</v>
      </c>
      <c r="O278" s="14">
        <f>IFERROR(N278/N327, "NA")</f>
      </c>
    </row>
    <row r="279" ht="16.5" customHeight="1">
      <c t="s" r="A279" s="12">
        <v>282</v>
      </c>
      <c r="B279" s="13">
        <v>0</v>
      </c>
      <c r="C279" s="14">
        <f>IFERROR(B279/B327, "NA")</f>
      </c>
      <c r="D279" s="15"/>
      <c r="E279" s="13">
        <v>0</v>
      </c>
      <c r="F279" s="14">
        <f>IFERROR(E279/E327, "NA")</f>
      </c>
      <c r="G279" s="15"/>
      <c r="H279" s="13">
        <v>0</v>
      </c>
      <c r="I279" s="14">
        <f>IFERROR(H279/H327, "NA")</f>
      </c>
      <c r="J279" s="15"/>
      <c r="K279" s="13">
        <v>0</v>
      </c>
      <c r="L279" s="14">
        <f>IFERROR(K279/K327, "NA")</f>
      </c>
      <c r="M279" s="15"/>
      <c r="N279" s="13">
        <v>0</v>
      </c>
      <c r="O279" s="14">
        <f>IFERROR(N279/N327, "NA")</f>
      </c>
    </row>
    <row r="280" ht="16.5" customHeight="1">
      <c t="s" r="A280" s="12">
        <v>283</v>
      </c>
      <c r="B280" s="13">
        <v>0</v>
      </c>
      <c r="C280" s="14">
        <f>IFERROR(B280/B327, "NA")</f>
      </c>
      <c r="D280" s="15"/>
      <c r="E280" s="13">
        <v>0</v>
      </c>
      <c r="F280" s="14">
        <f>IFERROR(E280/E327, "NA")</f>
      </c>
      <c r="G280" s="15"/>
      <c r="H280" s="13">
        <v>0</v>
      </c>
      <c r="I280" s="14">
        <f>IFERROR(H280/H327, "NA")</f>
      </c>
      <c r="J280" s="15"/>
      <c r="K280" s="13">
        <v>0</v>
      </c>
      <c r="L280" s="14">
        <f>IFERROR(K280/K327, "NA")</f>
      </c>
      <c r="M280" s="15"/>
      <c r="N280" s="13">
        <v>0</v>
      </c>
      <c r="O280" s="14">
        <f>IFERROR(N280/N327, "NA")</f>
      </c>
    </row>
    <row r="281" ht="16.5" customHeight="1">
      <c t="s" r="A281" s="12">
        <v>284</v>
      </c>
      <c r="B281" s="13">
        <v>0</v>
      </c>
      <c r="C281" s="14">
        <f>IFERROR(B281/B327, "NA")</f>
      </c>
      <c r="D281" s="15"/>
      <c r="E281" s="13">
        <v>0</v>
      </c>
      <c r="F281" s="14">
        <f>IFERROR(E281/E327, "NA")</f>
      </c>
      <c r="G281" s="15"/>
      <c r="H281" s="13">
        <v>0</v>
      </c>
      <c r="I281" s="14">
        <f>IFERROR(H281/H327, "NA")</f>
      </c>
      <c r="J281" s="15"/>
      <c r="K281" s="13">
        <v>0</v>
      </c>
      <c r="L281" s="14">
        <f>IFERROR(K281/K327, "NA")</f>
      </c>
      <c r="M281" s="15"/>
      <c r="N281" s="13">
        <v>0</v>
      </c>
      <c r="O281" s="14">
        <f>IFERROR(N281/N327, "NA")</f>
      </c>
    </row>
    <row r="282" ht="16.5" customHeight="1">
      <c t="s" r="A282" s="12">
        <v>285</v>
      </c>
      <c r="B282" s="13">
        <v>0</v>
      </c>
      <c r="C282" s="14">
        <f>IFERROR(B282/B327, "NA")</f>
      </c>
      <c r="D282" s="15"/>
      <c r="E282" s="13">
        <v>0</v>
      </c>
      <c r="F282" s="14">
        <f>IFERROR(E282/E327, "NA")</f>
      </c>
      <c r="G282" s="15"/>
      <c r="H282" s="13">
        <v>0</v>
      </c>
      <c r="I282" s="14">
        <f>IFERROR(H282/H327, "NA")</f>
      </c>
      <c r="J282" s="15"/>
      <c r="K282" s="13">
        <v>0</v>
      </c>
      <c r="L282" s="14">
        <f>IFERROR(K282/K327, "NA")</f>
      </c>
      <c r="M282" s="15"/>
      <c r="N282" s="13">
        <v>0</v>
      </c>
      <c r="O282" s="14">
        <f>IFERROR(N282/N327, "NA")</f>
      </c>
    </row>
    <row r="283" ht="16.5" customHeight="1">
      <c t="s" r="A283" s="16">
        <v>286</v>
      </c>
      <c r="B283" s="17">
        <f>IFERROR(B265+B266+B267+B268+B269+B270+B271+B272+B273+B274+B275+B276+B277+B278+B279+B280+B281+B282, "NA")</f>
      </c>
      <c r="C283" s="18">
        <f>IFERROR(B283/B327, "NA")</f>
      </c>
      <c r="D283" s="8"/>
      <c r="E283" s="17">
        <f>IFERROR(E265+E266+E267+E268+E269+E270+E271+E272+E273+E274+E275+E276+E277+E278+E279+E280+E281+E282, "NA")</f>
      </c>
      <c r="F283" s="18">
        <f>IFERROR(E283/E327, "NA")</f>
      </c>
      <c r="G283" s="8"/>
      <c r="H283" s="17">
        <f>IFERROR(H265+H266+H267+H268+H269+H270+H271+H272+H273+H274+H275+H276+H277+H278+H279+H280+H281+H282, "NA")</f>
      </c>
      <c r="I283" s="18">
        <f>IFERROR(H283/H327, "NA")</f>
      </c>
      <c r="J283" s="8"/>
      <c r="K283" s="17">
        <f>IFERROR(K265+K266+K267+K268+K269+K270+K271+K272+K273+K274+K275+K276+K277+K278+K279+K280+K281+K282, "NA")</f>
      </c>
      <c r="L283" s="18">
        <f>IFERROR(K283/K327, "NA")</f>
      </c>
      <c r="M283" s="8"/>
      <c r="N283" s="17">
        <f>IFERROR(N265+N266+N267+N268+N269+N270+N271+N272+N273+N274+N275+N276+N277+N278+N279+N280+N281+N282, "NA")</f>
      </c>
      <c r="O283" s="18">
        <f>IFERROR(N283/N327, "NA")</f>
      </c>
    </row>
    <row r="284" ht="16.5" customHeight="1">
      <c t="s" r="A284" s="20">
        <v>287</v>
      </c>
      <c r="B284" s="17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</c>
      <c r="C284" s="18">
        <f>IFERROR(B284/B327, "NA")</f>
      </c>
      <c r="D284" s="8"/>
      <c r="E284" s="17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</c>
      <c r="F284" s="18">
        <f>IFERROR(E284/E327, "NA")</f>
      </c>
      <c r="G284" s="8"/>
      <c r="H284" s="17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</c>
      <c r="I284" s="18">
        <f>IFERROR(H284/H327, "NA")</f>
      </c>
      <c r="J284" s="8"/>
      <c r="K284" s="17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</c>
      <c r="L284" s="18">
        <f>IFERROR(K284/K327, "NA")</f>
      </c>
      <c r="M284" s="8"/>
      <c r="N284" s="17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</c>
      <c r="O284" s="18">
        <f>IFERROR(N284/N327, "NA")</f>
      </c>
    </row>
    <row r="285" ht="16.5" customHeight="1">
      <c t="s" r="A285" s="7">
        <v>288</v>
      </c>
      <c r="B285" s="8"/>
      <c r="C285" s="9"/>
      <c r="D285" s="10"/>
      <c r="E285" s="8"/>
      <c r="F285" s="9"/>
      <c r="G285" s="10"/>
      <c r="H285" s="8"/>
      <c r="I285" s="9"/>
      <c r="J285" s="10"/>
      <c r="K285" s="8"/>
      <c r="L285" s="9"/>
      <c r="M285" s="10"/>
      <c r="N285" s="8"/>
      <c r="O285" s="9"/>
    </row>
    <row r="286" ht="16.5" customHeight="1">
      <c t="s" r="A286" s="11">
        <v>289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</row>
    <row r="287" ht="16.5" customHeight="1">
      <c t="s" r="A287" s="12">
        <v>290</v>
      </c>
      <c r="B287" s="13">
        <v>0</v>
      </c>
      <c r="C287" s="14">
        <f>IFERROR(B287/B327, "NA")</f>
      </c>
      <c r="D287" s="15"/>
      <c r="E287" s="13">
        <v>0</v>
      </c>
      <c r="F287" s="14">
        <f>IFERROR(E287/E327, "NA")</f>
      </c>
      <c r="G287" s="15"/>
      <c r="H287" s="13">
        <v>0</v>
      </c>
      <c r="I287" s="14">
        <f>IFERROR(H287/H327, "NA")</f>
      </c>
      <c r="J287" s="15"/>
      <c r="K287" s="13">
        <v>0</v>
      </c>
      <c r="L287" s="14">
        <f>IFERROR(K287/K327, "NA")</f>
      </c>
      <c r="M287" s="15"/>
      <c r="N287" s="13">
        <v>0</v>
      </c>
      <c r="O287" s="14">
        <f>IFERROR(N287/N327, "NA")</f>
      </c>
    </row>
    <row r="288" ht="16.5" customHeight="1">
      <c t="s" r="A288" s="12">
        <v>291</v>
      </c>
      <c r="B288" s="13">
        <v>0</v>
      </c>
      <c r="C288" s="14">
        <f>IFERROR(B288/B327, "NA")</f>
      </c>
      <c r="D288" s="15"/>
      <c r="E288" s="13">
        <v>0</v>
      </c>
      <c r="F288" s="14">
        <f>IFERROR(E288/E327, "NA")</f>
      </c>
      <c r="G288" s="15"/>
      <c r="H288" s="13">
        <v>0</v>
      </c>
      <c r="I288" s="14">
        <f>IFERROR(H288/H327, "NA")</f>
      </c>
      <c r="J288" s="15"/>
      <c r="K288" s="13">
        <v>0</v>
      </c>
      <c r="L288" s="14">
        <f>IFERROR(K288/K327, "NA")</f>
      </c>
      <c r="M288" s="15"/>
      <c r="N288" s="13">
        <v>0</v>
      </c>
      <c r="O288" s="14">
        <f>IFERROR(N288/N327, "NA")</f>
      </c>
    </row>
    <row r="289" ht="16.5" customHeight="1">
      <c t="s" r="A289" s="12">
        <v>292</v>
      </c>
      <c r="B289" s="13">
        <v>0</v>
      </c>
      <c r="C289" s="14">
        <f>IFERROR(B289/B327, "NA")</f>
      </c>
      <c r="D289" s="15"/>
      <c r="E289" s="13">
        <v>2440</v>
      </c>
      <c r="F289" s="14">
        <f>IFERROR(E289/E327, "NA")</f>
      </c>
      <c r="G289" s="15"/>
      <c r="H289" s="13">
        <v>0</v>
      </c>
      <c r="I289" s="14">
        <f>IFERROR(H289/H327, "NA")</f>
      </c>
      <c r="J289" s="15"/>
      <c r="K289" s="13">
        <v>875</v>
      </c>
      <c r="L289" s="14">
        <f>IFERROR(K289/K327, "NA")</f>
      </c>
      <c r="M289" s="15"/>
      <c r="N289" s="13">
        <v>0</v>
      </c>
      <c r="O289" s="14">
        <f>IFERROR(N289/N327, "NA")</f>
      </c>
    </row>
    <row r="290" ht="16.5" customHeight="1">
      <c t="s" r="A290" s="12">
        <v>293</v>
      </c>
      <c r="B290" s="13">
        <v>7775.79</v>
      </c>
      <c r="C290" s="14">
        <f>IFERROR(B290/B327, "NA")</f>
      </c>
      <c r="D290" s="15"/>
      <c r="E290" s="13">
        <v>10277.18</v>
      </c>
      <c r="F290" s="14">
        <f>IFERROR(E290/E327, "NA")</f>
      </c>
      <c r="G290" s="15"/>
      <c r="H290" s="13">
        <v>10421.129999999999</v>
      </c>
      <c r="I290" s="14">
        <f>IFERROR(H290/H327, "NA")</f>
      </c>
      <c r="J290" s="15"/>
      <c r="K290" s="13">
        <v>11315.66</v>
      </c>
      <c r="L290" s="14">
        <f>IFERROR(K290/K327, "NA")</f>
      </c>
      <c r="M290" s="15"/>
      <c r="N290" s="13">
        <v>9993.8400000000001</v>
      </c>
      <c r="O290" s="14">
        <f>IFERROR(N290/N327, "NA")</f>
      </c>
    </row>
    <row r="291" ht="16.5" customHeight="1">
      <c t="s" r="A291" s="12">
        <v>294</v>
      </c>
      <c r="B291" s="13">
        <v>0</v>
      </c>
      <c r="C291" s="14">
        <f>IFERROR(B291/B327, "NA")</f>
      </c>
      <c r="D291" s="15"/>
      <c r="E291" s="13">
        <v>0</v>
      </c>
      <c r="F291" s="14">
        <f>IFERROR(E291/E327, "NA")</f>
      </c>
      <c r="G291" s="15"/>
      <c r="H291" s="13">
        <v>25</v>
      </c>
      <c r="I291" s="14">
        <f>IFERROR(H291/H327, "NA")</f>
      </c>
      <c r="J291" s="15"/>
      <c r="K291" s="13">
        <v>0</v>
      </c>
      <c r="L291" s="14">
        <f>IFERROR(K291/K327, "NA")</f>
      </c>
      <c r="M291" s="15"/>
      <c r="N291" s="13">
        <v>0</v>
      </c>
      <c r="O291" s="14">
        <f>IFERROR(N291/N327, "NA")</f>
      </c>
    </row>
    <row r="292" ht="16.5" customHeight="1">
      <c t="s" r="A292" s="12">
        <v>295</v>
      </c>
      <c r="B292" s="13">
        <v>0</v>
      </c>
      <c r="C292" s="14">
        <f>IFERROR(B292/B327, "NA")</f>
      </c>
      <c r="D292" s="15"/>
      <c r="E292" s="13">
        <v>0</v>
      </c>
      <c r="F292" s="14">
        <f>IFERROR(E292/E327, "NA")</f>
      </c>
      <c r="G292" s="15"/>
      <c r="H292" s="13">
        <v>0</v>
      </c>
      <c r="I292" s="14">
        <f>IFERROR(H292/H327, "NA")</f>
      </c>
      <c r="J292" s="15"/>
      <c r="K292" s="13">
        <v>2000</v>
      </c>
      <c r="L292" s="14">
        <f>IFERROR(K292/K327, "NA")</f>
      </c>
      <c r="M292" s="15"/>
      <c r="N292" s="13">
        <v>0</v>
      </c>
      <c r="O292" s="14">
        <f>IFERROR(N292/N327, "NA")</f>
      </c>
    </row>
    <row r="293" ht="16.5" customHeight="1">
      <c t="s" r="A293" s="12">
        <v>296</v>
      </c>
      <c r="B293" s="13">
        <v>434.86000000000001</v>
      </c>
      <c r="C293" s="14">
        <f>IFERROR(B293/B327, "NA")</f>
      </c>
      <c r="D293" s="15"/>
      <c r="E293" s="13">
        <v>1500.0799999999999</v>
      </c>
      <c r="F293" s="14">
        <f>IFERROR(E293/E327, "NA")</f>
      </c>
      <c r="G293" s="15"/>
      <c r="H293" s="13">
        <v>1250.1400000000001</v>
      </c>
      <c r="I293" s="14">
        <f>IFERROR(H293/H327, "NA")</f>
      </c>
      <c r="J293" s="15"/>
      <c r="K293" s="13">
        <v>1257.3900000000001</v>
      </c>
      <c r="L293" s="14">
        <f>IFERROR(K293/K327, "NA")</f>
      </c>
      <c r="M293" s="15"/>
      <c r="N293" s="13">
        <v>750.01999999999998</v>
      </c>
      <c r="O293" s="14">
        <f>IFERROR(N293/N327, "NA")</f>
      </c>
    </row>
    <row r="294" ht="16.5" customHeight="1">
      <c t="s" r="A294" s="12">
        <v>297</v>
      </c>
      <c r="B294" s="13">
        <v>0</v>
      </c>
      <c r="C294" s="14">
        <f>IFERROR(B294/B327, "NA")</f>
      </c>
      <c r="D294" s="15"/>
      <c r="E294" s="13">
        <v>2070</v>
      </c>
      <c r="F294" s="14">
        <f>IFERROR(E294/E327, "NA")</f>
      </c>
      <c r="G294" s="15"/>
      <c r="H294" s="13">
        <v>307.70999999999998</v>
      </c>
      <c r="I294" s="14">
        <f>IFERROR(H294/H327, "NA")</f>
      </c>
      <c r="J294" s="15"/>
      <c r="K294" s="13">
        <v>128.99000000000001</v>
      </c>
      <c r="L294" s="14">
        <f>IFERROR(K294/K327, "NA")</f>
      </c>
      <c r="M294" s="15"/>
      <c r="N294" s="13">
        <v>818.14999999999998</v>
      </c>
      <c r="O294" s="14">
        <f>IFERROR(N294/N327, "NA")</f>
      </c>
    </row>
    <row r="295" ht="16.5" customHeight="1">
      <c t="s" r="A295" s="12">
        <v>298</v>
      </c>
      <c r="B295" s="13">
        <v>0</v>
      </c>
      <c r="C295" s="14">
        <f>IFERROR(B295/B327, "NA")</f>
      </c>
      <c r="D295" s="15"/>
      <c r="E295" s="13">
        <v>0</v>
      </c>
      <c r="F295" s="14">
        <f>IFERROR(E295/E327, "NA")</f>
      </c>
      <c r="G295" s="15"/>
      <c r="H295" s="13">
        <v>0</v>
      </c>
      <c r="I295" s="14">
        <f>IFERROR(H295/H327, "NA")</f>
      </c>
      <c r="J295" s="15"/>
      <c r="K295" s="13">
        <v>0</v>
      </c>
      <c r="L295" s="14">
        <f>IFERROR(K295/K327, "NA")</f>
      </c>
      <c r="M295" s="15"/>
      <c r="N295" s="13">
        <v>0</v>
      </c>
      <c r="O295" s="14">
        <f>IFERROR(N295/N327, "NA")</f>
      </c>
    </row>
    <row r="296" ht="16.5" customHeight="1">
      <c t="s" r="A296" s="12">
        <v>299</v>
      </c>
      <c r="B296" s="13">
        <v>0</v>
      </c>
      <c r="C296" s="14">
        <f>IFERROR(B296/B327, "NA")</f>
      </c>
      <c r="D296" s="15"/>
      <c r="E296" s="13">
        <v>0</v>
      </c>
      <c r="F296" s="14">
        <f>IFERROR(E296/E327, "NA")</f>
      </c>
      <c r="G296" s="15"/>
      <c r="H296" s="13">
        <v>0</v>
      </c>
      <c r="I296" s="14">
        <f>IFERROR(H296/H327, "NA")</f>
      </c>
      <c r="J296" s="15"/>
      <c r="K296" s="13">
        <v>0</v>
      </c>
      <c r="L296" s="14">
        <f>IFERROR(K296/K327, "NA")</f>
      </c>
      <c r="M296" s="15"/>
      <c r="N296" s="13">
        <v>0</v>
      </c>
      <c r="O296" s="14">
        <f>IFERROR(N296/N327, "NA")</f>
      </c>
    </row>
    <row r="297" ht="16.5" customHeight="1">
      <c t="s" r="A297" s="12">
        <v>300</v>
      </c>
      <c r="B297" s="13">
        <v>0</v>
      </c>
      <c r="C297" s="14">
        <f>IFERROR(B297/B327, "NA")</f>
      </c>
      <c r="D297" s="15"/>
      <c r="E297" s="13">
        <v>0</v>
      </c>
      <c r="F297" s="14">
        <f>IFERROR(E297/E327, "NA")</f>
      </c>
      <c r="G297" s="15"/>
      <c r="H297" s="13">
        <v>0</v>
      </c>
      <c r="I297" s="14">
        <f>IFERROR(H297/H327, "NA")</f>
      </c>
      <c r="J297" s="15"/>
      <c r="K297" s="13">
        <v>0</v>
      </c>
      <c r="L297" s="14">
        <f>IFERROR(K297/K327, "NA")</f>
      </c>
      <c r="M297" s="15"/>
      <c r="N297" s="13">
        <v>0</v>
      </c>
      <c r="O297" s="14">
        <f>IFERROR(N297/N327, "NA")</f>
      </c>
    </row>
    <row r="298" ht="16.5" customHeight="1">
      <c t="s" r="A298" s="12">
        <v>301</v>
      </c>
      <c r="B298" s="13">
        <v>0</v>
      </c>
      <c r="C298" s="14">
        <f>IFERROR(B298/B327, "NA")</f>
      </c>
      <c r="D298" s="15"/>
      <c r="E298" s="13">
        <v>0</v>
      </c>
      <c r="F298" s="14">
        <f>IFERROR(E298/E327, "NA")</f>
      </c>
      <c r="G298" s="15"/>
      <c r="H298" s="13">
        <v>0</v>
      </c>
      <c r="I298" s="14">
        <f>IFERROR(H298/H327, "NA")</f>
      </c>
      <c r="J298" s="15"/>
      <c r="K298" s="13">
        <v>0</v>
      </c>
      <c r="L298" s="14">
        <f>IFERROR(K298/K327, "NA")</f>
      </c>
      <c r="M298" s="15"/>
      <c r="N298" s="13">
        <v>0</v>
      </c>
      <c r="O298" s="14">
        <f>IFERROR(N298/N327, "NA")</f>
      </c>
    </row>
    <row r="299" ht="16.5" customHeight="1">
      <c t="s" r="A299" s="12">
        <v>302</v>
      </c>
      <c r="B299" s="13">
        <v>0</v>
      </c>
      <c r="C299" s="14">
        <f>IFERROR(B299/B327, "NA")</f>
      </c>
      <c r="D299" s="15"/>
      <c r="E299" s="13">
        <v>0</v>
      </c>
      <c r="F299" s="14">
        <f>IFERROR(E299/E327, "NA")</f>
      </c>
      <c r="G299" s="15"/>
      <c r="H299" s="13">
        <v>0</v>
      </c>
      <c r="I299" s="14">
        <f>IFERROR(H299/H327, "NA")</f>
      </c>
      <c r="J299" s="15"/>
      <c r="K299" s="13">
        <v>0</v>
      </c>
      <c r="L299" s="14">
        <f>IFERROR(K299/K327, "NA")</f>
      </c>
      <c r="M299" s="15"/>
      <c r="N299" s="13">
        <v>0</v>
      </c>
      <c r="O299" s="14">
        <f>IFERROR(N299/N327, "NA")</f>
      </c>
    </row>
    <row r="300" ht="16.5" customHeight="1">
      <c t="s" r="A300" s="12">
        <v>303</v>
      </c>
      <c r="B300" s="13">
        <v>0</v>
      </c>
      <c r="C300" s="14">
        <f>IFERROR(B300/B327, "NA")</f>
      </c>
      <c r="D300" s="15"/>
      <c r="E300" s="13">
        <v>0</v>
      </c>
      <c r="F300" s="14">
        <f>IFERROR(E300/E327, "NA")</f>
      </c>
      <c r="G300" s="15"/>
      <c r="H300" s="13">
        <v>0</v>
      </c>
      <c r="I300" s="14">
        <f>IFERROR(H300/H327, "NA")</f>
      </c>
      <c r="J300" s="15"/>
      <c r="K300" s="13">
        <v>0</v>
      </c>
      <c r="L300" s="14">
        <f>IFERROR(K300/K327, "NA")</f>
      </c>
      <c r="M300" s="15"/>
      <c r="N300" s="13">
        <v>0</v>
      </c>
      <c r="O300" s="14">
        <f>IFERROR(N300/N327, "NA")</f>
      </c>
    </row>
    <row r="301" ht="16.5" customHeight="1">
      <c t="s" r="A301" s="12">
        <v>304</v>
      </c>
      <c r="B301" s="13">
        <v>0</v>
      </c>
      <c r="C301" s="14">
        <f>IFERROR(B301/B327, "NA")</f>
      </c>
      <c r="D301" s="15"/>
      <c r="E301" s="13">
        <v>0</v>
      </c>
      <c r="F301" s="14">
        <f>IFERROR(E301/E327, "NA")</f>
      </c>
      <c r="G301" s="15"/>
      <c r="H301" s="13">
        <v>0</v>
      </c>
      <c r="I301" s="14">
        <f>IFERROR(H301/H327, "NA")</f>
      </c>
      <c r="J301" s="15"/>
      <c r="K301" s="13">
        <v>0</v>
      </c>
      <c r="L301" s="14">
        <f>IFERROR(K301/K327, "NA")</f>
      </c>
      <c r="M301" s="15"/>
      <c r="N301" s="13">
        <v>0</v>
      </c>
      <c r="O301" s="14">
        <f>IFERROR(N301/N327, "NA")</f>
      </c>
    </row>
    <row r="302" ht="16.5" customHeight="1">
      <c t="s" r="A302" s="12">
        <v>305</v>
      </c>
      <c r="B302" s="13">
        <v>0</v>
      </c>
      <c r="C302" s="14">
        <f>IFERROR(B302/B327, "NA")</f>
      </c>
      <c r="D302" s="15"/>
      <c r="E302" s="13">
        <v>0</v>
      </c>
      <c r="F302" s="14">
        <f>IFERROR(E302/E327, "NA")</f>
      </c>
      <c r="G302" s="15"/>
      <c r="H302" s="13">
        <v>0</v>
      </c>
      <c r="I302" s="14">
        <f>IFERROR(H302/H327, "NA")</f>
      </c>
      <c r="J302" s="15"/>
      <c r="K302" s="13">
        <v>0</v>
      </c>
      <c r="L302" s="14">
        <f>IFERROR(K302/K327, "NA")</f>
      </c>
      <c r="M302" s="15"/>
      <c r="N302" s="13">
        <v>0</v>
      </c>
      <c r="O302" s="14">
        <f>IFERROR(N302/N327, "NA")</f>
      </c>
    </row>
    <row r="303" ht="16.5" customHeight="1">
      <c t="s" r="A303" s="12">
        <v>306</v>
      </c>
      <c r="B303" s="13">
        <v>0</v>
      </c>
      <c r="C303" s="14">
        <f>IFERROR(B303/B327, "NA")</f>
      </c>
      <c r="D303" s="15"/>
      <c r="E303" s="13">
        <v>0</v>
      </c>
      <c r="F303" s="14">
        <f>IFERROR(E303/E327, "NA")</f>
      </c>
      <c r="G303" s="15"/>
      <c r="H303" s="13">
        <v>0</v>
      </c>
      <c r="I303" s="14">
        <f>IFERROR(H303/H327, "NA")</f>
      </c>
      <c r="J303" s="15"/>
      <c r="K303" s="13">
        <v>0</v>
      </c>
      <c r="L303" s="14">
        <f>IFERROR(K303/K327, "NA")</f>
      </c>
      <c r="M303" s="15"/>
      <c r="N303" s="13">
        <v>0</v>
      </c>
      <c r="O303" s="14">
        <f>IFERROR(N303/N327, "NA")</f>
      </c>
    </row>
    <row r="304" ht="16.5" customHeight="1">
      <c t="s" r="A304" s="12">
        <v>307</v>
      </c>
      <c r="B304" s="13">
        <v>0</v>
      </c>
      <c r="C304" s="14">
        <f>IFERROR(B304/B327, "NA")</f>
      </c>
      <c r="D304" s="15"/>
      <c r="E304" s="13">
        <v>0</v>
      </c>
      <c r="F304" s="14">
        <f>IFERROR(E304/E327, "NA")</f>
      </c>
      <c r="G304" s="15"/>
      <c r="H304" s="13">
        <v>0</v>
      </c>
      <c r="I304" s="14">
        <f>IFERROR(H304/H327, "NA")</f>
      </c>
      <c r="J304" s="15"/>
      <c r="K304" s="13">
        <v>0</v>
      </c>
      <c r="L304" s="14">
        <f>IFERROR(K304/K327, "NA")</f>
      </c>
      <c r="M304" s="15"/>
      <c r="N304" s="13">
        <v>0</v>
      </c>
      <c r="O304" s="14">
        <f>IFERROR(N304/N327, "NA")</f>
      </c>
    </row>
    <row r="305" ht="16.5" customHeight="1">
      <c t="s" r="A305" s="12">
        <v>308</v>
      </c>
      <c r="B305" s="13">
        <v>0</v>
      </c>
      <c r="C305" s="14">
        <f>IFERROR(B305/B327, "NA")</f>
      </c>
      <c r="D305" s="15"/>
      <c r="E305" s="13">
        <v>0</v>
      </c>
      <c r="F305" s="14">
        <f>IFERROR(E305/E327, "NA")</f>
      </c>
      <c r="G305" s="15"/>
      <c r="H305" s="13">
        <v>0</v>
      </c>
      <c r="I305" s="14">
        <f>IFERROR(H305/H327, "NA")</f>
      </c>
      <c r="J305" s="15"/>
      <c r="K305" s="13">
        <v>0</v>
      </c>
      <c r="L305" s="14">
        <f>IFERROR(K305/K327, "NA")</f>
      </c>
      <c r="M305" s="15"/>
      <c r="N305" s="13">
        <v>0</v>
      </c>
      <c r="O305" s="14">
        <f>IFERROR(N305/N327, "NA")</f>
      </c>
    </row>
    <row r="306" ht="16.5" customHeight="1">
      <c t="s" r="A306" s="12">
        <v>309</v>
      </c>
      <c r="B306" s="13">
        <v>0</v>
      </c>
      <c r="C306" s="14">
        <f>IFERROR(B306/B327, "NA")</f>
      </c>
      <c r="D306" s="15"/>
      <c r="E306" s="13">
        <v>0</v>
      </c>
      <c r="F306" s="14">
        <f>IFERROR(E306/E327, "NA")</f>
      </c>
      <c r="G306" s="15"/>
      <c r="H306" s="13">
        <v>0</v>
      </c>
      <c r="I306" s="14">
        <f>IFERROR(H306/H327, "NA")</f>
      </c>
      <c r="J306" s="15"/>
      <c r="K306" s="13">
        <v>0</v>
      </c>
      <c r="L306" s="14">
        <f>IFERROR(K306/K327, "NA")</f>
      </c>
      <c r="M306" s="15"/>
      <c r="N306" s="13">
        <v>0</v>
      </c>
      <c r="O306" s="14">
        <f>IFERROR(N306/N327, "NA")</f>
      </c>
    </row>
    <row r="307" ht="16.5" customHeight="1">
      <c t="s" r="A307" s="12">
        <v>310</v>
      </c>
      <c r="B307" s="13">
        <v>0</v>
      </c>
      <c r="C307" s="14">
        <f>IFERROR(B307/B327, "NA")</f>
      </c>
      <c r="D307" s="15"/>
      <c r="E307" s="13">
        <v>0</v>
      </c>
      <c r="F307" s="14">
        <f>IFERROR(E307/E327, "NA")</f>
      </c>
      <c r="G307" s="15"/>
      <c r="H307" s="13">
        <v>0</v>
      </c>
      <c r="I307" s="14">
        <f>IFERROR(H307/H327, "NA")</f>
      </c>
      <c r="J307" s="15"/>
      <c r="K307" s="13">
        <v>0</v>
      </c>
      <c r="L307" s="14">
        <f>IFERROR(K307/K327, "NA")</f>
      </c>
      <c r="M307" s="15"/>
      <c r="N307" s="13">
        <v>0</v>
      </c>
      <c r="O307" s="14">
        <f>IFERROR(N307/N327, "NA")</f>
      </c>
    </row>
    <row r="308" ht="16.5" customHeight="1">
      <c t="s" r="A308" s="12">
        <v>311</v>
      </c>
      <c r="B308" s="13">
        <v>0</v>
      </c>
      <c r="C308" s="14">
        <f>IFERROR(B308/B327, "NA")</f>
      </c>
      <c r="D308" s="15"/>
      <c r="E308" s="13">
        <v>0</v>
      </c>
      <c r="F308" s="14">
        <f>IFERROR(E308/E327, "NA")</f>
      </c>
      <c r="G308" s="15"/>
      <c r="H308" s="13">
        <v>0</v>
      </c>
      <c r="I308" s="14">
        <f>IFERROR(H308/H327, "NA")</f>
      </c>
      <c r="J308" s="15"/>
      <c r="K308" s="13">
        <v>0</v>
      </c>
      <c r="L308" s="14">
        <f>IFERROR(K308/K327, "NA")</f>
      </c>
      <c r="M308" s="15"/>
      <c r="N308" s="13">
        <v>0</v>
      </c>
      <c r="O308" s="14">
        <f>IFERROR(N308/N327, "NA")</f>
      </c>
    </row>
    <row r="309" ht="16.5" customHeight="1">
      <c t="s" r="A309" s="12">
        <v>312</v>
      </c>
      <c r="B309" s="13">
        <v>0</v>
      </c>
      <c r="C309" s="14">
        <f>IFERROR(B309/B327, "NA")</f>
      </c>
      <c r="D309" s="15"/>
      <c r="E309" s="13">
        <v>0</v>
      </c>
      <c r="F309" s="14">
        <f>IFERROR(E309/E327, "NA")</f>
      </c>
      <c r="G309" s="15"/>
      <c r="H309" s="13">
        <v>0</v>
      </c>
      <c r="I309" s="14">
        <f>IFERROR(H309/H327, "NA")</f>
      </c>
      <c r="J309" s="15"/>
      <c r="K309" s="13">
        <v>0</v>
      </c>
      <c r="L309" s="14">
        <f>IFERROR(K309/K327, "NA")</f>
      </c>
      <c r="M309" s="15"/>
      <c r="N309" s="13">
        <v>0</v>
      </c>
      <c r="O309" s="14">
        <f>IFERROR(N309/N327, "NA")</f>
      </c>
    </row>
    <row r="310" ht="16.5" customHeight="1">
      <c t="s" r="A310" s="12">
        <v>313</v>
      </c>
      <c r="B310" s="13">
        <v>0</v>
      </c>
      <c r="C310" s="14">
        <f>IFERROR(B310/B327, "NA")</f>
      </c>
      <c r="D310" s="15"/>
      <c r="E310" s="13">
        <v>0</v>
      </c>
      <c r="F310" s="14">
        <f>IFERROR(E310/E327, "NA")</f>
      </c>
      <c r="G310" s="15"/>
      <c r="H310" s="13">
        <v>0</v>
      </c>
      <c r="I310" s="14">
        <f>IFERROR(H310/H327, "NA")</f>
      </c>
      <c r="J310" s="15"/>
      <c r="K310" s="13">
        <v>0</v>
      </c>
      <c r="L310" s="14">
        <f>IFERROR(K310/K327, "NA")</f>
      </c>
      <c r="M310" s="15"/>
      <c r="N310" s="13">
        <v>0</v>
      </c>
      <c r="O310" s="14">
        <f>IFERROR(N310/N327, "NA")</f>
      </c>
    </row>
    <row r="311" ht="16.5" customHeight="1">
      <c t="s" r="A311" s="12">
        <v>314</v>
      </c>
      <c r="B311" s="13">
        <v>0</v>
      </c>
      <c r="C311" s="14">
        <f>IFERROR(B311/B327, "NA")</f>
      </c>
      <c r="D311" s="15"/>
      <c r="E311" s="13">
        <v>0</v>
      </c>
      <c r="F311" s="14">
        <f>IFERROR(E311/E327, "NA")</f>
      </c>
      <c r="G311" s="15"/>
      <c r="H311" s="13">
        <v>0</v>
      </c>
      <c r="I311" s="14">
        <f>IFERROR(H311/H327, "NA")</f>
      </c>
      <c r="J311" s="15"/>
      <c r="K311" s="13">
        <v>0</v>
      </c>
      <c r="L311" s="14">
        <f>IFERROR(K311/K327, "NA")</f>
      </c>
      <c r="M311" s="15"/>
      <c r="N311" s="13">
        <v>0</v>
      </c>
      <c r="O311" s="14">
        <f>IFERROR(N311/N327, "NA")</f>
      </c>
    </row>
    <row r="312" ht="16.5" customHeight="1">
      <c t="s" r="A312" s="12">
        <v>315</v>
      </c>
      <c r="B312" s="13">
        <v>0</v>
      </c>
      <c r="C312" s="14">
        <f>IFERROR(B312/B327, "NA")</f>
      </c>
      <c r="D312" s="15"/>
      <c r="E312" s="13">
        <v>0</v>
      </c>
      <c r="F312" s="14">
        <f>IFERROR(E312/E327, "NA")</f>
      </c>
      <c r="G312" s="15"/>
      <c r="H312" s="13">
        <v>0</v>
      </c>
      <c r="I312" s="14">
        <f>IFERROR(H312/H327, "NA")</f>
      </c>
      <c r="J312" s="15"/>
      <c r="K312" s="13">
        <v>0</v>
      </c>
      <c r="L312" s="14">
        <f>IFERROR(K312/K327, "NA")</f>
      </c>
      <c r="M312" s="15"/>
      <c r="N312" s="13">
        <v>0</v>
      </c>
      <c r="O312" s="14">
        <f>IFERROR(N312/N327, "NA")</f>
      </c>
    </row>
    <row r="313" ht="16.5" customHeight="1">
      <c t="s" r="A313" s="12">
        <v>316</v>
      </c>
      <c r="B313" s="13">
        <v>0</v>
      </c>
      <c r="C313" s="14">
        <f>IFERROR(B313/B327, "NA")</f>
      </c>
      <c r="D313" s="15"/>
      <c r="E313" s="13">
        <v>0</v>
      </c>
      <c r="F313" s="14">
        <f>IFERROR(E313/E327, "NA")</f>
      </c>
      <c r="G313" s="15"/>
      <c r="H313" s="13">
        <v>0</v>
      </c>
      <c r="I313" s="14">
        <f>IFERROR(H313/H327, "NA")</f>
      </c>
      <c r="J313" s="15"/>
      <c r="K313" s="13">
        <v>0</v>
      </c>
      <c r="L313" s="14">
        <f>IFERROR(K313/K327, "NA")</f>
      </c>
      <c r="M313" s="15"/>
      <c r="N313" s="13">
        <v>0</v>
      </c>
      <c r="O313" s="14">
        <f>IFERROR(N313/N327, "NA")</f>
      </c>
    </row>
    <row r="314" ht="16.5" customHeight="1">
      <c t="s" r="A314" s="16">
        <v>317</v>
      </c>
      <c r="B314" s="17">
        <f>IFERROR(B287+B288+B289+B290+B291+B292+B293+B294+B295+B296+B297+B298+B299+B300+B301+B302+B303+B304+B305+B306+B307+B308+B309+B310+B311+B312+B313, "NA")</f>
      </c>
      <c r="C314" s="18">
        <f>IFERROR(B314/B327, "NA")</f>
      </c>
      <c r="D314" s="8"/>
      <c r="E314" s="17">
        <f>IFERROR(E287+E288+E289+E290+E291+E292+E293+E294+E295+E296+E297+E298+E299+E300+E301+E302+E303+E304+E305+E306+E307+E308+E309+E310+E311+E312+E313, "NA")</f>
      </c>
      <c r="F314" s="18">
        <f>IFERROR(E314/E327, "NA")</f>
      </c>
      <c r="G314" s="8"/>
      <c r="H314" s="17">
        <f>IFERROR(H287+H288+H289+H290+H291+H292+H293+H294+H295+H296+H297+H298+H299+H300+H301+H302+H303+H304+H305+H306+H307+H308+H309+H310+H311+H312+H313, "NA")</f>
      </c>
      <c r="I314" s="18">
        <f>IFERROR(H314/H327, "NA")</f>
      </c>
      <c r="J314" s="8"/>
      <c r="K314" s="17">
        <f>IFERROR(K287+K288+K289+K290+K291+K292+K293+K294+K295+K296+K297+K298+K299+K300+K301+K302+K303+K304+K305+K306+K307+K308+K309+K310+K311+K312+K313, "NA")</f>
      </c>
      <c r="L314" s="18">
        <f>IFERROR(K314/K327, "NA")</f>
      </c>
      <c r="M314" s="8"/>
      <c r="N314" s="17">
        <f>IFERROR(N287+N288+N289+N290+N291+N292+N293+N294+N295+N296+N297+N298+N299+N300+N301+N302+N303+N304+N305+N306+N307+N308+N309+N310+N311+N312+N313, "NA")</f>
      </c>
      <c r="O314" s="18">
        <f>IFERROR(N314/N327, "NA")</f>
      </c>
    </row>
    <row r="315" ht="16.5" customHeight="1">
      <c t="s" r="A315" s="11">
        <v>318</v>
      </c>
      <c r="B315" s="8"/>
      <c r="C315" s="9"/>
      <c r="D315" s="10"/>
      <c r="E315" s="8"/>
      <c r="F315" s="9"/>
      <c r="G315" s="10"/>
      <c r="H315" s="8"/>
      <c r="I315" s="9"/>
      <c r="J315" s="10"/>
      <c r="K315" s="8"/>
      <c r="L315" s="9"/>
      <c r="M315" s="10"/>
      <c r="N315" s="8"/>
      <c r="O315" s="9"/>
    </row>
    <row r="316" ht="16.5" customHeight="1">
      <c t="s" r="A316" s="12">
        <v>319</v>
      </c>
      <c r="B316" s="13">
        <v>0</v>
      </c>
      <c r="C316" s="14">
        <f>IFERROR(B316/B327, "NA")</f>
      </c>
      <c r="D316" s="15"/>
      <c r="E316" s="13">
        <v>0</v>
      </c>
      <c r="F316" s="14">
        <f>IFERROR(E316/E327, "NA")</f>
      </c>
      <c r="G316" s="15"/>
      <c r="H316" s="13">
        <v>0</v>
      </c>
      <c r="I316" s="14">
        <f>IFERROR(H316/H327, "NA")</f>
      </c>
      <c r="J316" s="15"/>
      <c r="K316" s="13">
        <v>0</v>
      </c>
      <c r="L316" s="14">
        <f>IFERROR(K316/K327, "NA")</f>
      </c>
      <c r="M316" s="15"/>
      <c r="N316" s="13">
        <v>0</v>
      </c>
      <c r="O316" s="14">
        <f>IFERROR(N316/N327, "NA")</f>
      </c>
    </row>
    <row r="317" ht="16.5" customHeight="1">
      <c t="s" r="A317" s="12">
        <v>320</v>
      </c>
      <c r="B317" s="13">
        <v>0</v>
      </c>
      <c r="C317" s="14">
        <f>IFERROR(B317/B327, "NA")</f>
      </c>
      <c r="D317" s="15"/>
      <c r="E317" s="13">
        <v>0</v>
      </c>
      <c r="F317" s="14">
        <f>IFERROR(E317/E327, "NA")</f>
      </c>
      <c r="G317" s="15"/>
      <c r="H317" s="13">
        <v>0</v>
      </c>
      <c r="I317" s="14">
        <f>IFERROR(H317/H327, "NA")</f>
      </c>
      <c r="J317" s="15"/>
      <c r="K317" s="13">
        <v>0</v>
      </c>
      <c r="L317" s="14">
        <f>IFERROR(K317/K327, "NA")</f>
      </c>
      <c r="M317" s="15"/>
      <c r="N317" s="13">
        <v>0</v>
      </c>
      <c r="O317" s="14">
        <f>IFERROR(N317/N327, "NA")</f>
      </c>
    </row>
    <row r="318" ht="16.5" customHeight="1">
      <c t="s" r="A318" s="12">
        <v>321</v>
      </c>
      <c r="B318" s="13">
        <v>0</v>
      </c>
      <c r="C318" s="14">
        <f>IFERROR(B318/B327, "NA")</f>
      </c>
      <c r="D318" s="15"/>
      <c r="E318" s="13">
        <v>0</v>
      </c>
      <c r="F318" s="14">
        <f>IFERROR(E318/E327, "NA")</f>
      </c>
      <c r="G318" s="15"/>
      <c r="H318" s="13">
        <v>0</v>
      </c>
      <c r="I318" s="14">
        <f>IFERROR(H318/H327, "NA")</f>
      </c>
      <c r="J318" s="15"/>
      <c r="K318" s="13">
        <v>0</v>
      </c>
      <c r="L318" s="14">
        <f>IFERROR(K318/K327, "NA")</f>
      </c>
      <c r="M318" s="15"/>
      <c r="N318" s="13">
        <v>0</v>
      </c>
      <c r="O318" s="14">
        <f>IFERROR(N318/N327, "NA")</f>
      </c>
    </row>
    <row r="319" ht="16.5" customHeight="1">
      <c t="s" r="A319" s="12">
        <v>322</v>
      </c>
      <c r="B319" s="13">
        <v>0</v>
      </c>
      <c r="C319" s="14">
        <f>IFERROR(B319/B327, "NA")</f>
      </c>
      <c r="D319" s="15"/>
      <c r="E319" s="13">
        <v>0</v>
      </c>
      <c r="F319" s="14">
        <f>IFERROR(E319/E327, "NA")</f>
      </c>
      <c r="G319" s="15"/>
      <c r="H319" s="13">
        <v>0</v>
      </c>
      <c r="I319" s="14">
        <f>IFERROR(H319/H327, "NA")</f>
      </c>
      <c r="J319" s="15"/>
      <c r="K319" s="13">
        <v>0</v>
      </c>
      <c r="L319" s="14">
        <f>IFERROR(K319/K327, "NA")</f>
      </c>
      <c r="M319" s="15"/>
      <c r="N319" s="13">
        <v>0</v>
      </c>
      <c r="O319" s="14">
        <f>IFERROR(N319/N327, "NA")</f>
      </c>
    </row>
    <row r="320" ht="16.5" customHeight="1">
      <c t="s" r="A320" s="12">
        <v>323</v>
      </c>
      <c r="B320" s="13">
        <v>0</v>
      </c>
      <c r="C320" s="14">
        <f>IFERROR(B320/B327, "NA")</f>
      </c>
      <c r="D320" s="15"/>
      <c r="E320" s="13">
        <v>0</v>
      </c>
      <c r="F320" s="14">
        <f>IFERROR(E320/E327, "NA")</f>
      </c>
      <c r="G320" s="15"/>
      <c r="H320" s="13">
        <v>0</v>
      </c>
      <c r="I320" s="14">
        <f>IFERROR(H320/H327, "NA")</f>
      </c>
      <c r="J320" s="15"/>
      <c r="K320" s="13">
        <v>0</v>
      </c>
      <c r="L320" s="14">
        <f>IFERROR(K320/K327, "NA")</f>
      </c>
      <c r="M320" s="15"/>
      <c r="N320" s="13">
        <v>0</v>
      </c>
      <c r="O320" s="14">
        <f>IFERROR(N320/N327, "NA")</f>
      </c>
    </row>
    <row r="321" ht="16.5" customHeight="1">
      <c t="s" r="A321" s="12">
        <v>324</v>
      </c>
      <c r="B321" s="13">
        <v>0</v>
      </c>
      <c r="C321" s="14">
        <f>IFERROR(B321/B327, "NA")</f>
      </c>
      <c r="D321" s="15"/>
      <c r="E321" s="13">
        <v>0</v>
      </c>
      <c r="F321" s="14">
        <f>IFERROR(E321/E327, "NA")</f>
      </c>
      <c r="G321" s="15"/>
      <c r="H321" s="13">
        <v>0</v>
      </c>
      <c r="I321" s="14">
        <f>IFERROR(H321/H327, "NA")</f>
      </c>
      <c r="J321" s="15"/>
      <c r="K321" s="13">
        <v>0</v>
      </c>
      <c r="L321" s="14">
        <f>IFERROR(K321/K327, "NA")</f>
      </c>
      <c r="M321" s="15"/>
      <c r="N321" s="13">
        <v>0</v>
      </c>
      <c r="O321" s="14">
        <f>IFERROR(N321/N327, "NA")</f>
      </c>
    </row>
    <row r="322" ht="16.5" customHeight="1">
      <c t="s" r="A322" s="12">
        <v>325</v>
      </c>
      <c r="B322" s="13">
        <v>0</v>
      </c>
      <c r="C322" s="14">
        <f>IFERROR(B322/B327, "NA")</f>
      </c>
      <c r="D322" s="15"/>
      <c r="E322" s="13">
        <v>0</v>
      </c>
      <c r="F322" s="14">
        <f>IFERROR(E322/E327, "NA")</f>
      </c>
      <c r="G322" s="15"/>
      <c r="H322" s="13">
        <v>0</v>
      </c>
      <c r="I322" s="14">
        <f>IFERROR(H322/H327, "NA")</f>
      </c>
      <c r="J322" s="15"/>
      <c r="K322" s="13">
        <v>0</v>
      </c>
      <c r="L322" s="14">
        <f>IFERROR(K322/K327, "NA")</f>
      </c>
      <c r="M322" s="15"/>
      <c r="N322" s="13">
        <v>0</v>
      </c>
      <c r="O322" s="14">
        <f>IFERROR(N322/N327, "NA")</f>
      </c>
    </row>
    <row r="323" ht="16.5" customHeight="1">
      <c t="s" r="A323" s="12">
        <v>326</v>
      </c>
      <c r="B323" s="13">
        <v>0</v>
      </c>
      <c r="C323" s="14">
        <f>IFERROR(B323/B327, "NA")</f>
      </c>
      <c r="D323" s="15"/>
      <c r="E323" s="13">
        <v>0</v>
      </c>
      <c r="F323" s="14">
        <f>IFERROR(E323/E327, "NA")</f>
      </c>
      <c r="G323" s="15"/>
      <c r="H323" s="13">
        <v>0</v>
      </c>
      <c r="I323" s="14">
        <f>IFERROR(H323/H327, "NA")</f>
      </c>
      <c r="J323" s="15"/>
      <c r="K323" s="13">
        <v>0</v>
      </c>
      <c r="L323" s="14">
        <f>IFERROR(K323/K327, "NA")</f>
      </c>
      <c r="M323" s="15"/>
      <c r="N323" s="13">
        <v>0</v>
      </c>
      <c r="O323" s="14">
        <f>IFERROR(N323/N327, "NA")</f>
      </c>
    </row>
    <row r="324" ht="16.5" customHeight="1">
      <c t="s" r="A324" s="16">
        <v>327</v>
      </c>
      <c r="B324" s="17">
        <f>IFERROR(B316+B317+B318+B319+B320+B321+B322+B323, "NA")</f>
      </c>
      <c r="C324" s="18">
        <f>IFERROR(B324/B327, "NA")</f>
      </c>
      <c r="D324" s="8"/>
      <c r="E324" s="17">
        <f>IFERROR(E316+E317+E318+E319+E320+E321+E322+E323, "NA")</f>
      </c>
      <c r="F324" s="18">
        <f>IFERROR(E324/E327, "NA")</f>
      </c>
      <c r="G324" s="8"/>
      <c r="H324" s="17">
        <f>IFERROR(H316+H317+H318+H319+H320+H321+H322+H323, "NA")</f>
      </c>
      <c r="I324" s="18">
        <f>IFERROR(H324/H327, "NA")</f>
      </c>
      <c r="J324" s="8"/>
      <c r="K324" s="17">
        <f>IFERROR(K316+K317+K318+K319+K320+K321+K322+K323, "NA")</f>
      </c>
      <c r="L324" s="18">
        <f>IFERROR(K324/K327, "NA")</f>
      </c>
      <c r="M324" s="8"/>
      <c r="N324" s="17">
        <f>IFERROR(N316+N317+N318+N319+N320+N321+N322+N323, "NA")</f>
      </c>
      <c r="O324" s="18">
        <f>IFERROR(N324/N327, "NA")</f>
      </c>
    </row>
    <row r="325" ht="16.5" customHeight="1">
      <c t="s" r="A325" s="20">
        <v>328</v>
      </c>
      <c r="B325" s="17">
        <f>IFERROR(B287+B288+B289+B290+B291+B292+B293+B294+B295+B296+B297+B298+B299+B300+B301+B302+B303+B304+B305+B306+B307+B308+B309+B310+B311+B312+B313+B316+B317+B318+B319+B320+B321+B322+B323, "NA")</f>
      </c>
      <c r="C325" s="18">
        <f>IFERROR(B325/B327, "NA")</f>
      </c>
      <c r="D325" s="8"/>
      <c r="E325" s="17">
        <f>IFERROR(E287+E288+E289+E290+E291+E292+E293+E294+E295+E296+E297+E298+E299+E300+E301+E302+E303+E304+E305+E306+E307+E308+E309+E310+E311+E312+E313+E316+E317+E318+E319+E320+E321+E322+E323, "NA")</f>
      </c>
      <c r="F325" s="18">
        <f>IFERROR(E325/E327, "NA")</f>
      </c>
      <c r="G325" s="8"/>
      <c r="H325" s="17">
        <f>IFERROR(H287+H288+H289+H290+H291+H292+H293+H294+H295+H296+H297+H298+H299+H300+H301+H302+H303+H304+H305+H306+H307+H308+H309+H310+H311+H312+H313+H316+H317+H318+H319+H320+H321+H322+H323, "NA")</f>
      </c>
      <c r="I325" s="18">
        <f>IFERROR(H325/H327, "NA")</f>
      </c>
      <c r="J325" s="8"/>
      <c r="K325" s="17">
        <f>IFERROR(K287+K288+K289+K290+K291+K292+K293+K294+K295+K296+K297+K298+K299+K300+K301+K302+K303+K304+K305+K306+K307+K308+K309+K310+K311+K312+K313+K316+K317+K318+K319+K320+K321+K322+K323, "NA")</f>
      </c>
      <c r="L325" s="18">
        <f>IFERROR(K325/K327, "NA")</f>
      </c>
      <c r="M325" s="8"/>
      <c r="N325" s="17">
        <f>IFERROR(N287+N288+N289+N290+N291+N292+N293+N294+N295+N296+N297+N298+N299+N300+N301+N302+N303+N304+N305+N306+N307+N308+N309+N310+N311+N312+N313+N316+N317+N318+N319+N320+N321+N322+N323, "NA")</f>
      </c>
      <c r="O325" s="18">
        <f>IFERROR(N325/N327, "NA")</f>
      </c>
    </row>
    <row r="326" ht="16.5" customHeight="1">
      <c t="s" r="A326" s="20">
        <v>329</v>
      </c>
      <c r="B326" s="17">
        <f>IFERROR(+B52-B157-B211-B284-B325, "NA")</f>
      </c>
      <c r="C326" s="18">
        <f>IFERROR(B326/B327, "NA")</f>
      </c>
      <c r="D326" s="8"/>
      <c r="E326" s="17">
        <f>IFERROR(+E52-E157-E211-E284-E325, "NA")</f>
      </c>
      <c r="F326" s="18">
        <f>IFERROR(E326/E327, "NA")</f>
      </c>
      <c r="G326" s="8"/>
      <c r="H326" s="17">
        <f>IFERROR(+H52-H157-H211-H284-H325, "NA")</f>
      </c>
      <c r="I326" s="18">
        <f>IFERROR(H326/H327, "NA")</f>
      </c>
      <c r="J326" s="8"/>
      <c r="K326" s="17">
        <f>IFERROR(+K52-K157-K211-K284-K325, "NA")</f>
      </c>
      <c r="L326" s="18">
        <f>IFERROR(K326/K327, "NA")</f>
      </c>
      <c r="M326" s="8"/>
      <c r="N326" s="17">
        <f>IFERROR(+N52-N157-N211-N284-N325, "NA")</f>
      </c>
      <c r="O326" s="18">
        <f>IFERROR(N326/N327, "NA")</f>
      </c>
    </row>
    <row r="327" hidden="1">
      <c t="s" r="A327" s="24">
        <v>55</v>
      </c>
      <c r="B327" s="13">
        <v>69560.080000000002</v>
      </c>
      <c r="C327" s="25"/>
      <c r="D327" s="15"/>
      <c r="E327" s="13">
        <v>199558.57999999999</v>
      </c>
      <c r="F327" s="25"/>
      <c r="G327" s="15"/>
      <c r="H327" s="13">
        <v>201790.29999999999</v>
      </c>
      <c r="I327" s="25"/>
      <c r="J327" s="15"/>
      <c r="K327" s="13">
        <v>216442.01999999999</v>
      </c>
      <c r="L327" s="25"/>
      <c r="M327" s="15"/>
      <c r="N327" s="13">
        <v>195005.98999999999</v>
      </c>
      <c r="O327" s="25"/>
    </row>
    <row r="328"/>
    <row r="329"/>
    <row r="330">
      <c t="s" r="A330" s="26">
        <v>330</v>
      </c>
    </row>
    <row r="331">
      <c t="s" r="A331" s="26">
        <v>331</v>
      </c>
    </row>
    <row r="332">
      <c t="s" r="A332" s="26">
        <v>332</v>
      </c>
    </row>
  </sheetData>
  <mergeCells count="13">
    <mergeCell ref="A1:O1"/>
    <mergeCell ref="A2:O2"/>
    <mergeCell ref="A3:O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</mergeCells>
  <ignoredErrors>
    <ignoredError sqref="A1:O332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</row>
    <row r="3">
      <c t="s" r="A3" s="3">
        <v>333</v>
      </c>
      <c t="s" r="B3" s="3">
        <v>333</v>
      </c>
      <c t="s" r="C3" s="3">
        <v>333</v>
      </c>
      <c t="s" r="D3" s="3">
        <v>333</v>
      </c>
      <c t="s" r="E3" s="3">
        <v>333</v>
      </c>
      <c t="s" r="F3" s="3">
        <v>333</v>
      </c>
      <c t="s" r="G3" s="3">
        <v>333</v>
      </c>
      <c t="s" r="H3" s="3">
        <v>333</v>
      </c>
      <c t="s" r="I3" s="3">
        <v>333</v>
      </c>
      <c t="s" r="J3" s="3">
        <v>333</v>
      </c>
      <c t="s" r="K3" s="3">
        <v>333</v>
      </c>
      <c t="s" r="L3" s="3">
        <v>333</v>
      </c>
      <c t="s" r="M3" s="3">
        <v>333</v>
      </c>
      <c t="s" r="N3" s="3">
        <v>333</v>
      </c>
      <c t="s" r="O3" s="3">
        <v>333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8</v>
      </c>
      <c t="s" r="O5" s="6">
        <v>3</v>
      </c>
    </row>
    <row r="6" ht="16.5" customHeight="1">
      <c t="s" r="A6" s="7">
        <v>9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</row>
    <row r="7" ht="16.5" customHeight="1">
      <c t="s" r="A7" s="11">
        <v>10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</row>
    <row r="8" ht="16.5" customHeight="1">
      <c t="s" r="A8" s="12">
        <v>11</v>
      </c>
      <c r="B8" s="13">
        <v>60058.510000000002</v>
      </c>
      <c r="C8" s="14">
        <f>IFERROR(B8/B327, "NA")</f>
      </c>
      <c r="D8" s="15"/>
      <c r="E8" s="13">
        <v>148882.42000000001</v>
      </c>
      <c r="F8" s="14">
        <f>IFERROR(E8/E327, "NA")</f>
      </c>
      <c r="G8" s="15"/>
      <c r="H8" s="13">
        <v>150017.32000000001</v>
      </c>
      <c r="I8" s="14">
        <f>IFERROR(H8/H327, "NA")</f>
      </c>
      <c r="J8" s="15"/>
      <c r="K8" s="13">
        <v>173750.5</v>
      </c>
      <c r="L8" s="14">
        <f>IFERROR(K8/K327, "NA")</f>
      </c>
      <c r="M8" s="15"/>
      <c r="N8" s="13">
        <v>163147.53</v>
      </c>
      <c r="O8" s="14">
        <f>IFERROR(N8/N327, "NA")</f>
      </c>
    </row>
    <row r="9" ht="16.5" customHeight="1">
      <c t="s" r="A9" s="12">
        <v>12</v>
      </c>
      <c r="B9" s="13">
        <v>0</v>
      </c>
      <c r="C9" s="14">
        <f>IFERROR(B9/B327, "NA")</f>
      </c>
      <c r="D9" s="15"/>
      <c r="E9" s="13">
        <v>0</v>
      </c>
      <c r="F9" s="14">
        <f>IFERROR(E9/E327, "NA")</f>
      </c>
      <c r="G9" s="15"/>
      <c r="H9" s="13">
        <v>0</v>
      </c>
      <c r="I9" s="14">
        <f>IFERROR(H9/H327, "NA")</f>
      </c>
      <c r="J9" s="15"/>
      <c r="K9" s="13">
        <v>0</v>
      </c>
      <c r="L9" s="14">
        <f>IFERROR(K9/K327, "NA")</f>
      </c>
      <c r="M9" s="15"/>
      <c r="N9" s="13">
        <v>0</v>
      </c>
      <c r="O9" s="14">
        <f>IFERROR(N9/N327, "NA")</f>
      </c>
    </row>
    <row r="10" ht="16.5" customHeight="1">
      <c t="s" r="A10" s="16">
        <v>13</v>
      </c>
      <c r="B10" s="17">
        <f>IFERROR(B8+B9, "NA")</f>
      </c>
      <c r="C10" s="18">
        <f>IFERROR(B10/B327, "NA")</f>
      </c>
      <c r="D10" s="8"/>
      <c r="E10" s="17">
        <f>IFERROR(E8+E9, "NA")</f>
      </c>
      <c r="F10" s="18">
        <f>IFERROR(E10/E327, "NA")</f>
      </c>
      <c r="G10" s="8"/>
      <c r="H10" s="17">
        <f>IFERROR(H8+H9, "NA")</f>
      </c>
      <c r="I10" s="18">
        <f>IFERROR(H10/H327, "NA")</f>
      </c>
      <c r="J10" s="8"/>
      <c r="K10" s="17">
        <f>IFERROR(K8+K9, "NA")</f>
      </c>
      <c r="L10" s="18">
        <f>IFERROR(K10/K327, "NA")</f>
      </c>
      <c r="M10" s="8"/>
      <c r="N10" s="17">
        <f>IFERROR(N8+N9, "NA")</f>
      </c>
      <c r="O10" s="18">
        <f>IFERROR(N10/N327, "NA")</f>
      </c>
    </row>
    <row r="11" ht="16.5" customHeight="1">
      <c t="s" r="A11" s="19">
        <v>14</v>
      </c>
      <c r="B11" s="13">
        <v>3354</v>
      </c>
      <c r="C11" s="14">
        <f>IFERROR(B11/B327, "NA")</f>
      </c>
      <c r="D11" s="15"/>
      <c r="E11" s="13">
        <v>8382</v>
      </c>
      <c r="F11" s="14">
        <f>IFERROR(E11/E327, "NA")</f>
      </c>
      <c r="G11" s="15"/>
      <c r="H11" s="13">
        <v>7770</v>
      </c>
      <c r="I11" s="14">
        <f>IFERROR(H11/H327, "NA")</f>
      </c>
      <c r="J11" s="15"/>
      <c r="K11" s="13">
        <v>8952</v>
      </c>
      <c r="L11" s="14">
        <f>IFERROR(K11/K327, "NA")</f>
      </c>
      <c r="M11" s="15"/>
      <c r="N11" s="13">
        <v>7888</v>
      </c>
      <c r="O11" s="14">
        <f>IFERROR(N11/N327, "NA")</f>
      </c>
    </row>
    <row r="12" ht="16.5" customHeight="1">
      <c t="s" r="A12" s="11">
        <v>15</v>
      </c>
      <c r="B12" s="8"/>
      <c r="C12" s="9"/>
      <c r="D12" s="10"/>
      <c r="E12" s="8"/>
      <c r="F12" s="9"/>
      <c r="G12" s="10"/>
      <c r="H12" s="8"/>
      <c r="I12" s="9"/>
      <c r="J12" s="10"/>
      <c r="K12" s="8"/>
      <c r="L12" s="9"/>
      <c r="M12" s="10"/>
      <c r="N12" s="8"/>
      <c r="O12" s="9"/>
    </row>
    <row r="13" ht="16.5" customHeight="1">
      <c t="s" r="A13" s="12">
        <v>16</v>
      </c>
      <c r="B13" s="13">
        <v>0</v>
      </c>
      <c r="C13" s="14">
        <f>IFERROR(B13/B327, "NA")</f>
      </c>
      <c r="D13" s="15"/>
      <c r="E13" s="13">
        <v>0</v>
      </c>
      <c r="F13" s="14">
        <f>IFERROR(E13/E327, "NA")</f>
      </c>
      <c r="G13" s="15"/>
      <c r="H13" s="13">
        <v>0</v>
      </c>
      <c r="I13" s="14">
        <f>IFERROR(H13/H327, "NA")</f>
      </c>
      <c r="J13" s="15"/>
      <c r="K13" s="13">
        <v>0</v>
      </c>
      <c r="L13" s="14">
        <f>IFERROR(K13/K327, "NA")</f>
      </c>
      <c r="M13" s="15"/>
      <c r="N13" s="13">
        <v>0</v>
      </c>
      <c r="O13" s="14">
        <f>IFERROR(N13/N327, "NA")</f>
      </c>
    </row>
    <row r="14" ht="16.5" customHeight="1">
      <c t="s" r="A14" s="12">
        <v>17</v>
      </c>
      <c r="B14" s="13">
        <v>19021.5</v>
      </c>
      <c r="C14" s="14">
        <f>IFERROR(B14/B327, "NA")</f>
      </c>
      <c r="D14" s="15"/>
      <c r="E14" s="13">
        <v>45011.5</v>
      </c>
      <c r="F14" s="14">
        <f>IFERROR(E14/E327, "NA")</f>
      </c>
      <c r="G14" s="15"/>
      <c r="H14" s="13">
        <v>49029.5</v>
      </c>
      <c r="I14" s="14">
        <f>IFERROR(H14/H327, "NA")</f>
      </c>
      <c r="J14" s="15"/>
      <c r="K14" s="13">
        <v>53551</v>
      </c>
      <c r="L14" s="14">
        <f>IFERROR(K14/K327, "NA")</f>
      </c>
      <c r="M14" s="15"/>
      <c r="N14" s="13">
        <v>51660</v>
      </c>
      <c r="O14" s="14">
        <f>IFERROR(N14/N327, "NA")</f>
      </c>
    </row>
    <row r="15" ht="16.5" customHeight="1">
      <c t="s" r="A15" s="12">
        <v>18</v>
      </c>
      <c r="B15" s="13">
        <v>768.5</v>
      </c>
      <c r="C15" s="14">
        <f>IFERROR(B15/B327, "NA")</f>
      </c>
      <c r="D15" s="15"/>
      <c r="E15" s="13">
        <v>1594</v>
      </c>
      <c r="F15" s="14">
        <f>IFERROR(E15/E327, "NA")</f>
      </c>
      <c r="G15" s="15"/>
      <c r="H15" s="13">
        <v>1719</v>
      </c>
      <c r="I15" s="14">
        <f>IFERROR(H15/H327, "NA")</f>
      </c>
      <c r="J15" s="15"/>
      <c r="K15" s="13">
        <v>2283</v>
      </c>
      <c r="L15" s="14">
        <f>IFERROR(K15/K327, "NA")</f>
      </c>
      <c r="M15" s="15"/>
      <c r="N15" s="13">
        <v>1601</v>
      </c>
      <c r="O15" s="14">
        <f>IFERROR(N15/N327, "NA")</f>
      </c>
    </row>
    <row r="16" ht="16.5" customHeight="1">
      <c t="s" r="A16" s="12">
        <v>19</v>
      </c>
      <c r="B16" s="13">
        <v>5700</v>
      </c>
      <c r="C16" s="14">
        <f>IFERROR(B16/B327, "NA")</f>
      </c>
      <c r="D16" s="15"/>
      <c r="E16" s="13">
        <v>21446</v>
      </c>
      <c r="F16" s="14">
        <f>IFERROR(E16/E327, "NA")</f>
      </c>
      <c r="G16" s="15"/>
      <c r="H16" s="13">
        <v>30161</v>
      </c>
      <c r="I16" s="14">
        <f>IFERROR(H16/H327, "NA")</f>
      </c>
      <c r="J16" s="15"/>
      <c r="K16" s="13">
        <v>29671</v>
      </c>
      <c r="L16" s="14">
        <f>IFERROR(K16/K327, "NA")</f>
      </c>
      <c r="M16" s="15"/>
      <c r="N16" s="13">
        <v>24946</v>
      </c>
      <c r="O16" s="14">
        <f>IFERROR(N16/N327, "NA")</f>
      </c>
    </row>
    <row r="17" ht="16.5" customHeight="1">
      <c t="s" r="A17" s="12">
        <v>20</v>
      </c>
      <c r="B17" s="13">
        <v>0</v>
      </c>
      <c r="C17" s="14">
        <f>IFERROR(B17/B327, "NA")</f>
      </c>
      <c r="D17" s="15"/>
      <c r="E17" s="13">
        <v>54</v>
      </c>
      <c r="F17" s="14">
        <f>IFERROR(E17/E327, "NA")</f>
      </c>
      <c r="G17" s="15"/>
      <c r="H17" s="13">
        <v>0</v>
      </c>
      <c r="I17" s="14">
        <f>IFERROR(H17/H327, "NA")</f>
      </c>
      <c r="J17" s="15"/>
      <c r="K17" s="13">
        <v>0</v>
      </c>
      <c r="L17" s="14">
        <f>IFERROR(K17/K327, "NA")</f>
      </c>
      <c r="M17" s="15"/>
      <c r="N17" s="13">
        <v>0</v>
      </c>
      <c r="O17" s="14">
        <f>IFERROR(N17/N327, "NA")</f>
      </c>
    </row>
    <row r="18" ht="16.5" customHeight="1">
      <c t="s" r="A18" s="12">
        <v>21</v>
      </c>
      <c r="B18" s="13">
        <v>0</v>
      </c>
      <c r="C18" s="14">
        <f>IFERROR(B18/B327, "NA")</f>
      </c>
      <c r="D18" s="15"/>
      <c r="E18" s="13">
        <v>0</v>
      </c>
      <c r="F18" s="14">
        <f>IFERROR(E18/E327, "NA")</f>
      </c>
      <c r="G18" s="15"/>
      <c r="H18" s="13">
        <v>0</v>
      </c>
      <c r="I18" s="14">
        <f>IFERROR(H18/H327, "NA")</f>
      </c>
      <c r="J18" s="15"/>
      <c r="K18" s="13">
        <v>0</v>
      </c>
      <c r="L18" s="14">
        <f>IFERROR(K18/K327, "NA")</f>
      </c>
      <c r="M18" s="15"/>
      <c r="N18" s="13">
        <v>0</v>
      </c>
      <c r="O18" s="14">
        <f>IFERROR(N18/N327, "NA")</f>
      </c>
    </row>
    <row r="19" ht="16.5" customHeight="1">
      <c t="s" r="A19" s="16">
        <v>22</v>
      </c>
      <c r="B19" s="17">
        <f>IFERROR(B13+B14+B15+B16+B17+B18, "NA")</f>
      </c>
      <c r="C19" s="18">
        <f>IFERROR(B19/B327, "NA")</f>
      </c>
      <c r="D19" s="8"/>
      <c r="E19" s="17">
        <f>IFERROR(E13+E14+E15+E16+E17+E18, "NA")</f>
      </c>
      <c r="F19" s="18">
        <f>IFERROR(E19/E327, "NA")</f>
      </c>
      <c r="G19" s="8"/>
      <c r="H19" s="17">
        <f>IFERROR(H13+H14+H15+H16+H17+H18, "NA")</f>
      </c>
      <c r="I19" s="18">
        <f>IFERROR(H19/H327, "NA")</f>
      </c>
      <c r="J19" s="8"/>
      <c r="K19" s="17">
        <f>IFERROR(K13+K14+K15+K16+K17+K18, "NA")</f>
      </c>
      <c r="L19" s="18">
        <f>IFERROR(K19/K327, "NA")</f>
      </c>
      <c r="M19" s="8"/>
      <c r="N19" s="17">
        <f>IFERROR(N13+N14+N15+N16+N17+N18, "NA")</f>
      </c>
      <c r="O19" s="18">
        <f>IFERROR(N19/N327, "NA")</f>
      </c>
    </row>
    <row r="20" ht="16.5" customHeight="1">
      <c t="s" r="A20" s="11">
        <v>23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</row>
    <row r="21" ht="16.5" customHeight="1">
      <c t="s" r="A21" s="12">
        <v>24</v>
      </c>
      <c r="B21" s="13">
        <v>0</v>
      </c>
      <c r="C21" s="14">
        <f>IFERROR(B21/B327, "NA")</f>
      </c>
      <c r="D21" s="15"/>
      <c r="E21" s="13">
        <v>0</v>
      </c>
      <c r="F21" s="14">
        <f>IFERROR(E21/E327, "NA")</f>
      </c>
      <c r="G21" s="15"/>
      <c r="H21" s="13">
        <v>0</v>
      </c>
      <c r="I21" s="14">
        <f>IFERROR(H21/H327, "NA")</f>
      </c>
      <c r="J21" s="15"/>
      <c r="K21" s="13">
        <v>0</v>
      </c>
      <c r="L21" s="14">
        <f>IFERROR(K21/K327, "NA")</f>
      </c>
      <c r="M21" s="15"/>
      <c r="N21" s="13">
        <v>0</v>
      </c>
      <c r="O21" s="14">
        <f>IFERROR(N21/N327, "NA")</f>
      </c>
    </row>
    <row r="22" ht="16.5" customHeight="1">
      <c t="s" r="A22" s="12">
        <v>25</v>
      </c>
      <c r="B22" s="13">
        <v>0</v>
      </c>
      <c r="C22" s="14">
        <f>IFERROR(B22/B327, "NA")</f>
      </c>
      <c r="D22" s="15"/>
      <c r="E22" s="13">
        <v>330</v>
      </c>
      <c r="F22" s="14">
        <f>IFERROR(E22/E327, "NA")</f>
      </c>
      <c r="G22" s="15"/>
      <c r="H22" s="13">
        <v>776</v>
      </c>
      <c r="I22" s="14">
        <f>IFERROR(H22/H327, "NA")</f>
      </c>
      <c r="J22" s="15"/>
      <c r="K22" s="13">
        <v>10</v>
      </c>
      <c r="L22" s="14">
        <f>IFERROR(K22/K327, "NA")</f>
      </c>
      <c r="M22" s="15"/>
      <c r="N22" s="13">
        <v>626</v>
      </c>
      <c r="O22" s="14">
        <f>IFERROR(N22/N327, "NA")</f>
      </c>
    </row>
    <row r="23" ht="16.5" customHeight="1">
      <c t="s" r="A23" s="12">
        <v>26</v>
      </c>
      <c r="B23" s="13">
        <v>0</v>
      </c>
      <c r="C23" s="14">
        <f>IFERROR(B23/B327, "NA")</f>
      </c>
      <c r="D23" s="15"/>
      <c r="E23" s="13">
        <v>432.68000000000001</v>
      </c>
      <c r="F23" s="14">
        <f>IFERROR(E23/E327, "NA")</f>
      </c>
      <c r="G23" s="15"/>
      <c r="H23" s="13">
        <v>0</v>
      </c>
      <c r="I23" s="14">
        <f>IFERROR(H23/H327, "NA")</f>
      </c>
      <c r="J23" s="15"/>
      <c r="K23" s="13">
        <v>1314.54</v>
      </c>
      <c r="L23" s="14">
        <f>IFERROR(K23/K327, "NA")</f>
      </c>
      <c r="M23" s="15"/>
      <c r="N23" s="13">
        <v>0</v>
      </c>
      <c r="O23" s="14">
        <f>IFERROR(N23/N327, "NA")</f>
      </c>
    </row>
    <row r="24" ht="16.5" customHeight="1">
      <c t="s" r="A24" s="12">
        <v>27</v>
      </c>
      <c r="B24" s="13">
        <v>0</v>
      </c>
      <c r="C24" s="14">
        <f>IFERROR(B24/B327, "NA")</f>
      </c>
      <c r="D24" s="15"/>
      <c r="E24" s="13">
        <v>0</v>
      </c>
      <c r="F24" s="14">
        <f>IFERROR(E24/E327, "NA")</f>
      </c>
      <c r="G24" s="15"/>
      <c r="H24" s="13">
        <v>0</v>
      </c>
      <c r="I24" s="14">
        <f>IFERROR(H24/H327, "NA")</f>
      </c>
      <c r="J24" s="15"/>
      <c r="K24" s="13">
        <v>0</v>
      </c>
      <c r="L24" s="14">
        <f>IFERROR(K24/K327, "NA")</f>
      </c>
      <c r="M24" s="15"/>
      <c r="N24" s="13">
        <v>0</v>
      </c>
      <c r="O24" s="14">
        <f>IFERROR(N24/N327, "NA")</f>
      </c>
    </row>
    <row r="25" ht="16.5" customHeight="1">
      <c t="s" r="A25" s="12">
        <v>28</v>
      </c>
      <c r="B25" s="13">
        <v>0</v>
      </c>
      <c r="C25" s="14">
        <f>IFERROR(B25/B327, "NA")</f>
      </c>
      <c r="D25" s="15"/>
      <c r="E25" s="13">
        <v>0</v>
      </c>
      <c r="F25" s="14">
        <f>IFERROR(E25/E327, "NA")</f>
      </c>
      <c r="G25" s="15"/>
      <c r="H25" s="13">
        <v>0</v>
      </c>
      <c r="I25" s="14">
        <f>IFERROR(H25/H327, "NA")</f>
      </c>
      <c r="J25" s="15"/>
      <c r="K25" s="13">
        <v>0</v>
      </c>
      <c r="L25" s="14">
        <f>IFERROR(K25/K327, "NA")</f>
      </c>
      <c r="M25" s="15"/>
      <c r="N25" s="13">
        <v>0</v>
      </c>
      <c r="O25" s="14">
        <f>IFERROR(N25/N327, "NA")</f>
      </c>
    </row>
    <row r="26" ht="16.5" customHeight="1">
      <c t="s" r="A26" s="12">
        <v>29</v>
      </c>
      <c r="B26" s="13">
        <v>0</v>
      </c>
      <c r="C26" s="14">
        <f>IFERROR(B26/B327, "NA")</f>
      </c>
      <c r="D26" s="15"/>
      <c r="E26" s="13">
        <v>0</v>
      </c>
      <c r="F26" s="14">
        <f>IFERROR(E26/E327, "NA")</f>
      </c>
      <c r="G26" s="15"/>
      <c r="H26" s="13">
        <v>0</v>
      </c>
      <c r="I26" s="14">
        <f>IFERROR(H26/H327, "NA")</f>
      </c>
      <c r="J26" s="15"/>
      <c r="K26" s="13">
        <v>0</v>
      </c>
      <c r="L26" s="14">
        <f>IFERROR(K26/K327, "NA")</f>
      </c>
      <c r="M26" s="15"/>
      <c r="N26" s="13">
        <v>0</v>
      </c>
      <c r="O26" s="14">
        <f>IFERROR(N26/N327, "NA")</f>
      </c>
    </row>
    <row r="27" ht="16.5" customHeight="1">
      <c t="s" r="A27" s="12">
        <v>30</v>
      </c>
      <c r="B27" s="13">
        <v>0</v>
      </c>
      <c r="C27" s="14">
        <f>IFERROR(B27/B327, "NA")</f>
      </c>
      <c r="D27" s="15"/>
      <c r="E27" s="13">
        <v>0</v>
      </c>
      <c r="F27" s="14">
        <f>IFERROR(E27/E327, "NA")</f>
      </c>
      <c r="G27" s="15"/>
      <c r="H27" s="13">
        <v>0</v>
      </c>
      <c r="I27" s="14">
        <f>IFERROR(H27/H327, "NA")</f>
      </c>
      <c r="J27" s="15"/>
      <c r="K27" s="13">
        <v>0</v>
      </c>
      <c r="L27" s="14">
        <f>IFERROR(K27/K327, "NA")</f>
      </c>
      <c r="M27" s="15"/>
      <c r="N27" s="13">
        <v>0</v>
      </c>
      <c r="O27" s="14">
        <f>IFERROR(N27/N327, "NA")</f>
      </c>
    </row>
    <row r="28" ht="16.5" customHeight="1">
      <c t="s" r="A28" s="12">
        <v>31</v>
      </c>
      <c r="B28" s="13">
        <v>0</v>
      </c>
      <c r="C28" s="14">
        <f>IFERROR(B28/B327, "NA")</f>
      </c>
      <c r="D28" s="15"/>
      <c r="E28" s="13">
        <v>0</v>
      </c>
      <c r="F28" s="14">
        <f>IFERROR(E28/E327, "NA")</f>
      </c>
      <c r="G28" s="15"/>
      <c r="H28" s="13">
        <v>0</v>
      </c>
      <c r="I28" s="14">
        <f>IFERROR(H28/H327, "NA")</f>
      </c>
      <c r="J28" s="15"/>
      <c r="K28" s="13">
        <v>0</v>
      </c>
      <c r="L28" s="14">
        <f>IFERROR(K28/K327, "NA")</f>
      </c>
      <c r="M28" s="15"/>
      <c r="N28" s="13">
        <v>0</v>
      </c>
      <c r="O28" s="14">
        <f>IFERROR(N28/N327, "NA")</f>
      </c>
    </row>
    <row r="29" ht="16.5" customHeight="1">
      <c t="s" r="A29" s="12">
        <v>32</v>
      </c>
      <c r="B29" s="13">
        <v>0</v>
      </c>
      <c r="C29" s="14">
        <f>IFERROR(B29/B327, "NA")</f>
      </c>
      <c r="D29" s="15"/>
      <c r="E29" s="13">
        <v>0</v>
      </c>
      <c r="F29" s="14">
        <f>IFERROR(E29/E327, "NA")</f>
      </c>
      <c r="G29" s="15"/>
      <c r="H29" s="13">
        <v>0</v>
      </c>
      <c r="I29" s="14">
        <f>IFERROR(H29/H327, "NA")</f>
      </c>
      <c r="J29" s="15"/>
      <c r="K29" s="13">
        <v>0</v>
      </c>
      <c r="L29" s="14">
        <f>IFERROR(K29/K327, "NA")</f>
      </c>
      <c r="M29" s="15"/>
      <c r="N29" s="13">
        <v>0</v>
      </c>
      <c r="O29" s="14">
        <f>IFERROR(N29/N327, "NA")</f>
      </c>
    </row>
    <row r="30" ht="16.5" customHeight="1">
      <c t="s" r="A30" s="16">
        <v>33</v>
      </c>
      <c r="B30" s="17">
        <f>IFERROR(B21+B22+B23+B24+B25+B26+B27+B28+B29, "NA")</f>
      </c>
      <c r="C30" s="18">
        <f>IFERROR(B30/B327, "NA")</f>
      </c>
      <c r="D30" s="8"/>
      <c r="E30" s="17">
        <f>IFERROR(E21+E22+E23+E24+E25+E26+E27+E28+E29, "NA")</f>
      </c>
      <c r="F30" s="18">
        <f>IFERROR(E30/E327, "NA")</f>
      </c>
      <c r="G30" s="8"/>
      <c r="H30" s="17">
        <f>IFERROR(H21+H22+H23+H24+H25+H26+H27+H28+H29, "NA")</f>
      </c>
      <c r="I30" s="18">
        <f>IFERROR(H30/H327, "NA")</f>
      </c>
      <c r="J30" s="8"/>
      <c r="K30" s="17">
        <f>IFERROR(K21+K22+K23+K24+K25+K26+K27+K28+K29, "NA")</f>
      </c>
      <c r="L30" s="18">
        <f>IFERROR(K30/K327, "NA")</f>
      </c>
      <c r="M30" s="8"/>
      <c r="N30" s="17">
        <f>IFERROR(N21+N22+N23+N24+N25+N26+N27+N28+N29, "NA")</f>
      </c>
      <c r="O30" s="18">
        <f>IFERROR(N30/N327, "NA")</f>
      </c>
    </row>
    <row r="31" ht="16.5" customHeight="1">
      <c t="s" r="A31" s="11">
        <v>34</v>
      </c>
      <c r="B31" s="8"/>
      <c r="C31" s="9"/>
      <c r="D31" s="10"/>
      <c r="E31" s="8"/>
      <c r="F31" s="9"/>
      <c r="G31" s="10"/>
      <c r="H31" s="8"/>
      <c r="I31" s="9"/>
      <c r="J31" s="10"/>
      <c r="K31" s="8"/>
      <c r="L31" s="9"/>
      <c r="M31" s="10"/>
      <c r="N31" s="8"/>
      <c r="O31" s="9"/>
    </row>
    <row r="32" ht="16.5" customHeight="1">
      <c t="s" r="A32" s="12">
        <v>35</v>
      </c>
      <c r="B32" s="13">
        <v>0</v>
      </c>
      <c r="C32" s="14">
        <f>IFERROR(B32/B327, "NA")</f>
      </c>
      <c r="D32" s="15"/>
      <c r="E32" s="13">
        <v>0</v>
      </c>
      <c r="F32" s="14">
        <f>IFERROR(E32/E327, "NA")</f>
      </c>
      <c r="G32" s="15"/>
      <c r="H32" s="13">
        <v>0</v>
      </c>
      <c r="I32" s="14">
        <f>IFERROR(H32/H327, "NA")</f>
      </c>
      <c r="J32" s="15"/>
      <c r="K32" s="13">
        <v>0</v>
      </c>
      <c r="L32" s="14">
        <f>IFERROR(K32/K327, "NA")</f>
      </c>
      <c r="M32" s="15"/>
      <c r="N32" s="13">
        <v>0</v>
      </c>
      <c r="O32" s="14">
        <f>IFERROR(N32/N327, "NA")</f>
      </c>
    </row>
    <row r="33" ht="16.5" customHeight="1">
      <c t="s" r="A33" s="12">
        <v>36</v>
      </c>
      <c r="B33" s="13">
        <v>0</v>
      </c>
      <c r="C33" s="14">
        <f>IFERROR(B33/B327, "NA")</f>
      </c>
      <c r="D33" s="15"/>
      <c r="E33" s="13">
        <v>0</v>
      </c>
      <c r="F33" s="14">
        <f>IFERROR(E33/E327, "NA")</f>
      </c>
      <c r="G33" s="15"/>
      <c r="H33" s="13">
        <v>0</v>
      </c>
      <c r="I33" s="14">
        <f>IFERROR(H33/H327, "NA")</f>
      </c>
      <c r="J33" s="15"/>
      <c r="K33" s="13">
        <v>0</v>
      </c>
      <c r="L33" s="14">
        <f>IFERROR(K33/K327, "NA")</f>
      </c>
      <c r="M33" s="15"/>
      <c r="N33" s="13">
        <v>0</v>
      </c>
      <c r="O33" s="14">
        <f>IFERROR(N33/N327, "NA")</f>
      </c>
    </row>
    <row r="34" ht="16.5" customHeight="1">
      <c t="s" r="A34" s="12">
        <v>37</v>
      </c>
      <c r="B34" s="13">
        <v>0</v>
      </c>
      <c r="C34" s="14">
        <f>IFERROR(B34/B327, "NA")</f>
      </c>
      <c r="D34" s="15"/>
      <c r="E34" s="13">
        <v>0</v>
      </c>
      <c r="F34" s="14">
        <f>IFERROR(E34/E327, "NA")</f>
      </c>
      <c r="G34" s="15"/>
      <c r="H34" s="13">
        <v>0</v>
      </c>
      <c r="I34" s="14">
        <f>IFERROR(H34/H327, "NA")</f>
      </c>
      <c r="J34" s="15"/>
      <c r="K34" s="13">
        <v>0</v>
      </c>
      <c r="L34" s="14">
        <f>IFERROR(K34/K327, "NA")</f>
      </c>
      <c r="M34" s="15"/>
      <c r="N34" s="13">
        <v>0</v>
      </c>
      <c r="O34" s="14">
        <f>IFERROR(N34/N327, "NA")</f>
      </c>
    </row>
    <row r="35" ht="16.5" customHeight="1">
      <c t="s" r="A35" s="12">
        <v>38</v>
      </c>
      <c r="B35" s="13">
        <v>0</v>
      </c>
      <c r="C35" s="14">
        <f>IFERROR(B35/B327, "NA")</f>
      </c>
      <c r="D35" s="15"/>
      <c r="E35" s="13">
        <v>0</v>
      </c>
      <c r="F35" s="14">
        <f>IFERROR(E35/E327, "NA")</f>
      </c>
      <c r="G35" s="15"/>
      <c r="H35" s="13">
        <v>0</v>
      </c>
      <c r="I35" s="14">
        <f>IFERROR(H35/H327, "NA")</f>
      </c>
      <c r="J35" s="15"/>
      <c r="K35" s="13">
        <v>0</v>
      </c>
      <c r="L35" s="14">
        <f>IFERROR(K35/K327, "NA")</f>
      </c>
      <c r="M35" s="15"/>
      <c r="N35" s="13">
        <v>0</v>
      </c>
      <c r="O35" s="14">
        <f>IFERROR(N35/N327, "NA")</f>
      </c>
    </row>
    <row r="36" ht="16.5" customHeight="1">
      <c t="s" r="A36" s="12">
        <v>39</v>
      </c>
      <c r="B36" s="13">
        <v>0</v>
      </c>
      <c r="C36" s="14">
        <f>IFERROR(B36/B327, "NA")</f>
      </c>
      <c r="D36" s="15"/>
      <c r="E36" s="13">
        <v>0</v>
      </c>
      <c r="F36" s="14">
        <f>IFERROR(E36/E327, "NA")</f>
      </c>
      <c r="G36" s="15"/>
      <c r="H36" s="13">
        <v>0</v>
      </c>
      <c r="I36" s="14">
        <f>IFERROR(H36/H327, "NA")</f>
      </c>
      <c r="J36" s="15"/>
      <c r="K36" s="13">
        <v>0</v>
      </c>
      <c r="L36" s="14">
        <f>IFERROR(K36/K327, "NA")</f>
      </c>
      <c r="M36" s="15"/>
      <c r="N36" s="13">
        <v>0</v>
      </c>
      <c r="O36" s="14">
        <f>IFERROR(N36/N327, "NA")</f>
      </c>
    </row>
    <row r="37" ht="16.5" customHeight="1">
      <c t="s" r="A37" s="16">
        <v>40</v>
      </c>
      <c r="B37" s="17">
        <f>IFERROR(B32+B33+B34+B35+B36, "NA")</f>
      </c>
      <c r="C37" s="18">
        <f>IFERROR(B37/B327, "NA")</f>
      </c>
      <c r="D37" s="8"/>
      <c r="E37" s="17">
        <f>IFERROR(E32+E33+E34+E35+E36, "NA")</f>
      </c>
      <c r="F37" s="18">
        <f>IFERROR(E37/E327, "NA")</f>
      </c>
      <c r="G37" s="8"/>
      <c r="H37" s="17">
        <f>IFERROR(H32+H33+H34+H35+H36, "NA")</f>
      </c>
      <c r="I37" s="18">
        <f>IFERROR(H37/H327, "NA")</f>
      </c>
      <c r="J37" s="8"/>
      <c r="K37" s="17">
        <f>IFERROR(K32+K33+K34+K35+K36, "NA")</f>
      </c>
      <c r="L37" s="18">
        <f>IFERROR(K37/K327, "NA")</f>
      </c>
      <c r="M37" s="8"/>
      <c r="N37" s="17">
        <f>IFERROR(N32+N33+N34+N35+N36, "NA")</f>
      </c>
      <c r="O37" s="18">
        <f>IFERROR(N37/N327, "NA")</f>
      </c>
    </row>
    <row r="38" ht="16.5" customHeight="1">
      <c t="s" r="A38" s="11">
        <v>41</v>
      </c>
      <c r="B38" s="8"/>
      <c r="C38" s="9"/>
      <c r="D38" s="10"/>
      <c r="E38" s="8"/>
      <c r="F38" s="9"/>
      <c r="G38" s="10"/>
      <c r="H38" s="8"/>
      <c r="I38" s="9"/>
      <c r="J38" s="10"/>
      <c r="K38" s="8"/>
      <c r="L38" s="9"/>
      <c r="M38" s="10"/>
      <c r="N38" s="8"/>
      <c r="O38" s="9"/>
    </row>
    <row r="39" ht="16.5" customHeight="1">
      <c t="s" r="A39" s="12">
        <v>42</v>
      </c>
      <c r="B39" s="13">
        <v>0</v>
      </c>
      <c r="C39" s="14">
        <f>IFERROR(B39/B327, "NA")</f>
      </c>
      <c r="D39" s="15"/>
      <c r="E39" s="13">
        <v>0</v>
      </c>
      <c r="F39" s="14">
        <f>IFERROR(E39/E327, "NA")</f>
      </c>
      <c r="G39" s="15"/>
      <c r="H39" s="13">
        <v>0</v>
      </c>
      <c r="I39" s="14">
        <f>IFERROR(H39/H327, "NA")</f>
      </c>
      <c r="J39" s="15"/>
      <c r="K39" s="13">
        <v>0</v>
      </c>
      <c r="L39" s="14">
        <f>IFERROR(K39/K327, "NA")</f>
      </c>
      <c r="M39" s="15"/>
      <c r="N39" s="13">
        <v>0</v>
      </c>
      <c r="O39" s="14">
        <f>IFERROR(N39/N327, "NA")</f>
      </c>
    </row>
    <row r="40" ht="16.5" customHeight="1">
      <c t="s" r="A40" s="12">
        <v>43</v>
      </c>
      <c r="B40" s="13">
        <v>-155.5</v>
      </c>
      <c r="C40" s="14">
        <f>IFERROR(B40/B327, "NA")</f>
      </c>
      <c r="D40" s="15"/>
      <c r="E40" s="13">
        <v>-193</v>
      </c>
      <c r="F40" s="14">
        <f>IFERROR(E40/E327, "NA")</f>
      </c>
      <c r="G40" s="15"/>
      <c r="H40" s="13">
        <v>-265</v>
      </c>
      <c r="I40" s="14">
        <f>IFERROR(H40/H327, "NA")</f>
      </c>
      <c r="J40" s="15"/>
      <c r="K40" s="13">
        <v>-15.5</v>
      </c>
      <c r="L40" s="14">
        <f>IFERROR(K40/K327, "NA")</f>
      </c>
      <c r="M40" s="15"/>
      <c r="N40" s="13">
        <v>-143.25</v>
      </c>
      <c r="O40" s="14">
        <f>IFERROR(N40/N327, "NA")</f>
      </c>
    </row>
    <row r="41" ht="16.5" customHeight="1">
      <c t="s" r="A41" s="12">
        <v>44</v>
      </c>
      <c r="B41" s="13">
        <v>-113</v>
      </c>
      <c r="C41" s="14">
        <f>IFERROR(B41/B327, "NA")</f>
      </c>
      <c r="D41" s="15"/>
      <c r="E41" s="13">
        <v>-248</v>
      </c>
      <c r="F41" s="14">
        <f>IFERROR(E41/E327, "NA")</f>
      </c>
      <c r="G41" s="15"/>
      <c r="H41" s="13">
        <v>-302</v>
      </c>
      <c r="I41" s="14">
        <f>IFERROR(H41/H327, "NA")</f>
      </c>
      <c r="J41" s="15"/>
      <c r="K41" s="13">
        <v>-547</v>
      </c>
      <c r="L41" s="14">
        <f>IFERROR(K41/K327, "NA")</f>
      </c>
      <c r="M41" s="15"/>
      <c r="N41" s="13">
        <v>-243</v>
      </c>
      <c r="O41" s="14">
        <f>IFERROR(N41/N327, "NA")</f>
      </c>
    </row>
    <row r="42" ht="16.5" customHeight="1">
      <c t="s" r="A42" s="12">
        <v>45</v>
      </c>
      <c r="B42" s="13">
        <v>-210</v>
      </c>
      <c r="C42" s="14">
        <f>IFERROR(B42/B327, "NA")</f>
      </c>
      <c r="D42" s="15"/>
      <c r="E42" s="13">
        <v>-574</v>
      </c>
      <c r="F42" s="14">
        <f>IFERROR(E42/E327, "NA")</f>
      </c>
      <c r="G42" s="15"/>
      <c r="H42" s="13">
        <v>-2542</v>
      </c>
      <c r="I42" s="14">
        <f>IFERROR(H42/H327, "NA")</f>
      </c>
      <c r="J42" s="15"/>
      <c r="K42" s="13">
        <v>-703</v>
      </c>
      <c r="L42" s="14">
        <f>IFERROR(K42/K327, "NA")</f>
      </c>
      <c r="M42" s="15"/>
      <c r="N42" s="13">
        <v>-617</v>
      </c>
      <c r="O42" s="14">
        <f>IFERROR(N42/N327, "NA")</f>
      </c>
    </row>
    <row r="43" ht="16.5" customHeight="1">
      <c t="s" r="A43" s="12">
        <v>46</v>
      </c>
      <c r="B43" s="13">
        <v>-275</v>
      </c>
      <c r="C43" s="14">
        <f>IFERROR(B43/B327, "NA")</f>
      </c>
      <c r="D43" s="15"/>
      <c r="E43" s="13">
        <v>-1174</v>
      </c>
      <c r="F43" s="14">
        <f>IFERROR(E43/E327, "NA")</f>
      </c>
      <c r="G43" s="15"/>
      <c r="H43" s="13">
        <v>-980</v>
      </c>
      <c r="I43" s="14">
        <f>IFERROR(H43/H327, "NA")</f>
      </c>
      <c r="J43" s="15"/>
      <c r="K43" s="13">
        <v>-702</v>
      </c>
      <c r="L43" s="14">
        <f>IFERROR(K43/K327, "NA")</f>
      </c>
      <c r="M43" s="15"/>
      <c r="N43" s="13">
        <v>-309</v>
      </c>
      <c r="O43" s="14">
        <f>IFERROR(N43/N327, "NA")</f>
      </c>
    </row>
    <row r="44" ht="16.5" customHeight="1">
      <c t="s" r="A44" s="12">
        <v>47</v>
      </c>
      <c r="B44" s="13">
        <v>-35.399999999999999</v>
      </c>
      <c r="C44" s="14">
        <f>IFERROR(B44/B327, "NA")</f>
      </c>
      <c r="D44" s="15"/>
      <c r="E44" s="13">
        <v>0</v>
      </c>
      <c r="F44" s="14">
        <f>IFERROR(E44/E327, "NA")</f>
      </c>
      <c r="G44" s="15"/>
      <c r="H44" s="13">
        <v>-96.400000000000006</v>
      </c>
      <c r="I44" s="14">
        <f>IFERROR(H44/H327, "NA")</f>
      </c>
      <c r="J44" s="15"/>
      <c r="K44" s="13">
        <v>-195.80000000000001</v>
      </c>
      <c r="L44" s="14">
        <f>IFERROR(K44/K327, "NA")</f>
      </c>
      <c r="M44" s="15"/>
      <c r="N44" s="13">
        <v>-96</v>
      </c>
      <c r="O44" s="14">
        <f>IFERROR(N44/N327, "NA")</f>
      </c>
    </row>
    <row r="45" ht="16.5" customHeight="1">
      <c t="s" r="A45" s="12">
        <v>48</v>
      </c>
      <c r="B45" s="13">
        <v>0</v>
      </c>
      <c r="C45" s="14">
        <f>IFERROR(B45/B327, "NA")</f>
      </c>
      <c r="D45" s="15"/>
      <c r="E45" s="13">
        <v>0</v>
      </c>
      <c r="F45" s="14">
        <f>IFERROR(E45/E327, "NA")</f>
      </c>
      <c r="G45" s="15"/>
      <c r="H45" s="13">
        <v>0</v>
      </c>
      <c r="I45" s="14">
        <f>IFERROR(H45/H327, "NA")</f>
      </c>
      <c r="J45" s="15"/>
      <c r="K45" s="13">
        <v>0</v>
      </c>
      <c r="L45" s="14">
        <f>IFERROR(K45/K327, "NA")</f>
      </c>
      <c r="M45" s="15"/>
      <c r="N45" s="13">
        <v>0</v>
      </c>
      <c r="O45" s="14">
        <f>IFERROR(N45/N327, "NA")</f>
      </c>
    </row>
    <row r="46" ht="16.5" customHeight="1">
      <c t="s" r="A46" s="12">
        <v>49</v>
      </c>
      <c r="B46" s="13">
        <v>0</v>
      </c>
      <c r="C46" s="14">
        <f>IFERROR(B46/B327, "NA")</f>
      </c>
      <c r="D46" s="15"/>
      <c r="E46" s="13">
        <v>-266</v>
      </c>
      <c r="F46" s="14">
        <f>IFERROR(E46/E327, "NA")</f>
      </c>
      <c r="G46" s="15"/>
      <c r="H46" s="13">
        <v>-296</v>
      </c>
      <c r="I46" s="14">
        <f>IFERROR(H46/H327, "NA")</f>
      </c>
      <c r="J46" s="15"/>
      <c r="K46" s="13">
        <v>-300</v>
      </c>
      <c r="L46" s="14">
        <f>IFERROR(K46/K327, "NA")</f>
      </c>
      <c r="M46" s="15"/>
      <c r="N46" s="13">
        <v>-412</v>
      </c>
      <c r="O46" s="14">
        <f>IFERROR(N46/N327, "NA")</f>
      </c>
    </row>
    <row r="47" ht="16.5" customHeight="1">
      <c t="s" r="A47" s="12">
        <v>50</v>
      </c>
      <c r="B47" s="13">
        <v>-825</v>
      </c>
      <c r="C47" s="14">
        <f>IFERROR(B47/B327, "NA")</f>
      </c>
      <c r="D47" s="15"/>
      <c r="E47" s="13">
        <v>-2947.5</v>
      </c>
      <c r="F47" s="14">
        <f>IFERROR(E47/E327, "NA")</f>
      </c>
      <c r="G47" s="15"/>
      <c r="H47" s="13">
        <v>-2338.5</v>
      </c>
      <c r="I47" s="14">
        <f>IFERROR(H47/H327, "NA")</f>
      </c>
      <c r="J47" s="15"/>
      <c r="K47" s="13">
        <v>-3886</v>
      </c>
      <c r="L47" s="14">
        <f>IFERROR(K47/K327, "NA")</f>
      </c>
      <c r="M47" s="15"/>
      <c r="N47" s="13">
        <v>-2508</v>
      </c>
      <c r="O47" s="14">
        <f>IFERROR(N47/N327, "NA")</f>
      </c>
    </row>
    <row r="48" ht="16.5" customHeight="1">
      <c t="s" r="A48" s="12">
        <v>51</v>
      </c>
      <c r="B48" s="13">
        <v>-102</v>
      </c>
      <c r="C48" s="14">
        <f>IFERROR(B48/B327, "NA")</f>
      </c>
      <c r="D48" s="15"/>
      <c r="E48" s="13">
        <v>-774</v>
      </c>
      <c r="F48" s="14">
        <f>IFERROR(E48/E327, "NA")</f>
      </c>
      <c r="G48" s="15"/>
      <c r="H48" s="13">
        <v>-278</v>
      </c>
      <c r="I48" s="14">
        <f>IFERROR(H48/H327, "NA")</f>
      </c>
      <c r="J48" s="15"/>
      <c r="K48" s="13">
        <v>-352</v>
      </c>
      <c r="L48" s="14">
        <f>IFERROR(K48/K327, "NA")</f>
      </c>
      <c r="M48" s="15"/>
      <c r="N48" s="13">
        <v>-555</v>
      </c>
      <c r="O48" s="14">
        <f>IFERROR(N48/N327, "NA")</f>
      </c>
    </row>
    <row r="49" ht="16.5" customHeight="1">
      <c t="s" r="A49" s="12">
        <v>52</v>
      </c>
      <c r="B49" s="13">
        <v>0</v>
      </c>
      <c r="C49" s="14">
        <f>IFERROR(B49/B327, "NA")</f>
      </c>
      <c r="D49" s="15"/>
      <c r="E49" s="13">
        <v>0</v>
      </c>
      <c r="F49" s="14">
        <f>IFERROR(E49/E327, "NA")</f>
      </c>
      <c r="G49" s="15"/>
      <c r="H49" s="13">
        <v>0</v>
      </c>
      <c r="I49" s="14">
        <f>IFERROR(H49/H327, "NA")</f>
      </c>
      <c r="J49" s="15"/>
      <c r="K49" s="13">
        <v>0</v>
      </c>
      <c r="L49" s="14">
        <f>IFERROR(K49/K327, "NA")</f>
      </c>
      <c r="M49" s="15"/>
      <c r="N49" s="13">
        <v>0</v>
      </c>
      <c r="O49" s="14">
        <f>IFERROR(N49/N327, "NA")</f>
      </c>
    </row>
    <row r="50" ht="16.5" customHeight="1">
      <c t="s" r="A50" s="12">
        <v>53</v>
      </c>
      <c r="B50" s="13">
        <v>0</v>
      </c>
      <c r="C50" s="14">
        <f>IFERROR(B50/B327, "NA")</f>
      </c>
      <c r="D50" s="15"/>
      <c r="E50" s="13">
        <v>0</v>
      </c>
      <c r="F50" s="14">
        <f>IFERROR(E50/E327, "NA")</f>
      </c>
      <c r="G50" s="15"/>
      <c r="H50" s="13">
        <v>0</v>
      </c>
      <c r="I50" s="14">
        <f>IFERROR(H50/H327, "NA")</f>
      </c>
      <c r="J50" s="15"/>
      <c r="K50" s="13">
        <v>-233.5</v>
      </c>
      <c r="L50" s="14">
        <f>IFERROR(K50/K327, "NA")</f>
      </c>
      <c r="M50" s="15"/>
      <c r="N50" s="13">
        <v>0</v>
      </c>
      <c r="O50" s="14">
        <f>IFERROR(N50/N327, "NA")</f>
      </c>
    </row>
    <row r="51" ht="16.5" customHeight="1">
      <c t="s" r="A51" s="16">
        <v>54</v>
      </c>
      <c r="B51" s="17">
        <f>IFERROR(B39+B40+B41+B42+B43+B44+B45+B46+B47+B48+B49+B50, "NA")</f>
      </c>
      <c r="C51" s="18">
        <f>IFERROR(B51/B327, "NA")</f>
      </c>
      <c r="D51" s="8"/>
      <c r="E51" s="17">
        <f>IFERROR(E39+E40+E41+E42+E43+E44+E45+E46+E47+E48+E49+E50, "NA")</f>
      </c>
      <c r="F51" s="18">
        <f>IFERROR(E51/E327, "NA")</f>
      </c>
      <c r="G51" s="8"/>
      <c r="H51" s="17">
        <f>IFERROR(H39+H40+H41+H42+H43+H44+H45+H46+H47+H48+H49+H50, "NA")</f>
      </c>
      <c r="I51" s="18">
        <f>IFERROR(H51/H327, "NA")</f>
      </c>
      <c r="J51" s="8"/>
      <c r="K51" s="17">
        <f>IFERROR(K39+K40+K41+K42+K43+K44+K45+K46+K47+K48+K49+K50, "NA")</f>
      </c>
      <c r="L51" s="18">
        <f>IFERROR(K51/K327, "NA")</f>
      </c>
      <c r="M51" s="8"/>
      <c r="N51" s="17">
        <f>IFERROR(N39+N40+N41+N42+N43+N44+N45+N46+N47+N48+N49+N50, "NA")</f>
      </c>
      <c r="O51" s="18">
        <f>IFERROR(N51/N327, "NA")</f>
      </c>
    </row>
    <row r="52" ht="16.5" customHeight="1">
      <c t="s" r="A52" s="20">
        <v>55</v>
      </c>
      <c r="B52" s="17">
        <f>IFERROR(B8+B9+B11+B13+B14+B15+B16+B17+B18+B21+B22+B23+B24+B25+B26+B27+B28+B29+B32+B33+B34+B35+B36+B39+B40+B41+B42+B43+B44+B45+B46+B47+B48+B49+B50, "NA")</f>
      </c>
      <c r="C52" s="18">
        <f>IFERROR(B52/B327, "NA")</f>
      </c>
      <c r="D52" s="8"/>
      <c r="E52" s="17">
        <f>IFERROR(E8+E9+E11+E13+E14+E15+E16+E17+E18+E21+E22+E23+E24+E25+E26+E27+E28+E29+E32+E33+E34+E35+E36+E39+E40+E41+E42+E43+E44+E45+E46+E47+E48+E49+E50, "NA")</f>
      </c>
      <c r="F52" s="18">
        <f>IFERROR(E52/E327, "NA")</f>
      </c>
      <c r="G52" s="8"/>
      <c r="H52" s="17">
        <f>IFERROR(H8+H9+H11+H13+H14+H15+H16+H17+H18+H21+H22+H23+H24+H25+H26+H27+H28+H29+H32+H33+H34+H35+H36+H39+H40+H41+H42+H43+H44+H45+H46+H47+H48+H49+H50, "NA")</f>
      </c>
      <c r="I52" s="18">
        <f>IFERROR(H52/H327, "NA")</f>
      </c>
      <c r="J52" s="8"/>
      <c r="K52" s="17">
        <f>IFERROR(K8+K9+K11+K13+K14+K15+K16+K17+K18+K21+K22+K23+K24+K25+K26+K27+K28+K29+K32+K33+K34+K35+K36+K39+K40+K41+K42+K43+K44+K45+K46+K47+K48+K49+K50, "NA")</f>
      </c>
      <c r="L52" s="18">
        <f>IFERROR(K52/K327, "NA")</f>
      </c>
      <c r="M52" s="8"/>
      <c r="N52" s="17">
        <f>IFERROR(N8+N9+N11+N13+N14+N15+N16+N17+N18+N21+N22+N23+N24+N25+N26+N27+N28+N29+N32+N33+N34+N35+N36+N39+N40+N41+N42+N43+N44+N45+N46+N47+N48+N49+N50, "NA")</f>
      </c>
      <c r="O52" s="18">
        <f>IFERROR(N52/N327, "NA")</f>
      </c>
    </row>
    <row r="53" ht="16.5" customHeight="1">
      <c t="s" r="A53" s="7">
        <v>56</v>
      </c>
      <c r="B53" s="8"/>
      <c r="C53" s="9"/>
      <c r="D53" s="10"/>
      <c r="E53" s="8"/>
      <c r="F53" s="9"/>
      <c r="G53" s="10"/>
      <c r="H53" s="8"/>
      <c r="I53" s="9"/>
      <c r="J53" s="10"/>
      <c r="K53" s="8"/>
      <c r="L53" s="9"/>
      <c r="M53" s="10"/>
      <c r="N53" s="8"/>
      <c r="O53" s="9"/>
    </row>
    <row r="54" ht="16.5" customHeight="1">
      <c t="s" r="A54" s="11">
        <v>57</v>
      </c>
      <c r="B54" s="8"/>
      <c r="C54" s="9"/>
      <c r="D54" s="10"/>
      <c r="E54" s="8"/>
      <c r="F54" s="9"/>
      <c r="G54" s="10"/>
      <c r="H54" s="8"/>
      <c r="I54" s="9"/>
      <c r="J54" s="10"/>
      <c r="K54" s="8"/>
      <c r="L54" s="9"/>
      <c r="M54" s="10"/>
      <c r="N54" s="8"/>
      <c r="O54" s="9"/>
    </row>
    <row r="55" ht="16.5" customHeight="1">
      <c t="s" r="A55" s="12">
        <v>58</v>
      </c>
      <c r="B55" s="13">
        <v>0</v>
      </c>
      <c r="C55" s="14">
        <f>IFERROR(B55/B327, "NA")</f>
      </c>
      <c r="D55" s="15"/>
      <c r="E55" s="13">
        <v>0</v>
      </c>
      <c r="F55" s="14">
        <f>IFERROR(E55/E327, "NA")</f>
      </c>
      <c r="G55" s="15"/>
      <c r="H55" s="13">
        <v>0</v>
      </c>
      <c r="I55" s="14">
        <f>IFERROR(H55/H327, "NA")</f>
      </c>
      <c r="J55" s="15"/>
      <c r="K55" s="13">
        <v>0</v>
      </c>
      <c r="L55" s="14">
        <f>IFERROR(K55/K327, "NA")</f>
      </c>
      <c r="M55" s="15"/>
      <c r="N55" s="13">
        <v>0</v>
      </c>
      <c r="O55" s="14">
        <f>IFERROR(N55/N327, "NA")</f>
      </c>
    </row>
    <row r="56" ht="16.5" customHeight="1">
      <c t="s" r="A56" s="12">
        <v>59</v>
      </c>
      <c r="B56" s="13">
        <v>3505.7800000000002</v>
      </c>
      <c r="C56" s="14">
        <f>IFERROR(B56/B327, "NA")</f>
      </c>
      <c r="D56" s="15"/>
      <c r="E56" s="13">
        <v>7653.2799999999997</v>
      </c>
      <c r="F56" s="14">
        <f>IFERROR(E56/E327, "NA")</f>
      </c>
      <c r="G56" s="15"/>
      <c r="H56" s="13">
        <v>5268.7399999999998</v>
      </c>
      <c r="I56" s="14">
        <f>IFERROR(H56/H327, "NA")</f>
      </c>
      <c r="J56" s="15"/>
      <c r="K56" s="13">
        <v>6080</v>
      </c>
      <c r="L56" s="14">
        <f>IFERROR(K56/K327, "NA")</f>
      </c>
      <c r="M56" s="15"/>
      <c r="N56" s="13">
        <v>9126.5499999999993</v>
      </c>
      <c r="O56" s="14">
        <f>IFERROR(N56/N327, "NA")</f>
      </c>
    </row>
    <row r="57" ht="16.5" customHeight="1">
      <c t="s" r="A57" s="12">
        <v>60</v>
      </c>
      <c r="B57" s="13">
        <v>876.88</v>
      </c>
      <c r="C57" s="14">
        <f>IFERROR(B57/B327, "NA")</f>
      </c>
      <c r="D57" s="15"/>
      <c r="E57" s="13">
        <v>3110.3400000000001</v>
      </c>
      <c r="F57" s="14">
        <f>IFERROR(E57/E327, "NA")</f>
      </c>
      <c r="G57" s="15"/>
      <c r="H57" s="13">
        <v>3634.6300000000001</v>
      </c>
      <c r="I57" s="14">
        <f>IFERROR(H57/H327, "NA")</f>
      </c>
      <c r="J57" s="15"/>
      <c r="K57" s="13">
        <v>4728.0100000000002</v>
      </c>
      <c r="L57" s="14">
        <f>IFERROR(K57/K327, "NA")</f>
      </c>
      <c r="M57" s="15"/>
      <c r="N57" s="13">
        <v>4140.4300000000003</v>
      </c>
      <c r="O57" s="14">
        <f>IFERROR(N57/N327, "NA")</f>
      </c>
    </row>
    <row r="58" ht="16.5" customHeight="1">
      <c t="s" r="A58" s="12">
        <v>61</v>
      </c>
      <c r="B58" s="13">
        <v>740.30999999999995</v>
      </c>
      <c r="C58" s="14">
        <f>IFERROR(B58/B327, "NA")</f>
      </c>
      <c r="D58" s="15"/>
      <c r="E58" s="13">
        <v>8954.25</v>
      </c>
      <c r="F58" s="14">
        <f>IFERROR(E58/E327, "NA")</f>
      </c>
      <c r="G58" s="15"/>
      <c r="H58" s="13">
        <v>8928.6100000000006</v>
      </c>
      <c r="I58" s="14">
        <f>IFERROR(H58/H327, "NA")</f>
      </c>
      <c r="J58" s="15"/>
      <c r="K58" s="13">
        <v>10994.77</v>
      </c>
      <c r="L58" s="14">
        <f>IFERROR(K58/K327, "NA")</f>
      </c>
      <c r="M58" s="15"/>
      <c r="N58" s="13">
        <v>8958.8500000000004</v>
      </c>
      <c r="O58" s="14">
        <f>IFERROR(N58/N327, "NA")</f>
      </c>
    </row>
    <row r="59" ht="16.5" customHeight="1">
      <c t="s" r="A59" s="12">
        <v>62</v>
      </c>
      <c r="B59" s="13">
        <v>108.23</v>
      </c>
      <c r="C59" s="14">
        <f>IFERROR(B59/B327, "NA")</f>
      </c>
      <c r="D59" s="15"/>
      <c r="E59" s="13">
        <v>287.56999999999999</v>
      </c>
      <c r="F59" s="14">
        <f>IFERROR(E59/E327, "NA")</f>
      </c>
      <c r="G59" s="15"/>
      <c r="H59" s="13">
        <v>417.44</v>
      </c>
      <c r="I59" s="14">
        <f>IFERROR(H59/H327, "NA")</f>
      </c>
      <c r="J59" s="15"/>
      <c r="K59" s="13">
        <v>702.05999999999995</v>
      </c>
      <c r="L59" s="14">
        <f>IFERROR(K59/K327, "NA")</f>
      </c>
      <c r="M59" s="15"/>
      <c r="N59" s="13">
        <v>236.03999999999999</v>
      </c>
      <c r="O59" s="14">
        <f>IFERROR(N59/N327, "NA")</f>
      </c>
    </row>
    <row r="60" ht="16.5" customHeight="1">
      <c t="s" r="A60" s="12">
        <v>63</v>
      </c>
      <c r="B60" s="13">
        <v>5535.3800000000001</v>
      </c>
      <c r="C60" s="14">
        <f>IFERROR(B60/B327, "NA")</f>
      </c>
      <c r="D60" s="15"/>
      <c r="E60" s="13">
        <v>10135.309999999999</v>
      </c>
      <c r="F60" s="14">
        <f>IFERROR(E60/E327, "NA")</f>
      </c>
      <c r="G60" s="15"/>
      <c r="H60" s="13">
        <v>10537.129999999999</v>
      </c>
      <c r="I60" s="14">
        <f>IFERROR(H60/H327, "NA")</f>
      </c>
      <c r="J60" s="15"/>
      <c r="K60" s="13">
        <v>14828.540000000001</v>
      </c>
      <c r="L60" s="14">
        <f>IFERROR(K60/K327, "NA")</f>
      </c>
      <c r="M60" s="15"/>
      <c r="N60" s="13">
        <v>9890.9300000000003</v>
      </c>
      <c r="O60" s="14">
        <f>IFERROR(N60/N327, "NA")</f>
      </c>
    </row>
    <row r="61" ht="16.5" customHeight="1">
      <c t="s" r="A61" s="12">
        <v>64</v>
      </c>
      <c r="B61" s="13">
        <v>-146.08000000000001</v>
      </c>
      <c r="C61" s="14">
        <f>IFERROR(B61/B327, "NA")</f>
      </c>
      <c r="D61" s="15"/>
      <c r="E61" s="13">
        <v>8843.4699999999993</v>
      </c>
      <c r="F61" s="14">
        <f>IFERROR(E61/E327, "NA")</f>
      </c>
      <c r="G61" s="15"/>
      <c r="H61" s="13">
        <v>6343.1499999999996</v>
      </c>
      <c r="I61" s="14">
        <f>IFERROR(H61/H327, "NA")</f>
      </c>
      <c r="J61" s="15"/>
      <c r="K61" s="13">
        <v>8482.4099999999999</v>
      </c>
      <c r="L61" s="14">
        <f>IFERROR(K61/K327, "NA")</f>
      </c>
      <c r="M61" s="15"/>
      <c r="N61" s="13">
        <v>7723.4200000000001</v>
      </c>
      <c r="O61" s="14">
        <f>IFERROR(N61/N327, "NA")</f>
      </c>
    </row>
    <row r="62" ht="16.5" customHeight="1">
      <c t="s" r="A62" s="12">
        <v>65</v>
      </c>
      <c r="B62" s="13">
        <v>71.530000000000001</v>
      </c>
      <c r="C62" s="14">
        <f>IFERROR(B62/B327, "NA")</f>
      </c>
      <c r="D62" s="15"/>
      <c r="E62" s="13">
        <v>707.63</v>
      </c>
      <c r="F62" s="14">
        <f>IFERROR(E62/E327, "NA")</f>
      </c>
      <c r="G62" s="15"/>
      <c r="H62" s="13">
        <v>1052.74</v>
      </c>
      <c r="I62" s="14">
        <f>IFERROR(H62/H327, "NA")</f>
      </c>
      <c r="J62" s="15"/>
      <c r="K62" s="13">
        <v>921.66999999999996</v>
      </c>
      <c r="L62" s="14">
        <f>IFERROR(K62/K327, "NA")</f>
      </c>
      <c r="M62" s="15"/>
      <c r="N62" s="13">
        <v>853.64999999999998</v>
      </c>
      <c r="O62" s="14">
        <f>IFERROR(N62/N327, "NA")</f>
      </c>
    </row>
    <row r="63" ht="16.5" customHeight="1">
      <c t="s" r="A63" s="12">
        <v>66</v>
      </c>
      <c r="B63" s="13">
        <v>-4.7400000000000002</v>
      </c>
      <c r="C63" s="14">
        <f>IFERROR(B63/B327, "NA")</f>
      </c>
      <c r="D63" s="15"/>
      <c r="E63" s="13">
        <v>18.59</v>
      </c>
      <c r="F63" s="14">
        <f>IFERROR(E63/E327, "NA")</f>
      </c>
      <c r="G63" s="15"/>
      <c r="H63" s="13">
        <v>34.659999999999997</v>
      </c>
      <c r="I63" s="14">
        <f>IFERROR(H63/H327, "NA")</f>
      </c>
      <c r="J63" s="15"/>
      <c r="K63" s="13">
        <v>66.430000000000007</v>
      </c>
      <c r="L63" s="14">
        <f>IFERROR(K63/K327, "NA")</f>
      </c>
      <c r="M63" s="15"/>
      <c r="N63" s="13">
        <v>10.23</v>
      </c>
      <c r="O63" s="14">
        <f>IFERROR(N63/N327, "NA")</f>
      </c>
    </row>
    <row r="64" ht="16.5" customHeight="1">
      <c t="s" r="A64" s="12">
        <v>67</v>
      </c>
      <c r="B64" s="13">
        <v>0</v>
      </c>
      <c r="C64" s="14">
        <f>IFERROR(B64/B327, "NA")</f>
      </c>
      <c r="D64" s="15"/>
      <c r="E64" s="13">
        <v>0</v>
      </c>
      <c r="F64" s="14">
        <f>IFERROR(E64/E327, "NA")</f>
      </c>
      <c r="G64" s="15"/>
      <c r="H64" s="13">
        <v>0</v>
      </c>
      <c r="I64" s="14">
        <f>IFERROR(H64/H327, "NA")</f>
      </c>
      <c r="J64" s="15"/>
      <c r="K64" s="13">
        <v>0</v>
      </c>
      <c r="L64" s="14">
        <f>IFERROR(K64/K327, "NA")</f>
      </c>
      <c r="M64" s="15"/>
      <c r="N64" s="13">
        <v>0</v>
      </c>
      <c r="O64" s="14">
        <f>IFERROR(N64/N327, "NA")</f>
      </c>
    </row>
    <row r="65" ht="16.5" customHeight="1">
      <c t="s" r="A65" s="16">
        <v>68</v>
      </c>
      <c r="B65" s="17">
        <f>IFERROR(B55+B56+B57+B58+B59+B60+B61+B62+B63+B64, "NA")</f>
      </c>
      <c r="C65" s="18">
        <f>IFERROR(B65/B327, "NA")</f>
      </c>
      <c r="D65" s="8"/>
      <c r="E65" s="17">
        <f>IFERROR(E55+E56+E57+E58+E59+E60+E61+E62+E63+E64, "NA")</f>
      </c>
      <c r="F65" s="18">
        <f>IFERROR(E65/E327, "NA")</f>
      </c>
      <c r="G65" s="8"/>
      <c r="H65" s="17">
        <f>IFERROR(H55+H56+H57+H58+H59+H60+H61+H62+H63+H64, "NA")</f>
      </c>
      <c r="I65" s="18">
        <f>IFERROR(H65/H327, "NA")</f>
      </c>
      <c r="J65" s="8"/>
      <c r="K65" s="17">
        <f>IFERROR(K55+K56+K57+K58+K59+K60+K61+K62+K63+K64, "NA")</f>
      </c>
      <c r="L65" s="18">
        <f>IFERROR(K65/K327, "NA")</f>
      </c>
      <c r="M65" s="8"/>
      <c r="N65" s="17">
        <f>IFERROR(N55+N56+N57+N58+N59+N60+N61+N62+N63+N64, "NA")</f>
      </c>
      <c r="O65" s="18">
        <f>IFERROR(N65/N327, "NA")</f>
      </c>
    </row>
    <row r="66" ht="16.5" customHeight="1">
      <c t="s" r="A66" s="19">
        <v>69</v>
      </c>
      <c r="B66" s="13">
        <v>-26.25</v>
      </c>
      <c r="C66" s="14">
        <f>IFERROR(B66/B327, "NA")</f>
      </c>
      <c r="D66" s="15"/>
      <c r="E66" s="13">
        <v>3877.1799999999998</v>
      </c>
      <c r="F66" s="14">
        <f>IFERROR(E66/E327, "NA")</f>
      </c>
      <c r="G66" s="15"/>
      <c r="H66" s="13">
        <v>2526.5799999999999</v>
      </c>
      <c r="I66" s="14">
        <f>IFERROR(H66/H327, "NA")</f>
      </c>
      <c r="J66" s="15"/>
      <c r="K66" s="13">
        <v>4798.0699999999997</v>
      </c>
      <c r="L66" s="14">
        <f>IFERROR(K66/K327, "NA")</f>
      </c>
      <c r="M66" s="15"/>
      <c r="N66" s="13">
        <v>3209.2800000000002</v>
      </c>
      <c r="O66" s="14">
        <f>IFERROR(N66/N327, "NA")</f>
      </c>
    </row>
    <row r="67" ht="16.5" customHeight="1">
      <c t="s" r="A67" s="11">
        <v>70</v>
      </c>
      <c r="B67" s="8"/>
      <c r="C67" s="9"/>
      <c r="D67" s="10"/>
      <c r="E67" s="8"/>
      <c r="F67" s="9"/>
      <c r="G67" s="10"/>
      <c r="H67" s="8"/>
      <c r="I67" s="9"/>
      <c r="J67" s="10"/>
      <c r="K67" s="8"/>
      <c r="L67" s="9"/>
      <c r="M67" s="10"/>
      <c r="N67" s="8"/>
      <c r="O67" s="9"/>
    </row>
    <row r="68" ht="16.5" customHeight="1">
      <c t="s" r="A68" s="12">
        <v>71</v>
      </c>
      <c r="B68" s="13">
        <v>0</v>
      </c>
      <c r="C68" s="14">
        <f>IFERROR(B68/B327, "NA")</f>
      </c>
      <c r="D68" s="15"/>
      <c r="E68" s="13">
        <v>0</v>
      </c>
      <c r="F68" s="14">
        <f>IFERROR(E68/E327, "NA")</f>
      </c>
      <c r="G68" s="15"/>
      <c r="H68" s="13">
        <v>0</v>
      </c>
      <c r="I68" s="14">
        <f>IFERROR(H68/H327, "NA")</f>
      </c>
      <c r="J68" s="15"/>
      <c r="K68" s="13">
        <v>0</v>
      </c>
      <c r="L68" s="14">
        <f>IFERROR(K68/K327, "NA")</f>
      </c>
      <c r="M68" s="15"/>
      <c r="N68" s="13">
        <v>0</v>
      </c>
      <c r="O68" s="14">
        <f>IFERROR(N68/N327, "NA")</f>
      </c>
    </row>
    <row r="69" ht="16.5" customHeight="1">
      <c t="s" r="A69" s="12">
        <v>72</v>
      </c>
      <c r="B69" s="13">
        <v>412.31</v>
      </c>
      <c r="C69" s="14">
        <f>IFERROR(B69/B327, "NA")</f>
      </c>
      <c r="D69" s="15"/>
      <c r="E69" s="13">
        <v>318.02999999999997</v>
      </c>
      <c r="F69" s="14">
        <f>IFERROR(E69/E327, "NA")</f>
      </c>
      <c r="G69" s="15"/>
      <c r="H69" s="13">
        <v>329.92000000000002</v>
      </c>
      <c r="I69" s="14">
        <f>IFERROR(H69/H327, "NA")</f>
      </c>
      <c r="J69" s="15"/>
      <c r="K69" s="13">
        <v>-983.57000000000005</v>
      </c>
      <c r="L69" s="14">
        <f>IFERROR(K69/K327, "NA")</f>
      </c>
      <c r="M69" s="15"/>
      <c r="N69" s="13">
        <v>692.48000000000002</v>
      </c>
      <c r="O69" s="14">
        <f>IFERROR(N69/N327, "NA")</f>
      </c>
    </row>
    <row r="70" ht="16.5" customHeight="1">
      <c t="s" r="A70" s="12">
        <v>73</v>
      </c>
      <c r="B70" s="13">
        <v>0</v>
      </c>
      <c r="C70" s="14">
        <f>IFERROR(B70/B327, "NA")</f>
      </c>
      <c r="D70" s="15"/>
      <c r="E70" s="13">
        <v>0</v>
      </c>
      <c r="F70" s="14">
        <f>IFERROR(E70/E327, "NA")</f>
      </c>
      <c r="G70" s="15"/>
      <c r="H70" s="13">
        <v>0</v>
      </c>
      <c r="I70" s="14">
        <f>IFERROR(H70/H327, "NA")</f>
      </c>
      <c r="J70" s="15"/>
      <c r="K70" s="13">
        <v>1761</v>
      </c>
      <c r="L70" s="14">
        <f>IFERROR(K70/K327, "NA")</f>
      </c>
      <c r="M70" s="15"/>
      <c r="N70" s="13">
        <v>0</v>
      </c>
      <c r="O70" s="14">
        <f>IFERROR(N70/N327, "NA")</f>
      </c>
    </row>
    <row r="71" ht="16.5" customHeight="1">
      <c t="s" r="A71" s="12">
        <v>74</v>
      </c>
      <c r="B71" s="13">
        <v>-777.57000000000005</v>
      </c>
      <c r="C71" s="14">
        <f>IFERROR(B71/B327, "NA")</f>
      </c>
      <c r="D71" s="15"/>
      <c r="E71" s="13">
        <v>6393.0699999999997</v>
      </c>
      <c r="F71" s="14">
        <f>IFERROR(E71/E327, "NA")</f>
      </c>
      <c r="G71" s="15"/>
      <c r="H71" s="13">
        <v>7475.6300000000001</v>
      </c>
      <c r="I71" s="14">
        <f>IFERROR(H71/H327, "NA")</f>
      </c>
      <c r="J71" s="15"/>
      <c r="K71" s="13">
        <v>5099.9099999999999</v>
      </c>
      <c r="L71" s="14">
        <f>IFERROR(K71/K327, "NA")</f>
      </c>
      <c r="M71" s="15"/>
      <c r="N71" s="13">
        <v>4080.54</v>
      </c>
      <c r="O71" s="14">
        <f>IFERROR(N71/N327, "NA")</f>
      </c>
    </row>
    <row r="72" ht="16.5" customHeight="1">
      <c t="s" r="A72" s="12">
        <v>75</v>
      </c>
      <c r="B72" s="13">
        <v>0</v>
      </c>
      <c r="C72" s="14">
        <f>IFERROR(B72/B327, "NA")</f>
      </c>
      <c r="D72" s="15"/>
      <c r="E72" s="13">
        <v>0</v>
      </c>
      <c r="F72" s="14">
        <f>IFERROR(E72/E327, "NA")</f>
      </c>
      <c r="G72" s="15"/>
      <c r="H72" s="13">
        <v>0</v>
      </c>
      <c r="I72" s="14">
        <f>IFERROR(H72/H327, "NA")</f>
      </c>
      <c r="J72" s="15"/>
      <c r="K72" s="13">
        <v>0</v>
      </c>
      <c r="L72" s="14">
        <f>IFERROR(K72/K327, "NA")</f>
      </c>
      <c r="M72" s="15"/>
      <c r="N72" s="13">
        <v>0</v>
      </c>
      <c r="O72" s="14">
        <f>IFERROR(N72/N327, "NA")</f>
      </c>
    </row>
    <row r="73" ht="16.5" customHeight="1">
      <c t="s" r="A73" s="12">
        <v>76</v>
      </c>
      <c r="B73" s="13">
        <v>-4836.8900000000003</v>
      </c>
      <c r="C73" s="14">
        <f>IFERROR(B73/B327, "NA")</f>
      </c>
      <c r="D73" s="15"/>
      <c r="E73" s="13">
        <v>5378.4399999999996</v>
      </c>
      <c r="F73" s="14">
        <f>IFERROR(E73/E327, "NA")</f>
      </c>
      <c r="G73" s="15"/>
      <c r="H73" s="13">
        <v>7045.54</v>
      </c>
      <c r="I73" s="14">
        <f>IFERROR(H73/H327, "NA")</f>
      </c>
      <c r="J73" s="15"/>
      <c r="K73" s="13">
        <v>1316.95</v>
      </c>
      <c r="L73" s="14">
        <f>IFERROR(K73/K327, "NA")</f>
      </c>
      <c r="M73" s="15"/>
      <c r="N73" s="13">
        <v>5987.8199999999997</v>
      </c>
      <c r="O73" s="14">
        <f>IFERROR(N73/N327, "NA")</f>
      </c>
    </row>
    <row r="74" ht="16.5" customHeight="1">
      <c t="s" r="A74" s="12">
        <v>77</v>
      </c>
      <c r="B74" s="13">
        <v>0</v>
      </c>
      <c r="C74" s="14">
        <f>IFERROR(B74/B327, "NA")</f>
      </c>
      <c r="D74" s="15"/>
      <c r="E74" s="13">
        <v>0</v>
      </c>
      <c r="F74" s="14">
        <f>IFERROR(E74/E327, "NA")</f>
      </c>
      <c r="G74" s="15"/>
      <c r="H74" s="13">
        <v>0</v>
      </c>
      <c r="I74" s="14">
        <f>IFERROR(H74/H327, "NA")</f>
      </c>
      <c r="J74" s="15"/>
      <c r="K74" s="13">
        <v>0</v>
      </c>
      <c r="L74" s="14">
        <f>IFERROR(K74/K327, "NA")</f>
      </c>
      <c r="M74" s="15"/>
      <c r="N74" s="13">
        <v>0</v>
      </c>
      <c r="O74" s="14">
        <f>IFERROR(N74/N327, "NA")</f>
      </c>
    </row>
    <row r="75" ht="16.5" customHeight="1">
      <c t="s" r="A75" s="12">
        <v>78</v>
      </c>
      <c r="B75" s="13">
        <v>273.86000000000001</v>
      </c>
      <c r="C75" s="14">
        <f>IFERROR(B75/B327, "NA")</f>
      </c>
      <c r="D75" s="15"/>
      <c r="E75" s="13">
        <v>1507.1400000000001</v>
      </c>
      <c r="F75" s="14">
        <f>IFERROR(E75/E327, "NA")</f>
      </c>
      <c r="G75" s="15"/>
      <c r="H75" s="13">
        <v>1878.6900000000001</v>
      </c>
      <c r="I75" s="14">
        <f>IFERROR(H75/H327, "NA")</f>
      </c>
      <c r="J75" s="15"/>
      <c r="K75" s="13">
        <v>2724.8699999999999</v>
      </c>
      <c r="L75" s="14">
        <f>IFERROR(K75/K327, "NA")</f>
      </c>
      <c r="M75" s="15"/>
      <c r="N75" s="13">
        <v>2185.8299999999999</v>
      </c>
      <c r="O75" s="14">
        <f>IFERROR(N75/N327, "NA")</f>
      </c>
    </row>
    <row r="76" ht="16.5" customHeight="1">
      <c t="s" r="A76" s="16">
        <v>79</v>
      </c>
      <c r="B76" s="17">
        <f>IFERROR(B68+B69+B70+B71+B72+B73+B74+B75, "NA")</f>
      </c>
      <c r="C76" s="18">
        <f>IFERROR(B76/B327, "NA")</f>
      </c>
      <c r="D76" s="8"/>
      <c r="E76" s="17">
        <f>IFERROR(E68+E69+E70+E71+E72+E73+E74+E75, "NA")</f>
      </c>
      <c r="F76" s="18">
        <f>IFERROR(E76/E327, "NA")</f>
      </c>
      <c r="G76" s="8"/>
      <c r="H76" s="17">
        <f>IFERROR(H68+H69+H70+H71+H72+H73+H74+H75, "NA")</f>
      </c>
      <c r="I76" s="18">
        <f>IFERROR(H76/H327, "NA")</f>
      </c>
      <c r="J76" s="8"/>
      <c r="K76" s="17">
        <f>IFERROR(K68+K69+K70+K71+K72+K73+K74+K75, "NA")</f>
      </c>
      <c r="L76" s="18">
        <f>IFERROR(K76/K327, "NA")</f>
      </c>
      <c r="M76" s="8"/>
      <c r="N76" s="17">
        <f>IFERROR(N68+N69+N70+N71+N72+N73+N74+N75, "NA")</f>
      </c>
      <c r="O76" s="18">
        <f>IFERROR(N76/N327, "NA")</f>
      </c>
    </row>
    <row r="77" ht="16.5" customHeight="1">
      <c t="s" r="A77" s="11">
        <v>80</v>
      </c>
      <c r="B77" s="8"/>
      <c r="C77" s="9"/>
      <c r="D77" s="10"/>
      <c r="E77" s="8"/>
      <c r="F77" s="9"/>
      <c r="G77" s="10"/>
      <c r="H77" s="8"/>
      <c r="I77" s="9"/>
      <c r="J77" s="10"/>
      <c r="K77" s="8"/>
      <c r="L77" s="9"/>
      <c r="M77" s="10"/>
      <c r="N77" s="8"/>
      <c r="O77" s="9"/>
    </row>
    <row r="78" ht="16.5" customHeight="1">
      <c t="s" r="A78" s="12">
        <v>81</v>
      </c>
      <c r="B78" s="13">
        <v>0</v>
      </c>
      <c r="C78" s="14">
        <f>IFERROR(B78/B327, "NA")</f>
      </c>
      <c r="D78" s="15"/>
      <c r="E78" s="13">
        <v>0</v>
      </c>
      <c r="F78" s="14">
        <f>IFERROR(E78/E327, "NA")</f>
      </c>
      <c r="G78" s="15"/>
      <c r="H78" s="13">
        <v>0</v>
      </c>
      <c r="I78" s="14">
        <f>IFERROR(H78/H327, "NA")</f>
      </c>
      <c r="J78" s="15"/>
      <c r="K78" s="13">
        <v>0</v>
      </c>
      <c r="L78" s="14">
        <f>IFERROR(K78/K327, "NA")</f>
      </c>
      <c r="M78" s="15"/>
      <c r="N78" s="13">
        <v>0</v>
      </c>
      <c r="O78" s="14">
        <f>IFERROR(N78/N327, "NA")</f>
      </c>
    </row>
    <row r="79" ht="16.5" customHeight="1">
      <c t="s" r="A79" s="12">
        <v>82</v>
      </c>
      <c r="B79" s="13">
        <v>0</v>
      </c>
      <c r="C79" s="14">
        <f>IFERROR(B79/B327, "NA")</f>
      </c>
      <c r="D79" s="15"/>
      <c r="E79" s="13">
        <v>0</v>
      </c>
      <c r="F79" s="14">
        <f>IFERROR(E79/E327, "NA")</f>
      </c>
      <c r="G79" s="15"/>
      <c r="H79" s="13">
        <v>0</v>
      </c>
      <c r="I79" s="14">
        <f>IFERROR(H79/H327, "NA")</f>
      </c>
      <c r="J79" s="15"/>
      <c r="K79" s="13">
        <v>0</v>
      </c>
      <c r="L79" s="14">
        <f>IFERROR(K79/K327, "NA")</f>
      </c>
      <c r="M79" s="15"/>
      <c r="N79" s="13">
        <v>0</v>
      </c>
      <c r="O79" s="14">
        <f>IFERROR(N79/N327, "NA")</f>
      </c>
    </row>
    <row r="80" ht="16.5" customHeight="1">
      <c t="s" r="A80" s="16">
        <v>83</v>
      </c>
      <c r="B80" s="17">
        <f>IFERROR(B78+B79, "NA")</f>
      </c>
      <c r="C80" s="18">
        <f>IFERROR(B80/B327, "NA")</f>
      </c>
      <c r="D80" s="8"/>
      <c r="E80" s="17">
        <f>IFERROR(E78+E79, "NA")</f>
      </c>
      <c r="F80" s="18">
        <f>IFERROR(E80/E327, "NA")</f>
      </c>
      <c r="G80" s="8"/>
      <c r="H80" s="17">
        <f>IFERROR(H78+H79, "NA")</f>
      </c>
      <c r="I80" s="18">
        <f>IFERROR(H80/H327, "NA")</f>
      </c>
      <c r="J80" s="8"/>
      <c r="K80" s="17">
        <f>IFERROR(K78+K79, "NA")</f>
      </c>
      <c r="L80" s="18">
        <f>IFERROR(K80/K327, "NA")</f>
      </c>
      <c r="M80" s="8"/>
      <c r="N80" s="17">
        <f>IFERROR(N78+N79, "NA")</f>
      </c>
      <c r="O80" s="18">
        <f>IFERROR(N80/N327, "NA")</f>
      </c>
    </row>
    <row r="81" ht="16.5" customHeight="1">
      <c t="s" r="A81" s="11">
        <v>84</v>
      </c>
      <c r="B81" s="8"/>
      <c r="C81" s="9"/>
      <c r="D81" s="10"/>
      <c r="E81" s="8"/>
      <c r="F81" s="9"/>
      <c r="G81" s="10"/>
      <c r="H81" s="8"/>
      <c r="I81" s="9"/>
      <c r="J81" s="10"/>
      <c r="K81" s="8"/>
      <c r="L81" s="9"/>
      <c r="M81" s="10"/>
      <c r="N81" s="8"/>
      <c r="O81" s="9"/>
    </row>
    <row r="82" ht="16.5" customHeight="1">
      <c t="s" r="A82" s="12">
        <v>85</v>
      </c>
      <c r="B82" s="13">
        <v>0</v>
      </c>
      <c r="C82" s="14">
        <f>IFERROR(B82/B327, "NA")</f>
      </c>
      <c r="D82" s="15"/>
      <c r="E82" s="13">
        <v>0</v>
      </c>
      <c r="F82" s="14">
        <f>IFERROR(E82/E327, "NA")</f>
      </c>
      <c r="G82" s="15"/>
      <c r="H82" s="13">
        <v>0</v>
      </c>
      <c r="I82" s="14">
        <f>IFERROR(H82/H327, "NA")</f>
      </c>
      <c r="J82" s="15"/>
      <c r="K82" s="13">
        <v>0</v>
      </c>
      <c r="L82" s="14">
        <f>IFERROR(K82/K327, "NA")</f>
      </c>
      <c r="M82" s="15"/>
      <c r="N82" s="13">
        <v>0</v>
      </c>
      <c r="O82" s="14">
        <f>IFERROR(N82/N327, "NA")</f>
      </c>
    </row>
    <row r="83" ht="16.5" customHeight="1">
      <c t="s" r="A83" s="21">
        <v>86</v>
      </c>
      <c r="B83" s="8"/>
      <c r="C83" s="9"/>
      <c r="D83" s="10"/>
      <c r="E83" s="8"/>
      <c r="F83" s="9"/>
      <c r="G83" s="10"/>
      <c r="H83" s="8"/>
      <c r="I83" s="9"/>
      <c r="J83" s="10"/>
      <c r="K83" s="8"/>
      <c r="L83" s="9"/>
      <c r="M83" s="10"/>
      <c r="N83" s="8"/>
      <c r="O83" s="9"/>
    </row>
    <row r="84" ht="16.5" customHeight="1">
      <c t="s" r="A84" s="22">
        <v>87</v>
      </c>
      <c r="B84" s="13">
        <v>0</v>
      </c>
      <c r="C84" s="14">
        <f>IFERROR(B84/B327, "NA")</f>
      </c>
      <c r="D84" s="15"/>
      <c r="E84" s="13">
        <v>0</v>
      </c>
      <c r="F84" s="14">
        <f>IFERROR(E84/E327, "NA")</f>
      </c>
      <c r="G84" s="15"/>
      <c r="H84" s="13">
        <v>0</v>
      </c>
      <c r="I84" s="14">
        <f>IFERROR(H84/H327, "NA")</f>
      </c>
      <c r="J84" s="15"/>
      <c r="K84" s="13">
        <v>0</v>
      </c>
      <c r="L84" s="14">
        <f>IFERROR(K84/K327, "NA")</f>
      </c>
      <c r="M84" s="15"/>
      <c r="N84" s="13">
        <v>0</v>
      </c>
      <c r="O84" s="14">
        <f>IFERROR(N84/N327, "NA")</f>
      </c>
    </row>
    <row r="85" ht="16.5" customHeight="1">
      <c t="s" r="A85" s="22">
        <v>88</v>
      </c>
      <c r="B85" s="13">
        <v>6067.54</v>
      </c>
      <c r="C85" s="14">
        <f>IFERROR(B85/B327, "NA")</f>
      </c>
      <c r="D85" s="15"/>
      <c r="E85" s="13">
        <v>10318.879999999999</v>
      </c>
      <c r="F85" s="14">
        <f>IFERROR(E85/E327, "NA")</f>
      </c>
      <c r="G85" s="15"/>
      <c r="H85" s="13">
        <v>15056.809999999999</v>
      </c>
      <c r="I85" s="14">
        <f>IFERROR(H85/H327, "NA")</f>
      </c>
      <c r="J85" s="15"/>
      <c r="K85" s="13">
        <v>11112.949999999999</v>
      </c>
      <c r="L85" s="14">
        <f>IFERROR(K85/K327, "NA")</f>
      </c>
      <c r="M85" s="15"/>
      <c r="N85" s="13">
        <v>13918.629999999999</v>
      </c>
      <c r="O85" s="14">
        <f>IFERROR(N85/N327, "NA")</f>
      </c>
    </row>
    <row r="86" ht="16.5" customHeight="1">
      <c t="s" r="A86" s="22">
        <v>89</v>
      </c>
      <c r="B86" s="13">
        <v>1026.6600000000001</v>
      </c>
      <c r="C86" s="14">
        <f>IFERROR(B86/B327, "NA")</f>
      </c>
      <c r="D86" s="15"/>
      <c r="E86" s="13">
        <v>3697.4899999999998</v>
      </c>
      <c r="F86" s="14">
        <f>IFERROR(E86/E327, "NA")</f>
      </c>
      <c r="G86" s="15"/>
      <c r="H86" s="13">
        <v>4335.4099999999999</v>
      </c>
      <c r="I86" s="14">
        <f>IFERROR(H86/H327, "NA")</f>
      </c>
      <c r="J86" s="15"/>
      <c r="K86" s="13">
        <v>4410.4399999999996</v>
      </c>
      <c r="L86" s="14">
        <f>IFERROR(K86/K327, "NA")</f>
      </c>
      <c r="M86" s="15"/>
      <c r="N86" s="13">
        <v>4161.04</v>
      </c>
      <c r="O86" s="14">
        <f>IFERROR(N86/N327, "NA")</f>
      </c>
    </row>
    <row r="87" ht="16.5" customHeight="1">
      <c t="s" r="A87" s="22">
        <v>90</v>
      </c>
      <c r="B87" s="13">
        <v>382.18000000000001</v>
      </c>
      <c r="C87" s="14">
        <f>IFERROR(B87/B327, "NA")</f>
      </c>
      <c r="D87" s="15"/>
      <c r="E87" s="13">
        <v>7128.8199999999997</v>
      </c>
      <c r="F87" s="14">
        <f>IFERROR(E87/E327, "NA")</f>
      </c>
      <c r="G87" s="15"/>
      <c r="H87" s="13">
        <v>2004.96</v>
      </c>
      <c r="I87" s="14">
        <f>IFERROR(H87/H327, "NA")</f>
      </c>
      <c r="J87" s="15"/>
      <c r="K87" s="13">
        <v>5532.1000000000004</v>
      </c>
      <c r="L87" s="14">
        <f>IFERROR(K87/K327, "NA")</f>
      </c>
      <c r="M87" s="15"/>
      <c r="N87" s="13">
        <v>839.14999999999998</v>
      </c>
      <c r="O87" s="14">
        <f>IFERROR(N87/N327, "NA")</f>
      </c>
    </row>
    <row r="88" ht="16.5" customHeight="1">
      <c t="s" r="A88" s="22">
        <v>91</v>
      </c>
      <c r="B88" s="13">
        <v>753.04999999999995</v>
      </c>
      <c r="C88" s="14">
        <f>IFERROR(B88/B327, "NA")</f>
      </c>
      <c r="D88" s="15"/>
      <c r="E88" s="13">
        <v>2333.8800000000001</v>
      </c>
      <c r="F88" s="14">
        <f>IFERROR(E88/E327, "NA")</f>
      </c>
      <c r="G88" s="15"/>
      <c r="H88" s="13">
        <v>2068.8099999999999</v>
      </c>
      <c r="I88" s="14">
        <f>IFERROR(H88/H327, "NA")</f>
      </c>
      <c r="J88" s="15"/>
      <c r="K88" s="13">
        <v>1241.0599999999999</v>
      </c>
      <c r="L88" s="14">
        <f>IFERROR(K88/K327, "NA")</f>
      </c>
      <c r="M88" s="15"/>
      <c r="N88" s="13">
        <v>894.14999999999998</v>
      </c>
      <c r="O88" s="14">
        <f>IFERROR(N88/N327, "NA")</f>
      </c>
    </row>
    <row r="89" ht="16.5" customHeight="1">
      <c t="s" r="A89" s="22">
        <v>92</v>
      </c>
      <c r="B89" s="13">
        <v>819.47000000000003</v>
      </c>
      <c r="C89" s="14">
        <f>IFERROR(B89/B327, "NA")</f>
      </c>
      <c r="D89" s="15"/>
      <c r="E89" s="13">
        <v>1363.5999999999999</v>
      </c>
      <c r="F89" s="14">
        <f>IFERROR(E89/E327, "NA")</f>
      </c>
      <c r="G89" s="15"/>
      <c r="H89" s="13">
        <v>2705.3699999999999</v>
      </c>
      <c r="I89" s="14">
        <f>IFERROR(H89/H327, "NA")</f>
      </c>
      <c r="J89" s="15"/>
      <c r="K89" s="13">
        <v>2672.73</v>
      </c>
      <c r="L89" s="14">
        <f>IFERROR(K89/K327, "NA")</f>
      </c>
      <c r="M89" s="15"/>
      <c r="N89" s="13">
        <v>2791.6700000000001</v>
      </c>
      <c r="O89" s="14">
        <f>IFERROR(N89/N327, "NA")</f>
      </c>
    </row>
    <row r="90" ht="16.5" customHeight="1">
      <c t="s" r="A90" s="22">
        <v>93</v>
      </c>
      <c r="B90" s="13">
        <v>0</v>
      </c>
      <c r="C90" s="14">
        <f>IFERROR(B90/B327, "NA")</f>
      </c>
      <c r="D90" s="15"/>
      <c r="E90" s="13">
        <v>0</v>
      </c>
      <c r="F90" s="14">
        <f>IFERROR(E90/E327, "NA")</f>
      </c>
      <c r="G90" s="15"/>
      <c r="H90" s="13">
        <v>0</v>
      </c>
      <c r="I90" s="14">
        <f>IFERROR(H90/H327, "NA")</f>
      </c>
      <c r="J90" s="15"/>
      <c r="K90" s="13">
        <v>0</v>
      </c>
      <c r="L90" s="14">
        <f>IFERROR(K90/K327, "NA")</f>
      </c>
      <c r="M90" s="15"/>
      <c r="N90" s="13">
        <v>0</v>
      </c>
      <c r="O90" s="14">
        <f>IFERROR(N90/N327, "NA")</f>
      </c>
    </row>
    <row r="91" ht="16.5" customHeight="1">
      <c t="s" r="A91" s="22">
        <v>94</v>
      </c>
      <c r="B91" s="13">
        <v>0</v>
      </c>
      <c r="C91" s="14">
        <f>IFERROR(B91/B327, "NA")</f>
      </c>
      <c r="D91" s="15"/>
      <c r="E91" s="13">
        <v>0</v>
      </c>
      <c r="F91" s="14">
        <f>IFERROR(E91/E327, "NA")</f>
      </c>
      <c r="G91" s="15"/>
      <c r="H91" s="13">
        <v>0</v>
      </c>
      <c r="I91" s="14">
        <f>IFERROR(H91/H327, "NA")</f>
      </c>
      <c r="J91" s="15"/>
      <c r="K91" s="13">
        <v>0</v>
      </c>
      <c r="L91" s="14">
        <f>IFERROR(K91/K327, "NA")</f>
      </c>
      <c r="M91" s="15"/>
      <c r="N91" s="13">
        <v>0</v>
      </c>
      <c r="O91" s="14">
        <f>IFERROR(N91/N327, "NA")</f>
      </c>
    </row>
    <row r="92" ht="16.5" customHeight="1">
      <c t="s" r="A92" s="22">
        <v>95</v>
      </c>
      <c r="B92" s="13">
        <v>1681.2</v>
      </c>
      <c r="C92" s="14">
        <f>IFERROR(B92/B327, "NA")</f>
      </c>
      <c r="D92" s="15"/>
      <c r="E92" s="13">
        <v>5393.7700000000004</v>
      </c>
      <c r="F92" s="14">
        <f>IFERROR(E92/E327, "NA")</f>
      </c>
      <c r="G92" s="15"/>
      <c r="H92" s="13">
        <v>4037.1900000000001</v>
      </c>
      <c r="I92" s="14">
        <f>IFERROR(H92/H327, "NA")</f>
      </c>
      <c r="J92" s="15"/>
      <c r="K92" s="13">
        <v>4407.1199999999999</v>
      </c>
      <c r="L92" s="14">
        <f>IFERROR(K92/K327, "NA")</f>
      </c>
      <c r="M92" s="15"/>
      <c r="N92" s="13">
        <v>4594.1899999999996</v>
      </c>
      <c r="O92" s="14">
        <f>IFERROR(N92/N327, "NA")</f>
      </c>
    </row>
    <row r="93" ht="16.5" customHeight="1">
      <c t="s" r="A93" s="22">
        <v>96</v>
      </c>
      <c r="B93" s="13">
        <v>170.02000000000001</v>
      </c>
      <c r="C93" s="14">
        <f>IFERROR(B93/B327, "NA")</f>
      </c>
      <c r="D93" s="15"/>
      <c r="E93" s="13">
        <v>868.74000000000001</v>
      </c>
      <c r="F93" s="14">
        <f>IFERROR(E93/E327, "NA")</f>
      </c>
      <c r="G93" s="15"/>
      <c r="H93" s="13">
        <v>919.24000000000001</v>
      </c>
      <c r="I93" s="14">
        <f>IFERROR(H93/H327, "NA")</f>
      </c>
      <c r="J93" s="15"/>
      <c r="K93" s="13">
        <v>824.08000000000004</v>
      </c>
      <c r="L93" s="14">
        <f>IFERROR(K93/K327, "NA")</f>
      </c>
      <c r="M93" s="15"/>
      <c r="N93" s="13">
        <v>833.00999999999999</v>
      </c>
      <c r="O93" s="14">
        <f>IFERROR(N93/N327, "NA")</f>
      </c>
    </row>
    <row r="94" ht="16.5" customHeight="1">
      <c t="s" r="A94" s="22">
        <v>97</v>
      </c>
      <c r="B94" s="13">
        <v>0</v>
      </c>
      <c r="C94" s="14">
        <f>IFERROR(B94/B327, "NA")</f>
      </c>
      <c r="D94" s="15"/>
      <c r="E94" s="13">
        <v>0</v>
      </c>
      <c r="F94" s="14">
        <f>IFERROR(E94/E327, "NA")</f>
      </c>
      <c r="G94" s="15"/>
      <c r="H94" s="13">
        <v>0</v>
      </c>
      <c r="I94" s="14">
        <f>IFERROR(H94/H327, "NA")</f>
      </c>
      <c r="J94" s="15"/>
      <c r="K94" s="13">
        <v>0</v>
      </c>
      <c r="L94" s="14">
        <f>IFERROR(K94/K327, "NA")</f>
      </c>
      <c r="M94" s="15"/>
      <c r="N94" s="13">
        <v>0</v>
      </c>
      <c r="O94" s="14">
        <f>IFERROR(N94/N327, "NA")</f>
      </c>
    </row>
    <row r="95" ht="16.5" customHeight="1">
      <c t="s" r="A95" s="22">
        <v>98</v>
      </c>
      <c r="B95" s="13">
        <v>0</v>
      </c>
      <c r="C95" s="14">
        <f>IFERROR(B95/B327, "NA")</f>
      </c>
      <c r="D95" s="15"/>
      <c r="E95" s="13">
        <v>0</v>
      </c>
      <c r="F95" s="14">
        <f>IFERROR(E95/E327, "NA")</f>
      </c>
      <c r="G95" s="15"/>
      <c r="H95" s="13">
        <v>0</v>
      </c>
      <c r="I95" s="14">
        <f>IFERROR(H95/H327, "NA")</f>
      </c>
      <c r="J95" s="15"/>
      <c r="K95" s="13">
        <v>0</v>
      </c>
      <c r="L95" s="14">
        <f>IFERROR(K95/K327, "NA")</f>
      </c>
      <c r="M95" s="15"/>
      <c r="N95" s="13">
        <v>0</v>
      </c>
      <c r="O95" s="14">
        <f>IFERROR(N95/N327, "NA")</f>
      </c>
    </row>
    <row r="96" ht="16.5" customHeight="1">
      <c t="s" r="A96" s="22">
        <v>99</v>
      </c>
      <c r="B96" s="13">
        <v>0</v>
      </c>
      <c r="C96" s="14">
        <f>IFERROR(B96/B327, "NA")</f>
      </c>
      <c r="D96" s="15"/>
      <c r="E96" s="13">
        <v>0</v>
      </c>
      <c r="F96" s="14">
        <f>IFERROR(E96/E327, "NA")</f>
      </c>
      <c r="G96" s="15"/>
      <c r="H96" s="13">
        <v>0</v>
      </c>
      <c r="I96" s="14">
        <f>IFERROR(H96/H327, "NA")</f>
      </c>
      <c r="J96" s="15"/>
      <c r="K96" s="13">
        <v>0</v>
      </c>
      <c r="L96" s="14">
        <f>IFERROR(K96/K327, "NA")</f>
      </c>
      <c r="M96" s="15"/>
      <c r="N96" s="13">
        <v>0</v>
      </c>
      <c r="O96" s="14">
        <f>IFERROR(N96/N327, "NA")</f>
      </c>
    </row>
    <row r="97" ht="16.5" customHeight="1">
      <c t="s" r="A97" s="22">
        <v>100</v>
      </c>
      <c r="B97" s="13">
        <v>494.41000000000003</v>
      </c>
      <c r="C97" s="14">
        <f>IFERROR(B97/B327, "NA")</f>
      </c>
      <c r="D97" s="15"/>
      <c r="E97" s="13">
        <v>1207.3900000000001</v>
      </c>
      <c r="F97" s="14">
        <f>IFERROR(E97/E327, "NA")</f>
      </c>
      <c r="G97" s="15"/>
      <c r="H97" s="13">
        <v>749.62</v>
      </c>
      <c r="I97" s="14">
        <f>IFERROR(H97/H327, "NA")</f>
      </c>
      <c r="J97" s="15"/>
      <c r="K97" s="13">
        <v>474.74000000000001</v>
      </c>
      <c r="L97" s="14">
        <f>IFERROR(K97/K327, "NA")</f>
      </c>
      <c r="M97" s="15"/>
      <c r="N97" s="13">
        <v>1106.1400000000001</v>
      </c>
      <c r="O97" s="14">
        <f>IFERROR(N97/N327, "NA")</f>
      </c>
    </row>
    <row r="98" ht="16.5" customHeight="1">
      <c t="s" r="A98" s="22">
        <v>101</v>
      </c>
      <c r="B98" s="13">
        <v>1494</v>
      </c>
      <c r="C98" s="14">
        <f>IFERROR(B98/B327, "NA")</f>
      </c>
      <c r="D98" s="15"/>
      <c r="E98" s="13">
        <v>1395</v>
      </c>
      <c r="F98" s="14">
        <f>IFERROR(E98/E327, "NA")</f>
      </c>
      <c r="G98" s="15"/>
      <c r="H98" s="13">
        <v>1457</v>
      </c>
      <c r="I98" s="14">
        <f>IFERROR(H98/H327, "NA")</f>
      </c>
      <c r="J98" s="15"/>
      <c r="K98" s="13">
        <v>2230</v>
      </c>
      <c r="L98" s="14">
        <f>IFERROR(K98/K327, "NA")</f>
      </c>
      <c r="M98" s="15"/>
      <c r="N98" s="13">
        <v>1731</v>
      </c>
      <c r="O98" s="14">
        <f>IFERROR(N98/N327, "NA")</f>
      </c>
    </row>
    <row r="99" ht="16.5" customHeight="1">
      <c t="s" r="A99" s="22">
        <v>102</v>
      </c>
      <c r="B99" s="13">
        <v>0</v>
      </c>
      <c r="C99" s="14">
        <f>IFERROR(B99/B327, "NA")</f>
      </c>
      <c r="D99" s="15"/>
      <c r="E99" s="13">
        <v>0</v>
      </c>
      <c r="F99" s="14">
        <f>IFERROR(E99/E327, "NA")</f>
      </c>
      <c r="G99" s="15"/>
      <c r="H99" s="13">
        <v>0</v>
      </c>
      <c r="I99" s="14">
        <f>IFERROR(H99/H327, "NA")</f>
      </c>
      <c r="J99" s="15"/>
      <c r="K99" s="13">
        <v>0</v>
      </c>
      <c r="L99" s="14">
        <f>IFERROR(K99/K327, "NA")</f>
      </c>
      <c r="M99" s="15"/>
      <c r="N99" s="13">
        <v>0</v>
      </c>
      <c r="O99" s="14">
        <f>IFERROR(N99/N327, "NA")</f>
      </c>
    </row>
    <row r="100" ht="16.5" customHeight="1">
      <c t="s" r="A100" s="22">
        <v>103</v>
      </c>
      <c r="B100" s="13">
        <v>0</v>
      </c>
      <c r="C100" s="14">
        <f>IFERROR(B100/B327, "NA")</f>
      </c>
      <c r="D100" s="15"/>
      <c r="E100" s="13">
        <v>0</v>
      </c>
      <c r="F100" s="14">
        <f>IFERROR(E100/E327, "NA")</f>
      </c>
      <c r="G100" s="15"/>
      <c r="H100" s="13">
        <v>0</v>
      </c>
      <c r="I100" s="14">
        <f>IFERROR(H100/H327, "NA")</f>
      </c>
      <c r="J100" s="15"/>
      <c r="K100" s="13">
        <v>0</v>
      </c>
      <c r="L100" s="14">
        <f>IFERROR(K100/K327, "NA")</f>
      </c>
      <c r="M100" s="15"/>
      <c r="N100" s="13">
        <v>0</v>
      </c>
      <c r="O100" s="14">
        <f>IFERROR(N100/N327, "NA")</f>
      </c>
    </row>
    <row r="101" ht="16.5" customHeight="1">
      <c t="s" r="A101" s="22">
        <v>104</v>
      </c>
      <c r="B101" s="13">
        <v>0</v>
      </c>
      <c r="C101" s="14">
        <f>IFERROR(B101/B327, "NA")</f>
      </c>
      <c r="D101" s="15"/>
      <c r="E101" s="13">
        <v>0</v>
      </c>
      <c r="F101" s="14">
        <f>IFERROR(E101/E327, "NA")</f>
      </c>
      <c r="G101" s="15"/>
      <c r="H101" s="13">
        <v>0</v>
      </c>
      <c r="I101" s="14">
        <f>IFERROR(H101/H327, "NA")</f>
      </c>
      <c r="J101" s="15"/>
      <c r="K101" s="13">
        <v>0</v>
      </c>
      <c r="L101" s="14">
        <f>IFERROR(K101/K327, "NA")</f>
      </c>
      <c r="M101" s="15"/>
      <c r="N101" s="13">
        <v>0</v>
      </c>
      <c r="O101" s="14">
        <f>IFERROR(N101/N327, "NA")</f>
      </c>
    </row>
    <row r="102" ht="16.5" customHeight="1">
      <c t="s" r="A102" s="22">
        <v>105</v>
      </c>
      <c r="B102" s="13">
        <v>0</v>
      </c>
      <c r="C102" s="14">
        <f>IFERROR(B102/B327, "NA")</f>
      </c>
      <c r="D102" s="15"/>
      <c r="E102" s="13">
        <v>0</v>
      </c>
      <c r="F102" s="14">
        <f>IFERROR(E102/E327, "NA")</f>
      </c>
      <c r="G102" s="15"/>
      <c r="H102" s="13">
        <v>0</v>
      </c>
      <c r="I102" s="14">
        <f>IFERROR(H102/H327, "NA")</f>
      </c>
      <c r="J102" s="15"/>
      <c r="K102" s="13">
        <v>0</v>
      </c>
      <c r="L102" s="14">
        <f>IFERROR(K102/K327, "NA")</f>
      </c>
      <c r="M102" s="15"/>
      <c r="N102" s="13">
        <v>0</v>
      </c>
      <c r="O102" s="14">
        <f>IFERROR(N102/N327, "NA")</f>
      </c>
    </row>
    <row r="103" ht="16.5" customHeight="1">
      <c t="s" r="A103" s="22">
        <v>106</v>
      </c>
      <c r="B103" s="13">
        <v>0</v>
      </c>
      <c r="C103" s="14">
        <f>IFERROR(B103/B327, "NA")</f>
      </c>
      <c r="D103" s="15"/>
      <c r="E103" s="13">
        <v>0</v>
      </c>
      <c r="F103" s="14">
        <f>IFERROR(E103/E327, "NA")</f>
      </c>
      <c r="G103" s="15"/>
      <c r="H103" s="13">
        <v>0</v>
      </c>
      <c r="I103" s="14">
        <f>IFERROR(H103/H327, "NA")</f>
      </c>
      <c r="J103" s="15"/>
      <c r="K103" s="13">
        <v>0</v>
      </c>
      <c r="L103" s="14">
        <f>IFERROR(K103/K327, "NA")</f>
      </c>
      <c r="M103" s="15"/>
      <c r="N103" s="13">
        <v>0</v>
      </c>
      <c r="O103" s="14">
        <f>IFERROR(N103/N327, "NA")</f>
      </c>
    </row>
    <row r="104" ht="16.5" customHeight="1">
      <c t="s" r="A104" s="22">
        <v>107</v>
      </c>
      <c r="B104" s="13">
        <v>0</v>
      </c>
      <c r="C104" s="14">
        <f>IFERROR(B104/B327, "NA")</f>
      </c>
      <c r="D104" s="15"/>
      <c r="E104" s="13">
        <v>0</v>
      </c>
      <c r="F104" s="14">
        <f>IFERROR(E104/E327, "NA")</f>
      </c>
      <c r="G104" s="15"/>
      <c r="H104" s="13">
        <v>0</v>
      </c>
      <c r="I104" s="14">
        <f>IFERROR(H104/H327, "NA")</f>
      </c>
      <c r="J104" s="15"/>
      <c r="K104" s="13">
        <v>0</v>
      </c>
      <c r="L104" s="14">
        <f>IFERROR(K104/K327, "NA")</f>
      </c>
      <c r="M104" s="15"/>
      <c r="N104" s="13">
        <v>0</v>
      </c>
      <c r="O104" s="14">
        <f>IFERROR(N104/N327, "NA")</f>
      </c>
    </row>
    <row r="105" ht="16.5" customHeight="1">
      <c t="s" r="A105" s="22">
        <v>108</v>
      </c>
      <c r="B105" s="13">
        <v>0</v>
      </c>
      <c r="C105" s="14">
        <f>IFERROR(B105/B327, "NA")</f>
      </c>
      <c r="D105" s="15"/>
      <c r="E105" s="13">
        <v>0</v>
      </c>
      <c r="F105" s="14">
        <f>IFERROR(E105/E327, "NA")</f>
      </c>
      <c r="G105" s="15"/>
      <c r="H105" s="13">
        <v>0</v>
      </c>
      <c r="I105" s="14">
        <f>IFERROR(H105/H327, "NA")</f>
      </c>
      <c r="J105" s="15"/>
      <c r="K105" s="13">
        <v>0</v>
      </c>
      <c r="L105" s="14">
        <f>IFERROR(K105/K327, "NA")</f>
      </c>
      <c r="M105" s="15"/>
      <c r="N105" s="13">
        <v>0</v>
      </c>
      <c r="O105" s="14">
        <f>IFERROR(N105/N327, "NA")</f>
      </c>
    </row>
    <row r="106" ht="16.5" customHeight="1">
      <c t="s" r="A106" s="22">
        <v>109</v>
      </c>
      <c r="B106" s="13">
        <v>0</v>
      </c>
      <c r="C106" s="14">
        <f>IFERROR(B106/B327, "NA")</f>
      </c>
      <c r="D106" s="15"/>
      <c r="E106" s="13">
        <v>0</v>
      </c>
      <c r="F106" s="14">
        <f>IFERROR(E106/E327, "NA")</f>
      </c>
      <c r="G106" s="15"/>
      <c r="H106" s="13">
        <v>0</v>
      </c>
      <c r="I106" s="14">
        <f>IFERROR(H106/H327, "NA")</f>
      </c>
      <c r="J106" s="15"/>
      <c r="K106" s="13">
        <v>0</v>
      </c>
      <c r="L106" s="14">
        <f>IFERROR(K106/K327, "NA")</f>
      </c>
      <c r="M106" s="15"/>
      <c r="N106" s="13">
        <v>0</v>
      </c>
      <c r="O106" s="14">
        <f>IFERROR(N106/N327, "NA")</f>
      </c>
    </row>
    <row r="107" ht="16.5" customHeight="1">
      <c t="s" r="A107" s="22">
        <v>110</v>
      </c>
      <c r="B107" s="13">
        <v>564.74000000000001</v>
      </c>
      <c r="C107" s="14">
        <f>IFERROR(B107/B327, "NA")</f>
      </c>
      <c r="D107" s="15"/>
      <c r="E107" s="13">
        <v>1204.9400000000001</v>
      </c>
      <c r="F107" s="14">
        <f>IFERROR(E107/E327, "NA")</f>
      </c>
      <c r="G107" s="15"/>
      <c r="H107" s="13">
        <v>1230.98</v>
      </c>
      <c r="I107" s="14">
        <f>IFERROR(H107/H327, "NA")</f>
      </c>
      <c r="J107" s="15"/>
      <c r="K107" s="13">
        <v>1277.6600000000001</v>
      </c>
      <c r="L107" s="14">
        <f>IFERROR(K107/K327, "NA")</f>
      </c>
      <c r="M107" s="15"/>
      <c r="N107" s="13">
        <v>1303.8599999999999</v>
      </c>
      <c r="O107" s="14">
        <f>IFERROR(N107/N327, "NA")</f>
      </c>
    </row>
    <row r="108" ht="16.5" customHeight="1">
      <c t="s" r="A108" s="22">
        <v>111</v>
      </c>
      <c r="B108" s="13">
        <v>0</v>
      </c>
      <c r="C108" s="14">
        <f>IFERROR(B108/B327, "NA")</f>
      </c>
      <c r="D108" s="15"/>
      <c r="E108" s="13">
        <v>0</v>
      </c>
      <c r="F108" s="14">
        <f>IFERROR(E108/E327, "NA")</f>
      </c>
      <c r="G108" s="15"/>
      <c r="H108" s="13">
        <v>0</v>
      </c>
      <c r="I108" s="14">
        <f>IFERROR(H108/H327, "NA")</f>
      </c>
      <c r="J108" s="15"/>
      <c r="K108" s="13">
        <v>0</v>
      </c>
      <c r="L108" s="14">
        <f>IFERROR(K108/K327, "NA")</f>
      </c>
      <c r="M108" s="15"/>
      <c r="N108" s="13">
        <v>0</v>
      </c>
      <c r="O108" s="14">
        <f>IFERROR(N108/N327, "NA")</f>
      </c>
    </row>
    <row r="109" ht="16.5" customHeight="1">
      <c t="s" r="A109" s="22">
        <v>112</v>
      </c>
      <c r="B109" s="13">
        <v>297.13999999999999</v>
      </c>
      <c r="C109" s="14">
        <f>IFERROR(B109/B327, "NA")</f>
      </c>
      <c r="D109" s="15"/>
      <c r="E109" s="13">
        <v>733.15999999999997</v>
      </c>
      <c r="F109" s="14">
        <f>IFERROR(E109/E327, "NA")</f>
      </c>
      <c r="G109" s="15"/>
      <c r="H109" s="13">
        <v>687.95000000000005</v>
      </c>
      <c r="I109" s="14">
        <f>IFERROR(H109/H327, "NA")</f>
      </c>
      <c r="J109" s="15"/>
      <c r="K109" s="13">
        <v>765.82000000000005</v>
      </c>
      <c r="L109" s="14">
        <f>IFERROR(K109/K327, "NA")</f>
      </c>
      <c r="M109" s="15"/>
      <c r="N109" s="13">
        <v>679.80999999999995</v>
      </c>
      <c r="O109" s="14">
        <f>IFERROR(N109/N327, "NA")</f>
      </c>
    </row>
    <row r="110" ht="16.5" customHeight="1">
      <c t="s" r="A110" s="22">
        <v>113</v>
      </c>
      <c r="B110" s="13">
        <v>0</v>
      </c>
      <c r="C110" s="14">
        <f>IFERROR(B110/B327, "NA")</f>
      </c>
      <c r="D110" s="15"/>
      <c r="E110" s="13">
        <v>0</v>
      </c>
      <c r="F110" s="14">
        <f>IFERROR(E110/E327, "NA")</f>
      </c>
      <c r="G110" s="15"/>
      <c r="H110" s="13">
        <v>584.59000000000003</v>
      </c>
      <c r="I110" s="14">
        <f>IFERROR(H110/H327, "NA")</f>
      </c>
      <c r="J110" s="15"/>
      <c r="K110" s="13">
        <v>883.96000000000004</v>
      </c>
      <c r="L110" s="14">
        <f>IFERROR(K110/K327, "NA")</f>
      </c>
      <c r="M110" s="15"/>
      <c r="N110" s="13">
        <v>866.62</v>
      </c>
      <c r="O110" s="14">
        <f>IFERROR(N110/N327, "NA")</f>
      </c>
    </row>
    <row r="111" ht="16.5" customHeight="1">
      <c t="s" r="A111" s="22">
        <v>114</v>
      </c>
      <c r="B111" s="13">
        <v>0</v>
      </c>
      <c r="C111" s="14">
        <f>IFERROR(B111/B327, "NA")</f>
      </c>
      <c r="D111" s="15"/>
      <c r="E111" s="13">
        <v>0</v>
      </c>
      <c r="F111" s="14">
        <f>IFERROR(E111/E327, "NA")</f>
      </c>
      <c r="G111" s="15"/>
      <c r="H111" s="13">
        <v>0</v>
      </c>
      <c r="I111" s="14">
        <f>IFERROR(H111/H327, "NA")</f>
      </c>
      <c r="J111" s="15"/>
      <c r="K111" s="13">
        <v>0</v>
      </c>
      <c r="L111" s="14">
        <f>IFERROR(K111/K327, "NA")</f>
      </c>
      <c r="M111" s="15"/>
      <c r="N111" s="13">
        <v>0</v>
      </c>
      <c r="O111" s="14">
        <f>IFERROR(N111/N327, "NA")</f>
      </c>
    </row>
    <row r="112" ht="16.5" customHeight="1">
      <c t="s" r="A112" s="22">
        <v>115</v>
      </c>
      <c r="B112" s="13">
        <v>265.14999999999998</v>
      </c>
      <c r="C112" s="14">
        <f>IFERROR(B112/B327, "NA")</f>
      </c>
      <c r="D112" s="15"/>
      <c r="E112" s="13">
        <v>550.96000000000004</v>
      </c>
      <c r="F112" s="14">
        <f>IFERROR(E112/E327, "NA")</f>
      </c>
      <c r="G112" s="15"/>
      <c r="H112" s="13">
        <v>554.37</v>
      </c>
      <c r="I112" s="14">
        <f>IFERROR(H112/H327, "NA")</f>
      </c>
      <c r="J112" s="15"/>
      <c r="K112" s="13">
        <v>586.42999999999995</v>
      </c>
      <c r="L112" s="14">
        <f>IFERROR(K112/K327, "NA")</f>
      </c>
      <c r="M112" s="15"/>
      <c r="N112" s="13">
        <v>585.25999999999999</v>
      </c>
      <c r="O112" s="14">
        <f>IFERROR(N112/N327, "NA")</f>
      </c>
    </row>
    <row r="113" ht="16.5" customHeight="1">
      <c t="s" r="A113" s="22">
        <v>116</v>
      </c>
      <c r="B113" s="13">
        <v>268.99000000000001</v>
      </c>
      <c r="C113" s="14">
        <f>IFERROR(B113/B327, "NA")</f>
      </c>
      <c r="D113" s="15"/>
      <c r="E113" s="13">
        <v>911.19000000000005</v>
      </c>
      <c r="F113" s="14">
        <f>IFERROR(E113/E327, "NA")</f>
      </c>
      <c r="G113" s="15"/>
      <c r="H113" s="13">
        <v>954.04999999999995</v>
      </c>
      <c r="I113" s="14">
        <f>IFERROR(H113/H327, "NA")</f>
      </c>
      <c r="J113" s="15"/>
      <c r="K113" s="13">
        <v>847.20000000000005</v>
      </c>
      <c r="L113" s="14">
        <f>IFERROR(K113/K327, "NA")</f>
      </c>
      <c r="M113" s="15"/>
      <c r="N113" s="13">
        <v>922.89999999999998</v>
      </c>
      <c r="O113" s="14">
        <f>IFERROR(N113/N327, "NA")</f>
      </c>
    </row>
    <row r="114" ht="16.5" customHeight="1">
      <c t="s" r="A114" s="22">
        <v>117</v>
      </c>
      <c r="B114" s="13">
        <v>699.89999999999998</v>
      </c>
      <c r="C114" s="14">
        <f>IFERROR(B114/B327, "NA")</f>
      </c>
      <c r="D114" s="15"/>
      <c r="E114" s="13">
        <v>1406.79</v>
      </c>
      <c r="F114" s="14">
        <f>IFERROR(E114/E327, "NA")</f>
      </c>
      <c r="G114" s="15"/>
      <c r="H114" s="13">
        <v>2811.7000000000003</v>
      </c>
      <c r="I114" s="14">
        <f>IFERROR(H114/H327, "NA")</f>
      </c>
      <c r="J114" s="15"/>
      <c r="K114" s="13">
        <v>4432.0900000000001</v>
      </c>
      <c r="L114" s="14">
        <f>IFERROR(K114/K327, "NA")</f>
      </c>
      <c r="M114" s="15"/>
      <c r="N114" s="13">
        <v>4022.0300000000002</v>
      </c>
      <c r="O114" s="14">
        <f>IFERROR(N114/N327, "NA")</f>
      </c>
    </row>
    <row r="115" ht="16.5" customHeight="1">
      <c t="s" r="A115" s="22">
        <v>118</v>
      </c>
      <c r="B115" s="13">
        <v>0</v>
      </c>
      <c r="C115" s="14">
        <f>IFERROR(B115/B327, "NA")</f>
      </c>
      <c r="D115" s="15"/>
      <c r="E115" s="13">
        <v>0</v>
      </c>
      <c r="F115" s="14">
        <f>IFERROR(E115/E327, "NA")</f>
      </c>
      <c r="G115" s="15"/>
      <c r="H115" s="13">
        <v>0</v>
      </c>
      <c r="I115" s="14">
        <f>IFERROR(H115/H327, "NA")</f>
      </c>
      <c r="J115" s="15"/>
      <c r="K115" s="13">
        <v>0</v>
      </c>
      <c r="L115" s="14">
        <f>IFERROR(K115/K327, "NA")</f>
      </c>
      <c r="M115" s="15"/>
      <c r="N115" s="13">
        <v>0</v>
      </c>
      <c r="O115" s="14">
        <f>IFERROR(N115/N327, "NA")</f>
      </c>
    </row>
    <row r="116" ht="16.5" customHeight="1">
      <c t="s" r="A116" s="22">
        <v>119</v>
      </c>
      <c r="B116" s="13">
        <v>0</v>
      </c>
      <c r="C116" s="14">
        <f>IFERROR(B116/B327, "NA")</f>
      </c>
      <c r="D116" s="15"/>
      <c r="E116" s="13">
        <v>0</v>
      </c>
      <c r="F116" s="14">
        <f>IFERROR(E116/E327, "NA")</f>
      </c>
      <c r="G116" s="15"/>
      <c r="H116" s="13">
        <v>0</v>
      </c>
      <c r="I116" s="14">
        <f>IFERROR(H116/H327, "NA")</f>
      </c>
      <c r="J116" s="15"/>
      <c r="K116" s="13">
        <v>0</v>
      </c>
      <c r="L116" s="14">
        <f>IFERROR(K116/K327, "NA")</f>
      </c>
      <c r="M116" s="15"/>
      <c r="N116" s="13">
        <v>0</v>
      </c>
      <c r="O116" s="14">
        <f>IFERROR(N116/N327, "NA")</f>
      </c>
    </row>
    <row r="117" ht="16.5" customHeight="1">
      <c t="s" r="A117" s="22">
        <v>120</v>
      </c>
      <c r="B117" s="13">
        <v>0</v>
      </c>
      <c r="C117" s="14">
        <f>IFERROR(B117/B327, "NA")</f>
      </c>
      <c r="D117" s="15"/>
      <c r="E117" s="13">
        <v>0</v>
      </c>
      <c r="F117" s="14">
        <f>IFERROR(E117/E327, "NA")</f>
      </c>
      <c r="G117" s="15"/>
      <c r="H117" s="13">
        <v>0</v>
      </c>
      <c r="I117" s="14">
        <f>IFERROR(H117/H327, "NA")</f>
      </c>
      <c r="J117" s="15"/>
      <c r="K117" s="13">
        <v>0</v>
      </c>
      <c r="L117" s="14">
        <f>IFERROR(K117/K327, "NA")</f>
      </c>
      <c r="M117" s="15"/>
      <c r="N117" s="13">
        <v>0</v>
      </c>
      <c r="O117" s="14">
        <f>IFERROR(N117/N327, "NA")</f>
      </c>
    </row>
    <row r="118" ht="16.5" customHeight="1">
      <c t="s" r="A118" s="22">
        <v>121</v>
      </c>
      <c r="B118" s="13">
        <v>0</v>
      </c>
      <c r="C118" s="14">
        <f>IFERROR(B118/B327, "NA")</f>
      </c>
      <c r="D118" s="15"/>
      <c r="E118" s="13">
        <v>7061.7700000000004</v>
      </c>
      <c r="F118" s="14">
        <f>IFERROR(E118/E327, "NA")</f>
      </c>
      <c r="G118" s="15"/>
      <c r="H118" s="13">
        <v>0</v>
      </c>
      <c r="I118" s="14">
        <f>IFERROR(H118/H327, "NA")</f>
      </c>
      <c r="J118" s="15"/>
      <c r="K118" s="13">
        <v>4605.6700000000001</v>
      </c>
      <c r="L118" s="14">
        <f>IFERROR(K118/K327, "NA")</f>
      </c>
      <c r="M118" s="15"/>
      <c r="N118" s="13">
        <v>0</v>
      </c>
      <c r="O118" s="14">
        <f>IFERROR(N118/N327, "NA")</f>
      </c>
    </row>
    <row r="119" ht="16.5" customHeight="1">
      <c t="s" r="A119" s="23">
        <v>122</v>
      </c>
      <c r="B119" s="17">
        <f>IFERROR(B84+B85+B86+B87+B88+B89+B90+B91+B92+B93+B94+B95+B96+B97+B98+B99+B100+B101+B102+B103+B104+B105+B106+B107+B108+B109+B110+B111+B112+B113+B114+B115+B116+B117+B118, "NA")</f>
      </c>
      <c r="C119" s="18">
        <f>IFERROR(B119/B327, "NA")</f>
      </c>
      <c r="D119" s="8"/>
      <c r="E119" s="17">
        <f>IFERROR(E84+E85+E86+E87+E88+E89+E90+E91+E92+E93+E94+E95+E96+E97+E98+E99+E100+E101+E102+E103+E104+E105+E106+E107+E108+E109+E110+E111+E112+E113+E114+E115+E116+E117+E118, "NA")</f>
      </c>
      <c r="F119" s="18">
        <f>IFERROR(E119/E327, "NA")</f>
      </c>
      <c r="G119" s="8"/>
      <c r="H119" s="17">
        <f>IFERROR(H84+H85+H86+H87+H88+H89+H90+H91+H92+H93+H94+H95+H96+H97+H98+H99+H100+H101+H102+H103+H104+H105+H106+H107+H108+H109+H110+H111+H112+H113+H114+H115+H116+H117+H118, "NA")</f>
      </c>
      <c r="I119" s="18">
        <f>IFERROR(H119/H327, "NA")</f>
      </c>
      <c r="J119" s="8"/>
      <c r="K119" s="17">
        <f>IFERROR(K84+K85+K86+K87+K88+K89+K90+K91+K92+K93+K94+K95+K96+K97+K98+K99+K100+K101+K102+K103+K104+K105+K106+K107+K108+K109+K110+K111+K112+K113+K114+K115+K116+K117+K118, "NA")</f>
      </c>
      <c r="L119" s="18">
        <f>IFERROR(K119/K327, "NA")</f>
      </c>
      <c r="M119" s="8"/>
      <c r="N119" s="17">
        <f>IFERROR(N84+N85+N86+N87+N88+N89+N90+N91+N92+N93+N94+N95+N96+N97+N98+N99+N100+N101+N102+N103+N104+N105+N106+N107+N108+N109+N110+N111+N112+N113+N114+N115+N116+N117+N118, "NA")</f>
      </c>
      <c r="O119" s="18">
        <f>IFERROR(N119/N327, "NA")</f>
      </c>
    </row>
    <row r="120" ht="16.5" customHeight="1">
      <c t="s" r="A120" s="16">
        <v>123</v>
      </c>
      <c r="B120" s="17">
        <f>IFERROR(B82+B84+B85+B86+B87+B88+B89+B90+B91+B92+B93+B94+B95+B96+B97+B98+B99+B100+B101+B102+B103+B104+B105+B106+B107+B108+B109+B110+B111+B112+B113+B114+B115+B116+B117+B118, "NA")</f>
      </c>
      <c r="C120" s="18">
        <f>IFERROR(B120/B327, "NA")</f>
      </c>
      <c r="D120" s="8"/>
      <c r="E120" s="17">
        <f>IFERROR(E82+E84+E85+E86+E87+E88+E89+E90+E91+E92+E93+E94+E95+E96+E97+E98+E99+E100+E101+E102+E103+E104+E105+E106+E107+E108+E109+E110+E111+E112+E113+E114+E115+E116+E117+E118, "NA")</f>
      </c>
      <c r="F120" s="18">
        <f>IFERROR(E120/E327, "NA")</f>
      </c>
      <c r="G120" s="8"/>
      <c r="H120" s="17">
        <f>IFERROR(H82+H84+H85+H86+H87+H88+H89+H90+H91+H92+H93+H94+H95+H96+H97+H98+H99+H100+H101+H102+H103+H104+H105+H106+H107+H108+H109+H110+H111+H112+H113+H114+H115+H116+H117+H118, "NA")</f>
      </c>
      <c r="I120" s="18">
        <f>IFERROR(H120/H327, "NA")</f>
      </c>
      <c r="J120" s="8"/>
      <c r="K120" s="17">
        <f>IFERROR(K82+K84+K85+K86+K87+K88+K89+K90+K91+K92+K93+K94+K95+K96+K97+K98+K99+K100+K101+K102+K103+K104+K105+K106+K107+K108+K109+K110+K111+K112+K113+K114+K115+K116+K117+K118, "NA")</f>
      </c>
      <c r="L120" s="18">
        <f>IFERROR(K120/K327, "NA")</f>
      </c>
      <c r="M120" s="8"/>
      <c r="N120" s="17">
        <f>IFERROR(N82+N84+N85+N86+N87+N88+N89+N90+N91+N92+N93+N94+N95+N96+N97+N98+N99+N100+N101+N102+N103+N104+N105+N106+N107+N108+N109+N110+N111+N112+N113+N114+N115+N116+N117+N118, "NA")</f>
      </c>
      <c r="O120" s="18">
        <f>IFERROR(N120/N327, "NA")</f>
      </c>
    </row>
    <row r="121" ht="16.5" customHeight="1">
      <c t="s" r="A121" s="11">
        <v>124</v>
      </c>
      <c r="B121" s="8"/>
      <c r="C121" s="9"/>
      <c r="D121" s="10"/>
      <c r="E121" s="8"/>
      <c r="F121" s="9"/>
      <c r="G121" s="10"/>
      <c r="H121" s="8"/>
      <c r="I121" s="9"/>
      <c r="J121" s="10"/>
      <c r="K121" s="8"/>
      <c r="L121" s="9"/>
      <c r="M121" s="10"/>
      <c r="N121" s="8"/>
      <c r="O121" s="9"/>
    </row>
    <row r="122" ht="16.5" customHeight="1">
      <c t="s" r="A122" s="12">
        <v>125</v>
      </c>
      <c r="B122" s="13">
        <v>0</v>
      </c>
      <c r="C122" s="14">
        <f>IFERROR(B122/B327, "NA")</f>
      </c>
      <c r="D122" s="15"/>
      <c r="E122" s="13">
        <v>0</v>
      </c>
      <c r="F122" s="14">
        <f>IFERROR(E122/E327, "NA")</f>
      </c>
      <c r="G122" s="15"/>
      <c r="H122" s="13">
        <v>0</v>
      </c>
      <c r="I122" s="14">
        <f>IFERROR(H122/H327, "NA")</f>
      </c>
      <c r="J122" s="15"/>
      <c r="K122" s="13">
        <v>0</v>
      </c>
      <c r="L122" s="14">
        <f>IFERROR(K122/K327, "NA")</f>
      </c>
      <c r="M122" s="15"/>
      <c r="N122" s="13">
        <v>0</v>
      </c>
      <c r="O122" s="14">
        <f>IFERROR(N122/N327, "NA")</f>
      </c>
    </row>
    <row r="123" ht="16.5" customHeight="1">
      <c t="s" r="A123" s="12">
        <v>126</v>
      </c>
      <c r="B123" s="13">
        <v>7388.3199999999997</v>
      </c>
      <c r="C123" s="14">
        <f>IFERROR(B123/B327, "NA")</f>
      </c>
      <c r="D123" s="15"/>
      <c r="E123" s="13">
        <v>6428.2700000000004</v>
      </c>
      <c r="F123" s="14">
        <f>IFERROR(E123/E327, "NA")</f>
      </c>
      <c r="G123" s="15"/>
      <c r="H123" s="13">
        <v>8734.4799999999996</v>
      </c>
      <c r="I123" s="14">
        <f>IFERROR(H123/H327, "NA")</f>
      </c>
      <c r="J123" s="15"/>
      <c r="K123" s="13">
        <v>7642.7399999999998</v>
      </c>
      <c r="L123" s="14">
        <f>IFERROR(K123/K327, "NA")</f>
      </c>
      <c r="M123" s="15"/>
      <c r="N123" s="13">
        <v>0</v>
      </c>
      <c r="O123" s="14">
        <f>IFERROR(N123/N327, "NA")</f>
      </c>
    </row>
    <row r="124" ht="16.5" customHeight="1">
      <c t="s" r="A124" s="12">
        <v>127</v>
      </c>
      <c r="B124" s="13">
        <v>6634.6199999999999</v>
      </c>
      <c r="C124" s="14">
        <f>IFERROR(B124/B327, "NA")</f>
      </c>
      <c r="D124" s="15"/>
      <c r="E124" s="13">
        <v>9596.1599999999999</v>
      </c>
      <c r="F124" s="14">
        <f>IFERROR(E124/E327, "NA")</f>
      </c>
      <c r="G124" s="15"/>
      <c r="H124" s="13">
        <v>6634.6199999999999</v>
      </c>
      <c r="I124" s="14">
        <f>IFERROR(H124/H327, "NA")</f>
      </c>
      <c r="J124" s="15"/>
      <c r="K124" s="13">
        <v>9596.1599999999999</v>
      </c>
      <c r="L124" s="14">
        <f>IFERROR(K124/K327, "NA")</f>
      </c>
      <c r="M124" s="15"/>
      <c r="N124" s="13">
        <v>0</v>
      </c>
      <c r="O124" s="14">
        <f>IFERROR(N124/N327, "NA")</f>
      </c>
    </row>
    <row r="125" ht="30.75" customHeight="1">
      <c t="s" r="A125" s="12">
        <v>128</v>
      </c>
      <c r="B125" s="13">
        <v>0</v>
      </c>
      <c r="C125" s="14">
        <f>IFERROR(B125/B327, "NA")</f>
      </c>
      <c r="D125" s="15"/>
      <c r="E125" s="13">
        <v>0</v>
      </c>
      <c r="F125" s="14">
        <f>IFERROR(E125/E327, "NA")</f>
      </c>
      <c r="G125" s="15"/>
      <c r="H125" s="13">
        <v>0</v>
      </c>
      <c r="I125" s="14">
        <f>IFERROR(H125/H327, "NA")</f>
      </c>
      <c r="J125" s="15"/>
      <c r="K125" s="13">
        <v>0</v>
      </c>
      <c r="L125" s="14">
        <f>IFERROR(K125/K327, "NA")</f>
      </c>
      <c r="M125" s="15"/>
      <c r="N125" s="13">
        <v>0</v>
      </c>
      <c r="O125" s="14">
        <f>IFERROR(N125/N327, "NA")</f>
      </c>
    </row>
    <row r="126" ht="16.5" customHeight="1">
      <c t="s" r="A126" s="12">
        <v>129</v>
      </c>
      <c r="B126" s="13">
        <v>0</v>
      </c>
      <c r="C126" s="14">
        <f>IFERROR(B126/B327, "NA")</f>
      </c>
      <c r="D126" s="15"/>
      <c r="E126" s="13">
        <v>0</v>
      </c>
      <c r="F126" s="14">
        <f>IFERROR(E126/E327, "NA")</f>
      </c>
      <c r="G126" s="15"/>
      <c r="H126" s="13">
        <v>0</v>
      </c>
      <c r="I126" s="14">
        <f>IFERROR(H126/H327, "NA")</f>
      </c>
      <c r="J126" s="15"/>
      <c r="K126" s="13">
        <v>0</v>
      </c>
      <c r="L126" s="14">
        <f>IFERROR(K126/K327, "NA")</f>
      </c>
      <c r="M126" s="15"/>
      <c r="N126" s="13">
        <v>0</v>
      </c>
      <c r="O126" s="14">
        <f>IFERROR(N126/N327, "NA")</f>
      </c>
    </row>
    <row r="127" ht="16.5" customHeight="1">
      <c t="s" r="A127" s="12">
        <v>130</v>
      </c>
      <c r="B127" s="13">
        <v>0</v>
      </c>
      <c r="C127" s="14">
        <f>IFERROR(B127/B327, "NA")</f>
      </c>
      <c r="D127" s="15"/>
      <c r="E127" s="13">
        <v>0</v>
      </c>
      <c r="F127" s="14">
        <f>IFERROR(E127/E327, "NA")</f>
      </c>
      <c r="G127" s="15"/>
      <c r="H127" s="13">
        <v>0</v>
      </c>
      <c r="I127" s="14">
        <f>IFERROR(H127/H327, "NA")</f>
      </c>
      <c r="J127" s="15"/>
      <c r="K127" s="13">
        <v>0</v>
      </c>
      <c r="L127" s="14">
        <f>IFERROR(K127/K327, "NA")</f>
      </c>
      <c r="M127" s="15"/>
      <c r="N127" s="13">
        <v>0</v>
      </c>
      <c r="O127" s="14">
        <f>IFERROR(N127/N327, "NA")</f>
      </c>
    </row>
    <row r="128" ht="16.5" customHeight="1">
      <c t="s" r="A128" s="12">
        <v>131</v>
      </c>
      <c r="B128" s="13">
        <v>0</v>
      </c>
      <c r="C128" s="14">
        <f>IFERROR(B128/B327, "NA")</f>
      </c>
      <c r="D128" s="15"/>
      <c r="E128" s="13">
        <v>0</v>
      </c>
      <c r="F128" s="14">
        <f>IFERROR(E128/E327, "NA")</f>
      </c>
      <c r="G128" s="15"/>
      <c r="H128" s="13">
        <v>0</v>
      </c>
      <c r="I128" s="14">
        <f>IFERROR(H128/H327, "NA")</f>
      </c>
      <c r="J128" s="15"/>
      <c r="K128" s="13">
        <v>0</v>
      </c>
      <c r="L128" s="14">
        <f>IFERROR(K128/K327, "NA")</f>
      </c>
      <c r="M128" s="15"/>
      <c r="N128" s="13">
        <v>0</v>
      </c>
      <c r="O128" s="14">
        <f>IFERROR(N128/N327, "NA")</f>
      </c>
    </row>
    <row r="129" ht="16.5" customHeight="1">
      <c t="s" r="A129" s="12">
        <v>132</v>
      </c>
      <c r="B129" s="13">
        <v>0</v>
      </c>
      <c r="C129" s="14">
        <f>IFERROR(B129/B327, "NA")</f>
      </c>
      <c r="D129" s="15"/>
      <c r="E129" s="13">
        <v>0</v>
      </c>
      <c r="F129" s="14">
        <f>IFERROR(E129/E327, "NA")</f>
      </c>
      <c r="G129" s="15"/>
      <c r="H129" s="13">
        <v>0</v>
      </c>
      <c r="I129" s="14">
        <f>IFERROR(H129/H327, "NA")</f>
      </c>
      <c r="J129" s="15"/>
      <c r="K129" s="13">
        <v>0</v>
      </c>
      <c r="L129" s="14">
        <f>IFERROR(K129/K327, "NA")</f>
      </c>
      <c r="M129" s="15"/>
      <c r="N129" s="13">
        <v>0</v>
      </c>
      <c r="O129" s="14">
        <f>IFERROR(N129/N327, "NA")</f>
      </c>
    </row>
    <row r="130" ht="16.5" customHeight="1">
      <c t="s" r="A130" s="12">
        <v>133</v>
      </c>
      <c r="B130" s="13">
        <v>0</v>
      </c>
      <c r="C130" s="14">
        <f>IFERROR(B130/B327, "NA")</f>
      </c>
      <c r="D130" s="15"/>
      <c r="E130" s="13">
        <v>0</v>
      </c>
      <c r="F130" s="14">
        <f>IFERROR(E130/E327, "NA")</f>
      </c>
      <c r="G130" s="15"/>
      <c r="H130" s="13">
        <v>0</v>
      </c>
      <c r="I130" s="14">
        <f>IFERROR(H130/H327, "NA")</f>
      </c>
      <c r="J130" s="15"/>
      <c r="K130" s="13">
        <v>0</v>
      </c>
      <c r="L130" s="14">
        <f>IFERROR(K130/K327, "NA")</f>
      </c>
      <c r="M130" s="15"/>
      <c r="N130" s="13">
        <v>0</v>
      </c>
      <c r="O130" s="14">
        <f>IFERROR(N130/N327, "NA")</f>
      </c>
    </row>
    <row r="131" ht="16.5" customHeight="1">
      <c t="s" r="A131" s="12">
        <v>134</v>
      </c>
      <c r="B131" s="13">
        <v>0</v>
      </c>
      <c r="C131" s="14">
        <f>IFERROR(B131/B327, "NA")</f>
      </c>
      <c r="D131" s="15"/>
      <c r="E131" s="13">
        <v>0</v>
      </c>
      <c r="F131" s="14">
        <f>IFERROR(E131/E327, "NA")</f>
      </c>
      <c r="G131" s="15"/>
      <c r="H131" s="13">
        <v>0</v>
      </c>
      <c r="I131" s="14">
        <f>IFERROR(H131/H327, "NA")</f>
      </c>
      <c r="J131" s="15"/>
      <c r="K131" s="13">
        <v>0</v>
      </c>
      <c r="L131" s="14">
        <f>IFERROR(K131/K327, "NA")</f>
      </c>
      <c r="M131" s="15"/>
      <c r="N131" s="13">
        <v>0</v>
      </c>
      <c r="O131" s="14">
        <f>IFERROR(N131/N327, "NA")</f>
      </c>
    </row>
    <row r="132" ht="16.5" customHeight="1">
      <c t="s" r="A132" s="12">
        <v>135</v>
      </c>
      <c r="B132" s="13">
        <v>0</v>
      </c>
      <c r="C132" s="14">
        <f>IFERROR(B132/B327, "NA")</f>
      </c>
      <c r="D132" s="15"/>
      <c r="E132" s="13">
        <v>0</v>
      </c>
      <c r="F132" s="14">
        <f>IFERROR(E132/E327, "NA")</f>
      </c>
      <c r="G132" s="15"/>
      <c r="H132" s="13">
        <v>0</v>
      </c>
      <c r="I132" s="14">
        <f>IFERROR(H132/H327, "NA")</f>
      </c>
      <c r="J132" s="15"/>
      <c r="K132" s="13">
        <v>0</v>
      </c>
      <c r="L132" s="14">
        <f>IFERROR(K132/K327, "NA")</f>
      </c>
      <c r="M132" s="15"/>
      <c r="N132" s="13">
        <v>0</v>
      </c>
      <c r="O132" s="14">
        <f>IFERROR(N132/N327, "NA")</f>
      </c>
    </row>
    <row r="133" ht="16.5" customHeight="1">
      <c t="s" r="A133" s="12">
        <v>136</v>
      </c>
      <c r="B133" s="13">
        <v>0</v>
      </c>
      <c r="C133" s="14">
        <f>IFERROR(B133/B327, "NA")</f>
      </c>
      <c r="D133" s="15"/>
      <c r="E133" s="13">
        <v>0</v>
      </c>
      <c r="F133" s="14">
        <f>IFERROR(E133/E327, "NA")</f>
      </c>
      <c r="G133" s="15"/>
      <c r="H133" s="13">
        <v>0</v>
      </c>
      <c r="I133" s="14">
        <f>IFERROR(H133/H327, "NA")</f>
      </c>
      <c r="J133" s="15"/>
      <c r="K133" s="13">
        <v>0</v>
      </c>
      <c r="L133" s="14">
        <f>IFERROR(K133/K327, "NA")</f>
      </c>
      <c r="M133" s="15"/>
      <c r="N133" s="13">
        <v>0</v>
      </c>
      <c r="O133" s="14">
        <f>IFERROR(N133/N327, "NA")</f>
      </c>
    </row>
    <row r="134" ht="16.5" customHeight="1">
      <c t="s" r="A134" s="12">
        <v>137</v>
      </c>
      <c r="B134" s="13">
        <v>0</v>
      </c>
      <c r="C134" s="14">
        <f>IFERROR(B134/B327, "NA")</f>
      </c>
      <c r="D134" s="15"/>
      <c r="E134" s="13">
        <v>0</v>
      </c>
      <c r="F134" s="14">
        <f>IFERROR(E134/E327, "NA")</f>
      </c>
      <c r="G134" s="15"/>
      <c r="H134" s="13">
        <v>0</v>
      </c>
      <c r="I134" s="14">
        <f>IFERROR(H134/H327, "NA")</f>
      </c>
      <c r="J134" s="15"/>
      <c r="K134" s="13">
        <v>0</v>
      </c>
      <c r="L134" s="14">
        <f>IFERROR(K134/K327, "NA")</f>
      </c>
      <c r="M134" s="15"/>
      <c r="N134" s="13">
        <v>0</v>
      </c>
      <c r="O134" s="14">
        <f>IFERROR(N134/N327, "NA")</f>
      </c>
    </row>
    <row r="135" ht="16.5" customHeight="1">
      <c t="s" r="A135" s="12">
        <v>138</v>
      </c>
      <c r="B135" s="13">
        <v>0</v>
      </c>
      <c r="C135" s="14">
        <f>IFERROR(B135/B327, "NA")</f>
      </c>
      <c r="D135" s="15"/>
      <c r="E135" s="13">
        <v>0</v>
      </c>
      <c r="F135" s="14">
        <f>IFERROR(E135/E327, "NA")</f>
      </c>
      <c r="G135" s="15"/>
      <c r="H135" s="13">
        <v>0</v>
      </c>
      <c r="I135" s="14">
        <f>IFERROR(H135/H327, "NA")</f>
      </c>
      <c r="J135" s="15"/>
      <c r="K135" s="13">
        <v>0</v>
      </c>
      <c r="L135" s="14">
        <f>IFERROR(K135/K327, "NA")</f>
      </c>
      <c r="M135" s="15"/>
      <c r="N135" s="13">
        <v>0</v>
      </c>
      <c r="O135" s="14">
        <f>IFERROR(N135/N327, "NA")</f>
      </c>
    </row>
    <row r="136" ht="16.5" customHeight="1">
      <c t="s" r="A136" s="12">
        <v>139</v>
      </c>
      <c r="B136" s="13">
        <v>0</v>
      </c>
      <c r="C136" s="14">
        <f>IFERROR(B136/B327, "NA")</f>
      </c>
      <c r="D136" s="15"/>
      <c r="E136" s="13">
        <v>0</v>
      </c>
      <c r="F136" s="14">
        <f>IFERROR(E136/E327, "NA")</f>
      </c>
      <c r="G136" s="15"/>
      <c r="H136" s="13">
        <v>0</v>
      </c>
      <c r="I136" s="14">
        <f>IFERROR(H136/H327, "NA")</f>
      </c>
      <c r="J136" s="15"/>
      <c r="K136" s="13">
        <v>0</v>
      </c>
      <c r="L136" s="14">
        <f>IFERROR(K136/K327, "NA")</f>
      </c>
      <c r="M136" s="15"/>
      <c r="N136" s="13">
        <v>0</v>
      </c>
      <c r="O136" s="14">
        <f>IFERROR(N136/N327, "NA")</f>
      </c>
    </row>
    <row r="137" ht="16.5" customHeight="1">
      <c t="s" r="A137" s="12">
        <v>140</v>
      </c>
      <c r="B137" s="13">
        <v>0</v>
      </c>
      <c r="C137" s="14">
        <f>IFERROR(B137/B327, "NA")</f>
      </c>
      <c r="D137" s="15"/>
      <c r="E137" s="13">
        <v>0</v>
      </c>
      <c r="F137" s="14">
        <f>IFERROR(E137/E327, "NA")</f>
      </c>
      <c r="G137" s="15"/>
      <c r="H137" s="13">
        <v>0</v>
      </c>
      <c r="I137" s="14">
        <f>IFERROR(H137/H327, "NA")</f>
      </c>
      <c r="J137" s="15"/>
      <c r="K137" s="13">
        <v>0</v>
      </c>
      <c r="L137" s="14">
        <f>IFERROR(K137/K327, "NA")</f>
      </c>
      <c r="M137" s="15"/>
      <c r="N137" s="13">
        <v>0</v>
      </c>
      <c r="O137" s="14">
        <f>IFERROR(N137/N327, "NA")</f>
      </c>
    </row>
    <row r="138" ht="16.5" customHeight="1">
      <c t="s" r="A138" s="12">
        <v>141</v>
      </c>
      <c r="B138" s="13">
        <v>0</v>
      </c>
      <c r="C138" s="14">
        <f>IFERROR(B138/B327, "NA")</f>
      </c>
      <c r="D138" s="15"/>
      <c r="E138" s="13">
        <v>0</v>
      </c>
      <c r="F138" s="14">
        <f>IFERROR(E138/E327, "NA")</f>
      </c>
      <c r="G138" s="15"/>
      <c r="H138" s="13">
        <v>0</v>
      </c>
      <c r="I138" s="14">
        <f>IFERROR(H138/H327, "NA")</f>
      </c>
      <c r="J138" s="15"/>
      <c r="K138" s="13">
        <v>0</v>
      </c>
      <c r="L138" s="14">
        <f>IFERROR(K138/K327, "NA")</f>
      </c>
      <c r="M138" s="15"/>
      <c r="N138" s="13">
        <v>0</v>
      </c>
      <c r="O138" s="14">
        <f>IFERROR(N138/N327, "NA")</f>
      </c>
    </row>
    <row r="139" ht="16.5" customHeight="1">
      <c t="s" r="A139" s="12">
        <v>142</v>
      </c>
      <c r="B139" s="13">
        <v>7070.6400000000003</v>
      </c>
      <c r="C139" s="14">
        <f>IFERROR(B139/B327, "NA")</f>
      </c>
      <c r="D139" s="15"/>
      <c r="E139" s="13">
        <v>7070.6400000000003</v>
      </c>
      <c r="F139" s="14">
        <f>IFERROR(E139/E327, "NA")</f>
      </c>
      <c r="G139" s="15"/>
      <c r="H139" s="13">
        <v>7070.6400000000003</v>
      </c>
      <c r="I139" s="14">
        <f>IFERROR(H139/H327, "NA")</f>
      </c>
      <c r="J139" s="15"/>
      <c r="K139" s="13">
        <v>7070.6400000000003</v>
      </c>
      <c r="L139" s="14">
        <f>IFERROR(K139/K327, "NA")</f>
      </c>
      <c r="M139" s="15"/>
      <c r="N139" s="13">
        <v>7247.2299999999996</v>
      </c>
      <c r="O139" s="14">
        <f>IFERROR(N139/N327, "NA")</f>
      </c>
    </row>
    <row r="140" ht="16.5" customHeight="1">
      <c t="s" r="A140" s="12">
        <v>143</v>
      </c>
      <c r="B140" s="13">
        <v>0</v>
      </c>
      <c r="C140" s="14">
        <f>IFERROR(B140/B327, "NA")</f>
      </c>
      <c r="D140" s="15"/>
      <c r="E140" s="13">
        <v>0</v>
      </c>
      <c r="F140" s="14">
        <f>IFERROR(E140/E327, "NA")</f>
      </c>
      <c r="G140" s="15"/>
      <c r="H140" s="13">
        <v>0</v>
      </c>
      <c r="I140" s="14">
        <f>IFERROR(H140/H327, "NA")</f>
      </c>
      <c r="J140" s="15"/>
      <c r="K140" s="13">
        <v>0</v>
      </c>
      <c r="L140" s="14">
        <f>IFERROR(K140/K327, "NA")</f>
      </c>
      <c r="M140" s="15"/>
      <c r="N140" s="13">
        <v>0</v>
      </c>
      <c r="O140" s="14">
        <f>IFERROR(N140/N327, "NA")</f>
      </c>
    </row>
    <row r="141" ht="16.5" customHeight="1">
      <c t="s" r="A141" s="12">
        <v>144</v>
      </c>
      <c r="B141" s="13">
        <v>0</v>
      </c>
      <c r="C141" s="14">
        <f>IFERROR(B141/B327, "NA")</f>
      </c>
      <c r="D141" s="15"/>
      <c r="E141" s="13">
        <v>0</v>
      </c>
      <c r="F141" s="14">
        <f>IFERROR(E141/E327, "NA")</f>
      </c>
      <c r="G141" s="15"/>
      <c r="H141" s="13">
        <v>0</v>
      </c>
      <c r="I141" s="14">
        <f>IFERROR(H141/H327, "NA")</f>
      </c>
      <c r="J141" s="15"/>
      <c r="K141" s="13">
        <v>0</v>
      </c>
      <c r="L141" s="14">
        <f>IFERROR(K141/K327, "NA")</f>
      </c>
      <c r="M141" s="15"/>
      <c r="N141" s="13">
        <v>0</v>
      </c>
      <c r="O141" s="14">
        <f>IFERROR(N141/N327, "NA")</f>
      </c>
    </row>
    <row r="142" ht="16.5" customHeight="1">
      <c t="s" r="A142" s="12">
        <v>145</v>
      </c>
      <c r="B142" s="13">
        <v>0</v>
      </c>
      <c r="C142" s="14">
        <f>IFERROR(B142/B327, "NA")</f>
      </c>
      <c r="D142" s="15"/>
      <c r="E142" s="13">
        <v>0</v>
      </c>
      <c r="F142" s="14">
        <f>IFERROR(E142/E327, "NA")</f>
      </c>
      <c r="G142" s="15"/>
      <c r="H142" s="13">
        <v>0</v>
      </c>
      <c r="I142" s="14">
        <f>IFERROR(H142/H327, "NA")</f>
      </c>
      <c r="J142" s="15"/>
      <c r="K142" s="13">
        <v>0</v>
      </c>
      <c r="L142" s="14">
        <f>IFERROR(K142/K327, "NA")</f>
      </c>
      <c r="M142" s="15"/>
      <c r="N142" s="13">
        <v>0</v>
      </c>
      <c r="O142" s="14">
        <f>IFERROR(N142/N327, "NA")</f>
      </c>
    </row>
    <row r="143" ht="16.5" customHeight="1">
      <c t="s" r="A143" s="16">
        <v>146</v>
      </c>
      <c r="B143" s="17">
        <f>IFERROR(B122+B123+B124+B125+B126+B127+B128+B129+B130+B131+B132+B133+B134+B135+B136+B137+B138+B139+B140+B141+B142, "NA")</f>
      </c>
      <c r="C143" s="18">
        <f>IFERROR(B143/B327, "NA")</f>
      </c>
      <c r="D143" s="8"/>
      <c r="E143" s="17">
        <f>IFERROR(E122+E123+E124+E125+E126+E127+E128+E129+E130+E131+E132+E133+E134+E135+E136+E137+E138+E139+E140+E141+E142, "NA")</f>
      </c>
      <c r="F143" s="18">
        <f>IFERROR(E143/E327, "NA")</f>
      </c>
      <c r="G143" s="8"/>
      <c r="H143" s="17">
        <f>IFERROR(H122+H123+H124+H125+H126+H127+H128+H129+H130+H131+H132+H133+H134+H135+H136+H137+H138+H139+H140+H141+H142, "NA")</f>
      </c>
      <c r="I143" s="18">
        <f>IFERROR(H143/H327, "NA")</f>
      </c>
      <c r="J143" s="8"/>
      <c r="K143" s="17">
        <f>IFERROR(K122+K123+K124+K125+K126+K127+K128+K129+K130+K131+K132+K133+K134+K135+K136+K137+K138+K139+K140+K141+K142, "NA")</f>
      </c>
      <c r="L143" s="18">
        <f>IFERROR(K143/K327, "NA")</f>
      </c>
      <c r="M143" s="8"/>
      <c r="N143" s="17">
        <f>IFERROR(N122+N123+N124+N125+N126+N127+N128+N129+N130+N131+N132+N133+N134+N135+N136+N137+N138+N139+N140+N141+N142, "NA")</f>
      </c>
      <c r="O143" s="18">
        <f>IFERROR(N143/N327, "NA")</f>
      </c>
    </row>
    <row r="144" ht="16.5" customHeight="1">
      <c t="s" r="A144" s="11">
        <v>147</v>
      </c>
      <c r="B144" s="8"/>
      <c r="C144" s="9"/>
      <c r="D144" s="10"/>
      <c r="E144" s="8"/>
      <c r="F144" s="9"/>
      <c r="G144" s="10"/>
      <c r="H144" s="8"/>
      <c r="I144" s="9"/>
      <c r="J144" s="10"/>
      <c r="K144" s="8"/>
      <c r="L144" s="9"/>
      <c r="M144" s="10"/>
      <c r="N144" s="8"/>
      <c r="O144" s="9"/>
    </row>
    <row r="145" ht="16.5" customHeight="1">
      <c t="s" r="A145" s="12">
        <v>148</v>
      </c>
      <c r="B145" s="13">
        <v>0</v>
      </c>
      <c r="C145" s="14">
        <f>IFERROR(B145/B327, "NA")</f>
      </c>
      <c r="D145" s="15"/>
      <c r="E145" s="13">
        <v>0</v>
      </c>
      <c r="F145" s="14">
        <f>IFERROR(E145/E327, "NA")</f>
      </c>
      <c r="G145" s="15"/>
      <c r="H145" s="13">
        <v>0</v>
      </c>
      <c r="I145" s="14">
        <f>IFERROR(H145/H327, "NA")</f>
      </c>
      <c r="J145" s="15"/>
      <c r="K145" s="13">
        <v>0</v>
      </c>
      <c r="L145" s="14">
        <f>IFERROR(K145/K327, "NA")</f>
      </c>
      <c r="M145" s="15"/>
      <c r="N145" s="13">
        <v>0</v>
      </c>
      <c r="O145" s="14">
        <f>IFERROR(N145/N327, "NA")</f>
      </c>
    </row>
    <row r="146" ht="16.5" customHeight="1">
      <c t="s" r="A146" s="12">
        <v>149</v>
      </c>
      <c r="B146" s="13">
        <v>8223.8400000000001</v>
      </c>
      <c r="C146" s="14">
        <f>IFERROR(B146/B327, "NA")</f>
      </c>
      <c r="D146" s="15"/>
      <c r="E146" s="13">
        <v>7297.7299999999996</v>
      </c>
      <c r="F146" s="14">
        <f>IFERROR(E146/E327, "NA")</f>
      </c>
      <c r="G146" s="15"/>
      <c r="H146" s="13">
        <v>8447.3500000000004</v>
      </c>
      <c r="I146" s="14">
        <f>IFERROR(H146/H327, "NA")</f>
      </c>
      <c r="J146" s="15"/>
      <c r="K146" s="13">
        <v>7695.5900000000001</v>
      </c>
      <c r="L146" s="14">
        <f>IFERROR(K146/K327, "NA")</f>
      </c>
      <c r="M146" s="15"/>
      <c r="N146" s="13">
        <v>0</v>
      </c>
      <c r="O146" s="14">
        <f>IFERROR(N146/N327, "NA")</f>
      </c>
    </row>
    <row r="147" ht="16.5" customHeight="1">
      <c t="s" r="A147" s="12">
        <v>150</v>
      </c>
      <c r="B147" s="13">
        <v>690.72000000000003</v>
      </c>
      <c r="C147" s="14">
        <f>IFERROR(B147/B327, "NA")</f>
      </c>
      <c r="D147" s="15"/>
      <c r="E147" s="13">
        <v>542.27999999999997</v>
      </c>
      <c r="F147" s="14">
        <f>IFERROR(E147/E327, "NA")</f>
      </c>
      <c r="G147" s="15"/>
      <c r="H147" s="13">
        <v>662.53999999999996</v>
      </c>
      <c r="I147" s="14">
        <f>IFERROR(H147/H327, "NA")</f>
      </c>
      <c r="J147" s="15"/>
      <c r="K147" s="13">
        <v>-413.83999999999997</v>
      </c>
      <c r="L147" s="14">
        <f>IFERROR(K147/K327, "NA")</f>
      </c>
      <c r="M147" s="15"/>
      <c r="N147" s="13">
        <v>0</v>
      </c>
      <c r="O147" s="14">
        <f>IFERROR(N147/N327, "NA")</f>
      </c>
    </row>
    <row r="148" ht="16.5" customHeight="1">
      <c t="s" r="A148" s="12">
        <v>151</v>
      </c>
      <c r="B148" s="13">
        <v>0</v>
      </c>
      <c r="C148" s="14">
        <f>IFERROR(B148/B327, "NA")</f>
      </c>
      <c r="D148" s="15"/>
      <c r="E148" s="13">
        <v>1818.7</v>
      </c>
      <c r="F148" s="14">
        <f>IFERROR(E148/E327, "NA")</f>
      </c>
      <c r="G148" s="15"/>
      <c r="H148" s="13">
        <v>0</v>
      </c>
      <c r="I148" s="14">
        <f>IFERROR(H148/H327, "NA")</f>
      </c>
      <c r="J148" s="15"/>
      <c r="K148" s="13">
        <v>2058.2800000000002</v>
      </c>
      <c r="L148" s="14">
        <f>IFERROR(K148/K327, "NA")</f>
      </c>
      <c r="M148" s="15"/>
      <c r="N148" s="13">
        <v>0</v>
      </c>
      <c r="O148" s="14">
        <f>IFERROR(N148/N327, "NA")</f>
      </c>
    </row>
    <row r="149" ht="16.5" customHeight="1">
      <c t="s" r="A149" s="12">
        <v>152</v>
      </c>
      <c r="B149" s="13">
        <v>1187.1700000000001</v>
      </c>
      <c r="C149" s="14">
        <f>IFERROR(B149/B327, "NA")</f>
      </c>
      <c r="D149" s="15"/>
      <c r="E149" s="13">
        <v>860.10000000000002</v>
      </c>
      <c r="F149" s="14">
        <f>IFERROR(E149/E327, "NA")</f>
      </c>
      <c r="G149" s="15"/>
      <c r="H149" s="13">
        <v>1214.6500000000001</v>
      </c>
      <c r="I149" s="14">
        <f>IFERROR(H149/H327, "NA")</f>
      </c>
      <c r="J149" s="15"/>
      <c r="K149" s="13">
        <v>909.45000000000005</v>
      </c>
      <c r="L149" s="14">
        <f>IFERROR(K149/K327, "NA")</f>
      </c>
      <c r="M149" s="15"/>
      <c r="N149" s="13">
        <v>0</v>
      </c>
      <c r="O149" s="14">
        <f>IFERROR(N149/N327, "NA")</f>
      </c>
    </row>
    <row r="150" ht="16.5" customHeight="1">
      <c t="s" r="A150" s="12">
        <v>153</v>
      </c>
      <c r="B150" s="13">
        <v>747.66999999999996</v>
      </c>
      <c r="C150" s="14">
        <f>IFERROR(B150/B327, "NA")</f>
      </c>
      <c r="D150" s="15"/>
      <c r="E150" s="13">
        <v>747.66999999999996</v>
      </c>
      <c r="F150" s="14">
        <f>IFERROR(E150/E327, "NA")</f>
      </c>
      <c r="G150" s="15"/>
      <c r="H150" s="13">
        <v>747.66999999999996</v>
      </c>
      <c r="I150" s="14">
        <f>IFERROR(H150/H327, "NA")</f>
      </c>
      <c r="J150" s="15"/>
      <c r="K150" s="13">
        <v>747.66999999999996</v>
      </c>
      <c r="L150" s="14">
        <f>IFERROR(K150/K327, "NA")</f>
      </c>
      <c r="M150" s="15"/>
      <c r="N150" s="13">
        <v>724.67999999999995</v>
      </c>
      <c r="O150" s="14">
        <f>IFERROR(N150/N327, "NA")</f>
      </c>
    </row>
    <row r="151" ht="16.5" customHeight="1">
      <c t="s" r="A151" s="16">
        <v>154</v>
      </c>
      <c r="B151" s="17">
        <f>IFERROR(B145+B146+B147+B148+B149+B150, "NA")</f>
      </c>
      <c r="C151" s="18">
        <f>IFERROR(B151/B327, "NA")</f>
      </c>
      <c r="D151" s="8"/>
      <c r="E151" s="17">
        <f>IFERROR(E145+E146+E147+E148+E149+E150, "NA")</f>
      </c>
      <c r="F151" s="18">
        <f>IFERROR(E151/E327, "NA")</f>
      </c>
      <c r="G151" s="8"/>
      <c r="H151" s="17">
        <f>IFERROR(H145+H146+H147+H148+H149+H150, "NA")</f>
      </c>
      <c r="I151" s="18">
        <f>IFERROR(H151/H327, "NA")</f>
      </c>
      <c r="J151" s="8"/>
      <c r="K151" s="17">
        <f>IFERROR(K145+K146+K147+K148+K149+K150, "NA")</f>
      </c>
      <c r="L151" s="18">
        <f>IFERROR(K151/K327, "NA")</f>
      </c>
      <c r="M151" s="8"/>
      <c r="N151" s="17">
        <f>IFERROR(N145+N146+N147+N148+N149+N150, "NA")</f>
      </c>
      <c r="O151" s="18">
        <f>IFERROR(N151/N327, "NA")</f>
      </c>
    </row>
    <row r="152" ht="16.5" customHeight="1">
      <c t="s" r="A152" s="19">
        <v>155</v>
      </c>
      <c r="B152" s="13">
        <v>0</v>
      </c>
      <c r="C152" s="14">
        <f>IFERROR(B152/B327, "NA")</f>
      </c>
      <c r="D152" s="15"/>
      <c r="E152" s="13">
        <v>0</v>
      </c>
      <c r="F152" s="14">
        <f>IFERROR(E152/E327, "NA")</f>
      </c>
      <c r="G152" s="15"/>
      <c r="H152" s="13">
        <v>0</v>
      </c>
      <c r="I152" s="14">
        <f>IFERROR(H152/H327, "NA")</f>
      </c>
      <c r="J152" s="15"/>
      <c r="K152" s="13">
        <v>0</v>
      </c>
      <c r="L152" s="14">
        <f>IFERROR(K152/K327, "NA")</f>
      </c>
      <c r="M152" s="15"/>
      <c r="N152" s="13">
        <v>0</v>
      </c>
      <c r="O152" s="14">
        <f>IFERROR(N152/N327, "NA")</f>
      </c>
    </row>
    <row r="153" ht="16.5" customHeight="1">
      <c t="s" r="A153" s="19">
        <v>156</v>
      </c>
      <c r="B153" s="13">
        <v>0</v>
      </c>
      <c r="C153" s="14">
        <f>IFERROR(B153/B327, "NA")</f>
      </c>
      <c r="D153" s="15"/>
      <c r="E153" s="13">
        <v>-2628.1399999999999</v>
      </c>
      <c r="F153" s="14">
        <f>IFERROR(E153/E327, "NA")</f>
      </c>
      <c r="G153" s="15"/>
      <c r="H153" s="13">
        <v>0</v>
      </c>
      <c r="I153" s="14">
        <f>IFERROR(H153/H327, "NA")</f>
      </c>
      <c r="J153" s="15"/>
      <c r="K153" s="13">
        <v>9305.0300000000007</v>
      </c>
      <c r="L153" s="14">
        <f>IFERROR(K153/K327, "NA")</f>
      </c>
      <c r="M153" s="15"/>
      <c r="N153" s="13">
        <v>0</v>
      </c>
      <c r="O153" s="14">
        <f>IFERROR(N153/N327, "NA")</f>
      </c>
    </row>
    <row r="154" ht="16.5" customHeight="1">
      <c t="s" r="A154" s="19">
        <v>157</v>
      </c>
      <c r="B154" s="13">
        <v>0</v>
      </c>
      <c r="C154" s="14">
        <f>IFERROR(B154/B327, "NA")</f>
      </c>
      <c r="D154" s="15"/>
      <c r="E154" s="13">
        <v>-653.99000000000001</v>
      </c>
      <c r="F154" s="14">
        <f>IFERROR(E154/E327, "NA")</f>
      </c>
      <c r="G154" s="15"/>
      <c r="H154" s="13">
        <v>0</v>
      </c>
      <c r="I154" s="14">
        <f>IFERROR(H154/H327, "NA")</f>
      </c>
      <c r="J154" s="15"/>
      <c r="K154" s="13">
        <v>-601.57000000000005</v>
      </c>
      <c r="L154" s="14">
        <f>IFERROR(K154/K327, "NA")</f>
      </c>
      <c r="M154" s="15"/>
      <c r="N154" s="13">
        <v>0</v>
      </c>
      <c r="O154" s="14">
        <f>IFERROR(N154/N327, "NA")</f>
      </c>
    </row>
    <row r="155" ht="16.5" customHeight="1">
      <c t="s" r="A155" s="19">
        <v>158</v>
      </c>
      <c r="B155" s="13">
        <v>0</v>
      </c>
      <c r="C155" s="14">
        <f>IFERROR(B155/B327, "NA")</f>
      </c>
      <c r="D155" s="15"/>
      <c r="E155" s="13">
        <v>-45.189999999999998</v>
      </c>
      <c r="F155" s="14">
        <f>IFERROR(E155/E327, "NA")</f>
      </c>
      <c r="G155" s="15"/>
      <c r="H155" s="13">
        <v>0</v>
      </c>
      <c r="I155" s="14">
        <f>IFERROR(H155/H327, "NA")</f>
      </c>
      <c r="J155" s="15"/>
      <c r="K155" s="13">
        <v>-33.310000000000002</v>
      </c>
      <c r="L155" s="14">
        <f>IFERROR(K155/K327, "NA")</f>
      </c>
      <c r="M155" s="15"/>
      <c r="N155" s="13">
        <v>0</v>
      </c>
      <c r="O155" s="14">
        <f>IFERROR(N155/N327, "NA")</f>
      </c>
    </row>
    <row r="156" ht="16.5" customHeight="1">
      <c t="s" r="A156" s="19">
        <v>159</v>
      </c>
      <c r="B156" s="13">
        <v>0</v>
      </c>
      <c r="C156" s="14">
        <f>IFERROR(B156/B327, "NA")</f>
      </c>
      <c r="D156" s="15"/>
      <c r="E156" s="13">
        <v>0</v>
      </c>
      <c r="F156" s="14">
        <f>IFERROR(E156/E327, "NA")</f>
      </c>
      <c r="G156" s="15"/>
      <c r="H156" s="13">
        <v>0</v>
      </c>
      <c r="I156" s="14">
        <f>IFERROR(H156/H327, "NA")</f>
      </c>
      <c r="J156" s="15"/>
      <c r="K156" s="13">
        <v>0</v>
      </c>
      <c r="L156" s="14">
        <f>IFERROR(K156/K327, "NA")</f>
      </c>
      <c r="M156" s="15"/>
      <c r="N156" s="13">
        <v>0</v>
      </c>
      <c r="O156" s="14">
        <f>IFERROR(N156/N327, "NA")</f>
      </c>
    </row>
    <row r="157" ht="16.5" customHeight="1">
      <c t="s" r="A157" s="20">
        <v>160</v>
      </c>
      <c r="B157" s="17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</c>
      <c r="C157" s="18">
        <f>IFERROR(B157/B327, "NA")</f>
      </c>
      <c r="D157" s="8"/>
      <c r="E157" s="17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</c>
      <c r="F157" s="18">
        <f>IFERROR(E157/E327, "NA")</f>
      </c>
      <c r="G157" s="8"/>
      <c r="H157" s="17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</c>
      <c r="I157" s="18">
        <f>IFERROR(H157/H327, "NA")</f>
      </c>
      <c r="J157" s="8"/>
      <c r="K157" s="17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</c>
      <c r="L157" s="18">
        <f>IFERROR(K157/K327, "NA")</f>
      </c>
      <c r="M157" s="8"/>
      <c r="N157" s="17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</c>
      <c r="O157" s="18">
        <f>IFERROR(N157/N327, "NA")</f>
      </c>
    </row>
    <row r="158" ht="16.5" customHeight="1">
      <c t="s" r="A158" s="7">
        <v>161</v>
      </c>
      <c r="B158" s="8"/>
      <c r="C158" s="9"/>
      <c r="D158" s="10"/>
      <c r="E158" s="8"/>
      <c r="F158" s="9"/>
      <c r="G158" s="10"/>
      <c r="H158" s="8"/>
      <c r="I158" s="9"/>
      <c r="J158" s="10"/>
      <c r="K158" s="8"/>
      <c r="L158" s="9"/>
      <c r="M158" s="10"/>
      <c r="N158" s="8"/>
      <c r="O158" s="9"/>
    </row>
    <row r="159" ht="16.5" customHeight="1">
      <c t="s" r="A159" s="11">
        <v>162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</row>
    <row r="160" ht="16.5" customHeight="1">
      <c t="s" r="A160" s="12">
        <v>163</v>
      </c>
      <c r="B160" s="13">
        <v>0</v>
      </c>
      <c r="C160" s="14">
        <f>IFERROR(B160/B327, "NA")</f>
      </c>
      <c r="D160" s="15"/>
      <c r="E160" s="13">
        <v>0</v>
      </c>
      <c r="F160" s="14">
        <f>IFERROR(E160/E327, "NA")</f>
      </c>
      <c r="G160" s="15"/>
      <c r="H160" s="13">
        <v>0</v>
      </c>
      <c r="I160" s="14">
        <f>IFERROR(H160/H327, "NA")</f>
      </c>
      <c r="J160" s="15"/>
      <c r="K160" s="13">
        <v>0</v>
      </c>
      <c r="L160" s="14">
        <f>IFERROR(K160/K327, "NA")</f>
      </c>
      <c r="M160" s="15"/>
      <c r="N160" s="13">
        <v>0</v>
      </c>
      <c r="O160" s="14">
        <f>IFERROR(N160/N327, "NA")</f>
      </c>
    </row>
    <row r="161" ht="16.5" customHeight="1">
      <c t="s" r="A161" s="12">
        <v>164</v>
      </c>
      <c r="B161" s="13">
        <v>0</v>
      </c>
      <c r="C161" s="14">
        <f>IFERROR(B161/B327, "NA")</f>
      </c>
      <c r="D161" s="15"/>
      <c r="E161" s="13">
        <v>0</v>
      </c>
      <c r="F161" s="14">
        <f>IFERROR(E161/E327, "NA")</f>
      </c>
      <c r="G161" s="15"/>
      <c r="H161" s="13">
        <v>0</v>
      </c>
      <c r="I161" s="14">
        <f>IFERROR(H161/H327, "NA")</f>
      </c>
      <c r="J161" s="15"/>
      <c r="K161" s="13">
        <v>79.25</v>
      </c>
      <c r="L161" s="14">
        <f>IFERROR(K161/K327, "NA")</f>
      </c>
      <c r="M161" s="15"/>
      <c r="N161" s="13">
        <v>0</v>
      </c>
      <c r="O161" s="14">
        <f>IFERROR(N161/N327, "NA")</f>
      </c>
    </row>
    <row r="162" ht="16.5" customHeight="1">
      <c t="s" r="A162" s="12">
        <v>165</v>
      </c>
      <c r="B162" s="13">
        <v>0</v>
      </c>
      <c r="C162" s="14">
        <f>IFERROR(B162/B327, "NA")</f>
      </c>
      <c r="D162" s="15"/>
      <c r="E162" s="13">
        <v>815.49000000000001</v>
      </c>
      <c r="F162" s="14">
        <f>IFERROR(E162/E327, "NA")</f>
      </c>
      <c r="G162" s="15"/>
      <c r="H162" s="13">
        <v>0</v>
      </c>
      <c r="I162" s="14">
        <f>IFERROR(H162/H327, "NA")</f>
      </c>
      <c r="J162" s="15"/>
      <c r="K162" s="13">
        <v>0</v>
      </c>
      <c r="L162" s="14">
        <f>IFERROR(K162/K327, "NA")</f>
      </c>
      <c r="M162" s="15"/>
      <c r="N162" s="13">
        <v>622.07000000000005</v>
      </c>
      <c r="O162" s="14">
        <f>IFERROR(N162/N327, "NA")</f>
      </c>
    </row>
    <row r="163" ht="16.5" customHeight="1">
      <c t="s" r="A163" s="12">
        <v>166</v>
      </c>
      <c r="B163" s="13">
        <v>0</v>
      </c>
      <c r="C163" s="14">
        <f>IFERROR(B163/B327, "NA")</f>
      </c>
      <c r="D163" s="15"/>
      <c r="E163" s="13">
        <v>2912.8099999999999</v>
      </c>
      <c r="F163" s="14">
        <f>IFERROR(E163/E327, "NA")</f>
      </c>
      <c r="G163" s="15"/>
      <c r="H163" s="13">
        <v>0</v>
      </c>
      <c r="I163" s="14">
        <f>IFERROR(H163/H327, "NA")</f>
      </c>
      <c r="J163" s="15"/>
      <c r="K163" s="13">
        <v>0</v>
      </c>
      <c r="L163" s="14">
        <f>IFERROR(K163/K327, "NA")</f>
      </c>
      <c r="M163" s="15"/>
      <c r="N163" s="13">
        <v>0</v>
      </c>
      <c r="O163" s="14">
        <f>IFERROR(N163/N327, "NA")</f>
      </c>
    </row>
    <row r="164" ht="16.5" customHeight="1">
      <c t="s" r="A164" s="12">
        <v>167</v>
      </c>
      <c r="B164" s="13">
        <v>0</v>
      </c>
      <c r="C164" s="14">
        <f>IFERROR(B164/B327, "NA")</f>
      </c>
      <c r="D164" s="15"/>
      <c r="E164" s="13">
        <v>0</v>
      </c>
      <c r="F164" s="14">
        <f>IFERROR(E164/E327, "NA")</f>
      </c>
      <c r="G164" s="15"/>
      <c r="H164" s="13">
        <v>0</v>
      </c>
      <c r="I164" s="14">
        <f>IFERROR(H164/H327, "NA")</f>
      </c>
      <c r="J164" s="15"/>
      <c r="K164" s="13">
        <v>0</v>
      </c>
      <c r="L164" s="14">
        <f>IFERROR(K164/K327, "NA")</f>
      </c>
      <c r="M164" s="15"/>
      <c r="N164" s="13">
        <v>0</v>
      </c>
      <c r="O164" s="14">
        <f>IFERROR(N164/N327, "NA")</f>
      </c>
    </row>
    <row r="165" ht="16.5" customHeight="1">
      <c t="s" r="A165" s="12">
        <v>168</v>
      </c>
      <c r="B165" s="13">
        <v>0</v>
      </c>
      <c r="C165" s="14">
        <f>IFERROR(B165/B327, "NA")</f>
      </c>
      <c r="D165" s="15"/>
      <c r="E165" s="13">
        <v>304.56</v>
      </c>
      <c r="F165" s="14">
        <f>IFERROR(E165/E327, "NA")</f>
      </c>
      <c r="G165" s="15"/>
      <c r="H165" s="13">
        <v>609.12</v>
      </c>
      <c r="I165" s="14">
        <f>IFERROR(H165/H327, "NA")</f>
      </c>
      <c r="J165" s="15"/>
      <c r="K165" s="13">
        <v>315.06</v>
      </c>
      <c r="L165" s="14">
        <f>IFERROR(K165/K327, "NA")</f>
      </c>
      <c r="M165" s="15"/>
      <c r="N165" s="13">
        <v>630.12</v>
      </c>
      <c r="O165" s="14">
        <f>IFERROR(N165/N327, "NA")</f>
      </c>
    </row>
    <row r="166" ht="16.5" customHeight="1">
      <c t="s" r="A166" s="12">
        <v>169</v>
      </c>
      <c r="B166" s="13">
        <v>0</v>
      </c>
      <c r="C166" s="14">
        <f>IFERROR(B166/B327, "NA")</f>
      </c>
      <c r="D166" s="15"/>
      <c r="E166" s="13">
        <v>352.5</v>
      </c>
      <c r="F166" s="14">
        <f>IFERROR(E166/E327, "NA")</f>
      </c>
      <c r="G166" s="15"/>
      <c r="H166" s="13">
        <v>803</v>
      </c>
      <c r="I166" s="14">
        <f>IFERROR(H166/H327, "NA")</f>
      </c>
      <c r="J166" s="15"/>
      <c r="K166" s="13">
        <v>704.75</v>
      </c>
      <c r="L166" s="14">
        <f>IFERROR(K166/K327, "NA")</f>
      </c>
      <c r="M166" s="15"/>
      <c r="N166" s="13">
        <v>474.75</v>
      </c>
      <c r="O166" s="14">
        <f>IFERROR(N166/N327, "NA")</f>
      </c>
    </row>
    <row r="167" ht="16.5" customHeight="1">
      <c t="s" r="A167" s="12">
        <v>170</v>
      </c>
      <c r="B167" s="13">
        <v>0</v>
      </c>
      <c r="C167" s="14">
        <f>IFERROR(B167/B327, "NA")</f>
      </c>
      <c r="D167" s="15"/>
      <c r="E167" s="13">
        <v>818.61000000000001</v>
      </c>
      <c r="F167" s="14">
        <f>IFERROR(E167/E327, "NA")</f>
      </c>
      <c r="G167" s="15"/>
      <c r="H167" s="13">
        <v>755</v>
      </c>
      <c r="I167" s="14">
        <f>IFERROR(H167/H327, "NA")</f>
      </c>
      <c r="J167" s="15"/>
      <c r="K167" s="13">
        <v>802.5</v>
      </c>
      <c r="L167" s="14">
        <f>IFERROR(K167/K327, "NA")</f>
      </c>
      <c r="M167" s="15"/>
      <c r="N167" s="13">
        <v>723.10000000000002</v>
      </c>
      <c r="O167" s="14">
        <f>IFERROR(N167/N327, "NA")</f>
      </c>
    </row>
    <row r="168" ht="16.5" customHeight="1">
      <c t="s" r="A168" s="12">
        <v>171</v>
      </c>
      <c r="B168" s="13">
        <v>0</v>
      </c>
      <c r="C168" s="14">
        <f>IFERROR(B168/B327, "NA")</f>
      </c>
      <c r="D168" s="15"/>
      <c r="E168" s="13">
        <v>2644.9099999999999</v>
      </c>
      <c r="F168" s="14">
        <f>IFERROR(E168/E327, "NA")</f>
      </c>
      <c r="G168" s="15"/>
      <c r="H168" s="13">
        <v>1756.1600000000001</v>
      </c>
      <c r="I168" s="14">
        <f>IFERROR(H168/H327, "NA")</f>
      </c>
      <c r="J168" s="15"/>
      <c r="K168" s="13">
        <v>1826.8299999999999</v>
      </c>
      <c r="L168" s="14">
        <f>IFERROR(K168/K327, "NA")</f>
      </c>
      <c r="M168" s="15"/>
      <c r="N168" s="13">
        <v>2024.3800000000001</v>
      </c>
      <c r="O168" s="14">
        <f>IFERROR(N168/N327, "NA")</f>
      </c>
    </row>
    <row r="169" ht="16.5" customHeight="1">
      <c t="s" r="A169" s="12">
        <v>172</v>
      </c>
      <c r="B169" s="13">
        <v>0</v>
      </c>
      <c r="C169" s="14">
        <f>IFERROR(B169/B327, "NA")</f>
      </c>
      <c r="D169" s="15"/>
      <c r="E169" s="13">
        <v>0</v>
      </c>
      <c r="F169" s="14">
        <f>IFERROR(E169/E327, "NA")</f>
      </c>
      <c r="G169" s="15"/>
      <c r="H169" s="13">
        <v>0</v>
      </c>
      <c r="I169" s="14">
        <f>IFERROR(H169/H327, "NA")</f>
      </c>
      <c r="J169" s="15"/>
      <c r="K169" s="13">
        <v>0</v>
      </c>
      <c r="L169" s="14">
        <f>IFERROR(K169/K327, "NA")</f>
      </c>
      <c r="M169" s="15"/>
      <c r="N169" s="13">
        <v>0</v>
      </c>
      <c r="O169" s="14">
        <f>IFERROR(N169/N327, "NA")</f>
      </c>
    </row>
    <row r="170" ht="16.5" customHeight="1">
      <c t="s" r="A170" s="12">
        <v>173</v>
      </c>
      <c r="B170" s="13">
        <v>1514.74</v>
      </c>
      <c r="C170" s="14">
        <f>IFERROR(B170/B327, "NA")</f>
      </c>
      <c r="D170" s="15"/>
      <c r="E170" s="13">
        <v>2818.98</v>
      </c>
      <c r="F170" s="14">
        <f>IFERROR(E170/E327, "NA")</f>
      </c>
      <c r="G170" s="15"/>
      <c r="H170" s="13">
        <v>765.10000000000002</v>
      </c>
      <c r="I170" s="14">
        <f>IFERROR(H170/H327, "NA")</f>
      </c>
      <c r="J170" s="15"/>
      <c r="K170" s="13">
        <v>275.47000000000003</v>
      </c>
      <c r="L170" s="14">
        <f>IFERROR(K170/K327, "NA")</f>
      </c>
      <c r="M170" s="15"/>
      <c r="N170" s="13">
        <v>-710.50999999999999</v>
      </c>
      <c r="O170" s="14">
        <f>IFERROR(N170/N327, "NA")</f>
      </c>
    </row>
    <row r="171" ht="16.5" customHeight="1">
      <c t="s" r="A171" s="12">
        <v>174</v>
      </c>
      <c r="B171" s="13">
        <v>0</v>
      </c>
      <c r="C171" s="14">
        <f>IFERROR(B171/B327, "NA")</f>
      </c>
      <c r="D171" s="15"/>
      <c r="E171" s="13">
        <v>0</v>
      </c>
      <c r="F171" s="14">
        <f>IFERROR(E171/E327, "NA")</f>
      </c>
      <c r="G171" s="15"/>
      <c r="H171" s="13">
        <v>0</v>
      </c>
      <c r="I171" s="14">
        <f>IFERROR(H171/H327, "NA")</f>
      </c>
      <c r="J171" s="15"/>
      <c r="K171" s="13">
        <v>0</v>
      </c>
      <c r="L171" s="14">
        <f>IFERROR(K171/K327, "NA")</f>
      </c>
      <c r="M171" s="15"/>
      <c r="N171" s="13">
        <v>0</v>
      </c>
      <c r="O171" s="14">
        <f>IFERROR(N171/N327, "NA")</f>
      </c>
    </row>
    <row r="172" ht="16.5" customHeight="1">
      <c t="s" r="A172" s="12">
        <v>175</v>
      </c>
      <c r="B172" s="13">
        <v>0</v>
      </c>
      <c r="C172" s="14">
        <f>IFERROR(B172/B327, "NA")</f>
      </c>
      <c r="D172" s="15"/>
      <c r="E172" s="13">
        <v>0</v>
      </c>
      <c r="F172" s="14">
        <f>IFERROR(E172/E327, "NA")</f>
      </c>
      <c r="G172" s="15"/>
      <c r="H172" s="13">
        <v>0</v>
      </c>
      <c r="I172" s="14">
        <f>IFERROR(H172/H327, "NA")</f>
      </c>
      <c r="J172" s="15"/>
      <c r="K172" s="13">
        <v>0</v>
      </c>
      <c r="L172" s="14">
        <f>IFERROR(K172/K327, "NA")</f>
      </c>
      <c r="M172" s="15"/>
      <c r="N172" s="13">
        <v>0</v>
      </c>
      <c r="O172" s="14">
        <f>IFERROR(N172/N327, "NA")</f>
      </c>
    </row>
    <row r="173" ht="16.5" customHeight="1">
      <c t="s" r="A173" s="12">
        <v>176</v>
      </c>
      <c r="B173" s="13">
        <v>0</v>
      </c>
      <c r="C173" s="14">
        <f>IFERROR(B173/B327, "NA")</f>
      </c>
      <c r="D173" s="15"/>
      <c r="E173" s="13">
        <v>0</v>
      </c>
      <c r="F173" s="14">
        <f>IFERROR(E173/E327, "NA")</f>
      </c>
      <c r="G173" s="15"/>
      <c r="H173" s="13">
        <v>0</v>
      </c>
      <c r="I173" s="14">
        <f>IFERROR(H173/H327, "NA")</f>
      </c>
      <c r="J173" s="15"/>
      <c r="K173" s="13">
        <v>0</v>
      </c>
      <c r="L173" s="14">
        <f>IFERROR(K173/K327, "NA")</f>
      </c>
      <c r="M173" s="15"/>
      <c r="N173" s="13">
        <v>0</v>
      </c>
      <c r="O173" s="14">
        <f>IFERROR(N173/N327, "NA")</f>
      </c>
    </row>
    <row r="174" ht="16.5" customHeight="1">
      <c t="s" r="A174" s="12">
        <v>177</v>
      </c>
      <c r="B174" s="13">
        <v>0</v>
      </c>
      <c r="C174" s="14">
        <f>IFERROR(B174/B327, "NA")</f>
      </c>
      <c r="D174" s="15"/>
      <c r="E174" s="13">
        <v>0</v>
      </c>
      <c r="F174" s="14">
        <f>IFERROR(E174/E327, "NA")</f>
      </c>
      <c r="G174" s="15"/>
      <c r="H174" s="13">
        <v>0</v>
      </c>
      <c r="I174" s="14">
        <f>IFERROR(H174/H327, "NA")</f>
      </c>
      <c r="J174" s="15"/>
      <c r="K174" s="13">
        <v>898.35000000000002</v>
      </c>
      <c r="L174" s="14">
        <f>IFERROR(K174/K327, "NA")</f>
      </c>
      <c r="M174" s="15"/>
      <c r="N174" s="13">
        <v>0</v>
      </c>
      <c r="O174" s="14">
        <f>IFERROR(N174/N327, "NA")</f>
      </c>
    </row>
    <row r="175" ht="16.5" customHeight="1">
      <c t="s" r="A175" s="12">
        <v>178</v>
      </c>
      <c r="B175" s="13">
        <v>127.98999999999999</v>
      </c>
      <c r="C175" s="14">
        <f>IFERROR(B175/B327, "NA")</f>
      </c>
      <c r="D175" s="15"/>
      <c r="E175" s="13">
        <v>1486.53</v>
      </c>
      <c r="F175" s="14">
        <f>IFERROR(E175/E327, "NA")</f>
      </c>
      <c r="G175" s="15"/>
      <c r="H175" s="13">
        <v>1409.45</v>
      </c>
      <c r="I175" s="14">
        <f>IFERROR(H175/H327, "NA")</f>
      </c>
      <c r="J175" s="15"/>
      <c r="K175" s="13">
        <v>864.03999999999996</v>
      </c>
      <c r="L175" s="14">
        <f>IFERROR(K175/K327, "NA")</f>
      </c>
      <c r="M175" s="15"/>
      <c r="N175" s="13">
        <v>1424.8</v>
      </c>
      <c r="O175" s="14">
        <f>IFERROR(N175/N327, "NA")</f>
      </c>
    </row>
    <row r="176" ht="16.5" customHeight="1">
      <c t="s" r="A176" s="12">
        <v>179</v>
      </c>
      <c r="B176" s="13">
        <v>0</v>
      </c>
      <c r="C176" s="14">
        <f>IFERROR(B176/B327, "NA")</f>
      </c>
      <c r="D176" s="15"/>
      <c r="E176" s="13">
        <v>249.75</v>
      </c>
      <c r="F176" s="14">
        <f>IFERROR(E176/E327, "NA")</f>
      </c>
      <c r="G176" s="15"/>
      <c r="H176" s="13">
        <v>859.22000000000003</v>
      </c>
      <c r="I176" s="14">
        <f>IFERROR(H176/H327, "NA")</f>
      </c>
      <c r="J176" s="15"/>
      <c r="K176" s="13">
        <v>389.26999999999998</v>
      </c>
      <c r="L176" s="14">
        <f>IFERROR(K176/K327, "NA")</f>
      </c>
      <c r="M176" s="15"/>
      <c r="N176" s="13">
        <v>391.81999999999999</v>
      </c>
      <c r="O176" s="14">
        <f>IFERROR(N176/N327, "NA")</f>
      </c>
    </row>
    <row r="177" ht="16.5" customHeight="1">
      <c t="s" r="A177" s="12">
        <v>180</v>
      </c>
      <c r="B177" s="13">
        <v>0</v>
      </c>
      <c r="C177" s="14">
        <f>IFERROR(B177/B327, "NA")</f>
      </c>
      <c r="D177" s="15"/>
      <c r="E177" s="13">
        <v>1068.9400000000001</v>
      </c>
      <c r="F177" s="14">
        <f>IFERROR(E177/E327, "NA")</f>
      </c>
      <c r="G177" s="15"/>
      <c r="H177" s="13">
        <v>1084.54</v>
      </c>
      <c r="I177" s="14">
        <f>IFERROR(H177/H327, "NA")</f>
      </c>
      <c r="J177" s="15"/>
      <c r="K177" s="13">
        <v>806.46000000000004</v>
      </c>
      <c r="L177" s="14">
        <f>IFERROR(K177/K327, "NA")</f>
      </c>
      <c r="M177" s="15"/>
      <c r="N177" s="13">
        <v>506.05000000000001</v>
      </c>
      <c r="O177" s="14">
        <f>IFERROR(N177/N327, "NA")</f>
      </c>
    </row>
    <row r="178" ht="16.5" customHeight="1">
      <c t="s" r="A178" s="12">
        <v>181</v>
      </c>
      <c r="B178" s="13">
        <v>0</v>
      </c>
      <c r="C178" s="14">
        <f>IFERROR(B178/B327, "NA")</f>
      </c>
      <c r="D178" s="15"/>
      <c r="E178" s="13">
        <v>233.53999999999999</v>
      </c>
      <c r="F178" s="14">
        <f>IFERROR(E178/E327, "NA")</f>
      </c>
      <c r="G178" s="15"/>
      <c r="H178" s="13">
        <v>2.4300000000000002</v>
      </c>
      <c r="I178" s="14">
        <f>IFERROR(H178/H327, "NA")</f>
      </c>
      <c r="J178" s="15"/>
      <c r="K178" s="13">
        <v>12136.219999999999</v>
      </c>
      <c r="L178" s="14">
        <f>IFERROR(K178/K327, "NA")</f>
      </c>
      <c r="M178" s="15"/>
      <c r="N178" s="13">
        <v>2.4300000000000002</v>
      </c>
      <c r="O178" s="14">
        <f>IFERROR(N178/N327, "NA")</f>
      </c>
    </row>
    <row r="179" ht="16.5" customHeight="1">
      <c t="s" r="A179" s="12">
        <v>182</v>
      </c>
      <c r="B179" s="13">
        <v>805.13999999999999</v>
      </c>
      <c r="C179" s="14">
        <f>IFERROR(B179/B327, "NA")</f>
      </c>
      <c r="D179" s="15"/>
      <c r="E179" s="13">
        <v>445.51999999999998</v>
      </c>
      <c r="F179" s="14">
        <f>IFERROR(E179/E327, "NA")</f>
      </c>
      <c r="G179" s="15"/>
      <c r="H179" s="13">
        <v>383.42000000000002</v>
      </c>
      <c r="I179" s="14">
        <f>IFERROR(H179/H327, "NA")</f>
      </c>
      <c r="J179" s="15"/>
      <c r="K179" s="13">
        <v>445.51999999999998</v>
      </c>
      <c r="L179" s="14">
        <f>IFERROR(K179/K327, "NA")</f>
      </c>
      <c r="M179" s="15"/>
      <c r="N179" s="13">
        <v>383.42000000000002</v>
      </c>
      <c r="O179" s="14">
        <f>IFERROR(N179/N327, "NA")</f>
      </c>
    </row>
    <row r="180" ht="16.5" customHeight="1">
      <c t="s" r="A180" s="12">
        <v>183</v>
      </c>
      <c r="B180" s="13">
        <v>0</v>
      </c>
      <c r="C180" s="14">
        <f>IFERROR(B180/B327, "NA")</f>
      </c>
      <c r="D180" s="15"/>
      <c r="E180" s="13">
        <v>0</v>
      </c>
      <c r="F180" s="14">
        <f>IFERROR(E180/E327, "NA")</f>
      </c>
      <c r="G180" s="15"/>
      <c r="H180" s="13">
        <v>0</v>
      </c>
      <c r="I180" s="14">
        <f>IFERROR(H180/H327, "NA")</f>
      </c>
      <c r="J180" s="15"/>
      <c r="K180" s="13">
        <v>0</v>
      </c>
      <c r="L180" s="14">
        <f>IFERROR(K180/K327, "NA")</f>
      </c>
      <c r="M180" s="15"/>
      <c r="N180" s="13">
        <v>0</v>
      </c>
      <c r="O180" s="14">
        <f>IFERROR(N180/N327, "NA")</f>
      </c>
    </row>
    <row r="181" ht="16.5" customHeight="1">
      <c t="s" r="A181" s="12">
        <v>184</v>
      </c>
      <c r="B181" s="13">
        <v>0</v>
      </c>
      <c r="C181" s="14">
        <f>IFERROR(B181/B327, "NA")</f>
      </c>
      <c r="D181" s="15"/>
      <c r="E181" s="13">
        <v>0</v>
      </c>
      <c r="F181" s="14">
        <f>IFERROR(E181/E327, "NA")</f>
      </c>
      <c r="G181" s="15"/>
      <c r="H181" s="13">
        <v>0</v>
      </c>
      <c r="I181" s="14">
        <f>IFERROR(H181/H327, "NA")</f>
      </c>
      <c r="J181" s="15"/>
      <c r="K181" s="13">
        <v>0</v>
      </c>
      <c r="L181" s="14">
        <f>IFERROR(K181/K327, "NA")</f>
      </c>
      <c r="M181" s="15"/>
      <c r="N181" s="13">
        <v>0</v>
      </c>
      <c r="O181" s="14">
        <f>IFERROR(N181/N327, "NA")</f>
      </c>
    </row>
    <row r="182" ht="16.5" customHeight="1">
      <c t="s" r="A182" s="12">
        <v>185</v>
      </c>
      <c r="B182" s="13">
        <v>0</v>
      </c>
      <c r="C182" s="14">
        <f>IFERROR(B182/B327, "NA")</f>
      </c>
      <c r="D182" s="15"/>
      <c r="E182" s="13">
        <v>0</v>
      </c>
      <c r="F182" s="14">
        <f>IFERROR(E182/E327, "NA")</f>
      </c>
      <c r="G182" s="15"/>
      <c r="H182" s="13">
        <v>0</v>
      </c>
      <c r="I182" s="14">
        <f>IFERROR(H182/H327, "NA")</f>
      </c>
      <c r="J182" s="15"/>
      <c r="K182" s="13">
        <v>240.88</v>
      </c>
      <c r="L182" s="14">
        <f>IFERROR(K182/K327, "NA")</f>
      </c>
      <c r="M182" s="15"/>
      <c r="N182" s="13">
        <v>142.86000000000001</v>
      </c>
      <c r="O182" s="14">
        <f>IFERROR(N182/N327, "NA")</f>
      </c>
    </row>
    <row r="183" ht="16.5" customHeight="1">
      <c t="s" r="A183" s="12">
        <v>186</v>
      </c>
      <c r="B183" s="13">
        <v>421.86000000000001</v>
      </c>
      <c r="C183" s="14">
        <f>IFERROR(B183/B327, "NA")</f>
      </c>
      <c r="D183" s="15"/>
      <c r="E183" s="13">
        <v>493.75</v>
      </c>
      <c r="F183" s="14">
        <f>IFERROR(E183/E327, "NA")</f>
      </c>
      <c r="G183" s="15"/>
      <c r="H183" s="13">
        <v>511.36000000000001</v>
      </c>
      <c r="I183" s="14">
        <f>IFERROR(H183/H327, "NA")</f>
      </c>
      <c r="J183" s="15"/>
      <c r="K183" s="13">
        <v>1508.0599999999999</v>
      </c>
      <c r="L183" s="14">
        <f>IFERROR(K183/K327, "NA")</f>
      </c>
      <c r="M183" s="15"/>
      <c r="N183" s="13">
        <v>871.73000000000002</v>
      </c>
      <c r="O183" s="14">
        <f>IFERROR(N183/N327, "NA")</f>
      </c>
    </row>
    <row r="184" ht="16.5" customHeight="1">
      <c t="s" r="A184" s="12">
        <v>187</v>
      </c>
      <c r="B184" s="13">
        <v>0</v>
      </c>
      <c r="C184" s="14">
        <f>IFERROR(B184/B327, "NA")</f>
      </c>
      <c r="D184" s="15"/>
      <c r="E184" s="13">
        <v>0</v>
      </c>
      <c r="F184" s="14">
        <f>IFERROR(E184/E327, "NA")</f>
      </c>
      <c r="G184" s="15"/>
      <c r="H184" s="13">
        <v>0</v>
      </c>
      <c r="I184" s="14">
        <f>IFERROR(H184/H327, "NA")</f>
      </c>
      <c r="J184" s="15"/>
      <c r="K184" s="13">
        <v>0</v>
      </c>
      <c r="L184" s="14">
        <f>IFERROR(K184/K327, "NA")</f>
      </c>
      <c r="M184" s="15"/>
      <c r="N184" s="13">
        <v>0</v>
      </c>
      <c r="O184" s="14">
        <f>IFERROR(N184/N327, "NA")</f>
      </c>
    </row>
    <row r="185" ht="16.5" customHeight="1">
      <c t="s" r="A185" s="12">
        <v>188</v>
      </c>
      <c r="B185" s="13">
        <v>0</v>
      </c>
      <c r="C185" s="14">
        <f>IFERROR(B185/B327, "NA")</f>
      </c>
      <c r="D185" s="15"/>
      <c r="E185" s="13">
        <v>0</v>
      </c>
      <c r="F185" s="14">
        <f>IFERROR(E185/E327, "NA")</f>
      </c>
      <c r="G185" s="15"/>
      <c r="H185" s="13">
        <v>0</v>
      </c>
      <c r="I185" s="14">
        <f>IFERROR(H185/H327, "NA")</f>
      </c>
      <c r="J185" s="15"/>
      <c r="K185" s="13">
        <v>0</v>
      </c>
      <c r="L185" s="14">
        <f>IFERROR(K185/K327, "NA")</f>
      </c>
      <c r="M185" s="15"/>
      <c r="N185" s="13">
        <v>0</v>
      </c>
      <c r="O185" s="14">
        <f>IFERROR(N185/N327, "NA")</f>
      </c>
    </row>
    <row r="186" ht="16.5" customHeight="1">
      <c t="s" r="A186" s="12">
        <v>189</v>
      </c>
      <c r="B186" s="13">
        <v>0</v>
      </c>
      <c r="C186" s="14">
        <f>IFERROR(B186/B327, "NA")</f>
      </c>
      <c r="D186" s="15"/>
      <c r="E186" s="13">
        <v>0</v>
      </c>
      <c r="F186" s="14">
        <f>IFERROR(E186/E327, "NA")</f>
      </c>
      <c r="G186" s="15"/>
      <c r="H186" s="13">
        <v>0</v>
      </c>
      <c r="I186" s="14">
        <f>IFERROR(H186/H327, "NA")</f>
      </c>
      <c r="J186" s="15"/>
      <c r="K186" s="13">
        <v>0</v>
      </c>
      <c r="L186" s="14">
        <f>IFERROR(K186/K327, "NA")</f>
      </c>
      <c r="M186" s="15"/>
      <c r="N186" s="13">
        <v>0</v>
      </c>
      <c r="O186" s="14">
        <f>IFERROR(N186/N327, "NA")</f>
      </c>
    </row>
    <row r="187" ht="16.5" customHeight="1">
      <c t="s" r="A187" s="12">
        <v>190</v>
      </c>
      <c r="B187" s="13">
        <v>0</v>
      </c>
      <c r="C187" s="14">
        <f>IFERROR(B187/B327, "NA")</f>
      </c>
      <c r="D187" s="15"/>
      <c r="E187" s="13">
        <v>0</v>
      </c>
      <c r="F187" s="14">
        <f>IFERROR(E187/E327, "NA")</f>
      </c>
      <c r="G187" s="15"/>
      <c r="H187" s="13">
        <v>0</v>
      </c>
      <c r="I187" s="14">
        <f>IFERROR(H187/H327, "NA")</f>
      </c>
      <c r="J187" s="15"/>
      <c r="K187" s="13">
        <v>0</v>
      </c>
      <c r="L187" s="14">
        <f>IFERROR(K187/K327, "NA")</f>
      </c>
      <c r="M187" s="15"/>
      <c r="N187" s="13">
        <v>0</v>
      </c>
      <c r="O187" s="14">
        <f>IFERROR(N187/N327, "NA")</f>
      </c>
    </row>
    <row r="188" ht="16.5" customHeight="1">
      <c t="s" r="A188" s="12">
        <v>191</v>
      </c>
      <c r="B188" s="13">
        <v>0</v>
      </c>
      <c r="C188" s="14">
        <f>IFERROR(B188/B327, "NA")</f>
      </c>
      <c r="D188" s="15"/>
      <c r="E188" s="13">
        <v>1990</v>
      </c>
      <c r="F188" s="14">
        <f>IFERROR(E188/E327, "NA")</f>
      </c>
      <c r="G188" s="15"/>
      <c r="H188" s="13">
        <v>0</v>
      </c>
      <c r="I188" s="14">
        <f>IFERROR(H188/H327, "NA")</f>
      </c>
      <c r="J188" s="15"/>
      <c r="K188" s="13">
        <v>0</v>
      </c>
      <c r="L188" s="14">
        <f>IFERROR(K188/K327, "NA")</f>
      </c>
      <c r="M188" s="15"/>
      <c r="N188" s="13">
        <v>970</v>
      </c>
      <c r="O188" s="14">
        <f>IFERROR(N188/N327, "NA")</f>
      </c>
    </row>
    <row r="189" ht="16.5" customHeight="1">
      <c t="s" r="A189" s="12">
        <v>192</v>
      </c>
      <c r="B189" s="13">
        <v>113.70999999999999</v>
      </c>
      <c r="C189" s="14">
        <f>IFERROR(B189/B327, "NA")</f>
      </c>
      <c r="D189" s="15"/>
      <c r="E189" s="13">
        <v>92.140000000000001</v>
      </c>
      <c r="F189" s="14">
        <f>IFERROR(E189/E327, "NA")</f>
      </c>
      <c r="G189" s="15"/>
      <c r="H189" s="13">
        <v>40.420000000000002</v>
      </c>
      <c r="I189" s="14">
        <f>IFERROR(H189/H327, "NA")</f>
      </c>
      <c r="J189" s="15"/>
      <c r="K189" s="13">
        <v>4050.6599999999999</v>
      </c>
      <c r="L189" s="14">
        <f>IFERROR(K189/K327, "NA")</f>
      </c>
      <c r="M189" s="15"/>
      <c r="N189" s="13">
        <v>484</v>
      </c>
      <c r="O189" s="14">
        <f>IFERROR(N189/N327, "NA")</f>
      </c>
    </row>
    <row r="190" ht="16.5" customHeight="1">
      <c t="s" r="A190" s="12">
        <v>193</v>
      </c>
      <c r="B190" s="13">
        <v>0</v>
      </c>
      <c r="C190" s="14">
        <f>IFERROR(B190/B327, "NA")</f>
      </c>
      <c r="D190" s="15"/>
      <c r="E190" s="13">
        <v>0</v>
      </c>
      <c r="F190" s="14">
        <f>IFERROR(E190/E327, "NA")</f>
      </c>
      <c r="G190" s="15"/>
      <c r="H190" s="13">
        <v>0</v>
      </c>
      <c r="I190" s="14">
        <f>IFERROR(H190/H327, "NA")</f>
      </c>
      <c r="J190" s="15"/>
      <c r="K190" s="13">
        <v>0</v>
      </c>
      <c r="L190" s="14">
        <f>IFERROR(K190/K327, "NA")</f>
      </c>
      <c r="M190" s="15"/>
      <c r="N190" s="13">
        <v>0</v>
      </c>
      <c r="O190" s="14">
        <f>IFERROR(N190/N327, "NA")</f>
      </c>
    </row>
    <row r="191" ht="16.5" customHeight="1">
      <c t="s" r="A191" s="12">
        <v>194</v>
      </c>
      <c r="B191" s="13">
        <v>0</v>
      </c>
      <c r="C191" s="14">
        <f>IFERROR(B191/B327, "NA")</f>
      </c>
      <c r="D191" s="15"/>
      <c r="E191" s="13">
        <v>0</v>
      </c>
      <c r="F191" s="14">
        <f>IFERROR(E191/E327, "NA")</f>
      </c>
      <c r="G191" s="15"/>
      <c r="H191" s="13">
        <v>0</v>
      </c>
      <c r="I191" s="14">
        <f>IFERROR(H191/H327, "NA")</f>
      </c>
      <c r="J191" s="15"/>
      <c r="K191" s="13">
        <v>0</v>
      </c>
      <c r="L191" s="14">
        <f>IFERROR(K191/K327, "NA")</f>
      </c>
      <c r="M191" s="15"/>
      <c r="N191" s="13">
        <v>0</v>
      </c>
      <c r="O191" s="14">
        <f>IFERROR(N191/N327, "NA")</f>
      </c>
    </row>
    <row r="192" ht="16.5" customHeight="1">
      <c t="s" r="A192" s="12">
        <v>195</v>
      </c>
      <c r="B192" s="13">
        <v>0</v>
      </c>
      <c r="C192" s="14">
        <f>IFERROR(B192/B327, "NA")</f>
      </c>
      <c r="D192" s="15"/>
      <c r="E192" s="13">
        <v>0</v>
      </c>
      <c r="F192" s="14">
        <f>IFERROR(E192/E327, "NA")</f>
      </c>
      <c r="G192" s="15"/>
      <c r="H192" s="13">
        <v>0</v>
      </c>
      <c r="I192" s="14">
        <f>IFERROR(H192/H327, "NA")</f>
      </c>
      <c r="J192" s="15"/>
      <c r="K192" s="13">
        <v>1495</v>
      </c>
      <c r="L192" s="14">
        <f>IFERROR(K192/K327, "NA")</f>
      </c>
      <c r="M192" s="15"/>
      <c r="N192" s="13">
        <v>431.69</v>
      </c>
      <c r="O192" s="14">
        <f>IFERROR(N192/N327, "NA")</f>
      </c>
    </row>
    <row r="193" ht="16.5" customHeight="1">
      <c t="s" r="A193" s="12">
        <v>196</v>
      </c>
      <c r="B193" s="13">
        <v>4306.75</v>
      </c>
      <c r="C193" s="14">
        <f>IFERROR(B193/B327, "NA")</f>
      </c>
      <c r="D193" s="15"/>
      <c r="E193" s="13">
        <v>4467.25</v>
      </c>
      <c r="F193" s="14">
        <f>IFERROR(E193/E327, "NA")</f>
      </c>
      <c r="G193" s="15"/>
      <c r="H193" s="13">
        <v>4306.75</v>
      </c>
      <c r="I193" s="14">
        <f>IFERROR(H193/H327, "NA")</f>
      </c>
      <c r="J193" s="15"/>
      <c r="K193" s="13">
        <v>4413.75</v>
      </c>
      <c r="L193" s="14">
        <f>IFERROR(K193/K327, "NA")</f>
      </c>
      <c r="M193" s="15"/>
      <c r="N193" s="13">
        <v>4413.75</v>
      </c>
      <c r="O193" s="14">
        <f>IFERROR(N193/N327, "NA")</f>
      </c>
    </row>
    <row r="194" ht="16.5" customHeight="1">
      <c t="s" r="A194" s="12">
        <v>197</v>
      </c>
      <c r="B194" s="13">
        <v>0</v>
      </c>
      <c r="C194" s="14">
        <f>IFERROR(B194/B327, "NA")</f>
      </c>
      <c r="D194" s="15"/>
      <c r="E194" s="13">
        <v>0</v>
      </c>
      <c r="F194" s="14">
        <f>IFERROR(E194/E327, "NA")</f>
      </c>
      <c r="G194" s="15"/>
      <c r="H194" s="13">
        <v>0</v>
      </c>
      <c r="I194" s="14">
        <f>IFERROR(H194/H327, "NA")</f>
      </c>
      <c r="J194" s="15"/>
      <c r="K194" s="13">
        <v>0</v>
      </c>
      <c r="L194" s="14">
        <f>IFERROR(K194/K327, "NA")</f>
      </c>
      <c r="M194" s="15"/>
      <c r="N194" s="13">
        <v>0</v>
      </c>
      <c r="O194" s="14">
        <f>IFERROR(N194/N327, "NA")</f>
      </c>
    </row>
    <row r="195" ht="16.5" customHeight="1">
      <c t="s" r="A195" s="12">
        <v>198</v>
      </c>
      <c r="B195" s="13">
        <v>0</v>
      </c>
      <c r="C195" s="14">
        <f>IFERROR(B195/B327, "NA")</f>
      </c>
      <c r="D195" s="15"/>
      <c r="E195" s="13">
        <v>0</v>
      </c>
      <c r="F195" s="14">
        <f>IFERROR(E195/E327, "NA")</f>
      </c>
      <c r="G195" s="15"/>
      <c r="H195" s="13">
        <v>0</v>
      </c>
      <c r="I195" s="14">
        <f>IFERROR(H195/H327, "NA")</f>
      </c>
      <c r="J195" s="15"/>
      <c r="K195" s="13">
        <v>311.57999999999998</v>
      </c>
      <c r="L195" s="14">
        <f>IFERROR(K195/K327, "NA")</f>
      </c>
      <c r="M195" s="15"/>
      <c r="N195" s="13">
        <v>0</v>
      </c>
      <c r="O195" s="14">
        <f>IFERROR(N195/N327, "NA")</f>
      </c>
    </row>
    <row r="196" ht="16.5" customHeight="1">
      <c t="s" r="A196" s="12">
        <v>199</v>
      </c>
      <c r="B196" s="13">
        <v>1925</v>
      </c>
      <c r="C196" s="14">
        <f>IFERROR(B196/B327, "NA")</f>
      </c>
      <c r="D196" s="15"/>
      <c r="E196" s="13">
        <v>2100</v>
      </c>
      <c r="F196" s="14">
        <f>IFERROR(E196/E327, "NA")</f>
      </c>
      <c r="G196" s="15"/>
      <c r="H196" s="13">
        <v>3600</v>
      </c>
      <c r="I196" s="14">
        <f>IFERROR(H196/H327, "NA")</f>
      </c>
      <c r="J196" s="15"/>
      <c r="K196" s="13">
        <v>1816</v>
      </c>
      <c r="L196" s="14">
        <f>IFERROR(K196/K327, "NA")</f>
      </c>
      <c r="M196" s="15"/>
      <c r="N196" s="13">
        <v>0</v>
      </c>
      <c r="O196" s="14">
        <f>IFERROR(N196/N327, "NA")</f>
      </c>
    </row>
    <row r="197" ht="16.5" customHeight="1">
      <c t="s" r="A197" s="12">
        <v>200</v>
      </c>
      <c r="B197" s="13">
        <v>0</v>
      </c>
      <c r="C197" s="14">
        <f>IFERROR(B197/B327, "NA")</f>
      </c>
      <c r="D197" s="15"/>
      <c r="E197" s="13">
        <v>0</v>
      </c>
      <c r="F197" s="14">
        <f>IFERROR(E197/E327, "NA")</f>
      </c>
      <c r="G197" s="15"/>
      <c r="H197" s="13">
        <v>0</v>
      </c>
      <c r="I197" s="14">
        <f>IFERROR(H197/H327, "NA")</f>
      </c>
      <c r="J197" s="15"/>
      <c r="K197" s="13">
        <v>100</v>
      </c>
      <c r="L197" s="14">
        <f>IFERROR(K197/K327, "NA")</f>
      </c>
      <c r="M197" s="15"/>
      <c r="N197" s="13">
        <v>0</v>
      </c>
      <c r="O197" s="14">
        <f>IFERROR(N197/N327, "NA")</f>
      </c>
    </row>
    <row r="198" ht="16.5" customHeight="1">
      <c t="s" r="A198" s="12">
        <v>201</v>
      </c>
      <c r="B198" s="13">
        <v>0</v>
      </c>
      <c r="C198" s="14">
        <f>IFERROR(B198/B327, "NA")</f>
      </c>
      <c r="D198" s="15"/>
      <c r="E198" s="13">
        <v>0</v>
      </c>
      <c r="F198" s="14">
        <f>IFERROR(E198/E327, "NA")</f>
      </c>
      <c r="G198" s="15"/>
      <c r="H198" s="13">
        <v>0</v>
      </c>
      <c r="I198" s="14">
        <f>IFERROR(H198/H327, "NA")</f>
      </c>
      <c r="J198" s="15"/>
      <c r="K198" s="13">
        <v>0</v>
      </c>
      <c r="L198" s="14">
        <f>IFERROR(K198/K327, "NA")</f>
      </c>
      <c r="M198" s="15"/>
      <c r="N198" s="13">
        <v>0</v>
      </c>
      <c r="O198" s="14">
        <f>IFERROR(N198/N327, "NA")</f>
      </c>
    </row>
    <row r="199" ht="16.5" customHeight="1">
      <c t="s" r="A199" s="12">
        <v>202</v>
      </c>
      <c r="B199" s="13">
        <v>0</v>
      </c>
      <c r="C199" s="14">
        <f>IFERROR(B199/B327, "NA")</f>
      </c>
      <c r="D199" s="15"/>
      <c r="E199" s="13">
        <v>0</v>
      </c>
      <c r="F199" s="14">
        <f>IFERROR(E199/E327, "NA")</f>
      </c>
      <c r="G199" s="15"/>
      <c r="H199" s="13">
        <v>0</v>
      </c>
      <c r="I199" s="14">
        <f>IFERROR(H199/H327, "NA")</f>
      </c>
      <c r="J199" s="15"/>
      <c r="K199" s="13">
        <v>0</v>
      </c>
      <c r="L199" s="14">
        <f>IFERROR(K199/K327, "NA")</f>
      </c>
      <c r="M199" s="15"/>
      <c r="N199" s="13">
        <v>0</v>
      </c>
      <c r="O199" s="14">
        <f>IFERROR(N199/N327, "NA")</f>
      </c>
    </row>
    <row r="200" ht="16.5" customHeight="1">
      <c t="s" r="A200" s="12">
        <v>203</v>
      </c>
      <c r="B200" s="13">
        <v>0</v>
      </c>
      <c r="C200" s="14">
        <f>IFERROR(B200/B327, "NA")</f>
      </c>
      <c r="D200" s="15"/>
      <c r="E200" s="13">
        <v>0</v>
      </c>
      <c r="F200" s="14">
        <f>IFERROR(E200/E327, "NA")</f>
      </c>
      <c r="G200" s="15"/>
      <c r="H200" s="13">
        <v>0</v>
      </c>
      <c r="I200" s="14">
        <f>IFERROR(H200/H327, "NA")</f>
      </c>
      <c r="J200" s="15"/>
      <c r="K200" s="13">
        <v>0</v>
      </c>
      <c r="L200" s="14">
        <f>IFERROR(K200/K327, "NA")</f>
      </c>
      <c r="M200" s="15"/>
      <c r="N200" s="13">
        <v>0</v>
      </c>
      <c r="O200" s="14">
        <f>IFERROR(N200/N327, "NA")</f>
      </c>
    </row>
    <row r="201" ht="16.5" customHeight="1">
      <c t="s" r="A201" s="12">
        <v>204</v>
      </c>
      <c r="B201" s="13">
        <v>0</v>
      </c>
      <c r="C201" s="14">
        <f>IFERROR(B201/B327, "NA")</f>
      </c>
      <c r="D201" s="15"/>
      <c r="E201" s="13">
        <v>0</v>
      </c>
      <c r="F201" s="14">
        <f>IFERROR(E201/E327, "NA")</f>
      </c>
      <c r="G201" s="15"/>
      <c r="H201" s="13">
        <v>0</v>
      </c>
      <c r="I201" s="14">
        <f>IFERROR(H201/H327, "NA")</f>
      </c>
      <c r="J201" s="15"/>
      <c r="K201" s="13">
        <v>0</v>
      </c>
      <c r="L201" s="14">
        <f>IFERROR(K201/K327, "NA")</f>
      </c>
      <c r="M201" s="15"/>
      <c r="N201" s="13">
        <v>0</v>
      </c>
      <c r="O201" s="14">
        <f>IFERROR(N201/N327, "NA")</f>
      </c>
    </row>
    <row r="202" ht="16.5" customHeight="1">
      <c t="s" r="A202" s="12">
        <v>205</v>
      </c>
      <c r="B202" s="13">
        <v>0</v>
      </c>
      <c r="C202" s="14">
        <f>IFERROR(B202/B327, "NA")</f>
      </c>
      <c r="D202" s="15"/>
      <c r="E202" s="13">
        <v>0</v>
      </c>
      <c r="F202" s="14">
        <f>IFERROR(E202/E327, "NA")</f>
      </c>
      <c r="G202" s="15"/>
      <c r="H202" s="13">
        <v>0</v>
      </c>
      <c r="I202" s="14">
        <f>IFERROR(H202/H327, "NA")</f>
      </c>
      <c r="J202" s="15"/>
      <c r="K202" s="13">
        <v>0</v>
      </c>
      <c r="L202" s="14">
        <f>IFERROR(K202/K327, "NA")</f>
      </c>
      <c r="M202" s="15"/>
      <c r="N202" s="13">
        <v>0</v>
      </c>
      <c r="O202" s="14">
        <f>IFERROR(N202/N327, "NA")</f>
      </c>
    </row>
    <row r="203" ht="16.5" customHeight="1">
      <c t="s" r="A203" s="12">
        <v>206</v>
      </c>
      <c r="B203" s="13">
        <v>0</v>
      </c>
      <c r="C203" s="14">
        <f>IFERROR(B203/B327, "NA")</f>
      </c>
      <c r="D203" s="15"/>
      <c r="E203" s="13">
        <v>0</v>
      </c>
      <c r="F203" s="14">
        <f>IFERROR(E203/E327, "NA")</f>
      </c>
      <c r="G203" s="15"/>
      <c r="H203" s="13">
        <v>0</v>
      </c>
      <c r="I203" s="14">
        <f>IFERROR(H203/H327, "NA")</f>
      </c>
      <c r="J203" s="15"/>
      <c r="K203" s="13">
        <v>0</v>
      </c>
      <c r="L203" s="14">
        <f>IFERROR(K203/K327, "NA")</f>
      </c>
      <c r="M203" s="15"/>
      <c r="N203" s="13">
        <v>0</v>
      </c>
      <c r="O203" s="14">
        <f>IFERROR(N203/N327, "NA")</f>
      </c>
    </row>
    <row r="204" ht="16.5" customHeight="1">
      <c t="s" r="A204" s="12">
        <v>207</v>
      </c>
      <c r="B204" s="13">
        <v>0</v>
      </c>
      <c r="C204" s="14">
        <f>IFERROR(B204/B327, "NA")</f>
      </c>
      <c r="D204" s="15"/>
      <c r="E204" s="13">
        <v>0</v>
      </c>
      <c r="F204" s="14">
        <f>IFERROR(E204/E327, "NA")</f>
      </c>
      <c r="G204" s="15"/>
      <c r="H204" s="13">
        <v>0</v>
      </c>
      <c r="I204" s="14">
        <f>IFERROR(H204/H327, "NA")</f>
      </c>
      <c r="J204" s="15"/>
      <c r="K204" s="13">
        <v>0</v>
      </c>
      <c r="L204" s="14">
        <f>IFERROR(K204/K327, "NA")</f>
      </c>
      <c r="M204" s="15"/>
      <c r="N204" s="13">
        <v>0</v>
      </c>
      <c r="O204" s="14">
        <f>IFERROR(N204/N327, "NA")</f>
      </c>
    </row>
    <row r="205" ht="16.5" customHeight="1">
      <c t="s" r="A205" s="12">
        <v>208</v>
      </c>
      <c r="B205" s="13">
        <v>0</v>
      </c>
      <c r="C205" s="14">
        <f>IFERROR(B205/B327, "NA")</f>
      </c>
      <c r="D205" s="15"/>
      <c r="E205" s="13">
        <v>0</v>
      </c>
      <c r="F205" s="14">
        <f>IFERROR(E205/E327, "NA")</f>
      </c>
      <c r="G205" s="15"/>
      <c r="H205" s="13">
        <v>0</v>
      </c>
      <c r="I205" s="14">
        <f>IFERROR(H205/H327, "NA")</f>
      </c>
      <c r="J205" s="15"/>
      <c r="K205" s="13">
        <v>0</v>
      </c>
      <c r="L205" s="14">
        <f>IFERROR(K205/K327, "NA")</f>
      </c>
      <c r="M205" s="15"/>
      <c r="N205" s="13">
        <v>0</v>
      </c>
      <c r="O205" s="14">
        <f>IFERROR(N205/N327, "NA")</f>
      </c>
    </row>
    <row r="206" ht="16.5" customHeight="1">
      <c t="s" r="A206" s="12">
        <v>209</v>
      </c>
      <c r="B206" s="13">
        <v>0</v>
      </c>
      <c r="C206" s="14">
        <f>IFERROR(B206/B327, "NA")</f>
      </c>
      <c r="D206" s="15"/>
      <c r="E206" s="13">
        <v>0</v>
      </c>
      <c r="F206" s="14">
        <f>IFERROR(E206/E327, "NA")</f>
      </c>
      <c r="G206" s="15"/>
      <c r="H206" s="13">
        <v>0</v>
      </c>
      <c r="I206" s="14">
        <f>IFERROR(H206/H327, "NA")</f>
      </c>
      <c r="J206" s="15"/>
      <c r="K206" s="13">
        <v>0</v>
      </c>
      <c r="L206" s="14">
        <f>IFERROR(K206/K327, "NA")</f>
      </c>
      <c r="M206" s="15"/>
      <c r="N206" s="13">
        <v>0</v>
      </c>
      <c r="O206" s="14">
        <f>IFERROR(N206/N327, "NA")</f>
      </c>
    </row>
    <row r="207" ht="16.5" customHeight="1">
      <c t="s" r="A207" s="12">
        <v>210</v>
      </c>
      <c r="B207" s="13">
        <v>0</v>
      </c>
      <c r="C207" s="14">
        <f>IFERROR(B207/B327, "NA")</f>
      </c>
      <c r="D207" s="15"/>
      <c r="E207" s="13">
        <v>0</v>
      </c>
      <c r="F207" s="14">
        <f>IFERROR(E207/E327, "NA")</f>
      </c>
      <c r="G207" s="15"/>
      <c r="H207" s="13">
        <v>0</v>
      </c>
      <c r="I207" s="14">
        <f>IFERROR(H207/H327, "NA")</f>
      </c>
      <c r="J207" s="15"/>
      <c r="K207" s="13">
        <v>0</v>
      </c>
      <c r="L207" s="14">
        <f>IFERROR(K207/K327, "NA")</f>
      </c>
      <c r="M207" s="15"/>
      <c r="N207" s="13">
        <v>0</v>
      </c>
      <c r="O207" s="14">
        <f>IFERROR(N207/N327, "NA")</f>
      </c>
    </row>
    <row r="208" ht="16.5" customHeight="1">
      <c t="s" r="A208" s="12">
        <v>211</v>
      </c>
      <c r="B208" s="13">
        <v>0</v>
      </c>
      <c r="C208" s="14">
        <f>IFERROR(B208/B327, "NA")</f>
      </c>
      <c r="D208" s="15"/>
      <c r="E208" s="13">
        <v>0</v>
      </c>
      <c r="F208" s="14">
        <f>IFERROR(E208/E327, "NA")</f>
      </c>
      <c r="G208" s="15"/>
      <c r="H208" s="13">
        <v>0</v>
      </c>
      <c r="I208" s="14">
        <f>IFERROR(H208/H327, "NA")</f>
      </c>
      <c r="J208" s="15"/>
      <c r="K208" s="13">
        <v>0</v>
      </c>
      <c r="L208" s="14">
        <f>IFERROR(K208/K327, "NA")</f>
      </c>
      <c r="M208" s="15"/>
      <c r="N208" s="13">
        <v>0</v>
      </c>
      <c r="O208" s="14">
        <f>IFERROR(N208/N327, "NA")</f>
      </c>
    </row>
    <row r="209" ht="16.5" customHeight="1">
      <c t="s" r="A209" s="16">
        <v>212</v>
      </c>
      <c r="B209" s="17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</c>
      <c r="C209" s="18">
        <f>IFERROR(B209/B327, "NA")</f>
      </c>
      <c r="D209" s="8"/>
      <c r="E209" s="17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</c>
      <c r="F209" s="18">
        <f>IFERROR(E209/E327, "NA")</f>
      </c>
      <c r="G209" s="8"/>
      <c r="H209" s="17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</c>
      <c r="I209" s="18">
        <f>IFERROR(H209/H327, "NA")</f>
      </c>
      <c r="J209" s="8"/>
      <c r="K209" s="17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</c>
      <c r="L209" s="18">
        <f>IFERROR(K209/K327, "NA")</f>
      </c>
      <c r="M209" s="8"/>
      <c r="N209" s="17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</c>
      <c r="O209" s="18">
        <f>IFERROR(N209/N327, "NA")</f>
      </c>
    </row>
    <row r="210" ht="16.5" customHeight="1">
      <c t="s" r="A210" s="19">
        <v>213</v>
      </c>
      <c r="B210" s="13">
        <v>0</v>
      </c>
      <c r="C210" s="14">
        <f>IFERROR(B210/B327, "NA")</f>
      </c>
      <c r="D210" s="15"/>
      <c r="E210" s="13">
        <v>0</v>
      </c>
      <c r="F210" s="14">
        <f>IFERROR(E210/E327, "NA")</f>
      </c>
      <c r="G210" s="15"/>
      <c r="H210" s="13">
        <v>0</v>
      </c>
      <c r="I210" s="14">
        <f>IFERROR(H210/H327, "NA")</f>
      </c>
      <c r="J210" s="15"/>
      <c r="K210" s="13">
        <v>0</v>
      </c>
      <c r="L210" s="14">
        <f>IFERROR(K210/K327, "NA")</f>
      </c>
      <c r="M210" s="15"/>
      <c r="N210" s="13">
        <v>0</v>
      </c>
      <c r="O210" s="14">
        <f>IFERROR(N210/N327, "NA")</f>
      </c>
    </row>
    <row r="211" ht="16.5" customHeight="1">
      <c t="s" r="A211" s="20">
        <v>214</v>
      </c>
      <c r="B211" s="17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</c>
      <c r="C211" s="18">
        <f>IFERROR(B211/B327, "NA")</f>
      </c>
      <c r="D211" s="8"/>
      <c r="E211" s="17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</c>
      <c r="F211" s="18">
        <f>IFERROR(E211/E327, "NA")</f>
      </c>
      <c r="G211" s="8"/>
      <c r="H211" s="17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</c>
      <c r="I211" s="18">
        <f>IFERROR(H211/H327, "NA")</f>
      </c>
      <c r="J211" s="8"/>
      <c r="K211" s="17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</c>
      <c r="L211" s="18">
        <f>IFERROR(K211/K327, "NA")</f>
      </c>
      <c r="M211" s="8"/>
      <c r="N211" s="17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</c>
      <c r="O211" s="18">
        <f>IFERROR(N211/N327, "NA")</f>
      </c>
    </row>
    <row r="212" ht="16.5" customHeight="1">
      <c t="s" r="A212" s="7">
        <v>215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</row>
    <row r="213" ht="16.5" customHeight="1">
      <c t="s" r="A213" s="11">
        <v>216</v>
      </c>
      <c r="B213" s="8"/>
      <c r="C213" s="9"/>
      <c r="D213" s="10"/>
      <c r="E213" s="8"/>
      <c r="F213" s="9"/>
      <c r="G213" s="10"/>
      <c r="H213" s="8"/>
      <c r="I213" s="9"/>
      <c r="J213" s="10"/>
      <c r="K213" s="8"/>
      <c r="L213" s="9"/>
      <c r="M213" s="10"/>
      <c r="N213" s="8"/>
      <c r="O213" s="9"/>
    </row>
    <row r="214" ht="16.5" customHeight="1">
      <c t="s" r="A214" s="12">
        <v>217</v>
      </c>
      <c r="B214" s="13">
        <v>0</v>
      </c>
      <c r="C214" s="14">
        <f>IFERROR(B214/B327, "NA")</f>
      </c>
      <c r="D214" s="15"/>
      <c r="E214" s="13">
        <v>0</v>
      </c>
      <c r="F214" s="14">
        <f>IFERROR(E214/E327, "NA")</f>
      </c>
      <c r="G214" s="15"/>
      <c r="H214" s="13">
        <v>0</v>
      </c>
      <c r="I214" s="14">
        <f>IFERROR(H214/H327, "NA")</f>
      </c>
      <c r="J214" s="15"/>
      <c r="K214" s="13">
        <v>0</v>
      </c>
      <c r="L214" s="14">
        <f>IFERROR(K214/K327, "NA")</f>
      </c>
      <c r="M214" s="15"/>
      <c r="N214" s="13">
        <v>0</v>
      </c>
      <c r="O214" s="14">
        <f>IFERROR(N214/N327, "NA")</f>
      </c>
    </row>
    <row r="215" ht="16.5" customHeight="1">
      <c t="s" r="A215" s="12">
        <v>218</v>
      </c>
      <c r="B215" s="13">
        <v>1158.77</v>
      </c>
      <c r="C215" s="14">
        <f>IFERROR(B215/B327, "NA")</f>
      </c>
      <c r="D215" s="15"/>
      <c r="E215" s="13">
        <v>5939.5899999999992</v>
      </c>
      <c r="F215" s="14">
        <f>IFERROR(E215/E327, "NA")</f>
      </c>
      <c r="G215" s="15"/>
      <c r="H215" s="13">
        <v>7254.7600000000002</v>
      </c>
      <c r="I215" s="14">
        <f>IFERROR(H215/H327, "NA")</f>
      </c>
      <c r="J215" s="15"/>
      <c r="K215" s="13">
        <v>7065.6599999999999</v>
      </c>
      <c r="L215" s="14">
        <f>IFERROR(K215/K327, "NA")</f>
      </c>
      <c r="M215" s="15"/>
      <c r="N215" s="13">
        <v>8136.5100000000002</v>
      </c>
      <c r="O215" s="14">
        <f>IFERROR(N215/N327, "NA")</f>
      </c>
    </row>
    <row r="216" ht="16.5" customHeight="1">
      <c t="s" r="A216" s="12">
        <v>219</v>
      </c>
      <c r="B216" s="13">
        <v>0</v>
      </c>
      <c r="C216" s="14">
        <f>IFERROR(B216/B327, "NA")</f>
      </c>
      <c r="D216" s="15"/>
      <c r="E216" s="13">
        <v>0</v>
      </c>
      <c r="F216" s="14">
        <f>IFERROR(E216/E327, "NA")</f>
      </c>
      <c r="G216" s="15"/>
      <c r="H216" s="13">
        <v>0</v>
      </c>
      <c r="I216" s="14">
        <f>IFERROR(H216/H327, "NA")</f>
      </c>
      <c r="J216" s="15"/>
      <c r="K216" s="13">
        <v>0</v>
      </c>
      <c r="L216" s="14">
        <f>IFERROR(K216/K327, "NA")</f>
      </c>
      <c r="M216" s="15"/>
      <c r="N216" s="13">
        <v>-550</v>
      </c>
      <c r="O216" s="14">
        <f>IFERROR(N216/N327, "NA")</f>
      </c>
    </row>
    <row r="217" ht="16.5" customHeight="1">
      <c t="s" r="A217" s="12">
        <v>220</v>
      </c>
      <c r="B217" s="13">
        <v>1905.3099999999999</v>
      </c>
      <c r="C217" s="14">
        <f>IFERROR(B217/B327, "NA")</f>
      </c>
      <c r="D217" s="15"/>
      <c r="E217" s="13">
        <v>2809.9200000000001</v>
      </c>
      <c r="F217" s="14">
        <f>IFERROR(E217/E327, "NA")</f>
      </c>
      <c r="G217" s="15"/>
      <c r="H217" s="13">
        <v>2168.3400000000001</v>
      </c>
      <c r="I217" s="14">
        <f>IFERROR(H217/H327, "NA")</f>
      </c>
      <c r="J217" s="15"/>
      <c r="K217" s="13">
        <v>7487.9700000000003</v>
      </c>
      <c r="L217" s="14">
        <f>IFERROR(K217/K327, "NA")</f>
      </c>
      <c r="M217" s="15"/>
      <c r="N217" s="13">
        <v>550</v>
      </c>
      <c r="O217" s="14">
        <f>IFERROR(N217/N327, "NA")</f>
      </c>
    </row>
    <row r="218" ht="16.5" customHeight="1">
      <c t="s" r="A218" s="12">
        <v>221</v>
      </c>
      <c r="B218" s="13">
        <v>0</v>
      </c>
      <c r="C218" s="14">
        <f>IFERROR(B218/B327, "NA")</f>
      </c>
      <c r="D218" s="15"/>
      <c r="E218" s="13">
        <v>0</v>
      </c>
      <c r="F218" s="14">
        <f>IFERROR(E218/E327, "NA")</f>
      </c>
      <c r="G218" s="15"/>
      <c r="H218" s="13">
        <v>0</v>
      </c>
      <c r="I218" s="14">
        <f>IFERROR(H218/H327, "NA")</f>
      </c>
      <c r="J218" s="15"/>
      <c r="K218" s="13">
        <v>466.25</v>
      </c>
      <c r="L218" s="14">
        <f>IFERROR(K218/K327, "NA")</f>
      </c>
      <c r="M218" s="15"/>
      <c r="N218" s="13">
        <v>0</v>
      </c>
      <c r="O218" s="14">
        <f>IFERROR(N218/N327, "NA")</f>
      </c>
    </row>
    <row r="219" ht="16.5" customHeight="1">
      <c t="s" r="A219" s="12">
        <v>222</v>
      </c>
      <c r="B219" s="13">
        <v>333.83999999999997</v>
      </c>
      <c r="C219" s="14">
        <f>IFERROR(B219/B327, "NA")</f>
      </c>
      <c r="D219" s="15"/>
      <c r="E219" s="13">
        <v>0</v>
      </c>
      <c r="F219" s="14">
        <f>IFERROR(E219/E327, "NA")</f>
      </c>
      <c r="G219" s="15"/>
      <c r="H219" s="13">
        <v>666.12</v>
      </c>
      <c r="I219" s="14">
        <f>IFERROR(H219/H327, "NA")</f>
      </c>
      <c r="J219" s="15"/>
      <c r="K219" s="13">
        <v>333.83999999999997</v>
      </c>
      <c r="L219" s="14">
        <f>IFERROR(K219/K327, "NA")</f>
      </c>
      <c r="M219" s="15"/>
      <c r="N219" s="13">
        <v>0</v>
      </c>
      <c r="O219" s="14">
        <f>IFERROR(N219/N327, "NA")</f>
      </c>
    </row>
    <row r="220" ht="16.5" customHeight="1">
      <c t="s" r="A220" s="12">
        <v>223</v>
      </c>
      <c r="B220" s="13">
        <v>0</v>
      </c>
      <c r="C220" s="14">
        <f>IFERROR(B220/B327, "NA")</f>
      </c>
      <c r="D220" s="15"/>
      <c r="E220" s="13">
        <v>39.119999999999997</v>
      </c>
      <c r="F220" s="14">
        <f>IFERROR(E220/E327, "NA")</f>
      </c>
      <c r="G220" s="15"/>
      <c r="H220" s="13">
        <v>48.07</v>
      </c>
      <c r="I220" s="14">
        <f>IFERROR(H220/H327, "NA")</f>
      </c>
      <c r="J220" s="15"/>
      <c r="K220" s="13">
        <v>25.440000000000001</v>
      </c>
      <c r="L220" s="14">
        <f>IFERROR(K220/K327, "NA")</f>
      </c>
      <c r="M220" s="15"/>
      <c r="N220" s="13">
        <v>11.25</v>
      </c>
      <c r="O220" s="14">
        <f>IFERROR(N220/N327, "NA")</f>
      </c>
    </row>
    <row r="221" ht="16.5" customHeight="1">
      <c t="s" r="A221" s="12">
        <v>224</v>
      </c>
      <c r="B221" s="13">
        <v>781.62</v>
      </c>
      <c r="C221" s="14">
        <f>IFERROR(B221/B327, "NA")</f>
      </c>
      <c r="D221" s="15"/>
      <c r="E221" s="13">
        <v>480.5</v>
      </c>
      <c r="F221" s="14">
        <f>IFERROR(E221/E327, "NA")</f>
      </c>
      <c r="G221" s="15"/>
      <c r="H221" s="13">
        <v>0</v>
      </c>
      <c r="I221" s="14">
        <f>IFERROR(H221/H327, "NA")</f>
      </c>
      <c r="J221" s="15"/>
      <c r="K221" s="13">
        <v>0</v>
      </c>
      <c r="L221" s="14">
        <f>IFERROR(K221/K327, "NA")</f>
      </c>
      <c r="M221" s="15"/>
      <c r="N221" s="13">
        <v>0</v>
      </c>
      <c r="O221" s="14">
        <f>IFERROR(N221/N327, "NA")</f>
      </c>
    </row>
    <row r="222" ht="16.5" customHeight="1">
      <c t="s" r="A222" s="12">
        <v>225</v>
      </c>
      <c r="B222" s="13">
        <v>0</v>
      </c>
      <c r="C222" s="14">
        <f>IFERROR(B222/B327, "NA")</f>
      </c>
      <c r="D222" s="15"/>
      <c r="E222" s="13">
        <v>110.12</v>
      </c>
      <c r="F222" s="14">
        <f>IFERROR(E222/E327, "NA")</f>
      </c>
      <c r="G222" s="15"/>
      <c r="H222" s="13">
        <v>267.13999999999999</v>
      </c>
      <c r="I222" s="14">
        <f>IFERROR(H222/H327, "NA")</f>
      </c>
      <c r="J222" s="15"/>
      <c r="K222" s="13">
        <v>0</v>
      </c>
      <c r="L222" s="14">
        <f>IFERROR(K222/K327, "NA")</f>
      </c>
      <c r="M222" s="15"/>
      <c r="N222" s="13">
        <v>0</v>
      </c>
      <c r="O222" s="14">
        <f>IFERROR(N222/N327, "NA")</f>
      </c>
    </row>
    <row r="223" ht="16.5" customHeight="1">
      <c t="s" r="A223" s="12">
        <v>226</v>
      </c>
      <c r="B223" s="13">
        <v>0</v>
      </c>
      <c r="C223" s="14">
        <f>IFERROR(B223/B327, "NA")</f>
      </c>
      <c r="D223" s="15"/>
      <c r="E223" s="13">
        <v>0</v>
      </c>
      <c r="F223" s="14">
        <f>IFERROR(E223/E327, "NA")</f>
      </c>
      <c r="G223" s="15"/>
      <c r="H223" s="13">
        <v>0</v>
      </c>
      <c r="I223" s="14">
        <f>IFERROR(H223/H327, "NA")</f>
      </c>
      <c r="J223" s="15"/>
      <c r="K223" s="13">
        <v>0</v>
      </c>
      <c r="L223" s="14">
        <f>IFERROR(K223/K327, "NA")</f>
      </c>
      <c r="M223" s="15"/>
      <c r="N223" s="13">
        <v>0</v>
      </c>
      <c r="O223" s="14">
        <f>IFERROR(N223/N327, "NA")</f>
      </c>
    </row>
    <row r="224" ht="16.5" customHeight="1">
      <c t="s" r="A224" s="12">
        <v>227</v>
      </c>
      <c r="B224" s="13">
        <v>0</v>
      </c>
      <c r="C224" s="14">
        <f>IFERROR(B224/B327, "NA")</f>
      </c>
      <c r="D224" s="15"/>
      <c r="E224" s="13">
        <v>0</v>
      </c>
      <c r="F224" s="14">
        <f>IFERROR(E224/E327, "NA")</f>
      </c>
      <c r="G224" s="15"/>
      <c r="H224" s="13">
        <v>0</v>
      </c>
      <c r="I224" s="14">
        <f>IFERROR(H224/H327, "NA")</f>
      </c>
      <c r="J224" s="15"/>
      <c r="K224" s="13">
        <v>55.149999999999999</v>
      </c>
      <c r="L224" s="14">
        <f>IFERROR(K224/K327, "NA")</f>
      </c>
      <c r="M224" s="15"/>
      <c r="N224" s="13">
        <v>0</v>
      </c>
      <c r="O224" s="14">
        <f>IFERROR(N224/N327, "NA")</f>
      </c>
    </row>
    <row r="225" ht="16.5" customHeight="1">
      <c t="s" r="A225" s="12">
        <v>228</v>
      </c>
      <c r="B225" s="13">
        <v>937.5</v>
      </c>
      <c r="C225" s="14">
        <f>IFERROR(B225/B327, "NA")</f>
      </c>
      <c r="D225" s="15"/>
      <c r="E225" s="13">
        <v>0</v>
      </c>
      <c r="F225" s="14">
        <f>IFERROR(E225/E327, "NA")</f>
      </c>
      <c r="G225" s="15"/>
      <c r="H225" s="13">
        <v>0</v>
      </c>
      <c r="I225" s="14">
        <f>IFERROR(H225/H327, "NA")</f>
      </c>
      <c r="J225" s="15"/>
      <c r="K225" s="13">
        <v>0</v>
      </c>
      <c r="L225" s="14">
        <f>IFERROR(K225/K327, "NA")</f>
      </c>
      <c r="M225" s="15"/>
      <c r="N225" s="13">
        <v>0</v>
      </c>
      <c r="O225" s="14">
        <f>IFERROR(N225/N327, "NA")</f>
      </c>
    </row>
    <row r="226" ht="16.5" customHeight="1">
      <c t="s" r="A226" s="12">
        <v>229</v>
      </c>
      <c r="B226" s="13">
        <v>1.2</v>
      </c>
      <c r="C226" s="14">
        <f>IFERROR(B226/B327, "NA")</f>
      </c>
      <c r="D226" s="15"/>
      <c r="E226" s="13">
        <v>-0.63</v>
      </c>
      <c r="F226" s="14">
        <f>IFERROR(E226/E327, "NA")</f>
      </c>
      <c r="G226" s="15"/>
      <c r="H226" s="13">
        <v>-0.64000000000000001</v>
      </c>
      <c r="I226" s="14">
        <f>IFERROR(H226/H327, "NA")</f>
      </c>
      <c r="J226" s="15"/>
      <c r="K226" s="13">
        <v>-0.53000000000000003</v>
      </c>
      <c r="L226" s="14">
        <f>IFERROR(K226/K327, "NA")</f>
      </c>
      <c r="M226" s="15"/>
      <c r="N226" s="13">
        <v>1.1200000000000001</v>
      </c>
      <c r="O226" s="14">
        <f>IFERROR(N226/N327, "NA")</f>
      </c>
    </row>
    <row r="227" ht="16.5" customHeight="1">
      <c t="s" r="A227" s="12">
        <v>230</v>
      </c>
      <c r="B227" s="13">
        <v>0</v>
      </c>
      <c r="C227" s="14">
        <f>IFERROR(B227/B327, "NA")</f>
      </c>
      <c r="D227" s="15"/>
      <c r="E227" s="13">
        <v>0</v>
      </c>
      <c r="F227" s="14">
        <f>IFERROR(E227/E327, "NA")</f>
      </c>
      <c r="G227" s="15"/>
      <c r="H227" s="13">
        <v>0</v>
      </c>
      <c r="I227" s="14">
        <f>IFERROR(H227/H327, "NA")</f>
      </c>
      <c r="J227" s="15"/>
      <c r="K227" s="13">
        <v>0</v>
      </c>
      <c r="L227" s="14">
        <f>IFERROR(K227/K327, "NA")</f>
      </c>
      <c r="M227" s="15"/>
      <c r="N227" s="13">
        <v>0</v>
      </c>
      <c r="O227" s="14">
        <f>IFERROR(N227/N327, "NA")</f>
      </c>
    </row>
    <row r="228" ht="16.5" customHeight="1">
      <c t="s" r="A228" s="12">
        <v>231</v>
      </c>
      <c r="B228" s="13">
        <v>186.62</v>
      </c>
      <c r="C228" s="14">
        <f>IFERROR(B228/B327, "NA")</f>
      </c>
      <c r="D228" s="15"/>
      <c r="E228" s="13">
        <v>356.57999999999998</v>
      </c>
      <c r="F228" s="14">
        <f>IFERROR(E228/E327, "NA")</f>
      </c>
      <c r="G228" s="15"/>
      <c r="H228" s="13">
        <v>156.88999999999999</v>
      </c>
      <c r="I228" s="14">
        <f>IFERROR(H228/H327, "NA")</f>
      </c>
      <c r="J228" s="15"/>
      <c r="K228" s="13">
        <v>-247.00999999999999</v>
      </c>
      <c r="L228" s="14">
        <f>IFERROR(K228/K327, "NA")</f>
      </c>
      <c r="M228" s="15"/>
      <c r="N228" s="13">
        <v>105</v>
      </c>
      <c r="O228" s="14">
        <f>IFERROR(N228/N327, "NA")</f>
      </c>
    </row>
    <row r="229" ht="16.5" customHeight="1">
      <c t="s" r="A229" s="12">
        <v>232</v>
      </c>
      <c r="B229" s="13">
        <v>0</v>
      </c>
      <c r="C229" s="14">
        <f>IFERROR(B229/B327, "NA")</f>
      </c>
      <c r="D229" s="15"/>
      <c r="E229" s="13">
        <v>0</v>
      </c>
      <c r="F229" s="14">
        <f>IFERROR(E229/E327, "NA")</f>
      </c>
      <c r="G229" s="15"/>
      <c r="H229" s="13">
        <v>0</v>
      </c>
      <c r="I229" s="14">
        <f>IFERROR(H229/H327, "NA")</f>
      </c>
      <c r="J229" s="15"/>
      <c r="K229" s="13">
        <v>0</v>
      </c>
      <c r="L229" s="14">
        <f>IFERROR(K229/K327, "NA")</f>
      </c>
      <c r="M229" s="15"/>
      <c r="N229" s="13">
        <v>0</v>
      </c>
      <c r="O229" s="14">
        <f>IFERROR(N229/N327, "NA")</f>
      </c>
    </row>
    <row r="230" ht="16.5" customHeight="1">
      <c t="s" r="A230" s="12">
        <v>233</v>
      </c>
      <c r="B230" s="13">
        <v>400</v>
      </c>
      <c r="C230" s="14">
        <f>IFERROR(B230/B327, "NA")</f>
      </c>
      <c r="D230" s="15"/>
      <c r="E230" s="13">
        <v>0</v>
      </c>
      <c r="F230" s="14">
        <f>IFERROR(E230/E327, "NA")</f>
      </c>
      <c r="G230" s="15"/>
      <c r="H230" s="13">
        <v>0</v>
      </c>
      <c r="I230" s="14">
        <f>IFERROR(H230/H327, "NA")</f>
      </c>
      <c r="J230" s="15"/>
      <c r="K230" s="13">
        <v>0</v>
      </c>
      <c r="L230" s="14">
        <f>IFERROR(K230/K327, "NA")</f>
      </c>
      <c r="M230" s="15"/>
      <c r="N230" s="13">
        <v>0</v>
      </c>
      <c r="O230" s="14">
        <f>IFERROR(N230/N327, "NA")</f>
      </c>
    </row>
    <row r="231" ht="16.5" customHeight="1">
      <c t="s" r="A231" s="12">
        <v>234</v>
      </c>
      <c r="B231" s="13">
        <v>0</v>
      </c>
      <c r="C231" s="14">
        <f>IFERROR(B231/B327, "NA")</f>
      </c>
      <c r="D231" s="15"/>
      <c r="E231" s="13">
        <v>0</v>
      </c>
      <c r="F231" s="14">
        <f>IFERROR(E231/E327, "NA")</f>
      </c>
      <c r="G231" s="15"/>
      <c r="H231" s="13">
        <v>0</v>
      </c>
      <c r="I231" s="14">
        <f>IFERROR(H231/H327, "NA")</f>
      </c>
      <c r="J231" s="15"/>
      <c r="K231" s="13">
        <v>0</v>
      </c>
      <c r="L231" s="14">
        <f>IFERROR(K231/K327, "NA")</f>
      </c>
      <c r="M231" s="15"/>
      <c r="N231" s="13">
        <v>0</v>
      </c>
      <c r="O231" s="14">
        <f>IFERROR(N231/N327, "NA")</f>
      </c>
    </row>
    <row r="232" ht="16.5" customHeight="1">
      <c t="s" r="A232" s="12">
        <v>235</v>
      </c>
      <c r="B232" s="13">
        <v>0</v>
      </c>
      <c r="C232" s="14">
        <f>IFERROR(B232/B327, "NA")</f>
      </c>
      <c r="D232" s="15"/>
      <c r="E232" s="13">
        <v>0</v>
      </c>
      <c r="F232" s="14">
        <f>IFERROR(E232/E327, "NA")</f>
      </c>
      <c r="G232" s="15"/>
      <c r="H232" s="13">
        <v>0</v>
      </c>
      <c r="I232" s="14">
        <f>IFERROR(H232/H327, "NA")</f>
      </c>
      <c r="J232" s="15"/>
      <c r="K232" s="13">
        <v>0</v>
      </c>
      <c r="L232" s="14">
        <f>IFERROR(K232/K327, "NA")</f>
      </c>
      <c r="M232" s="15"/>
      <c r="N232" s="13">
        <v>216.90000000000001</v>
      </c>
      <c r="O232" s="14">
        <f>IFERROR(N232/N327, "NA")</f>
      </c>
    </row>
    <row r="233" ht="16.5" customHeight="1">
      <c t="s" r="A233" s="12">
        <v>236</v>
      </c>
      <c r="B233" s="13">
        <v>0</v>
      </c>
      <c r="C233" s="14">
        <f>IFERROR(B233/B327, "NA")</f>
      </c>
      <c r="D233" s="15"/>
      <c r="E233" s="13">
        <v>0</v>
      </c>
      <c r="F233" s="14">
        <f>IFERROR(E233/E327, "NA")</f>
      </c>
      <c r="G233" s="15"/>
      <c r="H233" s="13">
        <v>0</v>
      </c>
      <c r="I233" s="14">
        <f>IFERROR(H233/H327, "NA")</f>
      </c>
      <c r="J233" s="15"/>
      <c r="K233" s="13">
        <v>0</v>
      </c>
      <c r="L233" s="14">
        <f>IFERROR(K233/K327, "NA")</f>
      </c>
      <c r="M233" s="15"/>
      <c r="N233" s="13">
        <v>0</v>
      </c>
      <c r="O233" s="14">
        <f>IFERROR(N233/N327, "NA")</f>
      </c>
    </row>
    <row r="234" ht="16.5" customHeight="1">
      <c t="s" r="A234" s="12">
        <v>237</v>
      </c>
      <c r="B234" s="13">
        <v>181.59</v>
      </c>
      <c r="C234" s="14">
        <f>IFERROR(B234/B327, "NA")</f>
      </c>
      <c r="D234" s="15"/>
      <c r="E234" s="13">
        <v>1026.95</v>
      </c>
      <c r="F234" s="14">
        <f>IFERROR(E234/E327, "NA")</f>
      </c>
      <c r="G234" s="15"/>
      <c r="H234" s="13">
        <v>1465.28</v>
      </c>
      <c r="I234" s="14">
        <f>IFERROR(H234/H327, "NA")</f>
      </c>
      <c r="J234" s="15"/>
      <c r="K234" s="13">
        <v>3245.2800000000002</v>
      </c>
      <c r="L234" s="14">
        <f>IFERROR(K234/K327, "NA")</f>
      </c>
      <c r="M234" s="15"/>
      <c r="N234" s="13">
        <v>0</v>
      </c>
      <c r="O234" s="14">
        <f>IFERROR(N234/N327, "NA")</f>
      </c>
    </row>
    <row r="235" ht="16.5" customHeight="1">
      <c t="s" r="A235" s="12">
        <v>238</v>
      </c>
      <c r="B235" s="13">
        <v>0</v>
      </c>
      <c r="C235" s="14">
        <f>IFERROR(B235/B327, "NA")</f>
      </c>
      <c r="D235" s="15"/>
      <c r="E235" s="13">
        <v>0</v>
      </c>
      <c r="F235" s="14">
        <f>IFERROR(E235/E327, "NA")</f>
      </c>
      <c r="G235" s="15"/>
      <c r="H235" s="13">
        <v>42.18</v>
      </c>
      <c r="I235" s="14">
        <f>IFERROR(H235/H327, "NA")</f>
      </c>
      <c r="J235" s="15"/>
      <c r="K235" s="13">
        <v>49.740000000000002</v>
      </c>
      <c r="L235" s="14">
        <f>IFERROR(K235/K327, "NA")</f>
      </c>
      <c r="M235" s="15"/>
      <c r="N235" s="13">
        <v>0</v>
      </c>
      <c r="O235" s="14">
        <f>IFERROR(N235/N327, "NA")</f>
      </c>
    </row>
    <row r="236" ht="16.5" customHeight="1">
      <c t="s" r="A236" s="12">
        <v>239</v>
      </c>
      <c r="B236" s="13">
        <v>0</v>
      </c>
      <c r="C236" s="14">
        <f>IFERROR(B236/B327, "NA")</f>
      </c>
      <c r="D236" s="15"/>
      <c r="E236" s="13">
        <v>0</v>
      </c>
      <c r="F236" s="14">
        <f>IFERROR(E236/E327, "NA")</f>
      </c>
      <c r="G236" s="15"/>
      <c r="H236" s="13">
        <v>13657.84</v>
      </c>
      <c r="I236" s="14">
        <f>IFERROR(H236/H327, "NA")</f>
      </c>
      <c r="J236" s="15"/>
      <c r="K236" s="13">
        <v>0</v>
      </c>
      <c r="L236" s="14">
        <f>IFERROR(K236/K327, "NA")</f>
      </c>
      <c r="M236" s="15"/>
      <c r="N236" s="13">
        <v>0</v>
      </c>
      <c r="O236" s="14">
        <f>IFERROR(N236/N327, "NA")</f>
      </c>
    </row>
    <row r="237" ht="16.5" customHeight="1">
      <c t="s" r="A237" s="12">
        <v>240</v>
      </c>
      <c r="B237" s="13">
        <v>2074.96</v>
      </c>
      <c r="C237" s="14">
        <f>IFERROR(B237/B327, "NA")</f>
      </c>
      <c r="D237" s="15"/>
      <c r="E237" s="13">
        <v>0</v>
      </c>
      <c r="F237" s="14">
        <f>IFERROR(E237/E327, "NA")</f>
      </c>
      <c r="G237" s="15"/>
      <c r="H237" s="13">
        <v>2551.23</v>
      </c>
      <c r="I237" s="14">
        <f>IFERROR(H237/H327, "NA")</f>
      </c>
      <c r="J237" s="15"/>
      <c r="K237" s="13">
        <v>1299.3</v>
      </c>
      <c r="L237" s="14">
        <f>IFERROR(K237/K327, "NA")</f>
      </c>
      <c r="M237" s="15"/>
      <c r="N237" s="13">
        <v>0</v>
      </c>
      <c r="O237" s="14">
        <f>IFERROR(N237/N327, "NA")</f>
      </c>
    </row>
    <row r="238" ht="16.5" customHeight="1">
      <c t="s" r="A238" s="12">
        <v>241</v>
      </c>
      <c r="B238" s="13">
        <v>0</v>
      </c>
      <c r="C238" s="14">
        <f>IFERROR(B238/B327, "NA")</f>
      </c>
      <c r="D238" s="15"/>
      <c r="E238" s="13">
        <v>0</v>
      </c>
      <c r="F238" s="14">
        <f>IFERROR(E238/E327, "NA")</f>
      </c>
      <c r="G238" s="15"/>
      <c r="H238" s="13">
        <v>0</v>
      </c>
      <c r="I238" s="14">
        <f>IFERROR(H238/H327, "NA")</f>
      </c>
      <c r="J238" s="15"/>
      <c r="K238" s="13">
        <v>0</v>
      </c>
      <c r="L238" s="14">
        <f>IFERROR(K238/K327, "NA")</f>
      </c>
      <c r="M238" s="15"/>
      <c r="N238" s="13">
        <v>0</v>
      </c>
      <c r="O238" s="14">
        <f>IFERROR(N238/N327, "NA")</f>
      </c>
    </row>
    <row r="239" ht="16.5" customHeight="1">
      <c t="s" r="A239" s="12">
        <v>242</v>
      </c>
      <c r="B239" s="13">
        <v>2150</v>
      </c>
      <c r="C239" s="14">
        <f>IFERROR(B239/B327, "NA")</f>
      </c>
      <c r="D239" s="15"/>
      <c r="E239" s="13">
        <v>0</v>
      </c>
      <c r="F239" s="14">
        <f>IFERROR(E239/E327, "NA")</f>
      </c>
      <c r="G239" s="15"/>
      <c r="H239" s="13">
        <v>0</v>
      </c>
      <c r="I239" s="14">
        <f>IFERROR(H239/H327, "NA")</f>
      </c>
      <c r="J239" s="15"/>
      <c r="K239" s="13">
        <v>0</v>
      </c>
      <c r="L239" s="14">
        <f>IFERROR(K239/K327, "NA")</f>
      </c>
      <c r="M239" s="15"/>
      <c r="N239" s="13">
        <v>0</v>
      </c>
      <c r="O239" s="14">
        <f>IFERROR(N239/N327, "NA")</f>
      </c>
    </row>
    <row r="240" ht="16.5" customHeight="1">
      <c t="s" r="A240" s="12">
        <v>243</v>
      </c>
      <c r="B240" s="13">
        <v>0</v>
      </c>
      <c r="C240" s="14">
        <f>IFERROR(B240/B327, "NA")</f>
      </c>
      <c r="D240" s="15"/>
      <c r="E240" s="13">
        <v>0</v>
      </c>
      <c r="F240" s="14">
        <f>IFERROR(E240/E327, "NA")</f>
      </c>
      <c r="G240" s="15"/>
      <c r="H240" s="13">
        <v>0</v>
      </c>
      <c r="I240" s="14">
        <f>IFERROR(H240/H327, "NA")</f>
      </c>
      <c r="J240" s="15"/>
      <c r="K240" s="13">
        <v>0</v>
      </c>
      <c r="L240" s="14">
        <f>IFERROR(K240/K327, "NA")</f>
      </c>
      <c r="M240" s="15"/>
      <c r="N240" s="13">
        <v>0</v>
      </c>
      <c r="O240" s="14">
        <f>IFERROR(N240/N327, "NA")</f>
      </c>
    </row>
    <row r="241" ht="16.5" customHeight="1">
      <c t="s" r="A241" s="16">
        <v>244</v>
      </c>
      <c r="B241" s="17">
        <f>IFERROR(B214+B215+B216+B217+B218+B219+B220+B221+B222+B223+B224+B225+B226+B227+B228+B229+B230+B231+B232+B233+B234+B235+B236+B237+B238+B239+B240, "NA")</f>
      </c>
      <c r="C241" s="18">
        <f>IFERROR(B241/B327, "NA")</f>
      </c>
      <c r="D241" s="8"/>
      <c r="E241" s="17">
        <f>IFERROR(E214+E215+E216+E217+E218+E219+E220+E221+E222+E223+E224+E225+E226+E227+E228+E229+E230+E231+E232+E233+E234+E235+E236+E237+E238+E239+E240, "NA")</f>
      </c>
      <c r="F241" s="18">
        <f>IFERROR(E241/E327, "NA")</f>
      </c>
      <c r="G241" s="8"/>
      <c r="H241" s="17">
        <f>IFERROR(H214+H215+H216+H217+H218+H219+H220+H221+H222+H223+H224+H225+H226+H227+H228+H229+H230+H231+H232+H233+H234+H235+H236+H237+H238+H239+H240, "NA")</f>
      </c>
      <c r="I241" s="18">
        <f>IFERROR(H241/H327, "NA")</f>
      </c>
      <c r="J241" s="8"/>
      <c r="K241" s="17">
        <f>IFERROR(K214+K215+K216+K217+K218+K219+K220+K221+K222+K223+K224+K225+K226+K227+K228+K229+K230+K231+K232+K233+K234+K235+K236+K237+K238+K239+K240, "NA")</f>
      </c>
      <c r="L241" s="18">
        <f>IFERROR(K241/K327, "NA")</f>
      </c>
      <c r="M241" s="8"/>
      <c r="N241" s="17">
        <f>IFERROR(N214+N215+N216+N217+N218+N219+N220+N221+N222+N223+N224+N225+N226+N227+N228+N229+N230+N231+N232+N233+N234+N235+N236+N237+N238+N239+N240, "NA")</f>
      </c>
      <c r="O241" s="18">
        <f>IFERROR(N241/N327, "NA")</f>
      </c>
    </row>
    <row r="242" ht="16.5" customHeight="1">
      <c t="s" r="A242" s="11">
        <v>245</v>
      </c>
      <c r="B242" s="8"/>
      <c r="C242" s="9"/>
      <c r="D242" s="10"/>
      <c r="E242" s="8"/>
      <c r="F242" s="9"/>
      <c r="G242" s="10"/>
      <c r="H242" s="8"/>
      <c r="I242" s="9"/>
      <c r="J242" s="10"/>
      <c r="K242" s="8"/>
      <c r="L242" s="9"/>
      <c r="M242" s="10"/>
      <c r="N242" s="8"/>
      <c r="O242" s="9"/>
    </row>
    <row r="243" ht="16.5" customHeight="1">
      <c t="s" r="A243" s="12">
        <v>246</v>
      </c>
      <c r="B243" s="13">
        <v>0</v>
      </c>
      <c r="C243" s="14">
        <f>IFERROR(B243/B327, "NA")</f>
      </c>
      <c r="D243" s="15"/>
      <c r="E243" s="13">
        <v>0</v>
      </c>
      <c r="F243" s="14">
        <f>IFERROR(E243/E327, "NA")</f>
      </c>
      <c r="G243" s="15"/>
      <c r="H243" s="13">
        <v>0</v>
      </c>
      <c r="I243" s="14">
        <f>IFERROR(H243/H327, "NA")</f>
      </c>
      <c r="J243" s="15"/>
      <c r="K243" s="13">
        <v>0</v>
      </c>
      <c r="L243" s="14">
        <f>IFERROR(K243/K327, "NA")</f>
      </c>
      <c r="M243" s="15"/>
      <c r="N243" s="13">
        <v>0</v>
      </c>
      <c r="O243" s="14">
        <f>IFERROR(N243/N327, "NA")</f>
      </c>
    </row>
    <row r="244" ht="16.5" customHeight="1">
      <c t="s" r="A244" s="12">
        <v>247</v>
      </c>
      <c r="B244" s="13">
        <v>0</v>
      </c>
      <c r="C244" s="14">
        <f>IFERROR(B244/B327, "NA")</f>
      </c>
      <c r="D244" s="15"/>
      <c r="E244" s="13">
        <v>0</v>
      </c>
      <c r="F244" s="14">
        <f>IFERROR(E244/E327, "NA")</f>
      </c>
      <c r="G244" s="15"/>
      <c r="H244" s="13">
        <v>0</v>
      </c>
      <c r="I244" s="14">
        <f>IFERROR(H244/H327, "NA")</f>
      </c>
      <c r="J244" s="15"/>
      <c r="K244" s="13">
        <v>400</v>
      </c>
      <c r="L244" s="14">
        <f>IFERROR(K244/K327, "NA")</f>
      </c>
      <c r="M244" s="15"/>
      <c r="N244" s="13">
        <v>0</v>
      </c>
      <c r="O244" s="14">
        <f>IFERROR(N244/N327, "NA")</f>
      </c>
    </row>
    <row r="245" ht="16.5" customHeight="1">
      <c t="s" r="A245" s="12">
        <v>248</v>
      </c>
      <c r="B245" s="13">
        <v>822.24000000000001</v>
      </c>
      <c r="C245" s="14">
        <f>IFERROR(B245/B327, "NA")</f>
      </c>
      <c r="D245" s="15"/>
      <c r="E245" s="13">
        <v>0</v>
      </c>
      <c r="F245" s="14">
        <f>IFERROR(E245/E327, "NA")</f>
      </c>
      <c r="G245" s="15"/>
      <c r="H245" s="13">
        <v>0</v>
      </c>
      <c r="I245" s="14">
        <f>IFERROR(H245/H327, "NA")</f>
      </c>
      <c r="J245" s="15"/>
      <c r="K245" s="13">
        <v>0</v>
      </c>
      <c r="L245" s="14">
        <f>IFERROR(K245/K327, "NA")</f>
      </c>
      <c r="M245" s="15"/>
      <c r="N245" s="13">
        <v>0</v>
      </c>
      <c r="O245" s="14">
        <f>IFERROR(N245/N327, "NA")</f>
      </c>
    </row>
    <row r="246" ht="16.5" customHeight="1">
      <c t="s" r="A246" s="12">
        <v>249</v>
      </c>
      <c r="B246" s="13">
        <v>0</v>
      </c>
      <c r="C246" s="14">
        <f>IFERROR(B246/B327, "NA")</f>
      </c>
      <c r="D246" s="15"/>
      <c r="E246" s="13">
        <v>0</v>
      </c>
      <c r="F246" s="14">
        <f>IFERROR(E246/E327, "NA")</f>
      </c>
      <c r="G246" s="15"/>
      <c r="H246" s="13">
        <v>0</v>
      </c>
      <c r="I246" s="14">
        <f>IFERROR(H246/H327, "NA")</f>
      </c>
      <c r="J246" s="15"/>
      <c r="K246" s="13">
        <v>0</v>
      </c>
      <c r="L246" s="14">
        <f>IFERROR(K246/K327, "NA")</f>
      </c>
      <c r="M246" s="15"/>
      <c r="N246" s="13">
        <v>0</v>
      </c>
      <c r="O246" s="14">
        <f>IFERROR(N246/N327, "NA")</f>
      </c>
    </row>
    <row r="247" ht="16.5" customHeight="1">
      <c t="s" r="A247" s="12">
        <v>250</v>
      </c>
      <c r="B247" s="13">
        <v>0</v>
      </c>
      <c r="C247" s="14">
        <f>IFERROR(B247/B327, "NA")</f>
      </c>
      <c r="D247" s="15"/>
      <c r="E247" s="13">
        <v>0</v>
      </c>
      <c r="F247" s="14">
        <f>IFERROR(E247/E327, "NA")</f>
      </c>
      <c r="G247" s="15"/>
      <c r="H247" s="13">
        <v>0</v>
      </c>
      <c r="I247" s="14">
        <f>IFERROR(H247/H327, "NA")</f>
      </c>
      <c r="J247" s="15"/>
      <c r="K247" s="13">
        <v>0</v>
      </c>
      <c r="L247" s="14">
        <f>IFERROR(K247/K327, "NA")</f>
      </c>
      <c r="M247" s="15"/>
      <c r="N247" s="13">
        <v>0</v>
      </c>
      <c r="O247" s="14">
        <f>IFERROR(N247/N327, "NA")</f>
      </c>
    </row>
    <row r="248" ht="16.5" customHeight="1">
      <c t="s" r="A248" s="12">
        <v>251</v>
      </c>
      <c r="B248" s="13">
        <v>0</v>
      </c>
      <c r="C248" s="14">
        <f>IFERROR(B248/B327, "NA")</f>
      </c>
      <c r="D248" s="15"/>
      <c r="E248" s="13">
        <v>0</v>
      </c>
      <c r="F248" s="14">
        <f>IFERROR(E248/E327, "NA")</f>
      </c>
      <c r="G248" s="15"/>
      <c r="H248" s="13">
        <v>0</v>
      </c>
      <c r="I248" s="14">
        <f>IFERROR(H248/H327, "NA")</f>
      </c>
      <c r="J248" s="15"/>
      <c r="K248" s="13">
        <v>1016.24</v>
      </c>
      <c r="L248" s="14">
        <f>IFERROR(K248/K327, "NA")</f>
      </c>
      <c r="M248" s="15"/>
      <c r="N248" s="13">
        <v>1080.05</v>
      </c>
      <c r="O248" s="14">
        <f>IFERROR(N248/N327, "NA")</f>
      </c>
    </row>
    <row r="249" ht="16.5" customHeight="1">
      <c t="s" r="A249" s="12">
        <v>252</v>
      </c>
      <c r="B249" s="13">
        <v>0</v>
      </c>
      <c r="C249" s="14">
        <f>IFERROR(B249/B327, "NA")</f>
      </c>
      <c r="D249" s="15"/>
      <c r="E249" s="13">
        <v>0</v>
      </c>
      <c r="F249" s="14">
        <f>IFERROR(E249/E327, "NA")</f>
      </c>
      <c r="G249" s="15"/>
      <c r="H249" s="13">
        <v>0</v>
      </c>
      <c r="I249" s="14">
        <f>IFERROR(H249/H327, "NA")</f>
      </c>
      <c r="J249" s="15"/>
      <c r="K249" s="13">
        <v>0</v>
      </c>
      <c r="L249" s="14">
        <f>IFERROR(K249/K327, "NA")</f>
      </c>
      <c r="M249" s="15"/>
      <c r="N249" s="13">
        <v>0</v>
      </c>
      <c r="O249" s="14">
        <f>IFERROR(N249/N327, "NA")</f>
      </c>
    </row>
    <row r="250" ht="16.5" customHeight="1">
      <c t="s" r="A250" s="12">
        <v>253</v>
      </c>
      <c r="B250" s="13">
        <v>0</v>
      </c>
      <c r="C250" s="14">
        <f>IFERROR(B250/B327, "NA")</f>
      </c>
      <c r="D250" s="15"/>
      <c r="E250" s="13">
        <v>0</v>
      </c>
      <c r="F250" s="14">
        <f>IFERROR(E250/E327, "NA")</f>
      </c>
      <c r="G250" s="15"/>
      <c r="H250" s="13">
        <v>0</v>
      </c>
      <c r="I250" s="14">
        <f>IFERROR(H250/H327, "NA")</f>
      </c>
      <c r="J250" s="15"/>
      <c r="K250" s="13">
        <v>0</v>
      </c>
      <c r="L250" s="14">
        <f>IFERROR(K250/K327, "NA")</f>
      </c>
      <c r="M250" s="15"/>
      <c r="N250" s="13">
        <v>0</v>
      </c>
      <c r="O250" s="14">
        <f>IFERROR(N250/N327, "NA")</f>
      </c>
    </row>
    <row r="251" ht="16.5" customHeight="1">
      <c t="s" r="A251" s="12">
        <v>254</v>
      </c>
      <c r="B251" s="13">
        <v>0</v>
      </c>
      <c r="C251" s="14">
        <f>IFERROR(B251/B327, "NA")</f>
      </c>
      <c r="D251" s="15"/>
      <c r="E251" s="13">
        <v>0</v>
      </c>
      <c r="F251" s="14">
        <f>IFERROR(E251/E327, "NA")</f>
      </c>
      <c r="G251" s="15"/>
      <c r="H251" s="13">
        <v>0</v>
      </c>
      <c r="I251" s="14">
        <f>IFERROR(H251/H327, "NA")</f>
      </c>
      <c r="J251" s="15"/>
      <c r="K251" s="13">
        <v>0</v>
      </c>
      <c r="L251" s="14">
        <f>IFERROR(K251/K327, "NA")</f>
      </c>
      <c r="M251" s="15"/>
      <c r="N251" s="13">
        <v>0</v>
      </c>
      <c r="O251" s="14">
        <f>IFERROR(N251/N327, "NA")</f>
      </c>
    </row>
    <row r="252" ht="16.5" customHeight="1">
      <c t="s" r="A252" s="16">
        <v>255</v>
      </c>
      <c r="B252" s="17">
        <f>IFERROR(B243+B244+B245+B246+B247+B248+B249+B250+B251, "NA")</f>
      </c>
      <c r="C252" s="18">
        <f>IFERROR(B252/B327, "NA")</f>
      </c>
      <c r="D252" s="8"/>
      <c r="E252" s="17">
        <f>IFERROR(E243+E244+E245+E246+E247+E248+E249+E250+E251, "NA")</f>
      </c>
      <c r="F252" s="18">
        <f>IFERROR(E252/E327, "NA")</f>
      </c>
      <c r="G252" s="8"/>
      <c r="H252" s="17">
        <f>IFERROR(H243+H244+H245+H246+H247+H248+H249+H250+H251, "NA")</f>
      </c>
      <c r="I252" s="18">
        <f>IFERROR(H252/H327, "NA")</f>
      </c>
      <c r="J252" s="8"/>
      <c r="K252" s="17">
        <f>IFERROR(K243+K244+K245+K246+K247+K248+K249+K250+K251, "NA")</f>
      </c>
      <c r="L252" s="18">
        <f>IFERROR(K252/K327, "NA")</f>
      </c>
      <c r="M252" s="8"/>
      <c r="N252" s="17">
        <f>IFERROR(N243+N244+N245+N246+N247+N248+N249+N250+N251, "NA")</f>
      </c>
      <c r="O252" s="18">
        <f>IFERROR(N252/N327, "NA")</f>
      </c>
    </row>
    <row r="253" ht="16.5" customHeight="1">
      <c t="s" r="A253" s="11">
        <v>256</v>
      </c>
      <c r="B253" s="8"/>
      <c r="C253" s="9"/>
      <c r="D253" s="10"/>
      <c r="E253" s="8"/>
      <c r="F253" s="9"/>
      <c r="G253" s="10"/>
      <c r="H253" s="8"/>
      <c r="I253" s="9"/>
      <c r="J253" s="10"/>
      <c r="K253" s="8"/>
      <c r="L253" s="9"/>
      <c r="M253" s="10"/>
      <c r="N253" s="8"/>
      <c r="O253" s="9"/>
    </row>
    <row r="254" ht="16.5" customHeight="1">
      <c t="s" r="A254" s="12">
        <v>257</v>
      </c>
      <c r="B254" s="13">
        <v>0</v>
      </c>
      <c r="C254" s="14">
        <f>IFERROR(B254/B327, "NA")</f>
      </c>
      <c r="D254" s="15"/>
      <c r="E254" s="13">
        <v>0</v>
      </c>
      <c r="F254" s="14">
        <f>IFERROR(E254/E327, "NA")</f>
      </c>
      <c r="G254" s="15"/>
      <c r="H254" s="13">
        <v>0</v>
      </c>
      <c r="I254" s="14">
        <f>IFERROR(H254/H327, "NA")</f>
      </c>
      <c r="J254" s="15"/>
      <c r="K254" s="13">
        <v>0</v>
      </c>
      <c r="L254" s="14">
        <f>IFERROR(K254/K327, "NA")</f>
      </c>
      <c r="M254" s="15"/>
      <c r="N254" s="13">
        <v>0</v>
      </c>
      <c r="O254" s="14">
        <f>IFERROR(N254/N327, "NA")</f>
      </c>
    </row>
    <row r="255" ht="16.5" customHeight="1">
      <c t="s" r="A255" s="12">
        <v>258</v>
      </c>
      <c r="B255" s="13">
        <v>0</v>
      </c>
      <c r="C255" s="14">
        <f>IFERROR(B255/B327, "NA")</f>
      </c>
      <c r="D255" s="15"/>
      <c r="E255" s="13">
        <v>0</v>
      </c>
      <c r="F255" s="14">
        <f>IFERROR(E255/E327, "NA")</f>
      </c>
      <c r="G255" s="15"/>
      <c r="H255" s="13">
        <v>0</v>
      </c>
      <c r="I255" s="14">
        <f>IFERROR(H255/H327, "NA")</f>
      </c>
      <c r="J255" s="15"/>
      <c r="K255" s="13">
        <v>0</v>
      </c>
      <c r="L255" s="14">
        <f>IFERROR(K255/K327, "NA")</f>
      </c>
      <c r="M255" s="15"/>
      <c r="N255" s="13">
        <v>0</v>
      </c>
      <c r="O255" s="14">
        <f>IFERROR(N255/N327, "NA")</f>
      </c>
    </row>
    <row r="256" ht="16.5" customHeight="1">
      <c t="s" r="A256" s="12">
        <v>259</v>
      </c>
      <c r="B256" s="13">
        <v>0</v>
      </c>
      <c r="C256" s="14">
        <f>IFERROR(B256/B327, "NA")</f>
      </c>
      <c r="D256" s="15"/>
      <c r="E256" s="13">
        <v>0</v>
      </c>
      <c r="F256" s="14">
        <f>IFERROR(E256/E327, "NA")</f>
      </c>
      <c r="G256" s="15"/>
      <c r="H256" s="13">
        <v>0</v>
      </c>
      <c r="I256" s="14">
        <f>IFERROR(H256/H327, "NA")</f>
      </c>
      <c r="J256" s="15"/>
      <c r="K256" s="13">
        <v>0</v>
      </c>
      <c r="L256" s="14">
        <f>IFERROR(K256/K327, "NA")</f>
      </c>
      <c r="M256" s="15"/>
      <c r="N256" s="13">
        <v>0</v>
      </c>
      <c r="O256" s="14">
        <f>IFERROR(N256/N327, "NA")</f>
      </c>
    </row>
    <row r="257" ht="16.5" customHeight="1">
      <c t="s" r="A257" s="12">
        <v>260</v>
      </c>
      <c r="B257" s="13">
        <v>0</v>
      </c>
      <c r="C257" s="14">
        <f>IFERROR(B257/B327, "NA")</f>
      </c>
      <c r="D257" s="15"/>
      <c r="E257" s="13">
        <v>0</v>
      </c>
      <c r="F257" s="14">
        <f>IFERROR(E257/E327, "NA")</f>
      </c>
      <c r="G257" s="15"/>
      <c r="H257" s="13">
        <v>0</v>
      </c>
      <c r="I257" s="14">
        <f>IFERROR(H257/H327, "NA")</f>
      </c>
      <c r="J257" s="15"/>
      <c r="K257" s="13">
        <v>0</v>
      </c>
      <c r="L257" s="14">
        <f>IFERROR(K257/K327, "NA")</f>
      </c>
      <c r="M257" s="15"/>
      <c r="N257" s="13">
        <v>0</v>
      </c>
      <c r="O257" s="14">
        <f>IFERROR(N257/N327, "NA")</f>
      </c>
    </row>
    <row r="258" ht="16.5" customHeight="1">
      <c t="s" r="A258" s="12">
        <v>261</v>
      </c>
      <c r="B258" s="13">
        <v>12010.6</v>
      </c>
      <c r="C258" s="14">
        <f>IFERROR(B258/B327, "NA")</f>
      </c>
      <c r="D258" s="15"/>
      <c r="E258" s="13">
        <v>0</v>
      </c>
      <c r="F258" s="14">
        <f>IFERROR(E258/E327, "NA")</f>
      </c>
      <c r="G258" s="15"/>
      <c r="H258" s="13">
        <v>0</v>
      </c>
      <c r="I258" s="14">
        <f>IFERROR(H258/H327, "NA")</f>
      </c>
      <c r="J258" s="15"/>
      <c r="K258" s="13">
        <v>0</v>
      </c>
      <c r="L258" s="14">
        <f>IFERROR(K258/K327, "NA")</f>
      </c>
      <c r="M258" s="15"/>
      <c r="N258" s="13">
        <v>0</v>
      </c>
      <c r="O258" s="14">
        <f>IFERROR(N258/N327, "NA")</f>
      </c>
    </row>
    <row r="259" ht="16.5" customHeight="1">
      <c t="s" r="A259" s="12">
        <v>262</v>
      </c>
      <c r="B259" s="13">
        <v>0</v>
      </c>
      <c r="C259" s="14">
        <f>IFERROR(B259/B327, "NA")</f>
      </c>
      <c r="D259" s="15"/>
      <c r="E259" s="13">
        <v>0</v>
      </c>
      <c r="F259" s="14">
        <f>IFERROR(E259/E327, "NA")</f>
      </c>
      <c r="G259" s="15"/>
      <c r="H259" s="13">
        <v>0</v>
      </c>
      <c r="I259" s="14">
        <f>IFERROR(H259/H327, "NA")</f>
      </c>
      <c r="J259" s="15"/>
      <c r="K259" s="13">
        <v>0</v>
      </c>
      <c r="L259" s="14">
        <f>IFERROR(K259/K327, "NA")</f>
      </c>
      <c r="M259" s="15"/>
      <c r="N259" s="13">
        <v>0</v>
      </c>
      <c r="O259" s="14">
        <f>IFERROR(N259/N327, "NA")</f>
      </c>
    </row>
    <row r="260" ht="16.5" customHeight="1">
      <c t="s" r="A260" s="12">
        <v>263</v>
      </c>
      <c r="B260" s="13">
        <v>0</v>
      </c>
      <c r="C260" s="14">
        <f>IFERROR(B260/B327, "NA")</f>
      </c>
      <c r="D260" s="15"/>
      <c r="E260" s="13">
        <v>0</v>
      </c>
      <c r="F260" s="14">
        <f>IFERROR(E260/E327, "NA")</f>
      </c>
      <c r="G260" s="15"/>
      <c r="H260" s="13">
        <v>0</v>
      </c>
      <c r="I260" s="14">
        <f>IFERROR(H260/H327, "NA")</f>
      </c>
      <c r="J260" s="15"/>
      <c r="K260" s="13">
        <v>0</v>
      </c>
      <c r="L260" s="14">
        <f>IFERROR(K260/K327, "NA")</f>
      </c>
      <c r="M260" s="15"/>
      <c r="N260" s="13">
        <v>0</v>
      </c>
      <c r="O260" s="14">
        <f>IFERROR(N260/N327, "NA")</f>
      </c>
    </row>
    <row r="261" ht="16.5" customHeight="1">
      <c t="s" r="A261" s="12">
        <v>264</v>
      </c>
      <c r="B261" s="13">
        <v>0</v>
      </c>
      <c r="C261" s="14">
        <f>IFERROR(B261/B327, "NA")</f>
      </c>
      <c r="D261" s="15"/>
      <c r="E261" s="13">
        <v>0</v>
      </c>
      <c r="F261" s="14">
        <f>IFERROR(E261/E327, "NA")</f>
      </c>
      <c r="G261" s="15"/>
      <c r="H261" s="13">
        <v>0</v>
      </c>
      <c r="I261" s="14">
        <f>IFERROR(H261/H327, "NA")</f>
      </c>
      <c r="J261" s="15"/>
      <c r="K261" s="13">
        <v>30863.360000000001</v>
      </c>
      <c r="L261" s="14">
        <f>IFERROR(K261/K327, "NA")</f>
      </c>
      <c r="M261" s="15"/>
      <c r="N261" s="13">
        <v>0</v>
      </c>
      <c r="O261" s="14">
        <f>IFERROR(N261/N327, "NA")</f>
      </c>
    </row>
    <row r="262" ht="16.5" customHeight="1">
      <c t="s" r="A262" s="12">
        <v>265</v>
      </c>
      <c r="B262" s="13">
        <v>0</v>
      </c>
      <c r="C262" s="14">
        <f>IFERROR(B262/B327, "NA")</f>
      </c>
      <c r="D262" s="15"/>
      <c r="E262" s="13">
        <v>0</v>
      </c>
      <c r="F262" s="14">
        <f>IFERROR(E262/E327, "NA")</f>
      </c>
      <c r="G262" s="15"/>
      <c r="H262" s="13">
        <v>0</v>
      </c>
      <c r="I262" s="14">
        <f>IFERROR(H262/H327, "NA")</f>
      </c>
      <c r="J262" s="15"/>
      <c r="K262" s="13">
        <v>2648.9000000000001</v>
      </c>
      <c r="L262" s="14">
        <f>IFERROR(K262/K327, "NA")</f>
      </c>
      <c r="M262" s="15"/>
      <c r="N262" s="13">
        <v>0</v>
      </c>
      <c r="O262" s="14">
        <f>IFERROR(N262/N327, "NA")</f>
      </c>
    </row>
    <row r="263" ht="16.5" customHeight="1">
      <c t="s" r="A263" s="16">
        <v>266</v>
      </c>
      <c r="B263" s="17">
        <f>IFERROR(B254+B255+B256+B257+B258+B259+B260+B261+B262, "NA")</f>
      </c>
      <c r="C263" s="18">
        <f>IFERROR(B263/B327, "NA")</f>
      </c>
      <c r="D263" s="8"/>
      <c r="E263" s="17">
        <f>IFERROR(E254+E255+E256+E257+E258+E259+E260+E261+E262, "NA")</f>
      </c>
      <c r="F263" s="18">
        <f>IFERROR(E263/E327, "NA")</f>
      </c>
      <c r="G263" s="8"/>
      <c r="H263" s="17">
        <f>IFERROR(H254+H255+H256+H257+H258+H259+H260+H261+H262, "NA")</f>
      </c>
      <c r="I263" s="18">
        <f>IFERROR(H263/H327, "NA")</f>
      </c>
      <c r="J263" s="8"/>
      <c r="K263" s="17">
        <f>IFERROR(K254+K255+K256+K257+K258+K259+K260+K261+K262, "NA")</f>
      </c>
      <c r="L263" s="18">
        <f>IFERROR(K263/K327, "NA")</f>
      </c>
      <c r="M263" s="8"/>
      <c r="N263" s="17">
        <f>IFERROR(N254+N255+N256+N257+N258+N259+N260+N261+N262, "NA")</f>
      </c>
      <c r="O263" s="18">
        <f>IFERROR(N263/N327, "NA")</f>
      </c>
    </row>
    <row r="264" ht="16.5" customHeight="1">
      <c t="s" r="A264" s="11">
        <v>267</v>
      </c>
      <c r="B264" s="8"/>
      <c r="C264" s="9"/>
      <c r="D264" s="10"/>
      <c r="E264" s="8"/>
      <c r="F264" s="9"/>
      <c r="G264" s="10"/>
      <c r="H264" s="8"/>
      <c r="I264" s="9"/>
      <c r="J264" s="10"/>
      <c r="K264" s="8"/>
      <c r="L264" s="9"/>
      <c r="M264" s="10"/>
      <c r="N264" s="8"/>
      <c r="O264" s="9"/>
    </row>
    <row r="265" ht="16.5" customHeight="1">
      <c t="s" r="A265" s="12">
        <v>268</v>
      </c>
      <c r="B265" s="13">
        <v>0</v>
      </c>
      <c r="C265" s="14">
        <f>IFERROR(B265/B327, "NA")</f>
      </c>
      <c r="D265" s="15"/>
      <c r="E265" s="13">
        <v>0</v>
      </c>
      <c r="F265" s="14">
        <f>IFERROR(E265/E327, "NA")</f>
      </c>
      <c r="G265" s="15"/>
      <c r="H265" s="13">
        <v>0</v>
      </c>
      <c r="I265" s="14">
        <f>IFERROR(H265/H327, "NA")</f>
      </c>
      <c r="J265" s="15"/>
      <c r="K265" s="13">
        <v>0</v>
      </c>
      <c r="L265" s="14">
        <f>IFERROR(K265/K327, "NA")</f>
      </c>
      <c r="M265" s="15"/>
      <c r="N265" s="13">
        <v>0</v>
      </c>
      <c r="O265" s="14">
        <f>IFERROR(N265/N327, "NA")</f>
      </c>
    </row>
    <row r="266" ht="16.5" customHeight="1">
      <c t="s" r="A266" s="12">
        <v>269</v>
      </c>
      <c r="B266" s="13">
        <v>0</v>
      </c>
      <c r="C266" s="14">
        <f>IFERROR(B266/B327, "NA")</f>
      </c>
      <c r="D266" s="15"/>
      <c r="E266" s="13">
        <v>0</v>
      </c>
      <c r="F266" s="14">
        <f>IFERROR(E266/E327, "NA")</f>
      </c>
      <c r="G266" s="15"/>
      <c r="H266" s="13">
        <v>0</v>
      </c>
      <c r="I266" s="14">
        <f>IFERROR(H266/H327, "NA")</f>
      </c>
      <c r="J266" s="15"/>
      <c r="K266" s="13">
        <v>0</v>
      </c>
      <c r="L266" s="14">
        <f>IFERROR(K266/K327, "NA")</f>
      </c>
      <c r="M266" s="15"/>
      <c r="N266" s="13">
        <v>0</v>
      </c>
      <c r="O266" s="14">
        <f>IFERROR(N266/N327, "NA")</f>
      </c>
    </row>
    <row r="267" ht="16.5" customHeight="1">
      <c t="s" r="A267" s="12">
        <v>270</v>
      </c>
      <c r="B267" s="13">
        <v>0</v>
      </c>
      <c r="C267" s="14">
        <f>IFERROR(B267/B327, "NA")</f>
      </c>
      <c r="D267" s="15"/>
      <c r="E267" s="13">
        <v>0</v>
      </c>
      <c r="F267" s="14">
        <f>IFERROR(E267/E327, "NA")</f>
      </c>
      <c r="G267" s="15"/>
      <c r="H267" s="13">
        <v>0</v>
      </c>
      <c r="I267" s="14">
        <f>IFERROR(H267/H327, "NA")</f>
      </c>
      <c r="J267" s="15"/>
      <c r="K267" s="13">
        <v>0</v>
      </c>
      <c r="L267" s="14">
        <f>IFERROR(K267/K327, "NA")</f>
      </c>
      <c r="M267" s="15"/>
      <c r="N267" s="13">
        <v>0</v>
      </c>
      <c r="O267" s="14">
        <f>IFERROR(N267/N327, "NA")</f>
      </c>
    </row>
    <row r="268" ht="16.5" customHeight="1">
      <c t="s" r="A268" s="12">
        <v>271</v>
      </c>
      <c r="B268" s="13">
        <v>0</v>
      </c>
      <c r="C268" s="14">
        <f>IFERROR(B268/B327, "NA")</f>
      </c>
      <c r="D268" s="15"/>
      <c r="E268" s="13">
        <v>-2462.25</v>
      </c>
      <c r="F268" s="14">
        <f>IFERROR(E268/E327, "NA")</f>
      </c>
      <c r="G268" s="15"/>
      <c r="H268" s="13">
        <v>-1500</v>
      </c>
      <c r="I268" s="14">
        <f>IFERROR(H268/H327, "NA")</f>
      </c>
      <c r="J268" s="15"/>
      <c r="K268" s="13">
        <v>-0.050000000000000003</v>
      </c>
      <c r="L268" s="14">
        <f>IFERROR(K268/K327, "NA")</f>
      </c>
      <c r="M268" s="15"/>
      <c r="N268" s="13">
        <v>0</v>
      </c>
      <c r="O268" s="14">
        <f>IFERROR(N268/N327, "NA")</f>
      </c>
    </row>
    <row r="269" ht="16.5" customHeight="1">
      <c t="s" r="A269" s="12">
        <v>272</v>
      </c>
      <c r="B269" s="13">
        <v>0</v>
      </c>
      <c r="C269" s="14">
        <f>IFERROR(B269/B327, "NA")</f>
      </c>
      <c r="D269" s="15"/>
      <c r="E269" s="13">
        <v>0</v>
      </c>
      <c r="F269" s="14">
        <f>IFERROR(E269/E327, "NA")</f>
      </c>
      <c r="G269" s="15"/>
      <c r="H269" s="13">
        <v>0</v>
      </c>
      <c r="I269" s="14">
        <f>IFERROR(H269/H327, "NA")</f>
      </c>
      <c r="J269" s="15"/>
      <c r="K269" s="13">
        <v>0</v>
      </c>
      <c r="L269" s="14">
        <f>IFERROR(K269/K327, "NA")</f>
      </c>
      <c r="M269" s="15"/>
      <c r="N269" s="13">
        <v>0</v>
      </c>
      <c r="O269" s="14">
        <f>IFERROR(N269/N327, "NA")</f>
      </c>
    </row>
    <row r="270" ht="16.5" customHeight="1">
      <c t="s" r="A270" s="12">
        <v>273</v>
      </c>
      <c r="B270" s="13">
        <v>0</v>
      </c>
      <c r="C270" s="14">
        <f>IFERROR(B270/B327, "NA")</f>
      </c>
      <c r="D270" s="15"/>
      <c r="E270" s="13">
        <v>0</v>
      </c>
      <c r="F270" s="14">
        <f>IFERROR(E270/E327, "NA")</f>
      </c>
      <c r="G270" s="15"/>
      <c r="H270" s="13">
        <v>0</v>
      </c>
      <c r="I270" s="14">
        <f>IFERROR(H270/H327, "NA")</f>
      </c>
      <c r="J270" s="15"/>
      <c r="K270" s="13">
        <v>0</v>
      </c>
      <c r="L270" s="14">
        <f>IFERROR(K270/K327, "NA")</f>
      </c>
      <c r="M270" s="15"/>
      <c r="N270" s="13">
        <v>0</v>
      </c>
      <c r="O270" s="14">
        <f>IFERROR(N270/N327, "NA")</f>
      </c>
    </row>
    <row r="271" ht="16.5" customHeight="1">
      <c t="s" r="A271" s="12">
        <v>274</v>
      </c>
      <c r="B271" s="13">
        <v>0</v>
      </c>
      <c r="C271" s="14">
        <f>IFERROR(B271/B327, "NA")</f>
      </c>
      <c r="D271" s="15"/>
      <c r="E271" s="13">
        <v>0</v>
      </c>
      <c r="F271" s="14">
        <f>IFERROR(E271/E327, "NA")</f>
      </c>
      <c r="G271" s="15"/>
      <c r="H271" s="13">
        <v>0</v>
      </c>
      <c r="I271" s="14">
        <f>IFERROR(H271/H327, "NA")</f>
      </c>
      <c r="J271" s="15"/>
      <c r="K271" s="13">
        <v>0</v>
      </c>
      <c r="L271" s="14">
        <f>IFERROR(K271/K327, "NA")</f>
      </c>
      <c r="M271" s="15"/>
      <c r="N271" s="13">
        <v>0</v>
      </c>
      <c r="O271" s="14">
        <f>IFERROR(N271/N327, "NA")</f>
      </c>
    </row>
    <row r="272" ht="16.5" customHeight="1">
      <c t="s" r="A272" s="12">
        <v>275</v>
      </c>
      <c r="B272" s="13">
        <v>0</v>
      </c>
      <c r="C272" s="14">
        <f>IFERROR(B272/B327, "NA")</f>
      </c>
      <c r="D272" s="15"/>
      <c r="E272" s="13">
        <v>0</v>
      </c>
      <c r="F272" s="14">
        <f>IFERROR(E272/E327, "NA")</f>
      </c>
      <c r="G272" s="15"/>
      <c r="H272" s="13">
        <v>0</v>
      </c>
      <c r="I272" s="14">
        <f>IFERROR(H272/H327, "NA")</f>
      </c>
      <c r="J272" s="15"/>
      <c r="K272" s="13">
        <v>0</v>
      </c>
      <c r="L272" s="14">
        <f>IFERROR(K272/K327, "NA")</f>
      </c>
      <c r="M272" s="15"/>
      <c r="N272" s="13">
        <v>0</v>
      </c>
      <c r="O272" s="14">
        <f>IFERROR(N272/N327, "NA")</f>
      </c>
    </row>
    <row r="273" ht="16.5" customHeight="1">
      <c t="s" r="A273" s="12">
        <v>276</v>
      </c>
      <c r="B273" s="13">
        <v>0</v>
      </c>
      <c r="C273" s="14">
        <f>IFERROR(B273/B327, "NA")</f>
      </c>
      <c r="D273" s="15"/>
      <c r="E273" s="13">
        <v>0</v>
      </c>
      <c r="F273" s="14">
        <f>IFERROR(E273/E327, "NA")</f>
      </c>
      <c r="G273" s="15"/>
      <c r="H273" s="13">
        <v>0</v>
      </c>
      <c r="I273" s="14">
        <f>IFERROR(H273/H327, "NA")</f>
      </c>
      <c r="J273" s="15"/>
      <c r="K273" s="13">
        <v>0</v>
      </c>
      <c r="L273" s="14">
        <f>IFERROR(K273/K327, "NA")</f>
      </c>
      <c r="M273" s="15"/>
      <c r="N273" s="13">
        <v>0</v>
      </c>
      <c r="O273" s="14">
        <f>IFERROR(N273/N327, "NA")</f>
      </c>
    </row>
    <row r="274" ht="16.5" customHeight="1">
      <c t="s" r="A274" s="12">
        <v>277</v>
      </c>
      <c r="B274" s="13">
        <v>0</v>
      </c>
      <c r="C274" s="14">
        <f>IFERROR(B274/B327, "NA")</f>
      </c>
      <c r="D274" s="15"/>
      <c r="E274" s="13">
        <v>0</v>
      </c>
      <c r="F274" s="14">
        <f>IFERROR(E274/E327, "NA")</f>
      </c>
      <c r="G274" s="15"/>
      <c r="H274" s="13">
        <v>0</v>
      </c>
      <c r="I274" s="14">
        <f>IFERROR(H274/H327, "NA")</f>
      </c>
      <c r="J274" s="15"/>
      <c r="K274" s="13">
        <v>0</v>
      </c>
      <c r="L274" s="14">
        <f>IFERROR(K274/K327, "NA")</f>
      </c>
      <c r="M274" s="15"/>
      <c r="N274" s="13">
        <v>0</v>
      </c>
      <c r="O274" s="14">
        <f>IFERROR(N274/N327, "NA")</f>
      </c>
    </row>
    <row r="275" ht="16.5" customHeight="1">
      <c t="s" r="A275" s="12">
        <v>278</v>
      </c>
      <c r="B275" s="13">
        <v>0</v>
      </c>
      <c r="C275" s="14">
        <f>IFERROR(B275/B327, "NA")</f>
      </c>
      <c r="D275" s="15"/>
      <c r="E275" s="13">
        <v>0</v>
      </c>
      <c r="F275" s="14">
        <f>IFERROR(E275/E327, "NA")</f>
      </c>
      <c r="G275" s="15"/>
      <c r="H275" s="13">
        <v>0</v>
      </c>
      <c r="I275" s="14">
        <f>IFERROR(H275/H327, "NA")</f>
      </c>
      <c r="J275" s="15"/>
      <c r="K275" s="13">
        <v>0</v>
      </c>
      <c r="L275" s="14">
        <f>IFERROR(K275/K327, "NA")</f>
      </c>
      <c r="M275" s="15"/>
      <c r="N275" s="13">
        <v>0</v>
      </c>
      <c r="O275" s="14">
        <f>IFERROR(N275/N327, "NA")</f>
      </c>
    </row>
    <row r="276" ht="16.5" customHeight="1">
      <c t="s" r="A276" s="12">
        <v>279</v>
      </c>
      <c r="B276" s="13">
        <v>0</v>
      </c>
      <c r="C276" s="14">
        <f>IFERROR(B276/B327, "NA")</f>
      </c>
      <c r="D276" s="15"/>
      <c r="E276" s="13">
        <v>0</v>
      </c>
      <c r="F276" s="14">
        <f>IFERROR(E276/E327, "NA")</f>
      </c>
      <c r="G276" s="15"/>
      <c r="H276" s="13">
        <v>0</v>
      </c>
      <c r="I276" s="14">
        <f>IFERROR(H276/H327, "NA")</f>
      </c>
      <c r="J276" s="15"/>
      <c r="K276" s="13">
        <v>0</v>
      </c>
      <c r="L276" s="14">
        <f>IFERROR(K276/K327, "NA")</f>
      </c>
      <c r="M276" s="15"/>
      <c r="N276" s="13">
        <v>0</v>
      </c>
      <c r="O276" s="14">
        <f>IFERROR(N276/N327, "NA")</f>
      </c>
    </row>
    <row r="277" ht="16.5" customHeight="1">
      <c t="s" r="A277" s="12">
        <v>280</v>
      </c>
      <c r="B277" s="13">
        <v>0</v>
      </c>
      <c r="C277" s="14">
        <f>IFERROR(B277/B327, "NA")</f>
      </c>
      <c r="D277" s="15"/>
      <c r="E277" s="13">
        <v>0</v>
      </c>
      <c r="F277" s="14">
        <f>IFERROR(E277/E327, "NA")</f>
      </c>
      <c r="G277" s="15"/>
      <c r="H277" s="13">
        <v>0</v>
      </c>
      <c r="I277" s="14">
        <f>IFERROR(H277/H327, "NA")</f>
      </c>
      <c r="J277" s="15"/>
      <c r="K277" s="13">
        <v>0</v>
      </c>
      <c r="L277" s="14">
        <f>IFERROR(K277/K327, "NA")</f>
      </c>
      <c r="M277" s="15"/>
      <c r="N277" s="13">
        <v>0</v>
      </c>
      <c r="O277" s="14">
        <f>IFERROR(N277/N327, "NA")</f>
      </c>
    </row>
    <row r="278" ht="16.5" customHeight="1">
      <c t="s" r="A278" s="12">
        <v>281</v>
      </c>
      <c r="B278" s="13">
        <v>-1276.28</v>
      </c>
      <c r="C278" s="14">
        <f>IFERROR(B278/B327, "NA")</f>
      </c>
      <c r="D278" s="15"/>
      <c r="E278" s="13">
        <v>-3204.6999999999998</v>
      </c>
      <c r="F278" s="14">
        <f>IFERROR(E278/E327, "NA")</f>
      </c>
      <c r="G278" s="15"/>
      <c r="H278" s="13">
        <v>-3420.9200000000001</v>
      </c>
      <c r="I278" s="14">
        <f>IFERROR(H278/H327, "NA")</f>
      </c>
      <c r="J278" s="15"/>
      <c r="K278" s="13">
        <v>-3816.5100000000002</v>
      </c>
      <c r="L278" s="14">
        <f>IFERROR(K278/K327, "NA")</f>
      </c>
      <c r="M278" s="15"/>
      <c r="N278" s="13">
        <v>-3583.3300000000004</v>
      </c>
      <c r="O278" s="14">
        <f>IFERROR(N278/N327, "NA")</f>
      </c>
    </row>
    <row r="279" ht="16.5" customHeight="1">
      <c t="s" r="A279" s="12">
        <v>282</v>
      </c>
      <c r="B279" s="13">
        <v>0</v>
      </c>
      <c r="C279" s="14">
        <f>IFERROR(B279/B327, "NA")</f>
      </c>
      <c r="D279" s="15"/>
      <c r="E279" s="13">
        <v>0</v>
      </c>
      <c r="F279" s="14">
        <f>IFERROR(E279/E327, "NA")</f>
      </c>
      <c r="G279" s="15"/>
      <c r="H279" s="13">
        <v>0</v>
      </c>
      <c r="I279" s="14">
        <f>IFERROR(H279/H327, "NA")</f>
      </c>
      <c r="J279" s="15"/>
      <c r="K279" s="13">
        <v>0</v>
      </c>
      <c r="L279" s="14">
        <f>IFERROR(K279/K327, "NA")</f>
      </c>
      <c r="M279" s="15"/>
      <c r="N279" s="13">
        <v>0</v>
      </c>
      <c r="O279" s="14">
        <f>IFERROR(N279/N327, "NA")</f>
      </c>
    </row>
    <row r="280" ht="16.5" customHeight="1">
      <c t="s" r="A280" s="12">
        <v>283</v>
      </c>
      <c r="B280" s="13">
        <v>0</v>
      </c>
      <c r="C280" s="14">
        <f>IFERROR(B280/B327, "NA")</f>
      </c>
      <c r="D280" s="15"/>
      <c r="E280" s="13">
        <v>0</v>
      </c>
      <c r="F280" s="14">
        <f>IFERROR(E280/E327, "NA")</f>
      </c>
      <c r="G280" s="15"/>
      <c r="H280" s="13">
        <v>0</v>
      </c>
      <c r="I280" s="14">
        <f>IFERROR(H280/H327, "NA")</f>
      </c>
      <c r="J280" s="15"/>
      <c r="K280" s="13">
        <v>0</v>
      </c>
      <c r="L280" s="14">
        <f>IFERROR(K280/K327, "NA")</f>
      </c>
      <c r="M280" s="15"/>
      <c r="N280" s="13">
        <v>0</v>
      </c>
      <c r="O280" s="14">
        <f>IFERROR(N280/N327, "NA")</f>
      </c>
    </row>
    <row r="281" ht="16.5" customHeight="1">
      <c t="s" r="A281" s="12">
        <v>284</v>
      </c>
      <c r="B281" s="13">
        <v>0</v>
      </c>
      <c r="C281" s="14">
        <f>IFERROR(B281/B327, "NA")</f>
      </c>
      <c r="D281" s="15"/>
      <c r="E281" s="13">
        <v>0</v>
      </c>
      <c r="F281" s="14">
        <f>IFERROR(E281/E327, "NA")</f>
      </c>
      <c r="G281" s="15"/>
      <c r="H281" s="13">
        <v>0</v>
      </c>
      <c r="I281" s="14">
        <f>IFERROR(H281/H327, "NA")</f>
      </c>
      <c r="J281" s="15"/>
      <c r="K281" s="13">
        <v>0</v>
      </c>
      <c r="L281" s="14">
        <f>IFERROR(K281/K327, "NA")</f>
      </c>
      <c r="M281" s="15"/>
      <c r="N281" s="13">
        <v>0</v>
      </c>
      <c r="O281" s="14">
        <f>IFERROR(N281/N327, "NA")</f>
      </c>
    </row>
    <row r="282" ht="16.5" customHeight="1">
      <c t="s" r="A282" s="12">
        <v>285</v>
      </c>
      <c r="B282" s="13">
        <v>0</v>
      </c>
      <c r="C282" s="14">
        <f>IFERROR(B282/B327, "NA")</f>
      </c>
      <c r="D282" s="15"/>
      <c r="E282" s="13">
        <v>0</v>
      </c>
      <c r="F282" s="14">
        <f>IFERROR(E282/E327, "NA")</f>
      </c>
      <c r="G282" s="15"/>
      <c r="H282" s="13">
        <v>0</v>
      </c>
      <c r="I282" s="14">
        <f>IFERROR(H282/H327, "NA")</f>
      </c>
      <c r="J282" s="15"/>
      <c r="K282" s="13">
        <v>0</v>
      </c>
      <c r="L282" s="14">
        <f>IFERROR(K282/K327, "NA")</f>
      </c>
      <c r="M282" s="15"/>
      <c r="N282" s="13">
        <v>0</v>
      </c>
      <c r="O282" s="14">
        <f>IFERROR(N282/N327, "NA")</f>
      </c>
    </row>
    <row r="283" ht="16.5" customHeight="1">
      <c t="s" r="A283" s="16">
        <v>286</v>
      </c>
      <c r="B283" s="17">
        <f>IFERROR(B265+B266+B267+B268+B269+B270+B271+B272+B273+B274+B275+B276+B277+B278+B279+B280+B281+B282, "NA")</f>
      </c>
      <c r="C283" s="18">
        <f>IFERROR(B283/B327, "NA")</f>
      </c>
      <c r="D283" s="8"/>
      <c r="E283" s="17">
        <f>IFERROR(E265+E266+E267+E268+E269+E270+E271+E272+E273+E274+E275+E276+E277+E278+E279+E280+E281+E282, "NA")</f>
      </c>
      <c r="F283" s="18">
        <f>IFERROR(E283/E327, "NA")</f>
      </c>
      <c r="G283" s="8"/>
      <c r="H283" s="17">
        <f>IFERROR(H265+H266+H267+H268+H269+H270+H271+H272+H273+H274+H275+H276+H277+H278+H279+H280+H281+H282, "NA")</f>
      </c>
      <c r="I283" s="18">
        <f>IFERROR(H283/H327, "NA")</f>
      </c>
      <c r="J283" s="8"/>
      <c r="K283" s="17">
        <f>IFERROR(K265+K266+K267+K268+K269+K270+K271+K272+K273+K274+K275+K276+K277+K278+K279+K280+K281+K282, "NA")</f>
      </c>
      <c r="L283" s="18">
        <f>IFERROR(K283/K327, "NA")</f>
      </c>
      <c r="M283" s="8"/>
      <c r="N283" s="17">
        <f>IFERROR(N265+N266+N267+N268+N269+N270+N271+N272+N273+N274+N275+N276+N277+N278+N279+N280+N281+N282, "NA")</f>
      </c>
      <c r="O283" s="18">
        <f>IFERROR(N283/N327, "NA")</f>
      </c>
    </row>
    <row r="284" ht="16.5" customHeight="1">
      <c t="s" r="A284" s="20">
        <v>287</v>
      </c>
      <c r="B284" s="17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</c>
      <c r="C284" s="18">
        <f>IFERROR(B284/B327, "NA")</f>
      </c>
      <c r="D284" s="8"/>
      <c r="E284" s="17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</c>
      <c r="F284" s="18">
        <f>IFERROR(E284/E327, "NA")</f>
      </c>
      <c r="G284" s="8"/>
      <c r="H284" s="17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</c>
      <c r="I284" s="18">
        <f>IFERROR(H284/H327, "NA")</f>
      </c>
      <c r="J284" s="8"/>
      <c r="K284" s="17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</c>
      <c r="L284" s="18">
        <f>IFERROR(K284/K327, "NA")</f>
      </c>
      <c r="M284" s="8"/>
      <c r="N284" s="17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</c>
      <c r="O284" s="18">
        <f>IFERROR(N284/N327, "NA")</f>
      </c>
    </row>
    <row r="285" ht="16.5" customHeight="1">
      <c t="s" r="A285" s="7">
        <v>288</v>
      </c>
      <c r="B285" s="8"/>
      <c r="C285" s="9"/>
      <c r="D285" s="10"/>
      <c r="E285" s="8"/>
      <c r="F285" s="9"/>
      <c r="G285" s="10"/>
      <c r="H285" s="8"/>
      <c r="I285" s="9"/>
      <c r="J285" s="10"/>
      <c r="K285" s="8"/>
      <c r="L285" s="9"/>
      <c r="M285" s="10"/>
      <c r="N285" s="8"/>
      <c r="O285" s="9"/>
    </row>
    <row r="286" ht="16.5" customHeight="1">
      <c t="s" r="A286" s="11">
        <v>289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</row>
    <row r="287" ht="16.5" customHeight="1">
      <c t="s" r="A287" s="12">
        <v>290</v>
      </c>
      <c r="B287" s="13">
        <v>0</v>
      </c>
      <c r="C287" s="14">
        <f>IFERROR(B287/B327, "NA")</f>
      </c>
      <c r="D287" s="15"/>
      <c r="E287" s="13">
        <v>0</v>
      </c>
      <c r="F287" s="14">
        <f>IFERROR(E287/E327, "NA")</f>
      </c>
      <c r="G287" s="15"/>
      <c r="H287" s="13">
        <v>0</v>
      </c>
      <c r="I287" s="14">
        <f>IFERROR(H287/H327, "NA")</f>
      </c>
      <c r="J287" s="15"/>
      <c r="K287" s="13">
        <v>0</v>
      </c>
      <c r="L287" s="14">
        <f>IFERROR(K287/K327, "NA")</f>
      </c>
      <c r="M287" s="15"/>
      <c r="N287" s="13">
        <v>0</v>
      </c>
      <c r="O287" s="14">
        <f>IFERROR(N287/N327, "NA")</f>
      </c>
    </row>
    <row r="288" ht="16.5" customHeight="1">
      <c t="s" r="A288" s="12">
        <v>291</v>
      </c>
      <c r="B288" s="13">
        <v>0</v>
      </c>
      <c r="C288" s="14">
        <f>IFERROR(B288/B327, "NA")</f>
      </c>
      <c r="D288" s="15"/>
      <c r="E288" s="13">
        <v>0</v>
      </c>
      <c r="F288" s="14">
        <f>IFERROR(E288/E327, "NA")</f>
      </c>
      <c r="G288" s="15"/>
      <c r="H288" s="13">
        <v>0</v>
      </c>
      <c r="I288" s="14">
        <f>IFERROR(H288/H327, "NA")</f>
      </c>
      <c r="J288" s="15"/>
      <c r="K288" s="13">
        <v>0</v>
      </c>
      <c r="L288" s="14">
        <f>IFERROR(K288/K327, "NA")</f>
      </c>
      <c r="M288" s="15"/>
      <c r="N288" s="13">
        <v>0</v>
      </c>
      <c r="O288" s="14">
        <f>IFERROR(N288/N327, "NA")</f>
      </c>
    </row>
    <row r="289" ht="16.5" customHeight="1">
      <c t="s" r="A289" s="12">
        <v>292</v>
      </c>
      <c r="B289" s="13">
        <v>0</v>
      </c>
      <c r="C289" s="14">
        <f>IFERROR(B289/B327, "NA")</f>
      </c>
      <c r="D289" s="15"/>
      <c r="E289" s="13">
        <v>400</v>
      </c>
      <c r="F289" s="14">
        <f>IFERROR(E289/E327, "NA")</f>
      </c>
      <c r="G289" s="15"/>
      <c r="H289" s="13">
        <v>0</v>
      </c>
      <c r="I289" s="14">
        <f>IFERROR(H289/H327, "NA")</f>
      </c>
      <c r="J289" s="15"/>
      <c r="K289" s="13">
        <v>0</v>
      </c>
      <c r="L289" s="14">
        <f>IFERROR(K289/K327, "NA")</f>
      </c>
      <c r="M289" s="15"/>
      <c r="N289" s="13">
        <v>0</v>
      </c>
      <c r="O289" s="14">
        <f>IFERROR(N289/N327, "NA")</f>
      </c>
    </row>
    <row r="290" ht="16.5" customHeight="1">
      <c t="s" r="A290" s="12">
        <v>293</v>
      </c>
      <c r="B290" s="13">
        <v>11435.879999999999</v>
      </c>
      <c r="C290" s="14">
        <f>IFERROR(B290/B327, "NA")</f>
      </c>
      <c r="D290" s="15"/>
      <c r="E290" s="13">
        <v>11306.629999999999</v>
      </c>
      <c r="F290" s="14">
        <f>IFERROR(E290/E327, "NA")</f>
      </c>
      <c r="G290" s="15"/>
      <c r="H290" s="13">
        <v>11973.639999999999</v>
      </c>
      <c r="I290" s="14">
        <f>IFERROR(H290/H327, "NA")</f>
      </c>
      <c r="J290" s="15"/>
      <c r="K290" s="13">
        <v>13516.6</v>
      </c>
      <c r="L290" s="14">
        <f>IFERROR(K290/K327, "NA")</f>
      </c>
      <c r="M290" s="15"/>
      <c r="N290" s="13">
        <v>12493.43</v>
      </c>
      <c r="O290" s="14">
        <f>IFERROR(N290/N327, "NA")</f>
      </c>
    </row>
    <row r="291" ht="16.5" customHeight="1">
      <c t="s" r="A291" s="12">
        <v>294</v>
      </c>
      <c r="B291" s="13">
        <v>0</v>
      </c>
      <c r="C291" s="14">
        <f>IFERROR(B291/B327, "NA")</f>
      </c>
      <c r="D291" s="15"/>
      <c r="E291" s="13">
        <v>0</v>
      </c>
      <c r="F291" s="14">
        <f>IFERROR(E291/E327, "NA")</f>
      </c>
      <c r="G291" s="15"/>
      <c r="H291" s="13">
        <v>25</v>
      </c>
      <c r="I291" s="14">
        <f>IFERROR(H291/H327, "NA")</f>
      </c>
      <c r="J291" s="15"/>
      <c r="K291" s="13">
        <v>0</v>
      </c>
      <c r="L291" s="14">
        <f>IFERROR(K291/K327, "NA")</f>
      </c>
      <c r="M291" s="15"/>
      <c r="N291" s="13">
        <v>0</v>
      </c>
      <c r="O291" s="14">
        <f>IFERROR(N291/N327, "NA")</f>
      </c>
    </row>
    <row r="292" ht="16.5" customHeight="1">
      <c t="s" r="A292" s="12">
        <v>295</v>
      </c>
      <c r="B292" s="13">
        <v>0</v>
      </c>
      <c r="C292" s="14">
        <f>IFERROR(B292/B327, "NA")</f>
      </c>
      <c r="D292" s="15"/>
      <c r="E292" s="13">
        <v>0</v>
      </c>
      <c r="F292" s="14">
        <f>IFERROR(E292/E327, "NA")</f>
      </c>
      <c r="G292" s="15"/>
      <c r="H292" s="13">
        <v>0</v>
      </c>
      <c r="I292" s="14">
        <f>IFERROR(H292/H327, "NA")</f>
      </c>
      <c r="J292" s="15"/>
      <c r="K292" s="13">
        <v>2000</v>
      </c>
      <c r="L292" s="14">
        <f>IFERROR(K292/K327, "NA")</f>
      </c>
      <c r="M292" s="15"/>
      <c r="N292" s="13">
        <v>0</v>
      </c>
      <c r="O292" s="14">
        <f>IFERROR(N292/N327, "NA")</f>
      </c>
    </row>
    <row r="293" ht="16.5" customHeight="1">
      <c t="s" r="A293" s="12">
        <v>296</v>
      </c>
      <c r="B293" s="13">
        <v>125.66</v>
      </c>
      <c r="C293" s="14">
        <f>IFERROR(B293/B327, "NA")</f>
      </c>
      <c r="D293" s="15"/>
      <c r="E293" s="13">
        <v>0</v>
      </c>
      <c r="F293" s="14">
        <f>IFERROR(E293/E327, "NA")</f>
      </c>
      <c r="G293" s="15"/>
      <c r="H293" s="13">
        <v>545.78999999999996</v>
      </c>
      <c r="I293" s="14">
        <f>IFERROR(H293/H327, "NA")</f>
      </c>
      <c r="J293" s="15"/>
      <c r="K293" s="13">
        <v>0</v>
      </c>
      <c r="L293" s="14">
        <f>IFERROR(K293/K327, "NA")</f>
      </c>
      <c r="M293" s="15"/>
      <c r="N293" s="13">
        <v>0</v>
      </c>
      <c r="O293" s="14">
        <f>IFERROR(N293/N327, "NA")</f>
      </c>
    </row>
    <row r="294" ht="16.5" customHeight="1">
      <c t="s" r="A294" s="12">
        <v>297</v>
      </c>
      <c r="B294" s="13">
        <v>299.98000000000002</v>
      </c>
      <c r="C294" s="14">
        <f>IFERROR(B294/B327, "NA")</f>
      </c>
      <c r="D294" s="15"/>
      <c r="E294" s="13">
        <v>0</v>
      </c>
      <c r="F294" s="14">
        <f>IFERROR(E294/E327, "NA")</f>
      </c>
      <c r="G294" s="15"/>
      <c r="H294" s="13">
        <v>0</v>
      </c>
      <c r="I294" s="14">
        <f>IFERROR(H294/H327, "NA")</f>
      </c>
      <c r="J294" s="15"/>
      <c r="K294" s="13">
        <v>124.16</v>
      </c>
      <c r="L294" s="14">
        <f>IFERROR(K294/K327, "NA")</f>
      </c>
      <c r="M294" s="15"/>
      <c r="N294" s="13">
        <v>95.430000000000007</v>
      </c>
      <c r="O294" s="14">
        <f>IFERROR(N294/N327, "NA")</f>
      </c>
    </row>
    <row r="295" ht="16.5" customHeight="1">
      <c t="s" r="A295" s="12">
        <v>298</v>
      </c>
      <c r="B295" s="13">
        <v>0</v>
      </c>
      <c r="C295" s="14">
        <f>IFERROR(B295/B327, "NA")</f>
      </c>
      <c r="D295" s="15"/>
      <c r="E295" s="13">
        <v>0</v>
      </c>
      <c r="F295" s="14">
        <f>IFERROR(E295/E327, "NA")</f>
      </c>
      <c r="G295" s="15"/>
      <c r="H295" s="13">
        <v>0</v>
      </c>
      <c r="I295" s="14">
        <f>IFERROR(H295/H327, "NA")</f>
      </c>
      <c r="J295" s="15"/>
      <c r="K295" s="13">
        <v>0</v>
      </c>
      <c r="L295" s="14">
        <f>IFERROR(K295/K327, "NA")</f>
      </c>
      <c r="M295" s="15"/>
      <c r="N295" s="13">
        <v>0</v>
      </c>
      <c r="O295" s="14">
        <f>IFERROR(N295/N327, "NA")</f>
      </c>
    </row>
    <row r="296" ht="16.5" customHeight="1">
      <c t="s" r="A296" s="12">
        <v>299</v>
      </c>
      <c r="B296" s="13">
        <v>0</v>
      </c>
      <c r="C296" s="14">
        <f>IFERROR(B296/B327, "NA")</f>
      </c>
      <c r="D296" s="15"/>
      <c r="E296" s="13">
        <v>0</v>
      </c>
      <c r="F296" s="14">
        <f>IFERROR(E296/E327, "NA")</f>
      </c>
      <c r="G296" s="15"/>
      <c r="H296" s="13">
        <v>0</v>
      </c>
      <c r="I296" s="14">
        <f>IFERROR(H296/H327, "NA")</f>
      </c>
      <c r="J296" s="15"/>
      <c r="K296" s="13">
        <v>0</v>
      </c>
      <c r="L296" s="14">
        <f>IFERROR(K296/K327, "NA")</f>
      </c>
      <c r="M296" s="15"/>
      <c r="N296" s="13">
        <v>0</v>
      </c>
      <c r="O296" s="14">
        <f>IFERROR(N296/N327, "NA")</f>
      </c>
    </row>
    <row r="297" ht="16.5" customHeight="1">
      <c t="s" r="A297" s="12">
        <v>300</v>
      </c>
      <c r="B297" s="13">
        <v>0</v>
      </c>
      <c r="C297" s="14">
        <f>IFERROR(B297/B327, "NA")</f>
      </c>
      <c r="D297" s="15"/>
      <c r="E297" s="13">
        <v>0</v>
      </c>
      <c r="F297" s="14">
        <f>IFERROR(E297/E327, "NA")</f>
      </c>
      <c r="G297" s="15"/>
      <c r="H297" s="13">
        <v>0</v>
      </c>
      <c r="I297" s="14">
        <f>IFERROR(H297/H327, "NA")</f>
      </c>
      <c r="J297" s="15"/>
      <c r="K297" s="13">
        <v>0</v>
      </c>
      <c r="L297" s="14">
        <f>IFERROR(K297/K327, "NA")</f>
      </c>
      <c r="M297" s="15"/>
      <c r="N297" s="13">
        <v>0</v>
      </c>
      <c r="O297" s="14">
        <f>IFERROR(N297/N327, "NA")</f>
      </c>
    </row>
    <row r="298" ht="16.5" customHeight="1">
      <c t="s" r="A298" s="12">
        <v>301</v>
      </c>
      <c r="B298" s="13">
        <v>0</v>
      </c>
      <c r="C298" s="14">
        <f>IFERROR(B298/B327, "NA")</f>
      </c>
      <c r="D298" s="15"/>
      <c r="E298" s="13">
        <v>0</v>
      </c>
      <c r="F298" s="14">
        <f>IFERROR(E298/E327, "NA")</f>
      </c>
      <c r="G298" s="15"/>
      <c r="H298" s="13">
        <v>0</v>
      </c>
      <c r="I298" s="14">
        <f>IFERROR(H298/H327, "NA")</f>
      </c>
      <c r="J298" s="15"/>
      <c r="K298" s="13">
        <v>0</v>
      </c>
      <c r="L298" s="14">
        <f>IFERROR(K298/K327, "NA")</f>
      </c>
      <c r="M298" s="15"/>
      <c r="N298" s="13">
        <v>0</v>
      </c>
      <c r="O298" s="14">
        <f>IFERROR(N298/N327, "NA")</f>
      </c>
    </row>
    <row r="299" ht="16.5" customHeight="1">
      <c t="s" r="A299" s="12">
        <v>302</v>
      </c>
      <c r="B299" s="13">
        <v>0</v>
      </c>
      <c r="C299" s="14">
        <f>IFERROR(B299/B327, "NA")</f>
      </c>
      <c r="D299" s="15"/>
      <c r="E299" s="13">
        <v>0</v>
      </c>
      <c r="F299" s="14">
        <f>IFERROR(E299/E327, "NA")</f>
      </c>
      <c r="G299" s="15"/>
      <c r="H299" s="13">
        <v>0</v>
      </c>
      <c r="I299" s="14">
        <f>IFERROR(H299/H327, "NA")</f>
      </c>
      <c r="J299" s="15"/>
      <c r="K299" s="13">
        <v>0</v>
      </c>
      <c r="L299" s="14">
        <f>IFERROR(K299/K327, "NA")</f>
      </c>
      <c r="M299" s="15"/>
      <c r="N299" s="13">
        <v>0</v>
      </c>
      <c r="O299" s="14">
        <f>IFERROR(N299/N327, "NA")</f>
      </c>
    </row>
    <row r="300" ht="16.5" customHeight="1">
      <c t="s" r="A300" s="12">
        <v>303</v>
      </c>
      <c r="B300" s="13">
        <v>0</v>
      </c>
      <c r="C300" s="14">
        <f>IFERROR(B300/B327, "NA")</f>
      </c>
      <c r="D300" s="15"/>
      <c r="E300" s="13">
        <v>0</v>
      </c>
      <c r="F300" s="14">
        <f>IFERROR(E300/E327, "NA")</f>
      </c>
      <c r="G300" s="15"/>
      <c r="H300" s="13">
        <v>0</v>
      </c>
      <c r="I300" s="14">
        <f>IFERROR(H300/H327, "NA")</f>
      </c>
      <c r="J300" s="15"/>
      <c r="K300" s="13">
        <v>0</v>
      </c>
      <c r="L300" s="14">
        <f>IFERROR(K300/K327, "NA")</f>
      </c>
      <c r="M300" s="15"/>
      <c r="N300" s="13">
        <v>0</v>
      </c>
      <c r="O300" s="14">
        <f>IFERROR(N300/N327, "NA")</f>
      </c>
    </row>
    <row r="301" ht="16.5" customHeight="1">
      <c t="s" r="A301" s="12">
        <v>304</v>
      </c>
      <c r="B301" s="13">
        <v>0</v>
      </c>
      <c r="C301" s="14">
        <f>IFERROR(B301/B327, "NA")</f>
      </c>
      <c r="D301" s="15"/>
      <c r="E301" s="13">
        <v>0</v>
      </c>
      <c r="F301" s="14">
        <f>IFERROR(E301/E327, "NA")</f>
      </c>
      <c r="G301" s="15"/>
      <c r="H301" s="13">
        <v>0</v>
      </c>
      <c r="I301" s="14">
        <f>IFERROR(H301/H327, "NA")</f>
      </c>
      <c r="J301" s="15"/>
      <c r="K301" s="13">
        <v>0</v>
      </c>
      <c r="L301" s="14">
        <f>IFERROR(K301/K327, "NA")</f>
      </c>
      <c r="M301" s="15"/>
      <c r="N301" s="13">
        <v>0</v>
      </c>
      <c r="O301" s="14">
        <f>IFERROR(N301/N327, "NA")</f>
      </c>
    </row>
    <row r="302" ht="16.5" customHeight="1">
      <c t="s" r="A302" s="12">
        <v>305</v>
      </c>
      <c r="B302" s="13">
        <v>0</v>
      </c>
      <c r="C302" s="14">
        <f>IFERROR(B302/B327, "NA")</f>
      </c>
      <c r="D302" s="15"/>
      <c r="E302" s="13">
        <v>0</v>
      </c>
      <c r="F302" s="14">
        <f>IFERROR(E302/E327, "NA")</f>
      </c>
      <c r="G302" s="15"/>
      <c r="H302" s="13">
        <v>0</v>
      </c>
      <c r="I302" s="14">
        <f>IFERROR(H302/H327, "NA")</f>
      </c>
      <c r="J302" s="15"/>
      <c r="K302" s="13">
        <v>0</v>
      </c>
      <c r="L302" s="14">
        <f>IFERROR(K302/K327, "NA")</f>
      </c>
      <c r="M302" s="15"/>
      <c r="N302" s="13">
        <v>0</v>
      </c>
      <c r="O302" s="14">
        <f>IFERROR(N302/N327, "NA")</f>
      </c>
    </row>
    <row r="303" ht="16.5" customHeight="1">
      <c t="s" r="A303" s="12">
        <v>306</v>
      </c>
      <c r="B303" s="13">
        <v>0</v>
      </c>
      <c r="C303" s="14">
        <f>IFERROR(B303/B327, "NA")</f>
      </c>
      <c r="D303" s="15"/>
      <c r="E303" s="13">
        <v>0</v>
      </c>
      <c r="F303" s="14">
        <f>IFERROR(E303/E327, "NA")</f>
      </c>
      <c r="G303" s="15"/>
      <c r="H303" s="13">
        <v>0</v>
      </c>
      <c r="I303" s="14">
        <f>IFERROR(H303/H327, "NA")</f>
      </c>
      <c r="J303" s="15"/>
      <c r="K303" s="13">
        <v>0</v>
      </c>
      <c r="L303" s="14">
        <f>IFERROR(K303/K327, "NA")</f>
      </c>
      <c r="M303" s="15"/>
      <c r="N303" s="13">
        <v>0</v>
      </c>
      <c r="O303" s="14">
        <f>IFERROR(N303/N327, "NA")</f>
      </c>
    </row>
    <row r="304" ht="16.5" customHeight="1">
      <c t="s" r="A304" s="12">
        <v>307</v>
      </c>
      <c r="B304" s="13">
        <v>0</v>
      </c>
      <c r="C304" s="14">
        <f>IFERROR(B304/B327, "NA")</f>
      </c>
      <c r="D304" s="15"/>
      <c r="E304" s="13">
        <v>0</v>
      </c>
      <c r="F304" s="14">
        <f>IFERROR(E304/E327, "NA")</f>
      </c>
      <c r="G304" s="15"/>
      <c r="H304" s="13">
        <v>0</v>
      </c>
      <c r="I304" s="14">
        <f>IFERROR(H304/H327, "NA")</f>
      </c>
      <c r="J304" s="15"/>
      <c r="K304" s="13">
        <v>0</v>
      </c>
      <c r="L304" s="14">
        <f>IFERROR(K304/K327, "NA")</f>
      </c>
      <c r="M304" s="15"/>
      <c r="N304" s="13">
        <v>0</v>
      </c>
      <c r="O304" s="14">
        <f>IFERROR(N304/N327, "NA")</f>
      </c>
    </row>
    <row r="305" ht="16.5" customHeight="1">
      <c t="s" r="A305" s="12">
        <v>308</v>
      </c>
      <c r="B305" s="13">
        <v>0</v>
      </c>
      <c r="C305" s="14">
        <f>IFERROR(B305/B327, "NA")</f>
      </c>
      <c r="D305" s="15"/>
      <c r="E305" s="13">
        <v>0</v>
      </c>
      <c r="F305" s="14">
        <f>IFERROR(E305/E327, "NA")</f>
      </c>
      <c r="G305" s="15"/>
      <c r="H305" s="13">
        <v>0</v>
      </c>
      <c r="I305" s="14">
        <f>IFERROR(H305/H327, "NA")</f>
      </c>
      <c r="J305" s="15"/>
      <c r="K305" s="13">
        <v>0</v>
      </c>
      <c r="L305" s="14">
        <f>IFERROR(K305/K327, "NA")</f>
      </c>
      <c r="M305" s="15"/>
      <c r="N305" s="13">
        <v>0</v>
      </c>
      <c r="O305" s="14">
        <f>IFERROR(N305/N327, "NA")</f>
      </c>
    </row>
    <row r="306" ht="16.5" customHeight="1">
      <c t="s" r="A306" s="12">
        <v>309</v>
      </c>
      <c r="B306" s="13">
        <v>0</v>
      </c>
      <c r="C306" s="14">
        <f>IFERROR(B306/B327, "NA")</f>
      </c>
      <c r="D306" s="15"/>
      <c r="E306" s="13">
        <v>0</v>
      </c>
      <c r="F306" s="14">
        <f>IFERROR(E306/E327, "NA")</f>
      </c>
      <c r="G306" s="15"/>
      <c r="H306" s="13">
        <v>0</v>
      </c>
      <c r="I306" s="14">
        <f>IFERROR(H306/H327, "NA")</f>
      </c>
      <c r="J306" s="15"/>
      <c r="K306" s="13">
        <v>0</v>
      </c>
      <c r="L306" s="14">
        <f>IFERROR(K306/K327, "NA")</f>
      </c>
      <c r="M306" s="15"/>
      <c r="N306" s="13">
        <v>0</v>
      </c>
      <c r="O306" s="14">
        <f>IFERROR(N306/N327, "NA")</f>
      </c>
    </row>
    <row r="307" ht="16.5" customHeight="1">
      <c t="s" r="A307" s="12">
        <v>310</v>
      </c>
      <c r="B307" s="13">
        <v>0</v>
      </c>
      <c r="C307" s="14">
        <f>IFERROR(B307/B327, "NA")</f>
      </c>
      <c r="D307" s="15"/>
      <c r="E307" s="13">
        <v>0</v>
      </c>
      <c r="F307" s="14">
        <f>IFERROR(E307/E327, "NA")</f>
      </c>
      <c r="G307" s="15"/>
      <c r="H307" s="13">
        <v>0</v>
      </c>
      <c r="I307" s="14">
        <f>IFERROR(H307/H327, "NA")</f>
      </c>
      <c r="J307" s="15"/>
      <c r="K307" s="13">
        <v>0</v>
      </c>
      <c r="L307" s="14">
        <f>IFERROR(K307/K327, "NA")</f>
      </c>
      <c r="M307" s="15"/>
      <c r="N307" s="13">
        <v>0</v>
      </c>
      <c r="O307" s="14">
        <f>IFERROR(N307/N327, "NA")</f>
      </c>
    </row>
    <row r="308" ht="16.5" customHeight="1">
      <c t="s" r="A308" s="12">
        <v>311</v>
      </c>
      <c r="B308" s="13">
        <v>0</v>
      </c>
      <c r="C308" s="14">
        <f>IFERROR(B308/B327, "NA")</f>
      </c>
      <c r="D308" s="15"/>
      <c r="E308" s="13">
        <v>0</v>
      </c>
      <c r="F308" s="14">
        <f>IFERROR(E308/E327, "NA")</f>
      </c>
      <c r="G308" s="15"/>
      <c r="H308" s="13">
        <v>0</v>
      </c>
      <c r="I308" s="14">
        <f>IFERROR(H308/H327, "NA")</f>
      </c>
      <c r="J308" s="15"/>
      <c r="K308" s="13">
        <v>0</v>
      </c>
      <c r="L308" s="14">
        <f>IFERROR(K308/K327, "NA")</f>
      </c>
      <c r="M308" s="15"/>
      <c r="N308" s="13">
        <v>0</v>
      </c>
      <c r="O308" s="14">
        <f>IFERROR(N308/N327, "NA")</f>
      </c>
    </row>
    <row r="309" ht="16.5" customHeight="1">
      <c t="s" r="A309" s="12">
        <v>312</v>
      </c>
      <c r="B309" s="13">
        <v>0</v>
      </c>
      <c r="C309" s="14">
        <f>IFERROR(B309/B327, "NA")</f>
      </c>
      <c r="D309" s="15"/>
      <c r="E309" s="13">
        <v>0</v>
      </c>
      <c r="F309" s="14">
        <f>IFERROR(E309/E327, "NA")</f>
      </c>
      <c r="G309" s="15"/>
      <c r="H309" s="13">
        <v>0</v>
      </c>
      <c r="I309" s="14">
        <f>IFERROR(H309/H327, "NA")</f>
      </c>
      <c r="J309" s="15"/>
      <c r="K309" s="13">
        <v>0</v>
      </c>
      <c r="L309" s="14">
        <f>IFERROR(K309/K327, "NA")</f>
      </c>
      <c r="M309" s="15"/>
      <c r="N309" s="13">
        <v>0</v>
      </c>
      <c r="O309" s="14">
        <f>IFERROR(N309/N327, "NA")</f>
      </c>
    </row>
    <row r="310" ht="16.5" customHeight="1">
      <c t="s" r="A310" s="12">
        <v>313</v>
      </c>
      <c r="B310" s="13">
        <v>0</v>
      </c>
      <c r="C310" s="14">
        <f>IFERROR(B310/B327, "NA")</f>
      </c>
      <c r="D310" s="15"/>
      <c r="E310" s="13">
        <v>0</v>
      </c>
      <c r="F310" s="14">
        <f>IFERROR(E310/E327, "NA")</f>
      </c>
      <c r="G310" s="15"/>
      <c r="H310" s="13">
        <v>0</v>
      </c>
      <c r="I310" s="14">
        <f>IFERROR(H310/H327, "NA")</f>
      </c>
      <c r="J310" s="15"/>
      <c r="K310" s="13">
        <v>0</v>
      </c>
      <c r="L310" s="14">
        <f>IFERROR(K310/K327, "NA")</f>
      </c>
      <c r="M310" s="15"/>
      <c r="N310" s="13">
        <v>0</v>
      </c>
      <c r="O310" s="14">
        <f>IFERROR(N310/N327, "NA")</f>
      </c>
    </row>
    <row r="311" ht="16.5" customHeight="1">
      <c t="s" r="A311" s="12">
        <v>314</v>
      </c>
      <c r="B311" s="13">
        <v>0</v>
      </c>
      <c r="C311" s="14">
        <f>IFERROR(B311/B327, "NA")</f>
      </c>
      <c r="D311" s="15"/>
      <c r="E311" s="13">
        <v>0</v>
      </c>
      <c r="F311" s="14">
        <f>IFERROR(E311/E327, "NA")</f>
      </c>
      <c r="G311" s="15"/>
      <c r="H311" s="13">
        <v>0</v>
      </c>
      <c r="I311" s="14">
        <f>IFERROR(H311/H327, "NA")</f>
      </c>
      <c r="J311" s="15"/>
      <c r="K311" s="13">
        <v>0</v>
      </c>
      <c r="L311" s="14">
        <f>IFERROR(K311/K327, "NA")</f>
      </c>
      <c r="M311" s="15"/>
      <c r="N311" s="13">
        <v>0</v>
      </c>
      <c r="O311" s="14">
        <f>IFERROR(N311/N327, "NA")</f>
      </c>
    </row>
    <row r="312" ht="16.5" customHeight="1">
      <c t="s" r="A312" s="12">
        <v>315</v>
      </c>
      <c r="B312" s="13">
        <v>0</v>
      </c>
      <c r="C312" s="14">
        <f>IFERROR(B312/B327, "NA")</f>
      </c>
      <c r="D312" s="15"/>
      <c r="E312" s="13">
        <v>0</v>
      </c>
      <c r="F312" s="14">
        <f>IFERROR(E312/E327, "NA")</f>
      </c>
      <c r="G312" s="15"/>
      <c r="H312" s="13">
        <v>0</v>
      </c>
      <c r="I312" s="14">
        <f>IFERROR(H312/H327, "NA")</f>
      </c>
      <c r="J312" s="15"/>
      <c r="K312" s="13">
        <v>0</v>
      </c>
      <c r="L312" s="14">
        <f>IFERROR(K312/K327, "NA")</f>
      </c>
      <c r="M312" s="15"/>
      <c r="N312" s="13">
        <v>0</v>
      </c>
      <c r="O312" s="14">
        <f>IFERROR(N312/N327, "NA")</f>
      </c>
    </row>
    <row r="313" ht="16.5" customHeight="1">
      <c t="s" r="A313" s="12">
        <v>316</v>
      </c>
      <c r="B313" s="13">
        <v>0</v>
      </c>
      <c r="C313" s="14">
        <f>IFERROR(B313/B327, "NA")</f>
      </c>
      <c r="D313" s="15"/>
      <c r="E313" s="13">
        <v>0</v>
      </c>
      <c r="F313" s="14">
        <f>IFERROR(E313/E327, "NA")</f>
      </c>
      <c r="G313" s="15"/>
      <c r="H313" s="13">
        <v>0</v>
      </c>
      <c r="I313" s="14">
        <f>IFERROR(H313/H327, "NA")</f>
      </c>
      <c r="J313" s="15"/>
      <c r="K313" s="13">
        <v>0</v>
      </c>
      <c r="L313" s="14">
        <f>IFERROR(K313/K327, "NA")</f>
      </c>
      <c r="M313" s="15"/>
      <c r="N313" s="13">
        <v>0</v>
      </c>
      <c r="O313" s="14">
        <f>IFERROR(N313/N327, "NA")</f>
      </c>
    </row>
    <row r="314" ht="16.5" customHeight="1">
      <c t="s" r="A314" s="16">
        <v>317</v>
      </c>
      <c r="B314" s="17">
        <f>IFERROR(B287+B288+B289+B290+B291+B292+B293+B294+B295+B296+B297+B298+B299+B300+B301+B302+B303+B304+B305+B306+B307+B308+B309+B310+B311+B312+B313, "NA")</f>
      </c>
      <c r="C314" s="18">
        <f>IFERROR(B314/B327, "NA")</f>
      </c>
      <c r="D314" s="8"/>
      <c r="E314" s="17">
        <f>IFERROR(E287+E288+E289+E290+E291+E292+E293+E294+E295+E296+E297+E298+E299+E300+E301+E302+E303+E304+E305+E306+E307+E308+E309+E310+E311+E312+E313, "NA")</f>
      </c>
      <c r="F314" s="18">
        <f>IFERROR(E314/E327, "NA")</f>
      </c>
      <c r="G314" s="8"/>
      <c r="H314" s="17">
        <f>IFERROR(H287+H288+H289+H290+H291+H292+H293+H294+H295+H296+H297+H298+H299+H300+H301+H302+H303+H304+H305+H306+H307+H308+H309+H310+H311+H312+H313, "NA")</f>
      </c>
      <c r="I314" s="18">
        <f>IFERROR(H314/H327, "NA")</f>
      </c>
      <c r="J314" s="8"/>
      <c r="K314" s="17">
        <f>IFERROR(K287+K288+K289+K290+K291+K292+K293+K294+K295+K296+K297+K298+K299+K300+K301+K302+K303+K304+K305+K306+K307+K308+K309+K310+K311+K312+K313, "NA")</f>
      </c>
      <c r="L314" s="18">
        <f>IFERROR(K314/K327, "NA")</f>
      </c>
      <c r="M314" s="8"/>
      <c r="N314" s="17">
        <f>IFERROR(N287+N288+N289+N290+N291+N292+N293+N294+N295+N296+N297+N298+N299+N300+N301+N302+N303+N304+N305+N306+N307+N308+N309+N310+N311+N312+N313, "NA")</f>
      </c>
      <c r="O314" s="18">
        <f>IFERROR(N314/N327, "NA")</f>
      </c>
    </row>
    <row r="315" ht="16.5" customHeight="1">
      <c t="s" r="A315" s="11">
        <v>318</v>
      </c>
      <c r="B315" s="8"/>
      <c r="C315" s="9"/>
      <c r="D315" s="10"/>
      <c r="E315" s="8"/>
      <c r="F315" s="9"/>
      <c r="G315" s="10"/>
      <c r="H315" s="8"/>
      <c r="I315" s="9"/>
      <c r="J315" s="10"/>
      <c r="K315" s="8"/>
      <c r="L315" s="9"/>
      <c r="M315" s="10"/>
      <c r="N315" s="8"/>
      <c r="O315" s="9"/>
    </row>
    <row r="316" ht="16.5" customHeight="1">
      <c t="s" r="A316" s="12">
        <v>319</v>
      </c>
      <c r="B316" s="13">
        <v>0</v>
      </c>
      <c r="C316" s="14">
        <f>IFERROR(B316/B327, "NA")</f>
      </c>
      <c r="D316" s="15"/>
      <c r="E316" s="13">
        <v>0</v>
      </c>
      <c r="F316" s="14">
        <f>IFERROR(E316/E327, "NA")</f>
      </c>
      <c r="G316" s="15"/>
      <c r="H316" s="13">
        <v>0</v>
      </c>
      <c r="I316" s="14">
        <f>IFERROR(H316/H327, "NA")</f>
      </c>
      <c r="J316" s="15"/>
      <c r="K316" s="13">
        <v>0</v>
      </c>
      <c r="L316" s="14">
        <f>IFERROR(K316/K327, "NA")</f>
      </c>
      <c r="M316" s="15"/>
      <c r="N316" s="13">
        <v>0</v>
      </c>
      <c r="O316" s="14">
        <f>IFERROR(N316/N327, "NA")</f>
      </c>
    </row>
    <row r="317" ht="16.5" customHeight="1">
      <c t="s" r="A317" s="12">
        <v>320</v>
      </c>
      <c r="B317" s="13">
        <v>0</v>
      </c>
      <c r="C317" s="14">
        <f>IFERROR(B317/B327, "NA")</f>
      </c>
      <c r="D317" s="15"/>
      <c r="E317" s="13">
        <v>0</v>
      </c>
      <c r="F317" s="14">
        <f>IFERROR(E317/E327, "NA")</f>
      </c>
      <c r="G317" s="15"/>
      <c r="H317" s="13">
        <v>0</v>
      </c>
      <c r="I317" s="14">
        <f>IFERROR(H317/H327, "NA")</f>
      </c>
      <c r="J317" s="15"/>
      <c r="K317" s="13">
        <v>0</v>
      </c>
      <c r="L317" s="14">
        <f>IFERROR(K317/K327, "NA")</f>
      </c>
      <c r="M317" s="15"/>
      <c r="N317" s="13">
        <v>0</v>
      </c>
      <c r="O317" s="14">
        <f>IFERROR(N317/N327, "NA")</f>
      </c>
    </row>
    <row r="318" ht="16.5" customHeight="1">
      <c t="s" r="A318" s="12">
        <v>321</v>
      </c>
      <c r="B318" s="13">
        <v>0</v>
      </c>
      <c r="C318" s="14">
        <f>IFERROR(B318/B327, "NA")</f>
      </c>
      <c r="D318" s="15"/>
      <c r="E318" s="13">
        <v>0</v>
      </c>
      <c r="F318" s="14">
        <f>IFERROR(E318/E327, "NA")</f>
      </c>
      <c r="G318" s="15"/>
      <c r="H318" s="13">
        <v>0</v>
      </c>
      <c r="I318" s="14">
        <f>IFERROR(H318/H327, "NA")</f>
      </c>
      <c r="J318" s="15"/>
      <c r="K318" s="13">
        <v>0</v>
      </c>
      <c r="L318" s="14">
        <f>IFERROR(K318/K327, "NA")</f>
      </c>
      <c r="M318" s="15"/>
      <c r="N318" s="13">
        <v>0</v>
      </c>
      <c r="O318" s="14">
        <f>IFERROR(N318/N327, "NA")</f>
      </c>
    </row>
    <row r="319" ht="16.5" customHeight="1">
      <c t="s" r="A319" s="12">
        <v>322</v>
      </c>
      <c r="B319" s="13">
        <v>0</v>
      </c>
      <c r="C319" s="14">
        <f>IFERROR(B319/B327, "NA")</f>
      </c>
      <c r="D319" s="15"/>
      <c r="E319" s="13">
        <v>60.399999999999999</v>
      </c>
      <c r="F319" s="14">
        <f>IFERROR(E319/E327, "NA")</f>
      </c>
      <c r="G319" s="15"/>
      <c r="H319" s="13">
        <v>0</v>
      </c>
      <c r="I319" s="14">
        <f>IFERROR(H319/H327, "NA")</f>
      </c>
      <c r="J319" s="15"/>
      <c r="K319" s="13">
        <v>0</v>
      </c>
      <c r="L319" s="14">
        <f>IFERROR(K319/K327, "NA")</f>
      </c>
      <c r="M319" s="15"/>
      <c r="N319" s="13">
        <v>0</v>
      </c>
      <c r="O319" s="14">
        <f>IFERROR(N319/N327, "NA")</f>
      </c>
    </row>
    <row r="320" ht="16.5" customHeight="1">
      <c t="s" r="A320" s="12">
        <v>323</v>
      </c>
      <c r="B320" s="13">
        <v>0</v>
      </c>
      <c r="C320" s="14">
        <f>IFERROR(B320/B327, "NA")</f>
      </c>
      <c r="D320" s="15"/>
      <c r="E320" s="13">
        <v>0</v>
      </c>
      <c r="F320" s="14">
        <f>IFERROR(E320/E327, "NA")</f>
      </c>
      <c r="G320" s="15"/>
      <c r="H320" s="13">
        <v>0</v>
      </c>
      <c r="I320" s="14">
        <f>IFERROR(H320/H327, "NA")</f>
      </c>
      <c r="J320" s="15"/>
      <c r="K320" s="13">
        <v>0</v>
      </c>
      <c r="L320" s="14">
        <f>IFERROR(K320/K327, "NA")</f>
      </c>
      <c r="M320" s="15"/>
      <c r="N320" s="13">
        <v>0</v>
      </c>
      <c r="O320" s="14">
        <f>IFERROR(N320/N327, "NA")</f>
      </c>
    </row>
    <row r="321" ht="16.5" customHeight="1">
      <c t="s" r="A321" s="12">
        <v>324</v>
      </c>
      <c r="B321" s="13">
        <v>0</v>
      </c>
      <c r="C321" s="14">
        <f>IFERROR(B321/B327, "NA")</f>
      </c>
      <c r="D321" s="15"/>
      <c r="E321" s="13">
        <v>0</v>
      </c>
      <c r="F321" s="14">
        <f>IFERROR(E321/E327, "NA")</f>
      </c>
      <c r="G321" s="15"/>
      <c r="H321" s="13">
        <v>0</v>
      </c>
      <c r="I321" s="14">
        <f>IFERROR(H321/H327, "NA")</f>
      </c>
      <c r="J321" s="15"/>
      <c r="K321" s="13">
        <v>0</v>
      </c>
      <c r="L321" s="14">
        <f>IFERROR(K321/K327, "NA")</f>
      </c>
      <c r="M321" s="15"/>
      <c r="N321" s="13">
        <v>0</v>
      </c>
      <c r="O321" s="14">
        <f>IFERROR(N321/N327, "NA")</f>
      </c>
    </row>
    <row r="322" ht="16.5" customHeight="1">
      <c t="s" r="A322" s="12">
        <v>325</v>
      </c>
      <c r="B322" s="13">
        <v>0</v>
      </c>
      <c r="C322" s="14">
        <f>IFERROR(B322/B327, "NA")</f>
      </c>
      <c r="D322" s="15"/>
      <c r="E322" s="13">
        <v>0</v>
      </c>
      <c r="F322" s="14">
        <f>IFERROR(E322/E327, "NA")</f>
      </c>
      <c r="G322" s="15"/>
      <c r="H322" s="13">
        <v>0</v>
      </c>
      <c r="I322" s="14">
        <f>IFERROR(H322/H327, "NA")</f>
      </c>
      <c r="J322" s="15"/>
      <c r="K322" s="13">
        <v>0</v>
      </c>
      <c r="L322" s="14">
        <f>IFERROR(K322/K327, "NA")</f>
      </c>
      <c r="M322" s="15"/>
      <c r="N322" s="13">
        <v>0</v>
      </c>
      <c r="O322" s="14">
        <f>IFERROR(N322/N327, "NA")</f>
      </c>
    </row>
    <row r="323" ht="16.5" customHeight="1">
      <c t="s" r="A323" s="12">
        <v>326</v>
      </c>
      <c r="B323" s="13">
        <v>0</v>
      </c>
      <c r="C323" s="14">
        <f>IFERROR(B323/B327, "NA")</f>
      </c>
      <c r="D323" s="15"/>
      <c r="E323" s="13">
        <v>0</v>
      </c>
      <c r="F323" s="14">
        <f>IFERROR(E323/E327, "NA")</f>
      </c>
      <c r="G323" s="15"/>
      <c r="H323" s="13">
        <v>0</v>
      </c>
      <c r="I323" s="14">
        <f>IFERROR(H323/H327, "NA")</f>
      </c>
      <c r="J323" s="15"/>
      <c r="K323" s="13">
        <v>0</v>
      </c>
      <c r="L323" s="14">
        <f>IFERROR(K323/K327, "NA")</f>
      </c>
      <c r="M323" s="15"/>
      <c r="N323" s="13">
        <v>0</v>
      </c>
      <c r="O323" s="14">
        <f>IFERROR(N323/N327, "NA")</f>
      </c>
    </row>
    <row r="324" ht="16.5" customHeight="1">
      <c t="s" r="A324" s="16">
        <v>327</v>
      </c>
      <c r="B324" s="17">
        <f>IFERROR(B316+B317+B318+B319+B320+B321+B322+B323, "NA")</f>
      </c>
      <c r="C324" s="18">
        <f>IFERROR(B324/B327, "NA")</f>
      </c>
      <c r="D324" s="8"/>
      <c r="E324" s="17">
        <f>IFERROR(E316+E317+E318+E319+E320+E321+E322+E323, "NA")</f>
      </c>
      <c r="F324" s="18">
        <f>IFERROR(E324/E327, "NA")</f>
      </c>
      <c r="G324" s="8"/>
      <c r="H324" s="17">
        <f>IFERROR(H316+H317+H318+H319+H320+H321+H322+H323, "NA")</f>
      </c>
      <c r="I324" s="18">
        <f>IFERROR(H324/H327, "NA")</f>
      </c>
      <c r="J324" s="8"/>
      <c r="K324" s="17">
        <f>IFERROR(K316+K317+K318+K319+K320+K321+K322+K323, "NA")</f>
      </c>
      <c r="L324" s="18">
        <f>IFERROR(K324/K327, "NA")</f>
      </c>
      <c r="M324" s="8"/>
      <c r="N324" s="17">
        <f>IFERROR(N316+N317+N318+N319+N320+N321+N322+N323, "NA")</f>
      </c>
      <c r="O324" s="18">
        <f>IFERROR(N324/N327, "NA")</f>
      </c>
    </row>
    <row r="325" ht="16.5" customHeight="1">
      <c t="s" r="A325" s="20">
        <v>328</v>
      </c>
      <c r="B325" s="17">
        <f>IFERROR(B287+B288+B289+B290+B291+B292+B293+B294+B295+B296+B297+B298+B299+B300+B301+B302+B303+B304+B305+B306+B307+B308+B309+B310+B311+B312+B313+B316+B317+B318+B319+B320+B321+B322+B323, "NA")</f>
      </c>
      <c r="C325" s="18">
        <f>IFERROR(B325/B327, "NA")</f>
      </c>
      <c r="D325" s="8"/>
      <c r="E325" s="17">
        <f>IFERROR(E287+E288+E289+E290+E291+E292+E293+E294+E295+E296+E297+E298+E299+E300+E301+E302+E303+E304+E305+E306+E307+E308+E309+E310+E311+E312+E313+E316+E317+E318+E319+E320+E321+E322+E323, "NA")</f>
      </c>
      <c r="F325" s="18">
        <f>IFERROR(E325/E327, "NA")</f>
      </c>
      <c r="G325" s="8"/>
      <c r="H325" s="17">
        <f>IFERROR(H287+H288+H289+H290+H291+H292+H293+H294+H295+H296+H297+H298+H299+H300+H301+H302+H303+H304+H305+H306+H307+H308+H309+H310+H311+H312+H313+H316+H317+H318+H319+H320+H321+H322+H323, "NA")</f>
      </c>
      <c r="I325" s="18">
        <f>IFERROR(H325/H327, "NA")</f>
      </c>
      <c r="J325" s="8"/>
      <c r="K325" s="17">
        <f>IFERROR(K287+K288+K289+K290+K291+K292+K293+K294+K295+K296+K297+K298+K299+K300+K301+K302+K303+K304+K305+K306+K307+K308+K309+K310+K311+K312+K313+K316+K317+K318+K319+K320+K321+K322+K323, "NA")</f>
      </c>
      <c r="L325" s="18">
        <f>IFERROR(K325/K327, "NA")</f>
      </c>
      <c r="M325" s="8"/>
      <c r="N325" s="17">
        <f>IFERROR(N287+N288+N289+N290+N291+N292+N293+N294+N295+N296+N297+N298+N299+N300+N301+N302+N303+N304+N305+N306+N307+N308+N309+N310+N311+N312+N313+N316+N317+N318+N319+N320+N321+N322+N323, "NA")</f>
      </c>
      <c r="O325" s="18">
        <f>IFERROR(N325/N327, "NA")</f>
      </c>
    </row>
    <row r="326" ht="16.5" customHeight="1">
      <c t="s" r="A326" s="20">
        <v>329</v>
      </c>
      <c r="B326" s="17">
        <f>IFERROR(+B52-B157-B211-B284-B325, "NA")</f>
      </c>
      <c r="C326" s="18">
        <f>IFERROR(B326/B327, "NA")</f>
      </c>
      <c r="D326" s="8"/>
      <c r="E326" s="17">
        <f>IFERROR(+E52-E157-E211-E284-E325, "NA")</f>
      </c>
      <c r="F326" s="18">
        <f>IFERROR(E326/E327, "NA")</f>
      </c>
      <c r="G326" s="8"/>
      <c r="H326" s="17">
        <f>IFERROR(+H52-H157-H211-H284-H325, "NA")</f>
      </c>
      <c r="I326" s="18">
        <f>IFERROR(H326/H327, "NA")</f>
      </c>
      <c r="J326" s="8"/>
      <c r="K326" s="17">
        <f>IFERROR(+K52-K157-K211-K284-K325, "NA")</f>
      </c>
      <c r="L326" s="18">
        <f>IFERROR(K326/K327, "NA")</f>
      </c>
      <c r="M326" s="8"/>
      <c r="N326" s="17">
        <f>IFERROR(+N52-N157-N211-N284-N325, "NA")</f>
      </c>
      <c r="O326" s="18">
        <f>IFERROR(N326/N327, "NA")</f>
      </c>
    </row>
    <row r="327" hidden="1">
      <c t="s" r="A327" s="24">
        <v>55</v>
      </c>
      <c r="B327" s="13">
        <v>87186.610000000001</v>
      </c>
      <c r="C327" s="25"/>
      <c r="D327" s="15"/>
      <c r="E327" s="13">
        <v>219956.09999999998</v>
      </c>
      <c r="F327" s="25"/>
      <c r="G327" s="15"/>
      <c r="H327" s="13">
        <v>232374.92000000001</v>
      </c>
      <c r="I327" s="25"/>
      <c r="J327" s="15"/>
      <c r="K327" s="13">
        <v>262597.23999999999</v>
      </c>
      <c r="L327" s="25"/>
      <c r="M327" s="15"/>
      <c r="N327" s="13">
        <v>244985.28</v>
      </c>
      <c r="O327" s="25"/>
    </row>
    <row r="328"/>
    <row r="329"/>
    <row r="330">
      <c t="s" r="A330" s="26">
        <v>330</v>
      </c>
    </row>
    <row r="331">
      <c t="s" r="A331" s="26">
        <v>331</v>
      </c>
    </row>
    <row r="332">
      <c t="s" r="A332" s="26">
        <v>332</v>
      </c>
    </row>
  </sheetData>
  <mergeCells count="13">
    <mergeCell ref="A1:O1"/>
    <mergeCell ref="A2:O2"/>
    <mergeCell ref="A3:O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</mergeCells>
  <ignoredErrors>
    <ignoredError sqref="A1:O332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</row>
    <row r="3">
      <c t="s" r="A3" s="3">
        <v>334</v>
      </c>
      <c t="s" r="B3" s="3">
        <v>334</v>
      </c>
      <c t="s" r="C3" s="3">
        <v>334</v>
      </c>
      <c t="s" r="D3" s="3">
        <v>334</v>
      </c>
      <c t="s" r="E3" s="3">
        <v>334</v>
      </c>
      <c t="s" r="F3" s="3">
        <v>334</v>
      </c>
      <c t="s" r="G3" s="3">
        <v>334</v>
      </c>
      <c t="s" r="H3" s="3">
        <v>334</v>
      </c>
      <c t="s" r="I3" s="3">
        <v>334</v>
      </c>
      <c t="s" r="J3" s="3">
        <v>334</v>
      </c>
      <c t="s" r="K3" s="3">
        <v>334</v>
      </c>
      <c t="s" r="L3" s="3">
        <v>334</v>
      </c>
      <c t="s" r="M3" s="3">
        <v>334</v>
      </c>
      <c t="s" r="N3" s="3">
        <v>334</v>
      </c>
      <c t="s" r="O3" s="3">
        <v>334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8</v>
      </c>
      <c t="s" r="O5" s="6">
        <v>3</v>
      </c>
    </row>
    <row r="6" ht="16.5" customHeight="1">
      <c t="s" r="A6" s="7">
        <v>9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</row>
    <row r="7" ht="16.5" customHeight="1">
      <c t="s" r="A7" s="11">
        <v>10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</row>
    <row r="8" ht="16.5" customHeight="1">
      <c t="s" r="A8" s="12">
        <v>11</v>
      </c>
      <c r="B8" s="13">
        <v>120413</v>
      </c>
      <c r="C8" s="14">
        <f>IFERROR(B8/B327, "NA")</f>
      </c>
      <c r="D8" s="15"/>
      <c r="E8" s="13">
        <v>215165.01000000001</v>
      </c>
      <c r="F8" s="14">
        <f>IFERROR(E8/E327, "NA")</f>
      </c>
      <c r="G8" s="15"/>
      <c r="H8" s="13">
        <v>191118</v>
      </c>
      <c r="I8" s="14">
        <f>IFERROR(H8/H327, "NA")</f>
      </c>
      <c r="J8" s="15"/>
      <c r="K8" s="13">
        <v>198956</v>
      </c>
      <c r="L8" s="14">
        <f>IFERROR(K8/K327, "NA")</f>
      </c>
      <c r="M8" s="15"/>
      <c r="N8" s="13">
        <v>199702</v>
      </c>
      <c r="O8" s="14">
        <f>IFERROR(N8/N327, "NA")</f>
      </c>
    </row>
    <row r="9" ht="16.5" customHeight="1">
      <c t="s" r="A9" s="12">
        <v>12</v>
      </c>
      <c r="B9" s="13">
        <v>0</v>
      </c>
      <c r="C9" s="14">
        <f>IFERROR(B9/B327, "NA")</f>
      </c>
      <c r="D9" s="15"/>
      <c r="E9" s="13">
        <v>0</v>
      </c>
      <c r="F9" s="14">
        <f>IFERROR(E9/E327, "NA")</f>
      </c>
      <c r="G9" s="15"/>
      <c r="H9" s="13">
        <v>0</v>
      </c>
      <c r="I9" s="14">
        <f>IFERROR(H9/H327, "NA")</f>
      </c>
      <c r="J9" s="15"/>
      <c r="K9" s="13">
        <v>0</v>
      </c>
      <c r="L9" s="14">
        <f>IFERROR(K9/K327, "NA")</f>
      </c>
      <c r="M9" s="15"/>
      <c r="N9" s="13">
        <v>0</v>
      </c>
      <c r="O9" s="14">
        <f>IFERROR(N9/N327, "NA")</f>
      </c>
    </row>
    <row r="10" ht="16.5" customHeight="1">
      <c t="s" r="A10" s="16">
        <v>13</v>
      </c>
      <c r="B10" s="17">
        <f>IFERROR(B8+B9, "NA")</f>
      </c>
      <c r="C10" s="18">
        <f>IFERROR(B10/B327, "NA")</f>
      </c>
      <c r="D10" s="8"/>
      <c r="E10" s="17">
        <f>IFERROR(E8+E9, "NA")</f>
      </c>
      <c r="F10" s="18">
        <f>IFERROR(E10/E327, "NA")</f>
      </c>
      <c r="G10" s="8"/>
      <c r="H10" s="17">
        <f>IFERROR(H8+H9, "NA")</f>
      </c>
      <c r="I10" s="18">
        <f>IFERROR(H10/H327, "NA")</f>
      </c>
      <c r="J10" s="8"/>
      <c r="K10" s="17">
        <f>IFERROR(K8+K9, "NA")</f>
      </c>
      <c r="L10" s="18">
        <f>IFERROR(K10/K327, "NA")</f>
      </c>
      <c r="M10" s="8"/>
      <c r="N10" s="17">
        <f>IFERROR(N8+N9, "NA")</f>
      </c>
      <c r="O10" s="18">
        <f>IFERROR(N10/N327, "NA")</f>
      </c>
    </row>
    <row r="11" ht="16.5" customHeight="1">
      <c t="s" r="A11" s="19">
        <v>14</v>
      </c>
      <c r="B11" s="13">
        <v>14595</v>
      </c>
      <c r="C11" s="14">
        <f>IFERROR(B11/B327, "NA")</f>
      </c>
      <c r="D11" s="15"/>
      <c r="E11" s="13">
        <v>31538</v>
      </c>
      <c r="F11" s="14">
        <f>IFERROR(E11/E327, "NA")</f>
      </c>
      <c r="G11" s="15"/>
      <c r="H11" s="13">
        <v>20234</v>
      </c>
      <c r="I11" s="14">
        <f>IFERROR(H11/H327, "NA")</f>
      </c>
      <c r="J11" s="15"/>
      <c r="K11" s="13">
        <v>19485</v>
      </c>
      <c r="L11" s="14">
        <f>IFERROR(K11/K327, "NA")</f>
      </c>
      <c r="M11" s="15"/>
      <c r="N11" s="13">
        <v>21722.990000000002</v>
      </c>
      <c r="O11" s="14">
        <f>IFERROR(N11/N327, "NA")</f>
      </c>
    </row>
    <row r="12" ht="16.5" customHeight="1">
      <c t="s" r="A12" s="11">
        <v>15</v>
      </c>
      <c r="B12" s="8"/>
      <c r="C12" s="9"/>
      <c r="D12" s="10"/>
      <c r="E12" s="8"/>
      <c r="F12" s="9"/>
      <c r="G12" s="10"/>
      <c r="H12" s="8"/>
      <c r="I12" s="9"/>
      <c r="J12" s="10"/>
      <c r="K12" s="8"/>
      <c r="L12" s="9"/>
      <c r="M12" s="10"/>
      <c r="N12" s="8"/>
      <c r="O12" s="9"/>
    </row>
    <row r="13" ht="16.5" customHeight="1">
      <c t="s" r="A13" s="12">
        <v>16</v>
      </c>
      <c r="B13" s="13">
        <v>0</v>
      </c>
      <c r="C13" s="14">
        <f>IFERROR(B13/B327, "NA")</f>
      </c>
      <c r="D13" s="15"/>
      <c r="E13" s="13">
        <v>0</v>
      </c>
      <c r="F13" s="14">
        <f>IFERROR(E13/E327, "NA")</f>
      </c>
      <c r="G13" s="15"/>
      <c r="H13" s="13">
        <v>0</v>
      </c>
      <c r="I13" s="14">
        <f>IFERROR(H13/H327, "NA")</f>
      </c>
      <c r="J13" s="15"/>
      <c r="K13" s="13">
        <v>0</v>
      </c>
      <c r="L13" s="14">
        <f>IFERROR(K13/K327, "NA")</f>
      </c>
      <c r="M13" s="15"/>
      <c r="N13" s="13">
        <v>0</v>
      </c>
      <c r="O13" s="14">
        <f>IFERROR(N13/N327, "NA")</f>
      </c>
    </row>
    <row r="14" ht="16.5" customHeight="1">
      <c t="s" r="A14" s="12">
        <v>17</v>
      </c>
      <c r="B14" s="13">
        <v>157972</v>
      </c>
      <c r="C14" s="14">
        <f>IFERROR(B14/B327, "NA")</f>
      </c>
      <c r="D14" s="15"/>
      <c r="E14" s="13">
        <v>170927.5</v>
      </c>
      <c r="F14" s="14">
        <f>IFERROR(E14/E327, "NA")</f>
      </c>
      <c r="G14" s="15"/>
      <c r="H14" s="13">
        <v>137194</v>
      </c>
      <c r="I14" s="14">
        <f>IFERROR(H14/H327, "NA")</f>
      </c>
      <c r="J14" s="15"/>
      <c r="K14" s="13">
        <v>144415</v>
      </c>
      <c r="L14" s="14">
        <f>IFERROR(K14/K327, "NA")</f>
      </c>
      <c r="M14" s="15"/>
      <c r="N14" s="13">
        <v>149999.97</v>
      </c>
      <c r="O14" s="14">
        <f>IFERROR(N14/N327, "NA")</f>
      </c>
    </row>
    <row r="15" ht="16.5" customHeight="1">
      <c t="s" r="A15" s="12">
        <v>18</v>
      </c>
      <c r="B15" s="13">
        <v>1980</v>
      </c>
      <c r="C15" s="14">
        <f>IFERROR(B15/B327, "NA")</f>
      </c>
      <c r="D15" s="15"/>
      <c r="E15" s="13">
        <v>2519</v>
      </c>
      <c r="F15" s="14">
        <f>IFERROR(E15/E327, "NA")</f>
      </c>
      <c r="G15" s="15"/>
      <c r="H15" s="13">
        <v>1380</v>
      </c>
      <c r="I15" s="14">
        <f>IFERROR(H15/H327, "NA")</f>
      </c>
      <c r="J15" s="15"/>
      <c r="K15" s="13">
        <v>1800</v>
      </c>
      <c r="L15" s="14">
        <f>IFERROR(K15/K327, "NA")</f>
      </c>
      <c r="M15" s="15"/>
      <c r="N15" s="13">
        <v>1935</v>
      </c>
      <c r="O15" s="14">
        <f>IFERROR(N15/N327, "NA")</f>
      </c>
    </row>
    <row r="16" ht="16.5" customHeight="1">
      <c t="s" r="A16" s="12">
        <v>19</v>
      </c>
      <c r="B16" s="13">
        <v>27115</v>
      </c>
      <c r="C16" s="14">
        <f>IFERROR(B16/B327, "NA")</f>
      </c>
      <c r="D16" s="15"/>
      <c r="E16" s="13">
        <v>23510</v>
      </c>
      <c r="F16" s="14">
        <f>IFERROR(E16/E327, "NA")</f>
      </c>
      <c r="G16" s="15"/>
      <c r="H16" s="13">
        <v>32385</v>
      </c>
      <c r="I16" s="14">
        <f>IFERROR(H16/H327, "NA")</f>
      </c>
      <c r="J16" s="15"/>
      <c r="K16" s="13">
        <v>31640</v>
      </c>
      <c r="L16" s="14">
        <f>IFERROR(K16/K327, "NA")</f>
      </c>
      <c r="M16" s="15"/>
      <c r="N16" s="13">
        <v>43755</v>
      </c>
      <c r="O16" s="14">
        <f>IFERROR(N16/N327, "NA")</f>
      </c>
    </row>
    <row r="17" ht="16.5" customHeight="1">
      <c t="s" r="A17" s="12">
        <v>20</v>
      </c>
      <c r="B17" s="13">
        <v>7894</v>
      </c>
      <c r="C17" s="14">
        <f>IFERROR(B17/B327, "NA")</f>
      </c>
      <c r="D17" s="15"/>
      <c r="E17" s="13">
        <v>12449</v>
      </c>
      <c r="F17" s="14">
        <f>IFERROR(E17/E327, "NA")</f>
      </c>
      <c r="G17" s="15"/>
      <c r="H17" s="13">
        <v>10597</v>
      </c>
      <c r="I17" s="14">
        <f>IFERROR(H17/H327, "NA")</f>
      </c>
      <c r="J17" s="15"/>
      <c r="K17" s="13">
        <v>10151</v>
      </c>
      <c r="L17" s="14">
        <f>IFERROR(K17/K327, "NA")</f>
      </c>
      <c r="M17" s="15"/>
      <c r="N17" s="13">
        <v>12169</v>
      </c>
      <c r="O17" s="14">
        <f>IFERROR(N17/N327, "NA")</f>
      </c>
    </row>
    <row r="18" ht="16.5" customHeight="1">
      <c t="s" r="A18" s="12">
        <v>21</v>
      </c>
      <c r="B18" s="13">
        <v>0</v>
      </c>
      <c r="C18" s="14">
        <f>IFERROR(B18/B327, "NA")</f>
      </c>
      <c r="D18" s="15"/>
      <c r="E18" s="13">
        <v>0</v>
      </c>
      <c r="F18" s="14">
        <f>IFERROR(E18/E327, "NA")</f>
      </c>
      <c r="G18" s="15"/>
      <c r="H18" s="13">
        <v>0</v>
      </c>
      <c r="I18" s="14">
        <f>IFERROR(H18/H327, "NA")</f>
      </c>
      <c r="J18" s="15"/>
      <c r="K18" s="13">
        <v>0</v>
      </c>
      <c r="L18" s="14">
        <f>IFERROR(K18/K327, "NA")</f>
      </c>
      <c r="M18" s="15"/>
      <c r="N18" s="13">
        <v>0</v>
      </c>
      <c r="O18" s="14">
        <f>IFERROR(N18/N327, "NA")</f>
      </c>
    </row>
    <row r="19" ht="16.5" customHeight="1">
      <c t="s" r="A19" s="16">
        <v>22</v>
      </c>
      <c r="B19" s="17">
        <f>IFERROR(B13+B14+B15+B16+B17+B18, "NA")</f>
      </c>
      <c r="C19" s="18">
        <f>IFERROR(B19/B327, "NA")</f>
      </c>
      <c r="D19" s="8"/>
      <c r="E19" s="17">
        <f>IFERROR(E13+E14+E15+E16+E17+E18, "NA")</f>
      </c>
      <c r="F19" s="18">
        <f>IFERROR(E19/E327, "NA")</f>
      </c>
      <c r="G19" s="8"/>
      <c r="H19" s="17">
        <f>IFERROR(H13+H14+H15+H16+H17+H18, "NA")</f>
      </c>
      <c r="I19" s="18">
        <f>IFERROR(H19/H327, "NA")</f>
      </c>
      <c r="J19" s="8"/>
      <c r="K19" s="17">
        <f>IFERROR(K13+K14+K15+K16+K17+K18, "NA")</f>
      </c>
      <c r="L19" s="18">
        <f>IFERROR(K19/K327, "NA")</f>
      </c>
      <c r="M19" s="8"/>
      <c r="N19" s="17">
        <f>IFERROR(N13+N14+N15+N16+N17+N18, "NA")</f>
      </c>
      <c r="O19" s="18">
        <f>IFERROR(N19/N327, "NA")</f>
      </c>
    </row>
    <row r="20" ht="16.5" customHeight="1">
      <c t="s" r="A20" s="11">
        <v>23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</row>
    <row r="21" ht="16.5" customHeight="1">
      <c t="s" r="A21" s="12">
        <v>24</v>
      </c>
      <c r="B21" s="13">
        <v>0</v>
      </c>
      <c r="C21" s="14">
        <f>IFERROR(B21/B327, "NA")</f>
      </c>
      <c r="D21" s="15"/>
      <c r="E21" s="13">
        <v>0</v>
      </c>
      <c r="F21" s="14">
        <f>IFERROR(E21/E327, "NA")</f>
      </c>
      <c r="G21" s="15"/>
      <c r="H21" s="13">
        <v>0</v>
      </c>
      <c r="I21" s="14">
        <f>IFERROR(H21/H327, "NA")</f>
      </c>
      <c r="J21" s="15"/>
      <c r="K21" s="13">
        <v>0</v>
      </c>
      <c r="L21" s="14">
        <f>IFERROR(K21/K327, "NA")</f>
      </c>
      <c r="M21" s="15"/>
      <c r="N21" s="13">
        <v>0</v>
      </c>
      <c r="O21" s="14">
        <f>IFERROR(N21/N327, "NA")</f>
      </c>
    </row>
    <row r="22" ht="16.5" customHeight="1">
      <c t="s" r="A22" s="12">
        <v>25</v>
      </c>
      <c r="B22" s="13">
        <v>1319</v>
      </c>
      <c r="C22" s="14">
        <f>IFERROR(B22/B327, "NA")</f>
      </c>
      <c r="D22" s="15"/>
      <c r="E22" s="13">
        <v>5762.7399999999998</v>
      </c>
      <c r="F22" s="14">
        <f>IFERROR(E22/E327, "NA")</f>
      </c>
      <c r="G22" s="15"/>
      <c r="H22" s="13">
        <v>1401.96</v>
      </c>
      <c r="I22" s="14">
        <f>IFERROR(H22/H327, "NA")</f>
      </c>
      <c r="J22" s="15"/>
      <c r="K22" s="13">
        <v>1192</v>
      </c>
      <c r="L22" s="14">
        <f>IFERROR(K22/K327, "NA")</f>
      </c>
      <c r="M22" s="15"/>
      <c r="N22" s="13">
        <v>167</v>
      </c>
      <c r="O22" s="14">
        <f>IFERROR(N22/N327, "NA")</f>
      </c>
    </row>
    <row r="23" ht="16.5" customHeight="1">
      <c t="s" r="A23" s="12">
        <v>26</v>
      </c>
      <c r="B23" s="13">
        <v>0</v>
      </c>
      <c r="C23" s="14">
        <f>IFERROR(B23/B327, "NA")</f>
      </c>
      <c r="D23" s="15"/>
      <c r="E23" s="13">
        <v>1860.8399999999999</v>
      </c>
      <c r="F23" s="14">
        <f>IFERROR(E23/E327, "NA")</f>
      </c>
      <c r="G23" s="15"/>
      <c r="H23" s="13">
        <v>620.27999999999997</v>
      </c>
      <c r="I23" s="14">
        <f>IFERROR(H23/H327, "NA")</f>
      </c>
      <c r="J23" s="15"/>
      <c r="K23" s="13">
        <v>-2369.04</v>
      </c>
      <c r="L23" s="14">
        <f>IFERROR(K23/K327, "NA")</f>
      </c>
      <c r="M23" s="15"/>
      <c r="N23" s="13">
        <v>443.06</v>
      </c>
      <c r="O23" s="14">
        <f>IFERROR(N23/N327, "NA")</f>
      </c>
    </row>
    <row r="24" ht="16.5" customHeight="1">
      <c t="s" r="A24" s="12">
        <v>27</v>
      </c>
      <c r="B24" s="13">
        <v>0</v>
      </c>
      <c r="C24" s="14">
        <f>IFERROR(B24/B327, "NA")</f>
      </c>
      <c r="D24" s="15"/>
      <c r="E24" s="13">
        <v>0</v>
      </c>
      <c r="F24" s="14">
        <f>IFERROR(E24/E327, "NA")</f>
      </c>
      <c r="G24" s="15"/>
      <c r="H24" s="13">
        <v>0</v>
      </c>
      <c r="I24" s="14">
        <f>IFERROR(H24/H327, "NA")</f>
      </c>
      <c r="J24" s="15"/>
      <c r="K24" s="13">
        <v>0</v>
      </c>
      <c r="L24" s="14">
        <f>IFERROR(K24/K327, "NA")</f>
      </c>
      <c r="M24" s="15"/>
      <c r="N24" s="13">
        <v>0</v>
      </c>
      <c r="O24" s="14">
        <f>IFERROR(N24/N327, "NA")</f>
      </c>
    </row>
    <row r="25" ht="16.5" customHeight="1">
      <c t="s" r="A25" s="12">
        <v>28</v>
      </c>
      <c r="B25" s="13">
        <v>828.26999999999998</v>
      </c>
      <c r="C25" s="14">
        <f>IFERROR(B25/B327, "NA")</f>
      </c>
      <c r="D25" s="15"/>
      <c r="E25" s="13">
        <v>0</v>
      </c>
      <c r="F25" s="14">
        <f>IFERROR(E25/E327, "NA")</f>
      </c>
      <c r="G25" s="15"/>
      <c r="H25" s="13">
        <v>0</v>
      </c>
      <c r="I25" s="14">
        <f>IFERROR(H25/H327, "NA")</f>
      </c>
      <c r="J25" s="15"/>
      <c r="K25" s="13">
        <v>0</v>
      </c>
      <c r="L25" s="14">
        <f>IFERROR(K25/K327, "NA")</f>
      </c>
      <c r="M25" s="15"/>
      <c r="N25" s="13">
        <v>0</v>
      </c>
      <c r="O25" s="14">
        <f>IFERROR(N25/N327, "NA")</f>
      </c>
    </row>
    <row r="26" ht="16.5" customHeight="1">
      <c t="s" r="A26" s="12">
        <v>29</v>
      </c>
      <c r="B26" s="13">
        <v>0</v>
      </c>
      <c r="C26" s="14">
        <f>IFERROR(B26/B327, "NA")</f>
      </c>
      <c r="D26" s="15"/>
      <c r="E26" s="13">
        <v>0</v>
      </c>
      <c r="F26" s="14">
        <f>IFERROR(E26/E327, "NA")</f>
      </c>
      <c r="G26" s="15"/>
      <c r="H26" s="13">
        <v>0</v>
      </c>
      <c r="I26" s="14">
        <f>IFERROR(H26/H327, "NA")</f>
      </c>
      <c r="J26" s="15"/>
      <c r="K26" s="13">
        <v>0</v>
      </c>
      <c r="L26" s="14">
        <f>IFERROR(K26/K327, "NA")</f>
      </c>
      <c r="M26" s="15"/>
      <c r="N26" s="13">
        <v>0</v>
      </c>
      <c r="O26" s="14">
        <f>IFERROR(N26/N327, "NA")</f>
      </c>
    </row>
    <row r="27" ht="16.5" customHeight="1">
      <c t="s" r="A27" s="12">
        <v>30</v>
      </c>
      <c r="B27" s="13">
        <v>0</v>
      </c>
      <c r="C27" s="14">
        <f>IFERROR(B27/B327, "NA")</f>
      </c>
      <c r="D27" s="15"/>
      <c r="E27" s="13">
        <v>0</v>
      </c>
      <c r="F27" s="14">
        <f>IFERROR(E27/E327, "NA")</f>
      </c>
      <c r="G27" s="15"/>
      <c r="H27" s="13">
        <v>0</v>
      </c>
      <c r="I27" s="14">
        <f>IFERROR(H27/H327, "NA")</f>
      </c>
      <c r="J27" s="15"/>
      <c r="K27" s="13">
        <v>0</v>
      </c>
      <c r="L27" s="14">
        <f>IFERROR(K27/K327, "NA")</f>
      </c>
      <c r="M27" s="15"/>
      <c r="N27" s="13">
        <v>0</v>
      </c>
      <c r="O27" s="14">
        <f>IFERROR(N27/N327, "NA")</f>
      </c>
    </row>
    <row r="28" ht="16.5" customHeight="1">
      <c t="s" r="A28" s="12">
        <v>31</v>
      </c>
      <c r="B28" s="13">
        <v>0</v>
      </c>
      <c r="C28" s="14">
        <f>IFERROR(B28/B327, "NA")</f>
      </c>
      <c r="D28" s="15"/>
      <c r="E28" s="13">
        <v>0</v>
      </c>
      <c r="F28" s="14">
        <f>IFERROR(E28/E327, "NA")</f>
      </c>
      <c r="G28" s="15"/>
      <c r="H28" s="13">
        <v>0</v>
      </c>
      <c r="I28" s="14">
        <f>IFERROR(H28/H327, "NA")</f>
      </c>
      <c r="J28" s="15"/>
      <c r="K28" s="13">
        <v>0</v>
      </c>
      <c r="L28" s="14">
        <f>IFERROR(K28/K327, "NA")</f>
      </c>
      <c r="M28" s="15"/>
      <c r="N28" s="13">
        <v>0</v>
      </c>
      <c r="O28" s="14">
        <f>IFERROR(N28/N327, "NA")</f>
      </c>
    </row>
    <row r="29" ht="16.5" customHeight="1">
      <c t="s" r="A29" s="12">
        <v>32</v>
      </c>
      <c r="B29" s="13">
        <v>0</v>
      </c>
      <c r="C29" s="14">
        <f>IFERROR(B29/B327, "NA")</f>
      </c>
      <c r="D29" s="15"/>
      <c r="E29" s="13">
        <v>0</v>
      </c>
      <c r="F29" s="14">
        <f>IFERROR(E29/E327, "NA")</f>
      </c>
      <c r="G29" s="15"/>
      <c r="H29" s="13">
        <v>0</v>
      </c>
      <c r="I29" s="14">
        <f>IFERROR(H29/H327, "NA")</f>
      </c>
      <c r="J29" s="15"/>
      <c r="K29" s="13">
        <v>0</v>
      </c>
      <c r="L29" s="14">
        <f>IFERROR(K29/K327, "NA")</f>
      </c>
      <c r="M29" s="15"/>
      <c r="N29" s="13">
        <v>0</v>
      </c>
      <c r="O29" s="14">
        <f>IFERROR(N29/N327, "NA")</f>
      </c>
    </row>
    <row r="30" ht="16.5" customHeight="1">
      <c t="s" r="A30" s="16">
        <v>33</v>
      </c>
      <c r="B30" s="17">
        <f>IFERROR(B21+B22+B23+B24+B25+B26+B27+B28+B29, "NA")</f>
      </c>
      <c r="C30" s="18">
        <f>IFERROR(B30/B327, "NA")</f>
      </c>
      <c r="D30" s="8"/>
      <c r="E30" s="17">
        <f>IFERROR(E21+E22+E23+E24+E25+E26+E27+E28+E29, "NA")</f>
      </c>
      <c r="F30" s="18">
        <f>IFERROR(E30/E327, "NA")</f>
      </c>
      <c r="G30" s="8"/>
      <c r="H30" s="17">
        <f>IFERROR(H21+H22+H23+H24+H25+H26+H27+H28+H29, "NA")</f>
      </c>
      <c r="I30" s="18">
        <f>IFERROR(H30/H327, "NA")</f>
      </c>
      <c r="J30" s="8"/>
      <c r="K30" s="17">
        <f>IFERROR(K21+K22+K23+K24+K25+K26+K27+K28+K29, "NA")</f>
      </c>
      <c r="L30" s="18">
        <f>IFERROR(K30/K327, "NA")</f>
      </c>
      <c r="M30" s="8"/>
      <c r="N30" s="17">
        <f>IFERROR(N21+N22+N23+N24+N25+N26+N27+N28+N29, "NA")</f>
      </c>
      <c r="O30" s="18">
        <f>IFERROR(N30/N327, "NA")</f>
      </c>
    </row>
    <row r="31" ht="16.5" customHeight="1">
      <c t="s" r="A31" s="11">
        <v>34</v>
      </c>
      <c r="B31" s="8"/>
      <c r="C31" s="9"/>
      <c r="D31" s="10"/>
      <c r="E31" s="8"/>
      <c r="F31" s="9"/>
      <c r="G31" s="10"/>
      <c r="H31" s="8"/>
      <c r="I31" s="9"/>
      <c r="J31" s="10"/>
      <c r="K31" s="8"/>
      <c r="L31" s="9"/>
      <c r="M31" s="10"/>
      <c r="N31" s="8"/>
      <c r="O31" s="9"/>
    </row>
    <row r="32" ht="16.5" customHeight="1">
      <c t="s" r="A32" s="12">
        <v>35</v>
      </c>
      <c r="B32" s="13">
        <v>0</v>
      </c>
      <c r="C32" s="14">
        <f>IFERROR(B32/B327, "NA")</f>
      </c>
      <c r="D32" s="15"/>
      <c r="E32" s="13">
        <v>0</v>
      </c>
      <c r="F32" s="14">
        <f>IFERROR(E32/E327, "NA")</f>
      </c>
      <c r="G32" s="15"/>
      <c r="H32" s="13">
        <v>0</v>
      </c>
      <c r="I32" s="14">
        <f>IFERROR(H32/H327, "NA")</f>
      </c>
      <c r="J32" s="15"/>
      <c r="K32" s="13">
        <v>0</v>
      </c>
      <c r="L32" s="14">
        <f>IFERROR(K32/K327, "NA")</f>
      </c>
      <c r="M32" s="15"/>
      <c r="N32" s="13">
        <v>0</v>
      </c>
      <c r="O32" s="14">
        <f>IFERROR(N32/N327, "NA")</f>
      </c>
    </row>
    <row r="33" ht="16.5" customHeight="1">
      <c t="s" r="A33" s="12">
        <v>36</v>
      </c>
      <c r="B33" s="13">
        <v>0</v>
      </c>
      <c r="C33" s="14">
        <f>IFERROR(B33/B327, "NA")</f>
      </c>
      <c r="D33" s="15"/>
      <c r="E33" s="13">
        <v>0</v>
      </c>
      <c r="F33" s="14">
        <f>IFERROR(E33/E327, "NA")</f>
      </c>
      <c r="G33" s="15"/>
      <c r="H33" s="13">
        <v>0</v>
      </c>
      <c r="I33" s="14">
        <f>IFERROR(H33/H327, "NA")</f>
      </c>
      <c r="J33" s="15"/>
      <c r="K33" s="13">
        <v>0</v>
      </c>
      <c r="L33" s="14">
        <f>IFERROR(K33/K327, "NA")</f>
      </c>
      <c r="M33" s="15"/>
      <c r="N33" s="13">
        <v>0</v>
      </c>
      <c r="O33" s="14">
        <f>IFERROR(N33/N327, "NA")</f>
      </c>
    </row>
    <row r="34" ht="16.5" customHeight="1">
      <c t="s" r="A34" s="12">
        <v>37</v>
      </c>
      <c r="B34" s="13">
        <v>0</v>
      </c>
      <c r="C34" s="14">
        <f>IFERROR(B34/B327, "NA")</f>
      </c>
      <c r="D34" s="15"/>
      <c r="E34" s="13">
        <v>0</v>
      </c>
      <c r="F34" s="14">
        <f>IFERROR(E34/E327, "NA")</f>
      </c>
      <c r="G34" s="15"/>
      <c r="H34" s="13">
        <v>0</v>
      </c>
      <c r="I34" s="14">
        <f>IFERROR(H34/H327, "NA")</f>
      </c>
      <c r="J34" s="15"/>
      <c r="K34" s="13">
        <v>0</v>
      </c>
      <c r="L34" s="14">
        <f>IFERROR(K34/K327, "NA")</f>
      </c>
      <c r="M34" s="15"/>
      <c r="N34" s="13">
        <v>0</v>
      </c>
      <c r="O34" s="14">
        <f>IFERROR(N34/N327, "NA")</f>
      </c>
    </row>
    <row r="35" ht="16.5" customHeight="1">
      <c t="s" r="A35" s="12">
        <v>38</v>
      </c>
      <c r="B35" s="13">
        <v>0</v>
      </c>
      <c r="C35" s="14">
        <f>IFERROR(B35/B327, "NA")</f>
      </c>
      <c r="D35" s="15"/>
      <c r="E35" s="13">
        <v>0</v>
      </c>
      <c r="F35" s="14">
        <f>IFERROR(E35/E327, "NA")</f>
      </c>
      <c r="G35" s="15"/>
      <c r="H35" s="13">
        <v>0</v>
      </c>
      <c r="I35" s="14">
        <f>IFERROR(H35/H327, "NA")</f>
      </c>
      <c r="J35" s="15"/>
      <c r="K35" s="13">
        <v>0</v>
      </c>
      <c r="L35" s="14">
        <f>IFERROR(K35/K327, "NA")</f>
      </c>
      <c r="M35" s="15"/>
      <c r="N35" s="13">
        <v>0</v>
      </c>
      <c r="O35" s="14">
        <f>IFERROR(N35/N327, "NA")</f>
      </c>
    </row>
    <row r="36" ht="16.5" customHeight="1">
      <c t="s" r="A36" s="12">
        <v>39</v>
      </c>
      <c r="B36" s="13">
        <v>0</v>
      </c>
      <c r="C36" s="14">
        <f>IFERROR(B36/B327, "NA")</f>
      </c>
      <c r="D36" s="15"/>
      <c r="E36" s="13">
        <v>0</v>
      </c>
      <c r="F36" s="14">
        <f>IFERROR(E36/E327, "NA")</f>
      </c>
      <c r="G36" s="15"/>
      <c r="H36" s="13">
        <v>0</v>
      </c>
      <c r="I36" s="14">
        <f>IFERROR(H36/H327, "NA")</f>
      </c>
      <c r="J36" s="15"/>
      <c r="K36" s="13">
        <v>0</v>
      </c>
      <c r="L36" s="14">
        <f>IFERROR(K36/K327, "NA")</f>
      </c>
      <c r="M36" s="15"/>
      <c r="N36" s="13">
        <v>0</v>
      </c>
      <c r="O36" s="14">
        <f>IFERROR(N36/N327, "NA")</f>
      </c>
    </row>
    <row r="37" ht="16.5" customHeight="1">
      <c t="s" r="A37" s="16">
        <v>40</v>
      </c>
      <c r="B37" s="17">
        <f>IFERROR(B32+B33+B34+B35+B36, "NA")</f>
      </c>
      <c r="C37" s="18">
        <f>IFERROR(B37/B327, "NA")</f>
      </c>
      <c r="D37" s="8"/>
      <c r="E37" s="17">
        <f>IFERROR(E32+E33+E34+E35+E36, "NA")</f>
      </c>
      <c r="F37" s="18">
        <f>IFERROR(E37/E327, "NA")</f>
      </c>
      <c r="G37" s="8"/>
      <c r="H37" s="17">
        <f>IFERROR(H32+H33+H34+H35+H36, "NA")</f>
      </c>
      <c r="I37" s="18">
        <f>IFERROR(H37/H327, "NA")</f>
      </c>
      <c r="J37" s="8"/>
      <c r="K37" s="17">
        <f>IFERROR(K32+K33+K34+K35+K36, "NA")</f>
      </c>
      <c r="L37" s="18">
        <f>IFERROR(K37/K327, "NA")</f>
      </c>
      <c r="M37" s="8"/>
      <c r="N37" s="17">
        <f>IFERROR(N32+N33+N34+N35+N36, "NA")</f>
      </c>
      <c r="O37" s="18">
        <f>IFERROR(N37/N327, "NA")</f>
      </c>
    </row>
    <row r="38" ht="16.5" customHeight="1">
      <c t="s" r="A38" s="11">
        <v>41</v>
      </c>
      <c r="B38" s="8"/>
      <c r="C38" s="9"/>
      <c r="D38" s="10"/>
      <c r="E38" s="8"/>
      <c r="F38" s="9"/>
      <c r="G38" s="10"/>
      <c r="H38" s="8"/>
      <c r="I38" s="9"/>
      <c r="J38" s="10"/>
      <c r="K38" s="8"/>
      <c r="L38" s="9"/>
      <c r="M38" s="10"/>
      <c r="N38" s="8"/>
      <c r="O38" s="9"/>
    </row>
    <row r="39" ht="16.5" customHeight="1">
      <c t="s" r="A39" s="12">
        <v>42</v>
      </c>
      <c r="B39" s="13">
        <v>0</v>
      </c>
      <c r="C39" s="14">
        <f>IFERROR(B39/B327, "NA")</f>
      </c>
      <c r="D39" s="15"/>
      <c r="E39" s="13">
        <v>0</v>
      </c>
      <c r="F39" s="14">
        <f>IFERROR(E39/E327, "NA")</f>
      </c>
      <c r="G39" s="15"/>
      <c r="H39" s="13">
        <v>0</v>
      </c>
      <c r="I39" s="14">
        <f>IFERROR(H39/H327, "NA")</f>
      </c>
      <c r="J39" s="15"/>
      <c r="K39" s="13">
        <v>0</v>
      </c>
      <c r="L39" s="14">
        <f>IFERROR(K39/K327, "NA")</f>
      </c>
      <c r="M39" s="15"/>
      <c r="N39" s="13">
        <v>0</v>
      </c>
      <c r="O39" s="14">
        <f>IFERROR(N39/N327, "NA")</f>
      </c>
    </row>
    <row r="40" ht="16.5" customHeight="1">
      <c t="s" r="A40" s="12">
        <v>43</v>
      </c>
      <c r="B40" s="13">
        <v>-78.75</v>
      </c>
      <c r="C40" s="14">
        <f>IFERROR(B40/B327, "NA")</f>
      </c>
      <c r="D40" s="15"/>
      <c r="E40" s="13">
        <v>-107</v>
      </c>
      <c r="F40" s="14">
        <f>IFERROR(E40/E327, "NA")</f>
      </c>
      <c r="G40" s="15"/>
      <c r="H40" s="13">
        <v>-88</v>
      </c>
      <c r="I40" s="14">
        <f>IFERROR(H40/H327, "NA")</f>
      </c>
      <c r="J40" s="15"/>
      <c r="K40" s="13">
        <v>0</v>
      </c>
      <c r="L40" s="14">
        <f>IFERROR(K40/K327, "NA")</f>
      </c>
      <c r="M40" s="15"/>
      <c r="N40" s="13">
        <v>-234.5</v>
      </c>
      <c r="O40" s="14">
        <f>IFERROR(N40/N327, "NA")</f>
      </c>
    </row>
    <row r="41" ht="16.5" customHeight="1">
      <c t="s" r="A41" s="12">
        <v>44</v>
      </c>
      <c r="B41" s="13">
        <v>-819</v>
      </c>
      <c r="C41" s="14">
        <f>IFERROR(B41/B327, "NA")</f>
      </c>
      <c r="D41" s="15"/>
      <c r="E41" s="13">
        <v>-1379</v>
      </c>
      <c r="F41" s="14">
        <f>IFERROR(E41/E327, "NA")</f>
      </c>
      <c r="G41" s="15"/>
      <c r="H41" s="13">
        <v>-1665</v>
      </c>
      <c r="I41" s="14">
        <f>IFERROR(H41/H327, "NA")</f>
      </c>
      <c r="J41" s="15"/>
      <c r="K41" s="13">
        <v>-1899</v>
      </c>
      <c r="L41" s="14">
        <f>IFERROR(K41/K327, "NA")</f>
      </c>
      <c r="M41" s="15"/>
      <c r="N41" s="13">
        <v>-2238</v>
      </c>
      <c r="O41" s="14">
        <f>IFERROR(N41/N327, "NA")</f>
      </c>
    </row>
    <row r="42" ht="16.5" customHeight="1">
      <c t="s" r="A42" s="12">
        <v>45</v>
      </c>
      <c r="B42" s="13">
        <v>-969</v>
      </c>
      <c r="C42" s="14">
        <f>IFERROR(B42/B327, "NA")</f>
      </c>
      <c r="D42" s="15"/>
      <c r="E42" s="13">
        <v>-2285</v>
      </c>
      <c r="F42" s="14">
        <f>IFERROR(E42/E327, "NA")</f>
      </c>
      <c r="G42" s="15"/>
      <c r="H42" s="13">
        <v>-2472</v>
      </c>
      <c r="I42" s="14">
        <f>IFERROR(H42/H327, "NA")</f>
      </c>
      <c r="J42" s="15"/>
      <c r="K42" s="13">
        <v>-4936</v>
      </c>
      <c r="L42" s="14">
        <f>IFERROR(K42/K327, "NA")</f>
      </c>
      <c r="M42" s="15"/>
      <c r="N42" s="13">
        <v>-2553</v>
      </c>
      <c r="O42" s="14">
        <f>IFERROR(N42/N327, "NA")</f>
      </c>
    </row>
    <row r="43" ht="16.5" customHeight="1">
      <c t="s" r="A43" s="12">
        <v>46</v>
      </c>
      <c r="B43" s="13">
        <v>-5139</v>
      </c>
      <c r="C43" s="14">
        <f>IFERROR(B43/B327, "NA")</f>
      </c>
      <c r="D43" s="15"/>
      <c r="E43" s="13">
        <v>-7631</v>
      </c>
      <c r="F43" s="14">
        <f>IFERROR(E43/E327, "NA")</f>
      </c>
      <c r="G43" s="15"/>
      <c r="H43" s="13">
        <v>-7453</v>
      </c>
      <c r="I43" s="14">
        <f>IFERROR(H43/H327, "NA")</f>
      </c>
      <c r="J43" s="15"/>
      <c r="K43" s="13">
        <v>-8285</v>
      </c>
      <c r="L43" s="14">
        <f>IFERROR(K43/K327, "NA")</f>
      </c>
      <c r="M43" s="15"/>
      <c r="N43" s="13">
        <v>-6050</v>
      </c>
      <c r="O43" s="14">
        <f>IFERROR(N43/N327, "NA")</f>
      </c>
    </row>
    <row r="44" ht="16.5" customHeight="1">
      <c t="s" r="A44" s="12">
        <v>47</v>
      </c>
      <c r="B44" s="13">
        <v>-2</v>
      </c>
      <c r="C44" s="14">
        <f>IFERROR(B44/B327, "NA")</f>
      </c>
      <c r="D44" s="15"/>
      <c r="E44" s="13">
        <v>-196.80000000000001</v>
      </c>
      <c r="F44" s="14">
        <f>IFERROR(E44/E327, "NA")</f>
      </c>
      <c r="G44" s="15"/>
      <c r="H44" s="13">
        <v>-409.80000000000001</v>
      </c>
      <c r="I44" s="14">
        <f>IFERROR(H44/H327, "NA")</f>
      </c>
      <c r="J44" s="15"/>
      <c r="K44" s="13">
        <v>-500</v>
      </c>
      <c r="L44" s="14">
        <f>IFERROR(K44/K327, "NA")</f>
      </c>
      <c r="M44" s="15"/>
      <c r="N44" s="13">
        <v>0</v>
      </c>
      <c r="O44" s="14">
        <f>IFERROR(N44/N327, "NA")</f>
      </c>
    </row>
    <row r="45" ht="16.5" customHeight="1">
      <c t="s" r="A45" s="12">
        <v>48</v>
      </c>
      <c r="B45" s="13">
        <v>0</v>
      </c>
      <c r="C45" s="14">
        <f>IFERROR(B45/B327, "NA")</f>
      </c>
      <c r="D45" s="15"/>
      <c r="E45" s="13">
        <v>0</v>
      </c>
      <c r="F45" s="14">
        <f>IFERROR(E45/E327, "NA")</f>
      </c>
      <c r="G45" s="15"/>
      <c r="H45" s="13">
        <v>0</v>
      </c>
      <c r="I45" s="14">
        <f>IFERROR(H45/H327, "NA")</f>
      </c>
      <c r="J45" s="15"/>
      <c r="K45" s="13">
        <v>0</v>
      </c>
      <c r="L45" s="14">
        <f>IFERROR(K45/K327, "NA")</f>
      </c>
      <c r="M45" s="15"/>
      <c r="N45" s="13">
        <v>0</v>
      </c>
      <c r="O45" s="14">
        <f>IFERROR(N45/N327, "NA")</f>
      </c>
    </row>
    <row r="46" ht="16.5" customHeight="1">
      <c t="s" r="A46" s="12">
        <v>49</v>
      </c>
      <c r="B46" s="13">
        <v>-2826</v>
      </c>
      <c r="C46" s="14">
        <f>IFERROR(B46/B327, "NA")</f>
      </c>
      <c r="D46" s="15"/>
      <c r="E46" s="13">
        <v>-2958</v>
      </c>
      <c r="F46" s="14">
        <f>IFERROR(E46/E327, "NA")</f>
      </c>
      <c r="G46" s="15"/>
      <c r="H46" s="13">
        <v>-1661</v>
      </c>
      <c r="I46" s="14">
        <f>IFERROR(H46/H327, "NA")</f>
      </c>
      <c r="J46" s="15"/>
      <c r="K46" s="13">
        <v>-607</v>
      </c>
      <c r="L46" s="14">
        <f>IFERROR(K46/K327, "NA")</f>
      </c>
      <c r="M46" s="15"/>
      <c r="N46" s="13">
        <v>-2678</v>
      </c>
      <c r="O46" s="14">
        <f>IFERROR(N46/N327, "NA")</f>
      </c>
    </row>
    <row r="47" ht="16.5" customHeight="1">
      <c t="s" r="A47" s="12">
        <v>50</v>
      </c>
      <c r="B47" s="13">
        <v>-1945</v>
      </c>
      <c r="C47" s="14">
        <f>IFERROR(B47/B327, "NA")</f>
      </c>
      <c r="D47" s="15"/>
      <c r="E47" s="13">
        <v>-7062</v>
      </c>
      <c r="F47" s="14">
        <f>IFERROR(E47/E327, "NA")</f>
      </c>
      <c r="G47" s="15"/>
      <c r="H47" s="13">
        <v>-4873</v>
      </c>
      <c r="I47" s="14">
        <f>IFERROR(H47/H327, "NA")</f>
      </c>
      <c r="J47" s="15"/>
      <c r="K47" s="13">
        <v>-4114</v>
      </c>
      <c r="L47" s="14">
        <f>IFERROR(K47/K327, "NA")</f>
      </c>
      <c r="M47" s="15"/>
      <c r="N47" s="13">
        <v>-4369</v>
      </c>
      <c r="O47" s="14">
        <f>IFERROR(N47/N327, "NA")</f>
      </c>
    </row>
    <row r="48" ht="16.5" customHeight="1">
      <c t="s" r="A48" s="12">
        <v>51</v>
      </c>
      <c r="B48" s="13">
        <v>-295</v>
      </c>
      <c r="C48" s="14">
        <f>IFERROR(B48/B327, "NA")</f>
      </c>
      <c r="D48" s="15"/>
      <c r="E48" s="13">
        <v>-1290</v>
      </c>
      <c r="F48" s="14">
        <f>IFERROR(E48/E327, "NA")</f>
      </c>
      <c r="G48" s="15"/>
      <c r="H48" s="13">
        <v>-2155</v>
      </c>
      <c r="I48" s="14">
        <f>IFERROR(H48/H327, "NA")</f>
      </c>
      <c r="J48" s="15"/>
      <c r="K48" s="13">
        <v>-1495</v>
      </c>
      <c r="L48" s="14">
        <f>IFERROR(K48/K327, "NA")</f>
      </c>
      <c r="M48" s="15"/>
      <c r="N48" s="13">
        <v>-1611</v>
      </c>
      <c r="O48" s="14">
        <f>IFERROR(N48/N327, "NA")</f>
      </c>
    </row>
    <row r="49" ht="16.5" customHeight="1">
      <c t="s" r="A49" s="12">
        <v>52</v>
      </c>
      <c r="B49" s="13">
        <v>0</v>
      </c>
      <c r="C49" s="14">
        <f>IFERROR(B49/B327, "NA")</f>
      </c>
      <c r="D49" s="15"/>
      <c r="E49" s="13">
        <v>0</v>
      </c>
      <c r="F49" s="14">
        <f>IFERROR(E49/E327, "NA")</f>
      </c>
      <c r="G49" s="15"/>
      <c r="H49" s="13">
        <v>0</v>
      </c>
      <c r="I49" s="14">
        <f>IFERROR(H49/H327, "NA")</f>
      </c>
      <c r="J49" s="15"/>
      <c r="K49" s="13">
        <v>0</v>
      </c>
      <c r="L49" s="14">
        <f>IFERROR(K49/K327, "NA")</f>
      </c>
      <c r="M49" s="15"/>
      <c r="N49" s="13">
        <v>0</v>
      </c>
      <c r="O49" s="14">
        <f>IFERROR(N49/N327, "NA")</f>
      </c>
    </row>
    <row r="50" ht="16.5" customHeight="1">
      <c t="s" r="A50" s="12">
        <v>53</v>
      </c>
      <c r="B50" s="13">
        <v>-380</v>
      </c>
      <c r="C50" s="14">
        <f>IFERROR(B50/B327, "NA")</f>
      </c>
      <c r="D50" s="15"/>
      <c r="E50" s="13">
        <v>-1097</v>
      </c>
      <c r="F50" s="14">
        <f>IFERROR(E50/E327, "NA")</f>
      </c>
      <c r="G50" s="15"/>
      <c r="H50" s="13">
        <v>-1246</v>
      </c>
      <c r="I50" s="14">
        <f>IFERROR(H50/H327, "NA")</f>
      </c>
      <c r="J50" s="15"/>
      <c r="K50" s="13">
        <v>-1541</v>
      </c>
      <c r="L50" s="14">
        <f>IFERROR(K50/K327, "NA")</f>
      </c>
      <c r="M50" s="15"/>
      <c r="N50" s="13">
        <v>-376</v>
      </c>
      <c r="O50" s="14">
        <f>IFERROR(N50/N327, "NA")</f>
      </c>
    </row>
    <row r="51" ht="16.5" customHeight="1">
      <c t="s" r="A51" s="16">
        <v>54</v>
      </c>
      <c r="B51" s="17">
        <f>IFERROR(B39+B40+B41+B42+B43+B44+B45+B46+B47+B48+B49+B50, "NA")</f>
      </c>
      <c r="C51" s="18">
        <f>IFERROR(B51/B327, "NA")</f>
      </c>
      <c r="D51" s="8"/>
      <c r="E51" s="17">
        <f>IFERROR(E39+E40+E41+E42+E43+E44+E45+E46+E47+E48+E49+E50, "NA")</f>
      </c>
      <c r="F51" s="18">
        <f>IFERROR(E51/E327, "NA")</f>
      </c>
      <c r="G51" s="8"/>
      <c r="H51" s="17">
        <f>IFERROR(H39+H40+H41+H42+H43+H44+H45+H46+H47+H48+H49+H50, "NA")</f>
      </c>
      <c r="I51" s="18">
        <f>IFERROR(H51/H327, "NA")</f>
      </c>
      <c r="J51" s="8"/>
      <c r="K51" s="17">
        <f>IFERROR(K39+K40+K41+K42+K43+K44+K45+K46+K47+K48+K49+K50, "NA")</f>
      </c>
      <c r="L51" s="18">
        <f>IFERROR(K51/K327, "NA")</f>
      </c>
      <c r="M51" s="8"/>
      <c r="N51" s="17">
        <f>IFERROR(N39+N40+N41+N42+N43+N44+N45+N46+N47+N48+N49+N50, "NA")</f>
      </c>
      <c r="O51" s="18">
        <f>IFERROR(N51/N327, "NA")</f>
      </c>
    </row>
    <row r="52" ht="16.5" customHeight="1">
      <c t="s" r="A52" s="20">
        <v>55</v>
      </c>
      <c r="B52" s="17">
        <f>IFERROR(B8+B9+B11+B13+B14+B15+B16+B17+B18+B21+B22+B23+B24+B25+B26+B27+B28+B29+B32+B33+B34+B35+B36+B39+B40+B41+B42+B43+B44+B45+B46+B47+B48+B49+B50, "NA")</f>
      </c>
      <c r="C52" s="18">
        <f>IFERROR(B52/B327, "NA")</f>
      </c>
      <c r="D52" s="8"/>
      <c r="E52" s="17">
        <f>IFERROR(E8+E9+E11+E13+E14+E15+E16+E17+E18+E21+E22+E23+E24+E25+E26+E27+E28+E29+E32+E33+E34+E35+E36+E39+E40+E41+E42+E43+E44+E45+E46+E47+E48+E49+E50, "NA")</f>
      </c>
      <c r="F52" s="18">
        <f>IFERROR(E52/E327, "NA")</f>
      </c>
      <c r="G52" s="8"/>
      <c r="H52" s="17">
        <f>IFERROR(H8+H9+H11+H13+H14+H15+H16+H17+H18+H21+H22+H23+H24+H25+H26+H27+H28+H29+H32+H33+H34+H35+H36+H39+H40+H41+H42+H43+H44+H45+H46+H47+H48+H49+H50, "NA")</f>
      </c>
      <c r="I52" s="18">
        <f>IFERROR(H52/H327, "NA")</f>
      </c>
      <c r="J52" s="8"/>
      <c r="K52" s="17">
        <f>IFERROR(K8+K9+K11+K13+K14+K15+K16+K17+K18+K21+K22+K23+K24+K25+K26+K27+K28+K29+K32+K33+K34+K35+K36+K39+K40+K41+K42+K43+K44+K45+K46+K47+K48+K49+K50, "NA")</f>
      </c>
      <c r="L52" s="18">
        <f>IFERROR(K52/K327, "NA")</f>
      </c>
      <c r="M52" s="8"/>
      <c r="N52" s="17">
        <f>IFERROR(N8+N9+N11+N13+N14+N15+N16+N17+N18+N21+N22+N23+N24+N25+N26+N27+N28+N29+N32+N33+N34+N35+N36+N39+N40+N41+N42+N43+N44+N45+N46+N47+N48+N49+N50, "NA")</f>
      </c>
      <c r="O52" s="18">
        <f>IFERROR(N52/N327, "NA")</f>
      </c>
    </row>
    <row r="53" ht="16.5" customHeight="1">
      <c t="s" r="A53" s="7">
        <v>56</v>
      </c>
      <c r="B53" s="8"/>
      <c r="C53" s="9"/>
      <c r="D53" s="10"/>
      <c r="E53" s="8"/>
      <c r="F53" s="9"/>
      <c r="G53" s="10"/>
      <c r="H53" s="8"/>
      <c r="I53" s="9"/>
      <c r="J53" s="10"/>
      <c r="K53" s="8"/>
      <c r="L53" s="9"/>
      <c r="M53" s="10"/>
      <c r="N53" s="8"/>
      <c r="O53" s="9"/>
    </row>
    <row r="54" ht="16.5" customHeight="1">
      <c t="s" r="A54" s="11">
        <v>57</v>
      </c>
      <c r="B54" s="8"/>
      <c r="C54" s="9"/>
      <c r="D54" s="10"/>
      <c r="E54" s="8"/>
      <c r="F54" s="9"/>
      <c r="G54" s="10"/>
      <c r="H54" s="8"/>
      <c r="I54" s="9"/>
      <c r="J54" s="10"/>
      <c r="K54" s="8"/>
      <c r="L54" s="9"/>
      <c r="M54" s="10"/>
      <c r="N54" s="8"/>
      <c r="O54" s="9"/>
    </row>
    <row r="55" ht="16.5" customHeight="1">
      <c t="s" r="A55" s="12">
        <v>58</v>
      </c>
      <c r="B55" s="13">
        <v>0</v>
      </c>
      <c r="C55" s="14">
        <f>IFERROR(B55/B327, "NA")</f>
      </c>
      <c r="D55" s="15"/>
      <c r="E55" s="13">
        <v>0</v>
      </c>
      <c r="F55" s="14">
        <f>IFERROR(E55/E327, "NA")</f>
      </c>
      <c r="G55" s="15"/>
      <c r="H55" s="13">
        <v>0</v>
      </c>
      <c r="I55" s="14">
        <f>IFERROR(H55/H327, "NA")</f>
      </c>
      <c r="J55" s="15"/>
      <c r="K55" s="13">
        <v>0</v>
      </c>
      <c r="L55" s="14">
        <f>IFERROR(K55/K327, "NA")</f>
      </c>
      <c r="M55" s="15"/>
      <c r="N55" s="13">
        <v>0</v>
      </c>
      <c r="O55" s="14">
        <f>IFERROR(N55/N327, "NA")</f>
      </c>
    </row>
    <row r="56" ht="16.5" customHeight="1">
      <c t="s" r="A56" s="12">
        <v>59</v>
      </c>
      <c r="B56" s="13">
        <v>822.61000000000001</v>
      </c>
      <c r="C56" s="14">
        <f>IFERROR(B56/B327, "NA")</f>
      </c>
      <c r="D56" s="15"/>
      <c r="E56" s="13">
        <v>7597.6700000000001</v>
      </c>
      <c r="F56" s="14">
        <f>IFERROR(E56/E327, "NA")</f>
      </c>
      <c r="G56" s="15"/>
      <c r="H56" s="13">
        <v>6928.1599999999999</v>
      </c>
      <c r="I56" s="14">
        <f>IFERROR(H56/H327, "NA")</f>
      </c>
      <c r="J56" s="15"/>
      <c r="K56" s="13">
        <v>7265.6099999999997</v>
      </c>
      <c r="L56" s="14">
        <f>IFERROR(K56/K327, "NA")</f>
      </c>
      <c r="M56" s="15"/>
      <c r="N56" s="13">
        <v>9531.2800000000007</v>
      </c>
      <c r="O56" s="14">
        <f>IFERROR(N56/N327, "NA")</f>
      </c>
    </row>
    <row r="57" ht="16.5" customHeight="1">
      <c t="s" r="A57" s="12">
        <v>60</v>
      </c>
      <c r="B57" s="13">
        <v>-227.21000000000001</v>
      </c>
      <c r="C57" s="14">
        <f>IFERROR(B57/B327, "NA")</f>
      </c>
      <c r="D57" s="15"/>
      <c r="E57" s="13">
        <v>2685.5999999999999</v>
      </c>
      <c r="F57" s="14">
        <f>IFERROR(E57/E327, "NA")</f>
      </c>
      <c r="G57" s="15"/>
      <c r="H57" s="13">
        <v>2542.71</v>
      </c>
      <c r="I57" s="14">
        <f>IFERROR(H57/H327, "NA")</f>
      </c>
      <c r="J57" s="15"/>
      <c r="K57" s="13">
        <v>2860.8400000000001</v>
      </c>
      <c r="L57" s="14">
        <f>IFERROR(K57/K327, "NA")</f>
      </c>
      <c r="M57" s="15"/>
      <c r="N57" s="13">
        <v>3576.3200000000002</v>
      </c>
      <c r="O57" s="14">
        <f>IFERROR(N57/N327, "NA")</f>
      </c>
    </row>
    <row r="58" ht="16.5" customHeight="1">
      <c t="s" r="A58" s="12">
        <v>61</v>
      </c>
      <c r="B58" s="13">
        <v>-859.10000000000002</v>
      </c>
      <c r="C58" s="14">
        <f>IFERROR(B58/B327, "NA")</f>
      </c>
      <c r="D58" s="15"/>
      <c r="E58" s="13">
        <v>9972.0300000000007</v>
      </c>
      <c r="F58" s="14">
        <f>IFERROR(E58/E327, "NA")</f>
      </c>
      <c r="G58" s="15"/>
      <c r="H58" s="13">
        <v>7543.5699999999997</v>
      </c>
      <c r="I58" s="14">
        <f>IFERROR(H58/H327, "NA")</f>
      </c>
      <c r="J58" s="15"/>
      <c r="K58" s="13">
        <v>9927.0300000000007</v>
      </c>
      <c r="L58" s="14">
        <f>IFERROR(K58/K327, "NA")</f>
      </c>
      <c r="M58" s="15"/>
      <c r="N58" s="13">
        <v>13469.049999999999</v>
      </c>
      <c r="O58" s="14">
        <f>IFERROR(N58/N327, "NA")</f>
      </c>
    </row>
    <row r="59" ht="16.5" customHeight="1">
      <c t="s" r="A59" s="12">
        <v>62</v>
      </c>
      <c r="B59" s="13">
        <v>-90.640000000000001</v>
      </c>
      <c r="C59" s="14">
        <f>IFERROR(B59/B327, "NA")</f>
      </c>
      <c r="D59" s="15"/>
      <c r="E59" s="13">
        <v>949.58000000000004</v>
      </c>
      <c r="F59" s="14">
        <f>IFERROR(E59/E327, "NA")</f>
      </c>
      <c r="G59" s="15"/>
      <c r="H59" s="13">
        <v>439.31</v>
      </c>
      <c r="I59" s="14">
        <f>IFERROR(H59/H327, "NA")</f>
      </c>
      <c r="J59" s="15"/>
      <c r="K59" s="13">
        <v>1434.8</v>
      </c>
      <c r="L59" s="14">
        <f>IFERROR(K59/K327, "NA")</f>
      </c>
      <c r="M59" s="15"/>
      <c r="N59" s="13">
        <v>1459.3</v>
      </c>
      <c r="O59" s="14">
        <f>IFERROR(N59/N327, "NA")</f>
      </c>
    </row>
    <row r="60" ht="16.5" customHeight="1">
      <c t="s" r="A60" s="12">
        <v>63</v>
      </c>
      <c r="B60" s="13">
        <v>-5528.3000000000002</v>
      </c>
      <c r="C60" s="14">
        <f>IFERROR(B60/B327, "NA")</f>
      </c>
      <c r="D60" s="15"/>
      <c r="E60" s="13">
        <v>14874.26</v>
      </c>
      <c r="F60" s="14">
        <f>IFERROR(E60/E327, "NA")</f>
      </c>
      <c r="G60" s="15"/>
      <c r="H60" s="13">
        <v>12321.32</v>
      </c>
      <c r="I60" s="14">
        <f>IFERROR(H60/H327, "NA")</f>
      </c>
      <c r="J60" s="15"/>
      <c r="K60" s="13">
        <v>14003.959999999999</v>
      </c>
      <c r="L60" s="14">
        <f>IFERROR(K60/K327, "NA")</f>
      </c>
      <c r="M60" s="15"/>
      <c r="N60" s="13">
        <v>17268.880000000001</v>
      </c>
      <c r="O60" s="14">
        <f>IFERROR(N60/N327, "NA")</f>
      </c>
    </row>
    <row r="61" ht="16.5" customHeight="1">
      <c t="s" r="A61" s="12">
        <v>64</v>
      </c>
      <c r="B61" s="13">
        <v>2731.1700000000001</v>
      </c>
      <c r="C61" s="14">
        <f>IFERROR(B61/B327, "NA")</f>
      </c>
      <c r="D61" s="15"/>
      <c r="E61" s="13">
        <v>8218.6599999999999</v>
      </c>
      <c r="F61" s="14">
        <f>IFERROR(E61/E327, "NA")</f>
      </c>
      <c r="G61" s="15"/>
      <c r="H61" s="13">
        <v>6327.0799999999999</v>
      </c>
      <c r="I61" s="14">
        <f>IFERROR(H61/H327, "NA")</f>
      </c>
      <c r="J61" s="15"/>
      <c r="K61" s="13">
        <v>9674.7299999999996</v>
      </c>
      <c r="L61" s="14">
        <f>IFERROR(K61/K327, "NA")</f>
      </c>
      <c r="M61" s="15"/>
      <c r="N61" s="13">
        <v>8550.8600000000006</v>
      </c>
      <c r="O61" s="14">
        <f>IFERROR(N61/N327, "NA")</f>
      </c>
    </row>
    <row r="62" ht="16.5" customHeight="1">
      <c t="s" r="A62" s="12">
        <v>65</v>
      </c>
      <c r="B62" s="13">
        <v>814.14999999999998</v>
      </c>
      <c r="C62" s="14">
        <f>IFERROR(B62/B327, "NA")</f>
      </c>
      <c r="D62" s="15"/>
      <c r="E62" s="13">
        <v>1732.8399999999999</v>
      </c>
      <c r="F62" s="14">
        <f>IFERROR(E62/E327, "NA")</f>
      </c>
      <c r="G62" s="15"/>
      <c r="H62" s="13">
        <v>1433.3499999999999</v>
      </c>
      <c r="I62" s="14">
        <f>IFERROR(H62/H327, "NA")</f>
      </c>
      <c r="J62" s="15"/>
      <c r="K62" s="13">
        <v>1580.1500000000001</v>
      </c>
      <c r="L62" s="14">
        <f>IFERROR(K62/K327, "NA")</f>
      </c>
      <c r="M62" s="15"/>
      <c r="N62" s="13">
        <v>1187.3</v>
      </c>
      <c r="O62" s="14">
        <f>IFERROR(N62/N327, "NA")</f>
      </c>
    </row>
    <row r="63" ht="16.5" customHeight="1">
      <c t="s" r="A63" s="12">
        <v>66</v>
      </c>
      <c r="B63" s="13">
        <v>-1702.1300000000001</v>
      </c>
      <c r="C63" s="14">
        <f>IFERROR(B63/B327, "NA")</f>
      </c>
      <c r="D63" s="15"/>
      <c r="E63" s="13">
        <v>2543.27</v>
      </c>
      <c r="F63" s="14">
        <f>IFERROR(E63/E327, "NA")</f>
      </c>
      <c r="G63" s="15"/>
      <c r="H63" s="13">
        <v>1488.1600000000001</v>
      </c>
      <c r="I63" s="14">
        <f>IFERROR(H63/H327, "NA")</f>
      </c>
      <c r="J63" s="15"/>
      <c r="K63" s="13">
        <v>1694.6300000000001</v>
      </c>
      <c r="L63" s="14">
        <f>IFERROR(K63/K327, "NA")</f>
      </c>
      <c r="M63" s="15"/>
      <c r="N63" s="13">
        <v>2085.2399999999998</v>
      </c>
      <c r="O63" s="14">
        <f>IFERROR(N63/N327, "NA")</f>
      </c>
    </row>
    <row r="64" ht="16.5" customHeight="1">
      <c t="s" r="A64" s="12">
        <v>67</v>
      </c>
      <c r="B64" s="13">
        <v>0</v>
      </c>
      <c r="C64" s="14">
        <f>IFERROR(B64/B327, "NA")</f>
      </c>
      <c r="D64" s="15"/>
      <c r="E64" s="13">
        <v>0</v>
      </c>
      <c r="F64" s="14">
        <f>IFERROR(E64/E327, "NA")</f>
      </c>
      <c r="G64" s="15"/>
      <c r="H64" s="13">
        <v>0</v>
      </c>
      <c r="I64" s="14">
        <f>IFERROR(H64/H327, "NA")</f>
      </c>
      <c r="J64" s="15"/>
      <c r="K64" s="13">
        <v>0</v>
      </c>
      <c r="L64" s="14">
        <f>IFERROR(K64/K327, "NA")</f>
      </c>
      <c r="M64" s="15"/>
      <c r="N64" s="13">
        <v>0</v>
      </c>
      <c r="O64" s="14">
        <f>IFERROR(N64/N327, "NA")</f>
      </c>
    </row>
    <row r="65" ht="16.5" customHeight="1">
      <c t="s" r="A65" s="16">
        <v>68</v>
      </c>
      <c r="B65" s="17">
        <f>IFERROR(B55+B56+B57+B58+B59+B60+B61+B62+B63+B64, "NA")</f>
      </c>
      <c r="C65" s="18">
        <f>IFERROR(B65/B327, "NA")</f>
      </c>
      <c r="D65" s="8"/>
      <c r="E65" s="17">
        <f>IFERROR(E55+E56+E57+E58+E59+E60+E61+E62+E63+E64, "NA")</f>
      </c>
      <c r="F65" s="18">
        <f>IFERROR(E65/E327, "NA")</f>
      </c>
      <c r="G65" s="8"/>
      <c r="H65" s="17">
        <f>IFERROR(H55+H56+H57+H58+H59+H60+H61+H62+H63+H64, "NA")</f>
      </c>
      <c r="I65" s="18">
        <f>IFERROR(H65/H327, "NA")</f>
      </c>
      <c r="J65" s="8"/>
      <c r="K65" s="17">
        <f>IFERROR(K55+K56+K57+K58+K59+K60+K61+K62+K63+K64, "NA")</f>
      </c>
      <c r="L65" s="18">
        <f>IFERROR(K65/K327, "NA")</f>
      </c>
      <c r="M65" s="8"/>
      <c r="N65" s="17">
        <f>IFERROR(N55+N56+N57+N58+N59+N60+N61+N62+N63+N64, "NA")</f>
      </c>
      <c r="O65" s="18">
        <f>IFERROR(N65/N327, "NA")</f>
      </c>
    </row>
    <row r="66" ht="16.5" customHeight="1">
      <c t="s" r="A66" s="19">
        <v>69</v>
      </c>
      <c r="B66" s="13">
        <v>-1067.53</v>
      </c>
      <c r="C66" s="14">
        <f>IFERROR(B66/B327, "NA")</f>
      </c>
      <c r="D66" s="15"/>
      <c r="E66" s="13">
        <v>3752.0900000000001</v>
      </c>
      <c r="F66" s="14">
        <f>IFERROR(E66/E327, "NA")</f>
      </c>
      <c r="G66" s="15"/>
      <c r="H66" s="13">
        <v>2516.5300000000002</v>
      </c>
      <c r="I66" s="14">
        <f>IFERROR(H66/H327, "NA")</f>
      </c>
      <c r="J66" s="15"/>
      <c r="K66" s="13">
        <v>4863.1400000000003</v>
      </c>
      <c r="L66" s="14">
        <f>IFERROR(K66/K327, "NA")</f>
      </c>
      <c r="M66" s="15"/>
      <c r="N66" s="13">
        <v>3314.9200000000001</v>
      </c>
      <c r="O66" s="14">
        <f>IFERROR(N66/N327, "NA")</f>
      </c>
    </row>
    <row r="67" ht="16.5" customHeight="1">
      <c t="s" r="A67" s="11">
        <v>70</v>
      </c>
      <c r="B67" s="8"/>
      <c r="C67" s="9"/>
      <c r="D67" s="10"/>
      <c r="E67" s="8"/>
      <c r="F67" s="9"/>
      <c r="G67" s="10"/>
      <c r="H67" s="8"/>
      <c r="I67" s="9"/>
      <c r="J67" s="10"/>
      <c r="K67" s="8"/>
      <c r="L67" s="9"/>
      <c r="M67" s="10"/>
      <c r="N67" s="8"/>
      <c r="O67" s="9"/>
    </row>
    <row r="68" ht="16.5" customHeight="1">
      <c t="s" r="A68" s="12">
        <v>71</v>
      </c>
      <c r="B68" s="13">
        <v>0</v>
      </c>
      <c r="C68" s="14">
        <f>IFERROR(B68/B327, "NA")</f>
      </c>
      <c r="D68" s="15"/>
      <c r="E68" s="13">
        <v>0</v>
      </c>
      <c r="F68" s="14">
        <f>IFERROR(E68/E327, "NA")</f>
      </c>
      <c r="G68" s="15"/>
      <c r="H68" s="13">
        <v>0</v>
      </c>
      <c r="I68" s="14">
        <f>IFERROR(H68/H327, "NA")</f>
      </c>
      <c r="J68" s="15"/>
      <c r="K68" s="13">
        <v>0</v>
      </c>
      <c r="L68" s="14">
        <f>IFERROR(K68/K327, "NA")</f>
      </c>
      <c r="M68" s="15"/>
      <c r="N68" s="13">
        <v>0</v>
      </c>
      <c r="O68" s="14">
        <f>IFERROR(N68/N327, "NA")</f>
      </c>
    </row>
    <row r="69" ht="16.5" customHeight="1">
      <c t="s" r="A69" s="12">
        <v>72</v>
      </c>
      <c r="B69" s="13">
        <v>84.879999999999995</v>
      </c>
      <c r="C69" s="14">
        <f>IFERROR(B69/B327, "NA")</f>
      </c>
      <c r="D69" s="15"/>
      <c r="E69" s="13">
        <v>367.24000000000001</v>
      </c>
      <c r="F69" s="14">
        <f>IFERROR(E69/E327, "NA")</f>
      </c>
      <c r="G69" s="15"/>
      <c r="H69" s="13">
        <v>84.180000000000007</v>
      </c>
      <c r="I69" s="14">
        <f>IFERROR(H69/H327, "NA")</f>
      </c>
      <c r="J69" s="15"/>
      <c r="K69" s="13">
        <v>251.44</v>
      </c>
      <c r="L69" s="14">
        <f>IFERROR(K69/K327, "NA")</f>
      </c>
      <c r="M69" s="15"/>
      <c r="N69" s="13">
        <v>285.94999999999999</v>
      </c>
      <c r="O69" s="14">
        <f>IFERROR(N69/N327, "NA")</f>
      </c>
    </row>
    <row r="70" ht="16.5" customHeight="1">
      <c t="s" r="A70" s="12">
        <v>73</v>
      </c>
      <c r="B70" s="13">
        <v>0</v>
      </c>
      <c r="C70" s="14">
        <f>IFERROR(B70/B327, "NA")</f>
      </c>
      <c r="D70" s="15"/>
      <c r="E70" s="13">
        <v>0</v>
      </c>
      <c r="F70" s="14">
        <f>IFERROR(E70/E327, "NA")</f>
      </c>
      <c r="G70" s="15"/>
      <c r="H70" s="13">
        <v>0</v>
      </c>
      <c r="I70" s="14">
        <f>IFERROR(H70/H327, "NA")</f>
      </c>
      <c r="J70" s="15"/>
      <c r="K70" s="13">
        <v>3294</v>
      </c>
      <c r="L70" s="14">
        <f>IFERROR(K70/K327, "NA")</f>
      </c>
      <c r="M70" s="15"/>
      <c r="N70" s="13">
        <v>0</v>
      </c>
      <c r="O70" s="14">
        <f>IFERROR(N70/N327, "NA")</f>
      </c>
    </row>
    <row r="71" ht="16.5" customHeight="1">
      <c t="s" r="A71" s="12">
        <v>74</v>
      </c>
      <c r="B71" s="13">
        <v>-10047.34</v>
      </c>
      <c r="C71" s="14">
        <f>IFERROR(B71/B327, "NA")</f>
      </c>
      <c r="D71" s="15"/>
      <c r="E71" s="13">
        <v>9393.75</v>
      </c>
      <c r="F71" s="14">
        <f>IFERROR(E71/E327, "NA")</f>
      </c>
      <c r="G71" s="15"/>
      <c r="H71" s="13">
        <v>6338.6000000000004</v>
      </c>
      <c r="I71" s="14">
        <f>IFERROR(H71/H327, "NA")</f>
      </c>
      <c r="J71" s="15"/>
      <c r="K71" s="13">
        <v>6288.0900000000001</v>
      </c>
      <c r="L71" s="14">
        <f>IFERROR(K71/K327, "NA")</f>
      </c>
      <c r="M71" s="15"/>
      <c r="N71" s="13">
        <v>6463.4399999999996</v>
      </c>
      <c r="O71" s="14">
        <f>IFERROR(N71/N327, "NA")</f>
      </c>
    </row>
    <row r="72" ht="16.5" customHeight="1">
      <c t="s" r="A72" s="12">
        <v>75</v>
      </c>
      <c r="B72" s="13">
        <v>0</v>
      </c>
      <c r="C72" s="14">
        <f>IFERROR(B72/B327, "NA")</f>
      </c>
      <c r="D72" s="15"/>
      <c r="E72" s="13">
        <v>0</v>
      </c>
      <c r="F72" s="14">
        <f>IFERROR(E72/E327, "NA")</f>
      </c>
      <c r="G72" s="15"/>
      <c r="H72" s="13">
        <v>0</v>
      </c>
      <c r="I72" s="14">
        <f>IFERROR(H72/H327, "NA")</f>
      </c>
      <c r="J72" s="15"/>
      <c r="K72" s="13">
        <v>0</v>
      </c>
      <c r="L72" s="14">
        <f>IFERROR(K72/K327, "NA")</f>
      </c>
      <c r="M72" s="15"/>
      <c r="N72" s="13">
        <v>0</v>
      </c>
      <c r="O72" s="14">
        <f>IFERROR(N72/N327, "NA")</f>
      </c>
    </row>
    <row r="73" ht="16.5" customHeight="1">
      <c t="s" r="A73" s="12">
        <v>76</v>
      </c>
      <c r="B73" s="13">
        <v>-7922.7799999999997</v>
      </c>
      <c r="C73" s="14">
        <f>IFERROR(B73/B327, "NA")</f>
      </c>
      <c r="D73" s="15"/>
      <c r="E73" s="13">
        <v>11114.91</v>
      </c>
      <c r="F73" s="14">
        <f>IFERROR(E73/E327, "NA")</f>
      </c>
      <c r="G73" s="15"/>
      <c r="H73" s="13">
        <v>-1179.51</v>
      </c>
      <c r="I73" s="14">
        <f>IFERROR(H73/H327, "NA")</f>
      </c>
      <c r="J73" s="15"/>
      <c r="K73" s="13">
        <v>5063.4799999999996</v>
      </c>
      <c r="L73" s="14">
        <f>IFERROR(K73/K327, "NA")</f>
      </c>
      <c r="M73" s="15"/>
      <c r="N73" s="13">
        <v>20347.73</v>
      </c>
      <c r="O73" s="14">
        <f>IFERROR(N73/N327, "NA")</f>
      </c>
    </row>
    <row r="74" ht="16.5" customHeight="1">
      <c t="s" r="A74" s="12">
        <v>77</v>
      </c>
      <c r="B74" s="13">
        <v>0</v>
      </c>
      <c r="C74" s="14">
        <f>IFERROR(B74/B327, "NA")</f>
      </c>
      <c r="D74" s="15"/>
      <c r="E74" s="13">
        <v>4698.6099999999997</v>
      </c>
      <c r="F74" s="14">
        <f>IFERROR(E74/E327, "NA")</f>
      </c>
      <c r="G74" s="15"/>
      <c r="H74" s="13">
        <v>5556.4200000000001</v>
      </c>
      <c r="I74" s="14">
        <f>IFERROR(H74/H327, "NA")</f>
      </c>
      <c r="J74" s="15"/>
      <c r="K74" s="13">
        <v>3760.3800000000001</v>
      </c>
      <c r="L74" s="14">
        <f>IFERROR(K74/K327, "NA")</f>
      </c>
      <c r="M74" s="15"/>
      <c r="N74" s="13">
        <v>4641.1899999999996</v>
      </c>
      <c r="O74" s="14">
        <f>IFERROR(N74/N327, "NA")</f>
      </c>
    </row>
    <row r="75" ht="16.5" customHeight="1">
      <c t="s" r="A75" s="12">
        <v>78</v>
      </c>
      <c r="B75" s="13">
        <v>-39.880000000000003</v>
      </c>
      <c r="C75" s="14">
        <f>IFERROR(B75/B327, "NA")</f>
      </c>
      <c r="D75" s="15"/>
      <c r="E75" s="13">
        <v>2219.8600000000001</v>
      </c>
      <c r="F75" s="14">
        <f>IFERROR(E75/E327, "NA")</f>
      </c>
      <c r="G75" s="15"/>
      <c r="H75" s="13">
        <v>413.38999999999999</v>
      </c>
      <c r="I75" s="14">
        <f>IFERROR(H75/H327, "NA")</f>
      </c>
      <c r="J75" s="15"/>
      <c r="K75" s="13">
        <v>1731.3</v>
      </c>
      <c r="L75" s="14">
        <f>IFERROR(K75/K327, "NA")</f>
      </c>
      <c r="M75" s="15"/>
      <c r="N75" s="13">
        <v>2892.1399999999999</v>
      </c>
      <c r="O75" s="14">
        <f>IFERROR(N75/N327, "NA")</f>
      </c>
    </row>
    <row r="76" ht="16.5" customHeight="1">
      <c t="s" r="A76" s="16">
        <v>79</v>
      </c>
      <c r="B76" s="17">
        <f>IFERROR(B68+B69+B70+B71+B72+B73+B74+B75, "NA")</f>
      </c>
      <c r="C76" s="18">
        <f>IFERROR(B76/B327, "NA")</f>
      </c>
      <c r="D76" s="8"/>
      <c r="E76" s="17">
        <f>IFERROR(E68+E69+E70+E71+E72+E73+E74+E75, "NA")</f>
      </c>
      <c r="F76" s="18">
        <f>IFERROR(E76/E327, "NA")</f>
      </c>
      <c r="G76" s="8"/>
      <c r="H76" s="17">
        <f>IFERROR(H68+H69+H70+H71+H72+H73+H74+H75, "NA")</f>
      </c>
      <c r="I76" s="18">
        <f>IFERROR(H76/H327, "NA")</f>
      </c>
      <c r="J76" s="8"/>
      <c r="K76" s="17">
        <f>IFERROR(K68+K69+K70+K71+K72+K73+K74+K75, "NA")</f>
      </c>
      <c r="L76" s="18">
        <f>IFERROR(K76/K327, "NA")</f>
      </c>
      <c r="M76" s="8"/>
      <c r="N76" s="17">
        <f>IFERROR(N68+N69+N70+N71+N72+N73+N74+N75, "NA")</f>
      </c>
      <c r="O76" s="18">
        <f>IFERROR(N76/N327, "NA")</f>
      </c>
    </row>
    <row r="77" ht="16.5" customHeight="1">
      <c t="s" r="A77" s="11">
        <v>80</v>
      </c>
      <c r="B77" s="8"/>
      <c r="C77" s="9"/>
      <c r="D77" s="10"/>
      <c r="E77" s="8"/>
      <c r="F77" s="9"/>
      <c r="G77" s="10"/>
      <c r="H77" s="8"/>
      <c r="I77" s="9"/>
      <c r="J77" s="10"/>
      <c r="K77" s="8"/>
      <c r="L77" s="9"/>
      <c r="M77" s="10"/>
      <c r="N77" s="8"/>
      <c r="O77" s="9"/>
    </row>
    <row r="78" ht="16.5" customHeight="1">
      <c t="s" r="A78" s="12">
        <v>81</v>
      </c>
      <c r="B78" s="13">
        <v>0</v>
      </c>
      <c r="C78" s="14">
        <f>IFERROR(B78/B327, "NA")</f>
      </c>
      <c r="D78" s="15"/>
      <c r="E78" s="13">
        <v>0</v>
      </c>
      <c r="F78" s="14">
        <f>IFERROR(E78/E327, "NA")</f>
      </c>
      <c r="G78" s="15"/>
      <c r="H78" s="13">
        <v>0</v>
      </c>
      <c r="I78" s="14">
        <f>IFERROR(H78/H327, "NA")</f>
      </c>
      <c r="J78" s="15"/>
      <c r="K78" s="13">
        <v>0</v>
      </c>
      <c r="L78" s="14">
        <f>IFERROR(K78/K327, "NA")</f>
      </c>
      <c r="M78" s="15"/>
      <c r="N78" s="13">
        <v>0</v>
      </c>
      <c r="O78" s="14">
        <f>IFERROR(N78/N327, "NA")</f>
      </c>
    </row>
    <row r="79" ht="16.5" customHeight="1">
      <c t="s" r="A79" s="12">
        <v>82</v>
      </c>
      <c r="B79" s="13">
        <v>0</v>
      </c>
      <c r="C79" s="14">
        <f>IFERROR(B79/B327, "NA")</f>
      </c>
      <c r="D79" s="15"/>
      <c r="E79" s="13">
        <v>0</v>
      </c>
      <c r="F79" s="14">
        <f>IFERROR(E79/E327, "NA")</f>
      </c>
      <c r="G79" s="15"/>
      <c r="H79" s="13">
        <v>0</v>
      </c>
      <c r="I79" s="14">
        <f>IFERROR(H79/H327, "NA")</f>
      </c>
      <c r="J79" s="15"/>
      <c r="K79" s="13">
        <v>0</v>
      </c>
      <c r="L79" s="14">
        <f>IFERROR(K79/K327, "NA")</f>
      </c>
      <c r="M79" s="15"/>
      <c r="N79" s="13">
        <v>0</v>
      </c>
      <c r="O79" s="14">
        <f>IFERROR(N79/N327, "NA")</f>
      </c>
    </row>
    <row r="80" ht="16.5" customHeight="1">
      <c t="s" r="A80" s="16">
        <v>83</v>
      </c>
      <c r="B80" s="17">
        <f>IFERROR(B78+B79, "NA")</f>
      </c>
      <c r="C80" s="18">
        <f>IFERROR(B80/B327, "NA")</f>
      </c>
      <c r="D80" s="8"/>
      <c r="E80" s="17">
        <f>IFERROR(E78+E79, "NA")</f>
      </c>
      <c r="F80" s="18">
        <f>IFERROR(E80/E327, "NA")</f>
      </c>
      <c r="G80" s="8"/>
      <c r="H80" s="17">
        <f>IFERROR(H78+H79, "NA")</f>
      </c>
      <c r="I80" s="18">
        <f>IFERROR(H80/H327, "NA")</f>
      </c>
      <c r="J80" s="8"/>
      <c r="K80" s="17">
        <f>IFERROR(K78+K79, "NA")</f>
      </c>
      <c r="L80" s="18">
        <f>IFERROR(K80/K327, "NA")</f>
      </c>
      <c r="M80" s="8"/>
      <c r="N80" s="17">
        <f>IFERROR(N78+N79, "NA")</f>
      </c>
      <c r="O80" s="18">
        <f>IFERROR(N80/N327, "NA")</f>
      </c>
    </row>
    <row r="81" ht="16.5" customHeight="1">
      <c t="s" r="A81" s="11">
        <v>84</v>
      </c>
      <c r="B81" s="8"/>
      <c r="C81" s="9"/>
      <c r="D81" s="10"/>
      <c r="E81" s="8"/>
      <c r="F81" s="9"/>
      <c r="G81" s="10"/>
      <c r="H81" s="8"/>
      <c r="I81" s="9"/>
      <c r="J81" s="10"/>
      <c r="K81" s="8"/>
      <c r="L81" s="9"/>
      <c r="M81" s="10"/>
      <c r="N81" s="8"/>
      <c r="O81" s="9"/>
    </row>
    <row r="82" ht="16.5" customHeight="1">
      <c t="s" r="A82" s="12">
        <v>85</v>
      </c>
      <c r="B82" s="13">
        <v>0</v>
      </c>
      <c r="C82" s="14">
        <f>IFERROR(B82/B327, "NA")</f>
      </c>
      <c r="D82" s="15"/>
      <c r="E82" s="13">
        <v>0</v>
      </c>
      <c r="F82" s="14">
        <f>IFERROR(E82/E327, "NA")</f>
      </c>
      <c r="G82" s="15"/>
      <c r="H82" s="13">
        <v>0</v>
      </c>
      <c r="I82" s="14">
        <f>IFERROR(H82/H327, "NA")</f>
      </c>
      <c r="J82" s="15"/>
      <c r="K82" s="13">
        <v>0</v>
      </c>
      <c r="L82" s="14">
        <f>IFERROR(K82/K327, "NA")</f>
      </c>
      <c r="M82" s="15"/>
      <c r="N82" s="13">
        <v>0</v>
      </c>
      <c r="O82" s="14">
        <f>IFERROR(N82/N327, "NA")</f>
      </c>
    </row>
    <row r="83" ht="16.5" customHeight="1">
      <c t="s" r="A83" s="21">
        <v>86</v>
      </c>
      <c r="B83" s="8"/>
      <c r="C83" s="9"/>
      <c r="D83" s="10"/>
      <c r="E83" s="8"/>
      <c r="F83" s="9"/>
      <c r="G83" s="10"/>
      <c r="H83" s="8"/>
      <c r="I83" s="9"/>
      <c r="J83" s="10"/>
      <c r="K83" s="8"/>
      <c r="L83" s="9"/>
      <c r="M83" s="10"/>
      <c r="N83" s="8"/>
      <c r="O83" s="9"/>
    </row>
    <row r="84" ht="16.5" customHeight="1">
      <c t="s" r="A84" s="22">
        <v>87</v>
      </c>
      <c r="B84" s="13">
        <v>0</v>
      </c>
      <c r="C84" s="14">
        <f>IFERROR(B84/B327, "NA")</f>
      </c>
      <c r="D84" s="15"/>
      <c r="E84" s="13">
        <v>0</v>
      </c>
      <c r="F84" s="14">
        <f>IFERROR(E84/E327, "NA")</f>
      </c>
      <c r="G84" s="15"/>
      <c r="H84" s="13">
        <v>0</v>
      </c>
      <c r="I84" s="14">
        <f>IFERROR(H84/H327, "NA")</f>
      </c>
      <c r="J84" s="15"/>
      <c r="K84" s="13">
        <v>0</v>
      </c>
      <c r="L84" s="14">
        <f>IFERROR(K84/K327, "NA")</f>
      </c>
      <c r="M84" s="15"/>
      <c r="N84" s="13">
        <v>0</v>
      </c>
      <c r="O84" s="14">
        <f>IFERROR(N84/N327, "NA")</f>
      </c>
    </row>
    <row r="85" ht="16.5" customHeight="1">
      <c t="s" r="A85" s="22">
        <v>88</v>
      </c>
      <c r="B85" s="13">
        <v>5775.8199999999997</v>
      </c>
      <c r="C85" s="14">
        <f>IFERROR(B85/B327, "NA")</f>
      </c>
      <c r="D85" s="15"/>
      <c r="E85" s="13">
        <v>25292.529999999999</v>
      </c>
      <c r="F85" s="14">
        <f>IFERROR(E85/E327, "NA")</f>
      </c>
      <c r="G85" s="15"/>
      <c r="H85" s="13">
        <v>19118.25</v>
      </c>
      <c r="I85" s="14">
        <f>IFERROR(H85/H327, "NA")</f>
      </c>
      <c r="J85" s="15"/>
      <c r="K85" s="13">
        <v>25578.880000000001</v>
      </c>
      <c r="L85" s="14">
        <f>IFERROR(K85/K327, "NA")</f>
      </c>
      <c r="M85" s="15"/>
      <c r="N85" s="13">
        <v>26239.130000000001</v>
      </c>
      <c r="O85" s="14">
        <f>IFERROR(N85/N327, "NA")</f>
      </c>
    </row>
    <row r="86" ht="16.5" customHeight="1">
      <c t="s" r="A86" s="22">
        <v>89</v>
      </c>
      <c r="B86" s="13">
        <v>4235.6800000000003</v>
      </c>
      <c r="C86" s="14">
        <f>IFERROR(B86/B327, "NA")</f>
      </c>
      <c r="D86" s="15"/>
      <c r="E86" s="13">
        <v>4811.6599999999999</v>
      </c>
      <c r="F86" s="14">
        <f>IFERROR(E86/E327, "NA")</f>
      </c>
      <c r="G86" s="15"/>
      <c r="H86" s="13">
        <v>6392.8000000000002</v>
      </c>
      <c r="I86" s="14">
        <f>IFERROR(H86/H327, "NA")</f>
      </c>
      <c r="J86" s="15"/>
      <c r="K86" s="13">
        <v>5619.79</v>
      </c>
      <c r="L86" s="14">
        <f>IFERROR(K86/K327, "NA")</f>
      </c>
      <c r="M86" s="15"/>
      <c r="N86" s="13">
        <v>6411.4700000000003</v>
      </c>
      <c r="O86" s="14">
        <f>IFERROR(N86/N327, "NA")</f>
      </c>
    </row>
    <row r="87" ht="16.5" customHeight="1">
      <c t="s" r="A87" s="22">
        <v>90</v>
      </c>
      <c r="B87" s="13">
        <v>4380.5799999999999</v>
      </c>
      <c r="C87" s="14">
        <f>IFERROR(B87/B327, "NA")</f>
      </c>
      <c r="D87" s="15"/>
      <c r="E87" s="13">
        <v>2337.54</v>
      </c>
      <c r="F87" s="14">
        <f>IFERROR(E87/E327, "NA")</f>
      </c>
      <c r="G87" s="15"/>
      <c r="H87" s="13">
        <v>6029.1599999999999</v>
      </c>
      <c r="I87" s="14">
        <f>IFERROR(H87/H327, "NA")</f>
      </c>
      <c r="J87" s="15"/>
      <c r="K87" s="13">
        <v>2312.6199999999999</v>
      </c>
      <c r="L87" s="14">
        <f>IFERROR(K87/K327, "NA")</f>
      </c>
      <c r="M87" s="15"/>
      <c r="N87" s="13">
        <v>2480.0500000000002</v>
      </c>
      <c r="O87" s="14">
        <f>IFERROR(N87/N327, "NA")</f>
      </c>
    </row>
    <row r="88" ht="16.5" customHeight="1">
      <c t="s" r="A88" s="22">
        <v>91</v>
      </c>
      <c r="B88" s="13">
        <v>2308.8000000000002</v>
      </c>
      <c r="C88" s="14">
        <f>IFERROR(B88/B327, "NA")</f>
      </c>
      <c r="D88" s="15"/>
      <c r="E88" s="13">
        <v>5662.8900000000003</v>
      </c>
      <c r="F88" s="14">
        <f>IFERROR(E88/E327, "NA")</f>
      </c>
      <c r="G88" s="15"/>
      <c r="H88" s="13">
        <v>6271.4499999999998</v>
      </c>
      <c r="I88" s="14">
        <f>IFERROR(H88/H327, "NA")</f>
      </c>
      <c r="J88" s="15"/>
      <c r="K88" s="13">
        <v>6792.4300000000003</v>
      </c>
      <c r="L88" s="14">
        <f>IFERROR(K88/K327, "NA")</f>
      </c>
      <c r="M88" s="15"/>
      <c r="N88" s="13">
        <v>6329.3500000000004</v>
      </c>
      <c r="O88" s="14">
        <f>IFERROR(N88/N327, "NA")</f>
      </c>
    </row>
    <row r="89" ht="16.5" customHeight="1">
      <c t="s" r="A89" s="22">
        <v>92</v>
      </c>
      <c r="B89" s="13">
        <v>3795.3600000000001</v>
      </c>
      <c r="C89" s="14">
        <f>IFERROR(B89/B327, "NA")</f>
      </c>
      <c r="D89" s="15"/>
      <c r="E89" s="13">
        <v>6400.54</v>
      </c>
      <c r="F89" s="14">
        <f>IFERROR(E89/E327, "NA")</f>
      </c>
      <c r="G89" s="15"/>
      <c r="H89" s="13">
        <v>6751.8900000000003</v>
      </c>
      <c r="I89" s="14">
        <f>IFERROR(H89/H327, "NA")</f>
      </c>
      <c r="J89" s="15"/>
      <c r="K89" s="13">
        <v>7330.8000000000002</v>
      </c>
      <c r="L89" s="14">
        <f>IFERROR(K89/K327, "NA")</f>
      </c>
      <c r="M89" s="15"/>
      <c r="N89" s="13">
        <v>6865.6499999999996</v>
      </c>
      <c r="O89" s="14">
        <f>IFERROR(N89/N327, "NA")</f>
      </c>
    </row>
    <row r="90" ht="16.5" customHeight="1">
      <c t="s" r="A90" s="22">
        <v>93</v>
      </c>
      <c r="B90" s="13">
        <v>547.58000000000004</v>
      </c>
      <c r="C90" s="14">
        <f>IFERROR(B90/B327, "NA")</f>
      </c>
      <c r="D90" s="15"/>
      <c r="E90" s="13">
        <v>1321.1600000000001</v>
      </c>
      <c r="F90" s="14">
        <f>IFERROR(E90/E327, "NA")</f>
      </c>
      <c r="G90" s="15"/>
      <c r="H90" s="13">
        <v>1340.3299999999999</v>
      </c>
      <c r="I90" s="14">
        <f>IFERROR(H90/H327, "NA")</f>
      </c>
      <c r="J90" s="15"/>
      <c r="K90" s="13">
        <v>1355.8399999999999</v>
      </c>
      <c r="L90" s="14">
        <f>IFERROR(K90/K327, "NA")</f>
      </c>
      <c r="M90" s="15"/>
      <c r="N90" s="13">
        <v>1305.04</v>
      </c>
      <c r="O90" s="14">
        <f>IFERROR(N90/N327, "NA")</f>
      </c>
    </row>
    <row r="91" ht="16.5" customHeight="1">
      <c t="s" r="A91" s="22">
        <v>94</v>
      </c>
      <c r="B91" s="13">
        <v>977.36000000000001</v>
      </c>
      <c r="C91" s="14">
        <f>IFERROR(B91/B327, "NA")</f>
      </c>
      <c r="D91" s="15"/>
      <c r="E91" s="13">
        <v>1742.6600000000001</v>
      </c>
      <c r="F91" s="14">
        <f>IFERROR(E91/E327, "NA")</f>
      </c>
      <c r="G91" s="15"/>
      <c r="H91" s="13">
        <v>1733.79</v>
      </c>
      <c r="I91" s="14">
        <f>IFERROR(H91/H327, "NA")</f>
      </c>
      <c r="J91" s="15"/>
      <c r="K91" s="13">
        <v>1853.3499999999999</v>
      </c>
      <c r="L91" s="14">
        <f>IFERROR(K91/K327, "NA")</f>
      </c>
      <c r="M91" s="15"/>
      <c r="N91" s="13">
        <v>1834.25</v>
      </c>
      <c r="O91" s="14">
        <f>IFERROR(N91/N327, "NA")</f>
      </c>
    </row>
    <row r="92" ht="16.5" customHeight="1">
      <c t="s" r="A92" s="22">
        <v>95</v>
      </c>
      <c r="B92" s="13">
        <v>2585.1199999999999</v>
      </c>
      <c r="C92" s="14">
        <f>IFERROR(B92/B327, "NA")</f>
      </c>
      <c r="D92" s="15"/>
      <c r="E92" s="13">
        <v>6578.21</v>
      </c>
      <c r="F92" s="14">
        <f>IFERROR(E92/E327, "NA")</f>
      </c>
      <c r="G92" s="15"/>
      <c r="H92" s="13">
        <v>6871.0900000000001</v>
      </c>
      <c r="I92" s="14">
        <f>IFERROR(H92/H327, "NA")</f>
      </c>
      <c r="J92" s="15"/>
      <c r="K92" s="13">
        <v>10091.49</v>
      </c>
      <c r="L92" s="14">
        <f>IFERROR(K92/K327, "NA")</f>
      </c>
      <c r="M92" s="15"/>
      <c r="N92" s="13">
        <v>10243.879999999999</v>
      </c>
      <c r="O92" s="14">
        <f>IFERROR(N92/N327, "NA")</f>
      </c>
    </row>
    <row r="93" ht="16.5" customHeight="1">
      <c t="s" r="A93" s="22">
        <v>96</v>
      </c>
      <c r="B93" s="13">
        <v>338.77999999999997</v>
      </c>
      <c r="C93" s="14">
        <f>IFERROR(B93/B327, "NA")</f>
      </c>
      <c r="D93" s="15"/>
      <c r="E93" s="13">
        <v>1594.03</v>
      </c>
      <c r="F93" s="14">
        <f>IFERROR(E93/E327, "NA")</f>
      </c>
      <c r="G93" s="15"/>
      <c r="H93" s="13">
        <v>3062.3200000000002</v>
      </c>
      <c r="I93" s="14">
        <f>IFERROR(H93/H327, "NA")</f>
      </c>
      <c r="J93" s="15"/>
      <c r="K93" s="13">
        <v>3022.27</v>
      </c>
      <c r="L93" s="14">
        <f>IFERROR(K93/K327, "NA")</f>
      </c>
      <c r="M93" s="15"/>
      <c r="N93" s="13">
        <v>2861.3099999999999</v>
      </c>
      <c r="O93" s="14">
        <f>IFERROR(N93/N327, "NA")</f>
      </c>
    </row>
    <row r="94" ht="16.5" customHeight="1">
      <c t="s" r="A94" s="22">
        <v>97</v>
      </c>
      <c r="B94" s="13">
        <v>-2785.73</v>
      </c>
      <c r="C94" s="14">
        <f>IFERROR(B94/B327, "NA")</f>
      </c>
      <c r="D94" s="15"/>
      <c r="E94" s="13">
        <v>12214.030000000001</v>
      </c>
      <c r="F94" s="14">
        <f>IFERROR(E94/E327, "NA")</f>
      </c>
      <c r="G94" s="15"/>
      <c r="H94" s="13">
        <v>-4013.4000000000001</v>
      </c>
      <c r="I94" s="14">
        <f>IFERROR(H94/H327, "NA")</f>
      </c>
      <c r="J94" s="15"/>
      <c r="K94" s="13">
        <v>5492.46</v>
      </c>
      <c r="L94" s="14">
        <f>IFERROR(K94/K327, "NA")</f>
      </c>
      <c r="M94" s="15"/>
      <c r="N94" s="13">
        <v>1428.99</v>
      </c>
      <c r="O94" s="14">
        <f>IFERROR(N94/N327, "NA")</f>
      </c>
    </row>
    <row r="95" ht="16.5" customHeight="1">
      <c t="s" r="A95" s="22">
        <v>98</v>
      </c>
      <c r="B95" s="13">
        <v>0</v>
      </c>
      <c r="C95" s="14">
        <f>IFERROR(B95/B327, "NA")</f>
      </c>
      <c r="D95" s="15"/>
      <c r="E95" s="13">
        <v>0</v>
      </c>
      <c r="F95" s="14">
        <f>IFERROR(E95/E327, "NA")</f>
      </c>
      <c r="G95" s="15"/>
      <c r="H95" s="13">
        <v>0</v>
      </c>
      <c r="I95" s="14">
        <f>IFERROR(H95/H327, "NA")</f>
      </c>
      <c r="J95" s="15"/>
      <c r="K95" s="13">
        <v>0</v>
      </c>
      <c r="L95" s="14">
        <f>IFERROR(K95/K327, "NA")</f>
      </c>
      <c r="M95" s="15"/>
      <c r="N95" s="13">
        <v>0</v>
      </c>
      <c r="O95" s="14">
        <f>IFERROR(N95/N327, "NA")</f>
      </c>
    </row>
    <row r="96" ht="16.5" customHeight="1">
      <c t="s" r="A96" s="22">
        <v>99</v>
      </c>
      <c r="B96" s="13">
        <v>0</v>
      </c>
      <c r="C96" s="14">
        <f>IFERROR(B96/B327, "NA")</f>
      </c>
      <c r="D96" s="15"/>
      <c r="E96" s="13">
        <v>0</v>
      </c>
      <c r="F96" s="14">
        <f>IFERROR(E96/E327, "NA")</f>
      </c>
      <c r="G96" s="15"/>
      <c r="H96" s="13">
        <v>0</v>
      </c>
      <c r="I96" s="14">
        <f>IFERROR(H96/H327, "NA")</f>
      </c>
      <c r="J96" s="15"/>
      <c r="K96" s="13">
        <v>0</v>
      </c>
      <c r="L96" s="14">
        <f>IFERROR(K96/K327, "NA")</f>
      </c>
      <c r="M96" s="15"/>
      <c r="N96" s="13">
        <v>0</v>
      </c>
      <c r="O96" s="14">
        <f>IFERROR(N96/N327, "NA")</f>
      </c>
    </row>
    <row r="97" ht="16.5" customHeight="1">
      <c t="s" r="A97" s="22">
        <v>100</v>
      </c>
      <c r="B97" s="13">
        <v>4936.9200000000001</v>
      </c>
      <c r="C97" s="14">
        <f>IFERROR(B97/B327, "NA")</f>
      </c>
      <c r="D97" s="15"/>
      <c r="E97" s="13">
        <v>6602.5600000000004</v>
      </c>
      <c r="F97" s="14">
        <f>IFERROR(E97/E327, "NA")</f>
      </c>
      <c r="G97" s="15"/>
      <c r="H97" s="13">
        <v>8723.3799999999992</v>
      </c>
      <c r="I97" s="14">
        <f>IFERROR(H97/H327, "NA")</f>
      </c>
      <c r="J97" s="15"/>
      <c r="K97" s="13">
        <v>6256.0100000000002</v>
      </c>
      <c r="L97" s="14">
        <f>IFERROR(K97/K327, "NA")</f>
      </c>
      <c r="M97" s="15"/>
      <c r="N97" s="13">
        <v>5575.3699999999999</v>
      </c>
      <c r="O97" s="14">
        <f>IFERROR(N97/N327, "NA")</f>
      </c>
    </row>
    <row r="98" ht="16.5" customHeight="1">
      <c t="s" r="A98" s="22">
        <v>101</v>
      </c>
      <c r="B98" s="13">
        <v>3107</v>
      </c>
      <c r="C98" s="14">
        <f>IFERROR(B98/B327, "NA")</f>
      </c>
      <c r="D98" s="15"/>
      <c r="E98" s="13">
        <v>2858</v>
      </c>
      <c r="F98" s="14">
        <f>IFERROR(E98/E327, "NA")</f>
      </c>
      <c r="G98" s="15"/>
      <c r="H98" s="13">
        <v>2403</v>
      </c>
      <c r="I98" s="14">
        <f>IFERROR(H98/H327, "NA")</f>
      </c>
      <c r="J98" s="15"/>
      <c r="K98" s="13">
        <v>3515</v>
      </c>
      <c r="L98" s="14">
        <f>IFERROR(K98/K327, "NA")</f>
      </c>
      <c r="M98" s="15"/>
      <c r="N98" s="13">
        <v>2977</v>
      </c>
      <c r="O98" s="14">
        <f>IFERROR(N98/N327, "NA")</f>
      </c>
    </row>
    <row r="99" ht="16.5" customHeight="1">
      <c t="s" r="A99" s="22">
        <v>102</v>
      </c>
      <c r="B99" s="13">
        <v>0</v>
      </c>
      <c r="C99" s="14">
        <f>IFERROR(B99/B327, "NA")</f>
      </c>
      <c r="D99" s="15"/>
      <c r="E99" s="13">
        <v>0</v>
      </c>
      <c r="F99" s="14">
        <f>IFERROR(E99/E327, "NA")</f>
      </c>
      <c r="G99" s="15"/>
      <c r="H99" s="13">
        <v>0</v>
      </c>
      <c r="I99" s="14">
        <f>IFERROR(H99/H327, "NA")</f>
      </c>
      <c r="J99" s="15"/>
      <c r="K99" s="13">
        <v>0</v>
      </c>
      <c r="L99" s="14">
        <f>IFERROR(K99/K327, "NA")</f>
      </c>
      <c r="M99" s="15"/>
      <c r="N99" s="13">
        <v>0</v>
      </c>
      <c r="O99" s="14">
        <f>IFERROR(N99/N327, "NA")</f>
      </c>
    </row>
    <row r="100" ht="16.5" customHeight="1">
      <c t="s" r="A100" s="22">
        <v>103</v>
      </c>
      <c r="B100" s="13">
        <v>0</v>
      </c>
      <c r="C100" s="14">
        <f>IFERROR(B100/B327, "NA")</f>
      </c>
      <c r="D100" s="15"/>
      <c r="E100" s="13">
        <v>0</v>
      </c>
      <c r="F100" s="14">
        <f>IFERROR(E100/E327, "NA")</f>
      </c>
      <c r="G100" s="15"/>
      <c r="H100" s="13">
        <v>0</v>
      </c>
      <c r="I100" s="14">
        <f>IFERROR(H100/H327, "NA")</f>
      </c>
      <c r="J100" s="15"/>
      <c r="K100" s="13">
        <v>0</v>
      </c>
      <c r="L100" s="14">
        <f>IFERROR(K100/K327, "NA")</f>
      </c>
      <c r="M100" s="15"/>
      <c r="N100" s="13">
        <v>0</v>
      </c>
      <c r="O100" s="14">
        <f>IFERROR(N100/N327, "NA")</f>
      </c>
    </row>
    <row r="101" ht="16.5" customHeight="1">
      <c t="s" r="A101" s="22">
        <v>104</v>
      </c>
      <c r="B101" s="13">
        <v>0</v>
      </c>
      <c r="C101" s="14">
        <f>IFERROR(B101/B327, "NA")</f>
      </c>
      <c r="D101" s="15"/>
      <c r="E101" s="13">
        <v>0</v>
      </c>
      <c r="F101" s="14">
        <f>IFERROR(E101/E327, "NA")</f>
      </c>
      <c r="G101" s="15"/>
      <c r="H101" s="13">
        <v>0</v>
      </c>
      <c r="I101" s="14">
        <f>IFERROR(H101/H327, "NA")</f>
      </c>
      <c r="J101" s="15"/>
      <c r="K101" s="13">
        <v>0</v>
      </c>
      <c r="L101" s="14">
        <f>IFERROR(K101/K327, "NA")</f>
      </c>
      <c r="M101" s="15"/>
      <c r="N101" s="13">
        <v>0</v>
      </c>
      <c r="O101" s="14">
        <f>IFERROR(N101/N327, "NA")</f>
      </c>
    </row>
    <row r="102" ht="16.5" customHeight="1">
      <c t="s" r="A102" s="22">
        <v>105</v>
      </c>
      <c r="B102" s="13">
        <v>0</v>
      </c>
      <c r="C102" s="14">
        <f>IFERROR(B102/B327, "NA")</f>
      </c>
      <c r="D102" s="15"/>
      <c r="E102" s="13">
        <v>0</v>
      </c>
      <c r="F102" s="14">
        <f>IFERROR(E102/E327, "NA")</f>
      </c>
      <c r="G102" s="15"/>
      <c r="H102" s="13">
        <v>0</v>
      </c>
      <c r="I102" s="14">
        <f>IFERROR(H102/H327, "NA")</f>
      </c>
      <c r="J102" s="15"/>
      <c r="K102" s="13">
        <v>0</v>
      </c>
      <c r="L102" s="14">
        <f>IFERROR(K102/K327, "NA")</f>
      </c>
      <c r="M102" s="15"/>
      <c r="N102" s="13">
        <v>0</v>
      </c>
      <c r="O102" s="14">
        <f>IFERROR(N102/N327, "NA")</f>
      </c>
    </row>
    <row r="103" ht="16.5" customHeight="1">
      <c t="s" r="A103" s="22">
        <v>106</v>
      </c>
      <c r="B103" s="13">
        <v>0</v>
      </c>
      <c r="C103" s="14">
        <f>IFERROR(B103/B327, "NA")</f>
      </c>
      <c r="D103" s="15"/>
      <c r="E103" s="13">
        <v>0</v>
      </c>
      <c r="F103" s="14">
        <f>IFERROR(E103/E327, "NA")</f>
      </c>
      <c r="G103" s="15"/>
      <c r="H103" s="13">
        <v>0</v>
      </c>
      <c r="I103" s="14">
        <f>IFERROR(H103/H327, "NA")</f>
      </c>
      <c r="J103" s="15"/>
      <c r="K103" s="13">
        <v>0</v>
      </c>
      <c r="L103" s="14">
        <f>IFERROR(K103/K327, "NA")</f>
      </c>
      <c r="M103" s="15"/>
      <c r="N103" s="13">
        <v>0</v>
      </c>
      <c r="O103" s="14">
        <f>IFERROR(N103/N327, "NA")</f>
      </c>
    </row>
    <row r="104" ht="16.5" customHeight="1">
      <c t="s" r="A104" s="22">
        <v>107</v>
      </c>
      <c r="B104" s="13">
        <v>0</v>
      </c>
      <c r="C104" s="14">
        <f>IFERROR(B104/B327, "NA")</f>
      </c>
      <c r="D104" s="15"/>
      <c r="E104" s="13">
        <v>0</v>
      </c>
      <c r="F104" s="14">
        <f>IFERROR(E104/E327, "NA")</f>
      </c>
      <c r="G104" s="15"/>
      <c r="H104" s="13">
        <v>0</v>
      </c>
      <c r="I104" s="14">
        <f>IFERROR(H104/H327, "NA")</f>
      </c>
      <c r="J104" s="15"/>
      <c r="K104" s="13">
        <v>0</v>
      </c>
      <c r="L104" s="14">
        <f>IFERROR(K104/K327, "NA")</f>
      </c>
      <c r="M104" s="15"/>
      <c r="N104" s="13">
        <v>0</v>
      </c>
      <c r="O104" s="14">
        <f>IFERROR(N104/N327, "NA")</f>
      </c>
    </row>
    <row r="105" ht="16.5" customHeight="1">
      <c t="s" r="A105" s="22">
        <v>108</v>
      </c>
      <c r="B105" s="13">
        <v>0</v>
      </c>
      <c r="C105" s="14">
        <f>IFERROR(B105/B327, "NA")</f>
      </c>
      <c r="D105" s="15"/>
      <c r="E105" s="13">
        <v>0</v>
      </c>
      <c r="F105" s="14">
        <f>IFERROR(E105/E327, "NA")</f>
      </c>
      <c r="G105" s="15"/>
      <c r="H105" s="13">
        <v>0</v>
      </c>
      <c r="I105" s="14">
        <f>IFERROR(H105/H327, "NA")</f>
      </c>
      <c r="J105" s="15"/>
      <c r="K105" s="13">
        <v>0</v>
      </c>
      <c r="L105" s="14">
        <f>IFERROR(K105/K327, "NA")</f>
      </c>
      <c r="M105" s="15"/>
      <c r="N105" s="13">
        <v>0</v>
      </c>
      <c r="O105" s="14">
        <f>IFERROR(N105/N327, "NA")</f>
      </c>
    </row>
    <row r="106" ht="16.5" customHeight="1">
      <c t="s" r="A106" s="22">
        <v>109</v>
      </c>
      <c r="B106" s="13">
        <v>0</v>
      </c>
      <c r="C106" s="14">
        <f>IFERROR(B106/B327, "NA")</f>
      </c>
      <c r="D106" s="15"/>
      <c r="E106" s="13">
        <v>0</v>
      </c>
      <c r="F106" s="14">
        <f>IFERROR(E106/E327, "NA")</f>
      </c>
      <c r="G106" s="15"/>
      <c r="H106" s="13">
        <v>0</v>
      </c>
      <c r="I106" s="14">
        <f>IFERROR(H106/H327, "NA")</f>
      </c>
      <c r="J106" s="15"/>
      <c r="K106" s="13">
        <v>0</v>
      </c>
      <c r="L106" s="14">
        <f>IFERROR(K106/K327, "NA")</f>
      </c>
      <c r="M106" s="15"/>
      <c r="N106" s="13">
        <v>0</v>
      </c>
      <c r="O106" s="14">
        <f>IFERROR(N106/N327, "NA")</f>
      </c>
    </row>
    <row r="107" ht="16.5" customHeight="1">
      <c t="s" r="A107" s="22">
        <v>110</v>
      </c>
      <c r="B107" s="13">
        <v>-2690.77</v>
      </c>
      <c r="C107" s="14">
        <f>IFERROR(B107/B327, "NA")</f>
      </c>
      <c r="D107" s="15"/>
      <c r="E107" s="13">
        <v>1872.53</v>
      </c>
      <c r="F107" s="14">
        <f>IFERROR(E107/E327, "NA")</f>
      </c>
      <c r="G107" s="15"/>
      <c r="H107" s="13">
        <v>-1872.53</v>
      </c>
      <c r="I107" s="14">
        <f>IFERROR(H107/H327, "NA")</f>
      </c>
      <c r="J107" s="15"/>
      <c r="K107" s="13">
        <v>1663.1500000000001</v>
      </c>
      <c r="L107" s="14">
        <f>IFERROR(K107/K327, "NA")</f>
      </c>
      <c r="M107" s="15"/>
      <c r="N107" s="13">
        <v>1661.1500000000001</v>
      </c>
      <c r="O107" s="14">
        <f>IFERROR(N107/N327, "NA")</f>
      </c>
    </row>
    <row r="108" ht="16.5" customHeight="1">
      <c t="s" r="A108" s="22">
        <v>111</v>
      </c>
      <c r="B108" s="13">
        <v>0</v>
      </c>
      <c r="C108" s="14">
        <f>IFERROR(B108/B327, "NA")</f>
      </c>
      <c r="D108" s="15"/>
      <c r="E108" s="13">
        <v>0</v>
      </c>
      <c r="F108" s="14">
        <f>IFERROR(E108/E327, "NA")</f>
      </c>
      <c r="G108" s="15"/>
      <c r="H108" s="13">
        <v>0</v>
      </c>
      <c r="I108" s="14">
        <f>IFERROR(H108/H327, "NA")</f>
      </c>
      <c r="J108" s="15"/>
      <c r="K108" s="13">
        <v>0</v>
      </c>
      <c r="L108" s="14">
        <f>IFERROR(K108/K327, "NA")</f>
      </c>
      <c r="M108" s="15"/>
      <c r="N108" s="13">
        <v>0</v>
      </c>
      <c r="O108" s="14">
        <f>IFERROR(N108/N327, "NA")</f>
      </c>
    </row>
    <row r="109" ht="16.5" customHeight="1">
      <c t="s" r="A109" s="22">
        <v>112</v>
      </c>
      <c r="B109" s="13">
        <v>0</v>
      </c>
      <c r="C109" s="14">
        <f>IFERROR(B109/B327, "NA")</f>
      </c>
      <c r="D109" s="15"/>
      <c r="E109" s="13">
        <v>0</v>
      </c>
      <c r="F109" s="14">
        <f>IFERROR(E109/E327, "NA")</f>
      </c>
      <c r="G109" s="15"/>
      <c r="H109" s="13">
        <v>0</v>
      </c>
      <c r="I109" s="14">
        <f>IFERROR(H109/H327, "NA")</f>
      </c>
      <c r="J109" s="15"/>
      <c r="K109" s="13">
        <v>0</v>
      </c>
      <c r="L109" s="14">
        <f>IFERROR(K109/K327, "NA")</f>
      </c>
      <c r="M109" s="15"/>
      <c r="N109" s="13">
        <v>0</v>
      </c>
      <c r="O109" s="14">
        <f>IFERROR(N109/N327, "NA")</f>
      </c>
    </row>
    <row r="110" ht="16.5" customHeight="1">
      <c t="s" r="A110" s="22">
        <v>113</v>
      </c>
      <c r="B110" s="13">
        <v>1335.6600000000001</v>
      </c>
      <c r="C110" s="14">
        <f>IFERROR(B110/B327, "NA")</f>
      </c>
      <c r="D110" s="15"/>
      <c r="E110" s="13">
        <v>2590.3299999999999</v>
      </c>
      <c r="F110" s="14">
        <f>IFERROR(E110/E327, "NA")</f>
      </c>
      <c r="G110" s="15"/>
      <c r="H110" s="13">
        <v>2706.6199999999999</v>
      </c>
      <c r="I110" s="14">
        <f>IFERROR(H110/H327, "NA")</f>
      </c>
      <c r="J110" s="15"/>
      <c r="K110" s="13">
        <v>2677.1300000000001</v>
      </c>
      <c r="L110" s="14">
        <f>IFERROR(K110/K327, "NA")</f>
      </c>
      <c r="M110" s="15"/>
      <c r="N110" s="13">
        <v>2959.96</v>
      </c>
      <c r="O110" s="14">
        <f>IFERROR(N110/N327, "NA")</f>
      </c>
    </row>
    <row r="111" ht="16.5" customHeight="1">
      <c t="s" r="A111" s="22">
        <v>114</v>
      </c>
      <c r="B111" s="13">
        <v>3548.0799999999999</v>
      </c>
      <c r="C111" s="14">
        <f>IFERROR(B111/B327, "NA")</f>
      </c>
      <c r="D111" s="15"/>
      <c r="E111" s="13">
        <v>1357.74</v>
      </c>
      <c r="F111" s="14">
        <f>IFERROR(E111/E327, "NA")</f>
      </c>
      <c r="G111" s="15"/>
      <c r="H111" s="13">
        <v>4256.3100000000004</v>
      </c>
      <c r="I111" s="14">
        <f>IFERROR(H111/H327, "NA")</f>
      </c>
      <c r="J111" s="15"/>
      <c r="K111" s="13">
        <v>1032.6400000000001</v>
      </c>
      <c r="L111" s="14">
        <f>IFERROR(K111/K327, "NA")</f>
      </c>
      <c r="M111" s="15"/>
      <c r="N111" s="13">
        <v>1286.74</v>
      </c>
      <c r="O111" s="14">
        <f>IFERROR(N111/N327, "NA")</f>
      </c>
    </row>
    <row r="112" ht="16.5" customHeight="1">
      <c t="s" r="A112" s="22">
        <v>115</v>
      </c>
      <c r="B112" s="13">
        <v>1528.8499999999999</v>
      </c>
      <c r="C112" s="14">
        <f>IFERROR(B112/B327, "NA")</f>
      </c>
      <c r="D112" s="15"/>
      <c r="E112" s="13">
        <v>2636.25</v>
      </c>
      <c r="F112" s="14">
        <f>IFERROR(E112/E327, "NA")</f>
      </c>
      <c r="G112" s="15"/>
      <c r="H112" s="13">
        <v>2437.1500000000001</v>
      </c>
      <c r="I112" s="14">
        <f>IFERROR(H112/H327, "NA")</f>
      </c>
      <c r="J112" s="15"/>
      <c r="K112" s="13">
        <v>2133.3699999999999</v>
      </c>
      <c r="L112" s="14">
        <f>IFERROR(K112/K327, "NA")</f>
      </c>
      <c r="M112" s="15"/>
      <c r="N112" s="13">
        <v>2363.8499999999999</v>
      </c>
      <c r="O112" s="14">
        <f>IFERROR(N112/N327, "NA")</f>
      </c>
    </row>
    <row r="113" ht="16.5" customHeight="1">
      <c t="s" r="A113" s="22">
        <v>116</v>
      </c>
      <c r="B113" s="13">
        <v>0</v>
      </c>
      <c r="C113" s="14">
        <f>IFERROR(B113/B327, "NA")</f>
      </c>
      <c r="D113" s="15"/>
      <c r="E113" s="13">
        <v>0</v>
      </c>
      <c r="F113" s="14">
        <f>IFERROR(E113/E327, "NA")</f>
      </c>
      <c r="G113" s="15"/>
      <c r="H113" s="13">
        <v>0</v>
      </c>
      <c r="I113" s="14">
        <f>IFERROR(H113/H327, "NA")</f>
      </c>
      <c r="J113" s="15"/>
      <c r="K113" s="13">
        <v>0</v>
      </c>
      <c r="L113" s="14">
        <f>IFERROR(K113/K327, "NA")</f>
      </c>
      <c r="M113" s="15"/>
      <c r="N113" s="13">
        <v>0</v>
      </c>
      <c r="O113" s="14">
        <f>IFERROR(N113/N327, "NA")</f>
      </c>
    </row>
    <row r="114" ht="16.5" customHeight="1">
      <c t="s" r="A114" s="22">
        <v>117</v>
      </c>
      <c r="B114" s="13">
        <v>676.75</v>
      </c>
      <c r="C114" s="14">
        <f>IFERROR(B114/B327, "NA")</f>
      </c>
      <c r="D114" s="15"/>
      <c r="E114" s="13">
        <v>1895.3399999999999</v>
      </c>
      <c r="F114" s="14">
        <f>IFERROR(E114/E327, "NA")</f>
      </c>
      <c r="G114" s="15"/>
      <c r="H114" s="13">
        <v>659.37</v>
      </c>
      <c r="I114" s="14">
        <f>IFERROR(H114/H327, "NA")</f>
      </c>
      <c r="J114" s="15"/>
      <c r="K114" s="13">
        <v>274.49000000000001</v>
      </c>
      <c r="L114" s="14">
        <f>IFERROR(K114/K327, "NA")</f>
      </c>
      <c r="M114" s="15"/>
      <c r="N114" s="13">
        <v>129.16</v>
      </c>
      <c r="O114" s="14">
        <f>IFERROR(N114/N327, "NA")</f>
      </c>
    </row>
    <row r="115" ht="16.5" customHeight="1">
      <c t="s" r="A115" s="22">
        <v>118</v>
      </c>
      <c r="B115" s="13">
        <v>0</v>
      </c>
      <c r="C115" s="14">
        <f>IFERROR(B115/B327, "NA")</f>
      </c>
      <c r="D115" s="15"/>
      <c r="E115" s="13">
        <v>0</v>
      </c>
      <c r="F115" s="14">
        <f>IFERROR(E115/E327, "NA")</f>
      </c>
      <c r="G115" s="15"/>
      <c r="H115" s="13">
        <v>0</v>
      </c>
      <c r="I115" s="14">
        <f>IFERROR(H115/H327, "NA")</f>
      </c>
      <c r="J115" s="15"/>
      <c r="K115" s="13">
        <v>0</v>
      </c>
      <c r="L115" s="14">
        <f>IFERROR(K115/K327, "NA")</f>
      </c>
      <c r="M115" s="15"/>
      <c r="N115" s="13">
        <v>0</v>
      </c>
      <c r="O115" s="14">
        <f>IFERROR(N115/N327, "NA")</f>
      </c>
    </row>
    <row r="116" ht="16.5" customHeight="1">
      <c t="s" r="A116" s="22">
        <v>119</v>
      </c>
      <c r="B116" s="13">
        <v>548.88</v>
      </c>
      <c r="C116" s="14">
        <f>IFERROR(B116/B327, "NA")</f>
      </c>
      <c r="D116" s="15"/>
      <c r="E116" s="13">
        <v>0</v>
      </c>
      <c r="F116" s="14">
        <f>IFERROR(E116/E327, "NA")</f>
      </c>
      <c r="G116" s="15"/>
      <c r="H116" s="13">
        <v>0</v>
      </c>
      <c r="I116" s="14">
        <f>IFERROR(H116/H327, "NA")</f>
      </c>
      <c r="J116" s="15"/>
      <c r="K116" s="13">
        <v>0</v>
      </c>
      <c r="L116" s="14">
        <f>IFERROR(K116/K327, "NA")</f>
      </c>
      <c r="M116" s="15"/>
      <c r="N116" s="13">
        <v>0</v>
      </c>
      <c r="O116" s="14">
        <f>IFERROR(N116/N327, "NA")</f>
      </c>
    </row>
    <row r="117" ht="16.5" customHeight="1">
      <c t="s" r="A117" s="22">
        <v>120</v>
      </c>
      <c r="B117" s="13">
        <v>0</v>
      </c>
      <c r="C117" s="14">
        <f>IFERROR(B117/B327, "NA")</f>
      </c>
      <c r="D117" s="15"/>
      <c r="E117" s="13">
        <v>0</v>
      </c>
      <c r="F117" s="14">
        <f>IFERROR(E117/E327, "NA")</f>
      </c>
      <c r="G117" s="15"/>
      <c r="H117" s="13">
        <v>0</v>
      </c>
      <c r="I117" s="14">
        <f>IFERROR(H117/H327, "NA")</f>
      </c>
      <c r="J117" s="15"/>
      <c r="K117" s="13">
        <v>0</v>
      </c>
      <c r="L117" s="14">
        <f>IFERROR(K117/K327, "NA")</f>
      </c>
      <c r="M117" s="15"/>
      <c r="N117" s="13">
        <v>0</v>
      </c>
      <c r="O117" s="14">
        <f>IFERROR(N117/N327, "NA")</f>
      </c>
    </row>
    <row r="118" ht="16.5" customHeight="1">
      <c t="s" r="A118" s="22">
        <v>121</v>
      </c>
      <c r="B118" s="13">
        <v>17077.630000000001</v>
      </c>
      <c r="C118" s="14">
        <f>IFERROR(B118/B327, "NA")</f>
      </c>
      <c r="D118" s="15"/>
      <c r="E118" s="13">
        <v>0</v>
      </c>
      <c r="F118" s="14">
        <f>IFERROR(E118/E327, "NA")</f>
      </c>
      <c r="G118" s="15"/>
      <c r="H118" s="13">
        <v>22873.82</v>
      </c>
      <c r="I118" s="14">
        <f>IFERROR(H118/H327, "NA")</f>
      </c>
      <c r="J118" s="15"/>
      <c r="K118" s="13">
        <v>0</v>
      </c>
      <c r="L118" s="14">
        <f>IFERROR(K118/K327, "NA")</f>
      </c>
      <c r="M118" s="15"/>
      <c r="N118" s="13">
        <v>0</v>
      </c>
      <c r="O118" s="14">
        <f>IFERROR(N118/N327, "NA")</f>
      </c>
    </row>
    <row r="119" ht="16.5" customHeight="1">
      <c t="s" r="A119" s="23">
        <v>122</v>
      </c>
      <c r="B119" s="17">
        <f>IFERROR(B84+B85+B86+B87+B88+B89+B90+B91+B92+B93+B94+B95+B96+B97+B98+B99+B100+B101+B102+B103+B104+B105+B106+B107+B108+B109+B110+B111+B112+B113+B114+B115+B116+B117+B118, "NA")</f>
      </c>
      <c r="C119" s="18">
        <f>IFERROR(B119/B327, "NA")</f>
      </c>
      <c r="D119" s="8"/>
      <c r="E119" s="17">
        <f>IFERROR(E84+E85+E86+E87+E88+E89+E90+E91+E92+E93+E94+E95+E96+E97+E98+E99+E100+E101+E102+E103+E104+E105+E106+E107+E108+E109+E110+E111+E112+E113+E114+E115+E116+E117+E118, "NA")</f>
      </c>
      <c r="F119" s="18">
        <f>IFERROR(E119/E327, "NA")</f>
      </c>
      <c r="G119" s="8"/>
      <c r="H119" s="17">
        <f>IFERROR(H84+H85+H86+H87+H88+H89+H90+H91+H92+H93+H94+H95+H96+H97+H98+H99+H100+H101+H102+H103+H104+H105+H106+H107+H108+H109+H110+H111+H112+H113+H114+H115+H116+H117+H118, "NA")</f>
      </c>
      <c r="I119" s="18">
        <f>IFERROR(H119/H327, "NA")</f>
      </c>
      <c r="J119" s="8"/>
      <c r="K119" s="17">
        <f>IFERROR(K84+K85+K86+K87+K88+K89+K90+K91+K92+K93+K94+K95+K96+K97+K98+K99+K100+K101+K102+K103+K104+K105+K106+K107+K108+K109+K110+K111+K112+K113+K114+K115+K116+K117+K118, "NA")</f>
      </c>
      <c r="L119" s="18">
        <f>IFERROR(K119/K327, "NA")</f>
      </c>
      <c r="M119" s="8"/>
      <c r="N119" s="17">
        <f>IFERROR(N84+N85+N86+N87+N88+N89+N90+N91+N92+N93+N94+N95+N96+N97+N98+N99+N100+N101+N102+N103+N104+N105+N106+N107+N108+N109+N110+N111+N112+N113+N114+N115+N116+N117+N118, "NA")</f>
      </c>
      <c r="O119" s="18">
        <f>IFERROR(N119/N327, "NA")</f>
      </c>
    </row>
    <row r="120" ht="16.5" customHeight="1">
      <c t="s" r="A120" s="16">
        <v>123</v>
      </c>
      <c r="B120" s="17">
        <f>IFERROR(B82+B84+B85+B86+B87+B88+B89+B90+B91+B92+B93+B94+B95+B96+B97+B98+B99+B100+B101+B102+B103+B104+B105+B106+B107+B108+B109+B110+B111+B112+B113+B114+B115+B116+B117+B118, "NA")</f>
      </c>
      <c r="C120" s="18">
        <f>IFERROR(B120/B327, "NA")</f>
      </c>
      <c r="D120" s="8"/>
      <c r="E120" s="17">
        <f>IFERROR(E82+E84+E85+E86+E87+E88+E89+E90+E91+E92+E93+E94+E95+E96+E97+E98+E99+E100+E101+E102+E103+E104+E105+E106+E107+E108+E109+E110+E111+E112+E113+E114+E115+E116+E117+E118, "NA")</f>
      </c>
      <c r="F120" s="18">
        <f>IFERROR(E120/E327, "NA")</f>
      </c>
      <c r="G120" s="8"/>
      <c r="H120" s="17">
        <f>IFERROR(H82+H84+H85+H86+H87+H88+H89+H90+H91+H92+H93+H94+H95+H96+H97+H98+H99+H100+H101+H102+H103+H104+H105+H106+H107+H108+H109+H110+H111+H112+H113+H114+H115+H116+H117+H118, "NA")</f>
      </c>
      <c r="I120" s="18">
        <f>IFERROR(H120/H327, "NA")</f>
      </c>
      <c r="J120" s="8"/>
      <c r="K120" s="17">
        <f>IFERROR(K82+K84+K85+K86+K87+K88+K89+K90+K91+K92+K93+K94+K95+K96+K97+K98+K99+K100+K101+K102+K103+K104+K105+K106+K107+K108+K109+K110+K111+K112+K113+K114+K115+K116+K117+K118, "NA")</f>
      </c>
      <c r="L120" s="18">
        <f>IFERROR(K120/K327, "NA")</f>
      </c>
      <c r="M120" s="8"/>
      <c r="N120" s="17">
        <f>IFERROR(N82+N84+N85+N86+N87+N88+N89+N90+N91+N92+N93+N94+N95+N96+N97+N98+N99+N100+N101+N102+N103+N104+N105+N106+N107+N108+N109+N110+N111+N112+N113+N114+N115+N116+N117+N118, "NA")</f>
      </c>
      <c r="O120" s="18">
        <f>IFERROR(N120/N327, "NA")</f>
      </c>
    </row>
    <row r="121" ht="16.5" customHeight="1">
      <c t="s" r="A121" s="11">
        <v>124</v>
      </c>
      <c r="B121" s="8"/>
      <c r="C121" s="9"/>
      <c r="D121" s="10"/>
      <c r="E121" s="8"/>
      <c r="F121" s="9"/>
      <c r="G121" s="10"/>
      <c r="H121" s="8"/>
      <c r="I121" s="9"/>
      <c r="J121" s="10"/>
      <c r="K121" s="8"/>
      <c r="L121" s="9"/>
      <c r="M121" s="10"/>
      <c r="N121" s="8"/>
      <c r="O121" s="9"/>
    </row>
    <row r="122" ht="16.5" customHeight="1">
      <c t="s" r="A122" s="12">
        <v>125</v>
      </c>
      <c r="B122" s="13">
        <v>0</v>
      </c>
      <c r="C122" s="14">
        <f>IFERROR(B122/B327, "NA")</f>
      </c>
      <c r="D122" s="15"/>
      <c r="E122" s="13">
        <v>0</v>
      </c>
      <c r="F122" s="14">
        <f>IFERROR(E122/E327, "NA")</f>
      </c>
      <c r="G122" s="15"/>
      <c r="H122" s="13">
        <v>0</v>
      </c>
      <c r="I122" s="14">
        <f>IFERROR(H122/H327, "NA")</f>
      </c>
      <c r="J122" s="15"/>
      <c r="K122" s="13">
        <v>0</v>
      </c>
      <c r="L122" s="14">
        <f>IFERROR(K122/K327, "NA")</f>
      </c>
      <c r="M122" s="15"/>
      <c r="N122" s="13">
        <v>0</v>
      </c>
      <c r="O122" s="14">
        <f>IFERROR(N122/N327, "NA")</f>
      </c>
    </row>
    <row r="123" ht="16.5" customHeight="1">
      <c t="s" r="A123" s="12">
        <v>126</v>
      </c>
      <c r="B123" s="13">
        <v>12500.01</v>
      </c>
      <c r="C123" s="14">
        <f>IFERROR(B123/B327, "NA")</f>
      </c>
      <c r="D123" s="15"/>
      <c r="E123" s="13">
        <v>6250</v>
      </c>
      <c r="F123" s="14">
        <f>IFERROR(E123/E327, "NA")</f>
      </c>
      <c r="G123" s="15"/>
      <c r="H123" s="13">
        <v>7019.25</v>
      </c>
      <c r="I123" s="14">
        <f>IFERROR(H123/H327, "NA")</f>
      </c>
      <c r="J123" s="15"/>
      <c r="K123" s="13">
        <v>9711.5400000000009</v>
      </c>
      <c r="L123" s="14">
        <f>IFERROR(K123/K327, "NA")</f>
      </c>
      <c r="M123" s="15"/>
      <c r="N123" s="13">
        <v>-9711.5400000000009</v>
      </c>
      <c r="O123" s="14">
        <f>IFERROR(N123/N327, "NA")</f>
      </c>
    </row>
    <row r="124" ht="16.5" customHeight="1">
      <c t="s" r="A124" s="12">
        <v>127</v>
      </c>
      <c r="B124" s="13">
        <v>24161.57</v>
      </c>
      <c r="C124" s="14">
        <f>IFERROR(B124/B327, "NA")</f>
      </c>
      <c r="D124" s="15"/>
      <c r="E124" s="13">
        <v>12773.08</v>
      </c>
      <c r="F124" s="14">
        <f>IFERROR(E124/E327, "NA")</f>
      </c>
      <c r="G124" s="15"/>
      <c r="H124" s="13">
        <v>14773.110000000001</v>
      </c>
      <c r="I124" s="14">
        <f>IFERROR(H124/H327, "NA")</f>
      </c>
      <c r="J124" s="15"/>
      <c r="K124" s="13">
        <v>17215.400000000001</v>
      </c>
      <c r="L124" s="14">
        <f>IFERROR(K124/K327, "NA")</f>
      </c>
      <c r="M124" s="15"/>
      <c r="N124" s="13">
        <v>-9388.4599999999991</v>
      </c>
      <c r="O124" s="14">
        <f>IFERROR(N124/N327, "NA")</f>
      </c>
    </row>
    <row r="125" ht="30.75" customHeight="1">
      <c t="s" r="A125" s="12">
        <v>128</v>
      </c>
      <c r="B125" s="13">
        <v>0</v>
      </c>
      <c r="C125" s="14">
        <f>IFERROR(B125/B327, "NA")</f>
      </c>
      <c r="D125" s="15"/>
      <c r="E125" s="13">
        <v>0</v>
      </c>
      <c r="F125" s="14">
        <f>IFERROR(E125/E327, "NA")</f>
      </c>
      <c r="G125" s="15"/>
      <c r="H125" s="13">
        <v>0</v>
      </c>
      <c r="I125" s="14">
        <f>IFERROR(H125/H327, "NA")</f>
      </c>
      <c r="J125" s="15"/>
      <c r="K125" s="13">
        <v>0</v>
      </c>
      <c r="L125" s="14">
        <f>IFERROR(K125/K327, "NA")</f>
      </c>
      <c r="M125" s="15"/>
      <c r="N125" s="13">
        <v>0</v>
      </c>
      <c r="O125" s="14">
        <f>IFERROR(N125/N327, "NA")</f>
      </c>
    </row>
    <row r="126" ht="16.5" customHeight="1">
      <c t="s" r="A126" s="12">
        <v>129</v>
      </c>
      <c r="B126" s="13">
        <v>0</v>
      </c>
      <c r="C126" s="14">
        <f>IFERROR(B126/B327, "NA")</f>
      </c>
      <c r="D126" s="15"/>
      <c r="E126" s="13">
        <v>0</v>
      </c>
      <c r="F126" s="14">
        <f>IFERROR(E126/E327, "NA")</f>
      </c>
      <c r="G126" s="15"/>
      <c r="H126" s="13">
        <v>0</v>
      </c>
      <c r="I126" s="14">
        <f>IFERROR(H126/H327, "NA")</f>
      </c>
      <c r="J126" s="15"/>
      <c r="K126" s="13">
        <v>0</v>
      </c>
      <c r="L126" s="14">
        <f>IFERROR(K126/K327, "NA")</f>
      </c>
      <c r="M126" s="15"/>
      <c r="N126" s="13">
        <v>0</v>
      </c>
      <c r="O126" s="14">
        <f>IFERROR(N126/N327, "NA")</f>
      </c>
    </row>
    <row r="127" ht="16.5" customHeight="1">
      <c t="s" r="A127" s="12">
        <v>130</v>
      </c>
      <c r="B127" s="13">
        <v>0</v>
      </c>
      <c r="C127" s="14">
        <f>IFERROR(B127/B327, "NA")</f>
      </c>
      <c r="D127" s="15"/>
      <c r="E127" s="13">
        <v>0</v>
      </c>
      <c r="F127" s="14">
        <f>IFERROR(E127/E327, "NA")</f>
      </c>
      <c r="G127" s="15"/>
      <c r="H127" s="13">
        <v>0</v>
      </c>
      <c r="I127" s="14">
        <f>IFERROR(H127/H327, "NA")</f>
      </c>
      <c r="J127" s="15"/>
      <c r="K127" s="13">
        <v>0</v>
      </c>
      <c r="L127" s="14">
        <f>IFERROR(K127/K327, "NA")</f>
      </c>
      <c r="M127" s="15"/>
      <c r="N127" s="13">
        <v>0</v>
      </c>
      <c r="O127" s="14">
        <f>IFERROR(N127/N327, "NA")</f>
      </c>
    </row>
    <row r="128" ht="16.5" customHeight="1">
      <c t="s" r="A128" s="12">
        <v>131</v>
      </c>
      <c r="B128" s="13">
        <v>0</v>
      </c>
      <c r="C128" s="14">
        <f>IFERROR(B128/B327, "NA")</f>
      </c>
      <c r="D128" s="15"/>
      <c r="E128" s="13">
        <v>0</v>
      </c>
      <c r="F128" s="14">
        <f>IFERROR(E128/E327, "NA")</f>
      </c>
      <c r="G128" s="15"/>
      <c r="H128" s="13">
        <v>0</v>
      </c>
      <c r="I128" s="14">
        <f>IFERROR(H128/H327, "NA")</f>
      </c>
      <c r="J128" s="15"/>
      <c r="K128" s="13">
        <v>0</v>
      </c>
      <c r="L128" s="14">
        <f>IFERROR(K128/K327, "NA")</f>
      </c>
      <c r="M128" s="15"/>
      <c r="N128" s="13">
        <v>0</v>
      </c>
      <c r="O128" s="14">
        <f>IFERROR(N128/N327, "NA")</f>
      </c>
    </row>
    <row r="129" ht="16.5" customHeight="1">
      <c t="s" r="A129" s="12">
        <v>132</v>
      </c>
      <c r="B129" s="13">
        <v>0</v>
      </c>
      <c r="C129" s="14">
        <f>IFERROR(B129/B327, "NA")</f>
      </c>
      <c r="D129" s="15"/>
      <c r="E129" s="13">
        <v>0</v>
      </c>
      <c r="F129" s="14">
        <f>IFERROR(E129/E327, "NA")</f>
      </c>
      <c r="G129" s="15"/>
      <c r="H129" s="13">
        <v>0</v>
      </c>
      <c r="I129" s="14">
        <f>IFERROR(H129/H327, "NA")</f>
      </c>
      <c r="J129" s="15"/>
      <c r="K129" s="13">
        <v>0</v>
      </c>
      <c r="L129" s="14">
        <f>IFERROR(K129/K327, "NA")</f>
      </c>
      <c r="M129" s="15"/>
      <c r="N129" s="13">
        <v>0</v>
      </c>
      <c r="O129" s="14">
        <f>IFERROR(N129/N327, "NA")</f>
      </c>
    </row>
    <row r="130" ht="16.5" customHeight="1">
      <c t="s" r="A130" s="12">
        <v>133</v>
      </c>
      <c r="B130" s="13">
        <v>0</v>
      </c>
      <c r="C130" s="14">
        <f>IFERROR(B130/B327, "NA")</f>
      </c>
      <c r="D130" s="15"/>
      <c r="E130" s="13">
        <v>4442.3199999999997</v>
      </c>
      <c r="F130" s="14">
        <f>IFERROR(E130/E327, "NA")</f>
      </c>
      <c r="G130" s="15"/>
      <c r="H130" s="13">
        <v>0</v>
      </c>
      <c r="I130" s="14">
        <f>IFERROR(H130/H327, "NA")</f>
      </c>
      <c r="J130" s="15"/>
      <c r="K130" s="13">
        <v>0</v>
      </c>
      <c r="L130" s="14">
        <f>IFERROR(K130/K327, "NA")</f>
      </c>
      <c r="M130" s="15"/>
      <c r="N130" s="13">
        <v>0</v>
      </c>
      <c r="O130" s="14">
        <f>IFERROR(N130/N327, "NA")</f>
      </c>
    </row>
    <row r="131" ht="16.5" customHeight="1">
      <c t="s" r="A131" s="12">
        <v>134</v>
      </c>
      <c r="B131" s="13">
        <v>0</v>
      </c>
      <c r="C131" s="14">
        <f>IFERROR(B131/B327, "NA")</f>
      </c>
      <c r="D131" s="15"/>
      <c r="E131" s="13">
        <v>0</v>
      </c>
      <c r="F131" s="14">
        <f>IFERROR(E131/E327, "NA")</f>
      </c>
      <c r="G131" s="15"/>
      <c r="H131" s="13">
        <v>0</v>
      </c>
      <c r="I131" s="14">
        <f>IFERROR(H131/H327, "NA")</f>
      </c>
      <c r="J131" s="15"/>
      <c r="K131" s="13">
        <v>0</v>
      </c>
      <c r="L131" s="14">
        <f>IFERROR(K131/K327, "NA")</f>
      </c>
      <c r="M131" s="15"/>
      <c r="N131" s="13">
        <v>0</v>
      </c>
      <c r="O131" s="14">
        <f>IFERROR(N131/N327, "NA")</f>
      </c>
    </row>
    <row r="132" ht="16.5" customHeight="1">
      <c t="s" r="A132" s="12">
        <v>135</v>
      </c>
      <c r="B132" s="13">
        <v>0</v>
      </c>
      <c r="C132" s="14">
        <f>IFERROR(B132/B327, "NA")</f>
      </c>
      <c r="D132" s="15"/>
      <c r="E132" s="13">
        <v>0</v>
      </c>
      <c r="F132" s="14">
        <f>IFERROR(E132/E327, "NA")</f>
      </c>
      <c r="G132" s="15"/>
      <c r="H132" s="13">
        <v>0</v>
      </c>
      <c r="I132" s="14">
        <f>IFERROR(H132/H327, "NA")</f>
      </c>
      <c r="J132" s="15"/>
      <c r="K132" s="13">
        <v>0</v>
      </c>
      <c r="L132" s="14">
        <f>IFERROR(K132/K327, "NA")</f>
      </c>
      <c r="M132" s="15"/>
      <c r="N132" s="13">
        <v>0</v>
      </c>
      <c r="O132" s="14">
        <f>IFERROR(N132/N327, "NA")</f>
      </c>
    </row>
    <row r="133" ht="16.5" customHeight="1">
      <c t="s" r="A133" s="12">
        <v>136</v>
      </c>
      <c r="B133" s="13">
        <v>0</v>
      </c>
      <c r="C133" s="14">
        <f>IFERROR(B133/B327, "NA")</f>
      </c>
      <c r="D133" s="15"/>
      <c r="E133" s="13">
        <v>0</v>
      </c>
      <c r="F133" s="14">
        <f>IFERROR(E133/E327, "NA")</f>
      </c>
      <c r="G133" s="15"/>
      <c r="H133" s="13">
        <v>0</v>
      </c>
      <c r="I133" s="14">
        <f>IFERROR(H133/H327, "NA")</f>
      </c>
      <c r="J133" s="15"/>
      <c r="K133" s="13">
        <v>0</v>
      </c>
      <c r="L133" s="14">
        <f>IFERROR(K133/K327, "NA")</f>
      </c>
      <c r="M133" s="15"/>
      <c r="N133" s="13">
        <v>0</v>
      </c>
      <c r="O133" s="14">
        <f>IFERROR(N133/N327, "NA")</f>
      </c>
    </row>
    <row r="134" ht="16.5" customHeight="1">
      <c t="s" r="A134" s="12">
        <v>137</v>
      </c>
      <c r="B134" s="13">
        <v>0</v>
      </c>
      <c r="C134" s="14">
        <f>IFERROR(B134/B327, "NA")</f>
      </c>
      <c r="D134" s="15"/>
      <c r="E134" s="13">
        <v>0</v>
      </c>
      <c r="F134" s="14">
        <f>IFERROR(E134/E327, "NA")</f>
      </c>
      <c r="G134" s="15"/>
      <c r="H134" s="13">
        <v>0</v>
      </c>
      <c r="I134" s="14">
        <f>IFERROR(H134/H327, "NA")</f>
      </c>
      <c r="J134" s="15"/>
      <c r="K134" s="13">
        <v>0</v>
      </c>
      <c r="L134" s="14">
        <f>IFERROR(K134/K327, "NA")</f>
      </c>
      <c r="M134" s="15"/>
      <c r="N134" s="13">
        <v>0</v>
      </c>
      <c r="O134" s="14">
        <f>IFERROR(N134/N327, "NA")</f>
      </c>
    </row>
    <row r="135" ht="16.5" customHeight="1">
      <c t="s" r="A135" s="12">
        <v>138</v>
      </c>
      <c r="B135" s="13">
        <v>0</v>
      </c>
      <c r="C135" s="14">
        <f>IFERROR(B135/B327, "NA")</f>
      </c>
      <c r="D135" s="15"/>
      <c r="E135" s="13">
        <v>0</v>
      </c>
      <c r="F135" s="14">
        <f>IFERROR(E135/E327, "NA")</f>
      </c>
      <c r="G135" s="15"/>
      <c r="H135" s="13">
        <v>0</v>
      </c>
      <c r="I135" s="14">
        <f>IFERROR(H135/H327, "NA")</f>
      </c>
      <c r="J135" s="15"/>
      <c r="K135" s="13">
        <v>0</v>
      </c>
      <c r="L135" s="14">
        <f>IFERROR(K135/K327, "NA")</f>
      </c>
      <c r="M135" s="15"/>
      <c r="N135" s="13">
        <v>0</v>
      </c>
      <c r="O135" s="14">
        <f>IFERROR(N135/N327, "NA")</f>
      </c>
    </row>
    <row r="136" ht="16.5" customHeight="1">
      <c t="s" r="A136" s="12">
        <v>139</v>
      </c>
      <c r="B136" s="13">
        <v>0</v>
      </c>
      <c r="C136" s="14">
        <f>IFERROR(B136/B327, "NA")</f>
      </c>
      <c r="D136" s="15"/>
      <c r="E136" s="13">
        <v>0</v>
      </c>
      <c r="F136" s="14">
        <f>IFERROR(E136/E327, "NA")</f>
      </c>
      <c r="G136" s="15"/>
      <c r="H136" s="13">
        <v>0</v>
      </c>
      <c r="I136" s="14">
        <f>IFERROR(H136/H327, "NA")</f>
      </c>
      <c r="J136" s="15"/>
      <c r="K136" s="13">
        <v>0</v>
      </c>
      <c r="L136" s="14">
        <f>IFERROR(K136/K327, "NA")</f>
      </c>
      <c r="M136" s="15"/>
      <c r="N136" s="13">
        <v>0</v>
      </c>
      <c r="O136" s="14">
        <f>IFERROR(N136/N327, "NA")</f>
      </c>
    </row>
    <row r="137" ht="16.5" customHeight="1">
      <c t="s" r="A137" s="12">
        <v>140</v>
      </c>
      <c r="B137" s="13">
        <v>0</v>
      </c>
      <c r="C137" s="14">
        <f>IFERROR(B137/B327, "NA")</f>
      </c>
      <c r="D137" s="15"/>
      <c r="E137" s="13">
        <v>0</v>
      </c>
      <c r="F137" s="14">
        <f>IFERROR(E137/E327, "NA")</f>
      </c>
      <c r="G137" s="15"/>
      <c r="H137" s="13">
        <v>0</v>
      </c>
      <c r="I137" s="14">
        <f>IFERROR(H137/H327, "NA")</f>
      </c>
      <c r="J137" s="15"/>
      <c r="K137" s="13">
        <v>0</v>
      </c>
      <c r="L137" s="14">
        <f>IFERROR(K137/K327, "NA")</f>
      </c>
      <c r="M137" s="15"/>
      <c r="N137" s="13">
        <v>0</v>
      </c>
      <c r="O137" s="14">
        <f>IFERROR(N137/N327, "NA")</f>
      </c>
    </row>
    <row r="138" ht="16.5" customHeight="1">
      <c t="s" r="A138" s="12">
        <v>141</v>
      </c>
      <c r="B138" s="13">
        <v>0</v>
      </c>
      <c r="C138" s="14">
        <f>IFERROR(B138/B327, "NA")</f>
      </c>
      <c r="D138" s="15"/>
      <c r="E138" s="13">
        <v>0</v>
      </c>
      <c r="F138" s="14">
        <f>IFERROR(E138/E327, "NA")</f>
      </c>
      <c r="G138" s="15"/>
      <c r="H138" s="13">
        <v>0</v>
      </c>
      <c r="I138" s="14">
        <f>IFERROR(H138/H327, "NA")</f>
      </c>
      <c r="J138" s="15"/>
      <c r="K138" s="13">
        <v>0</v>
      </c>
      <c r="L138" s="14">
        <f>IFERROR(K138/K327, "NA")</f>
      </c>
      <c r="M138" s="15"/>
      <c r="N138" s="13">
        <v>0</v>
      </c>
      <c r="O138" s="14">
        <f>IFERROR(N138/N327, "NA")</f>
      </c>
    </row>
    <row r="139" ht="16.5" customHeight="1">
      <c t="s" r="A139" s="12">
        <v>142</v>
      </c>
      <c r="B139" s="13">
        <v>22059.080000000002</v>
      </c>
      <c r="C139" s="14">
        <f>IFERROR(B139/B327, "NA")</f>
      </c>
      <c r="D139" s="15"/>
      <c r="E139" s="13">
        <v>22059.080000000002</v>
      </c>
      <c r="F139" s="14">
        <f>IFERROR(E139/E327, "NA")</f>
      </c>
      <c r="G139" s="15"/>
      <c r="H139" s="13">
        <v>22059.080000000002</v>
      </c>
      <c r="I139" s="14">
        <f>IFERROR(H139/H327, "NA")</f>
      </c>
      <c r="J139" s="15"/>
      <c r="K139" s="13">
        <v>22059.080000000002</v>
      </c>
      <c r="L139" s="14">
        <f>IFERROR(K139/K327, "NA")</f>
      </c>
      <c r="M139" s="15"/>
      <c r="N139" s="13">
        <v>21740.02</v>
      </c>
      <c r="O139" s="14">
        <f>IFERROR(N139/N327, "NA")</f>
      </c>
    </row>
    <row r="140" ht="16.5" customHeight="1">
      <c t="s" r="A140" s="12">
        <v>143</v>
      </c>
      <c r="B140" s="13">
        <v>0</v>
      </c>
      <c r="C140" s="14">
        <f>IFERROR(B140/B327, "NA")</f>
      </c>
      <c r="D140" s="15"/>
      <c r="E140" s="13">
        <v>0</v>
      </c>
      <c r="F140" s="14">
        <f>IFERROR(E140/E327, "NA")</f>
      </c>
      <c r="G140" s="15"/>
      <c r="H140" s="13">
        <v>0</v>
      </c>
      <c r="I140" s="14">
        <f>IFERROR(H140/H327, "NA")</f>
      </c>
      <c r="J140" s="15"/>
      <c r="K140" s="13">
        <v>0</v>
      </c>
      <c r="L140" s="14">
        <f>IFERROR(K140/K327, "NA")</f>
      </c>
      <c r="M140" s="15"/>
      <c r="N140" s="13">
        <v>0</v>
      </c>
      <c r="O140" s="14">
        <f>IFERROR(N140/N327, "NA")</f>
      </c>
    </row>
    <row r="141" ht="16.5" customHeight="1">
      <c t="s" r="A141" s="12">
        <v>144</v>
      </c>
      <c r="B141" s="13">
        <v>27679.599999999999</v>
      </c>
      <c r="C141" s="14">
        <f>IFERROR(B141/B327, "NA")</f>
      </c>
      <c r="D141" s="15"/>
      <c r="E141" s="13">
        <v>16703.34</v>
      </c>
      <c r="F141" s="14">
        <f>IFERROR(E141/E327, "NA")</f>
      </c>
      <c r="G141" s="15"/>
      <c r="H141" s="13">
        <v>17861.32</v>
      </c>
      <c r="I141" s="14">
        <f>IFERROR(H141/H327, "NA")</f>
      </c>
      <c r="J141" s="15"/>
      <c r="K141" s="13">
        <v>16703.34</v>
      </c>
      <c r="L141" s="14">
        <f>IFERROR(K141/K327, "NA")</f>
      </c>
      <c r="M141" s="15"/>
      <c r="N141" s="13">
        <v>-16703.34</v>
      </c>
      <c r="O141" s="14">
        <f>IFERROR(N141/N327, "NA")</f>
      </c>
    </row>
    <row r="142" ht="16.5" customHeight="1">
      <c t="s" r="A142" s="12">
        <v>145</v>
      </c>
      <c r="B142" s="13">
        <v>0</v>
      </c>
      <c r="C142" s="14">
        <f>IFERROR(B142/B327, "NA")</f>
      </c>
      <c r="D142" s="15"/>
      <c r="E142" s="13">
        <v>0</v>
      </c>
      <c r="F142" s="14">
        <f>IFERROR(E142/E327, "NA")</f>
      </c>
      <c r="G142" s="15"/>
      <c r="H142" s="13">
        <v>0</v>
      </c>
      <c r="I142" s="14">
        <f>IFERROR(H142/H327, "NA")</f>
      </c>
      <c r="J142" s="15"/>
      <c r="K142" s="13">
        <v>0</v>
      </c>
      <c r="L142" s="14">
        <f>IFERROR(K142/K327, "NA")</f>
      </c>
      <c r="M142" s="15"/>
      <c r="N142" s="13">
        <v>0</v>
      </c>
      <c r="O142" s="14">
        <f>IFERROR(N142/N327, "NA")</f>
      </c>
    </row>
    <row r="143" ht="16.5" customHeight="1">
      <c t="s" r="A143" s="16">
        <v>146</v>
      </c>
      <c r="B143" s="17">
        <f>IFERROR(B122+B123+B124+B125+B126+B127+B128+B129+B130+B131+B132+B133+B134+B135+B136+B137+B138+B139+B140+B141+B142, "NA")</f>
      </c>
      <c r="C143" s="18">
        <f>IFERROR(B143/B327, "NA")</f>
      </c>
      <c r="D143" s="8"/>
      <c r="E143" s="17">
        <f>IFERROR(E122+E123+E124+E125+E126+E127+E128+E129+E130+E131+E132+E133+E134+E135+E136+E137+E138+E139+E140+E141+E142, "NA")</f>
      </c>
      <c r="F143" s="18">
        <f>IFERROR(E143/E327, "NA")</f>
      </c>
      <c r="G143" s="8"/>
      <c r="H143" s="17">
        <f>IFERROR(H122+H123+H124+H125+H126+H127+H128+H129+H130+H131+H132+H133+H134+H135+H136+H137+H138+H139+H140+H141+H142, "NA")</f>
      </c>
      <c r="I143" s="18">
        <f>IFERROR(H143/H327, "NA")</f>
      </c>
      <c r="J143" s="8"/>
      <c r="K143" s="17">
        <f>IFERROR(K122+K123+K124+K125+K126+K127+K128+K129+K130+K131+K132+K133+K134+K135+K136+K137+K138+K139+K140+K141+K142, "NA")</f>
      </c>
      <c r="L143" s="18">
        <f>IFERROR(K143/K327, "NA")</f>
      </c>
      <c r="M143" s="8"/>
      <c r="N143" s="17">
        <f>IFERROR(N122+N123+N124+N125+N126+N127+N128+N129+N130+N131+N132+N133+N134+N135+N136+N137+N138+N139+N140+N141+N142, "NA")</f>
      </c>
      <c r="O143" s="18">
        <f>IFERROR(N143/N327, "NA")</f>
      </c>
    </row>
    <row r="144" ht="16.5" customHeight="1">
      <c t="s" r="A144" s="11">
        <v>147</v>
      </c>
      <c r="B144" s="8"/>
      <c r="C144" s="9"/>
      <c r="D144" s="10"/>
      <c r="E144" s="8"/>
      <c r="F144" s="9"/>
      <c r="G144" s="10"/>
      <c r="H144" s="8"/>
      <c r="I144" s="9"/>
      <c r="J144" s="10"/>
      <c r="K144" s="8"/>
      <c r="L144" s="9"/>
      <c r="M144" s="10"/>
      <c r="N144" s="8"/>
      <c r="O144" s="9"/>
    </row>
    <row r="145" ht="16.5" customHeight="1">
      <c t="s" r="A145" s="12">
        <v>148</v>
      </c>
      <c r="B145" s="13">
        <v>0</v>
      </c>
      <c r="C145" s="14">
        <f>IFERROR(B145/B327, "NA")</f>
      </c>
      <c r="D145" s="15"/>
      <c r="E145" s="13">
        <v>0</v>
      </c>
      <c r="F145" s="14">
        <f>IFERROR(E145/E327, "NA")</f>
      </c>
      <c r="G145" s="15"/>
      <c r="H145" s="13">
        <v>0</v>
      </c>
      <c r="I145" s="14">
        <f>IFERROR(H145/H327, "NA")</f>
      </c>
      <c r="J145" s="15"/>
      <c r="K145" s="13">
        <v>0</v>
      </c>
      <c r="L145" s="14">
        <f>IFERROR(K145/K327, "NA")</f>
      </c>
      <c r="M145" s="15"/>
      <c r="N145" s="13">
        <v>0</v>
      </c>
      <c r="O145" s="14">
        <f>IFERROR(N145/N327, "NA")</f>
      </c>
    </row>
    <row r="146" ht="16.5" customHeight="1">
      <c t="s" r="A146" s="12">
        <v>149</v>
      </c>
      <c r="B146" s="13">
        <v>28320.389999999999</v>
      </c>
      <c r="C146" s="14">
        <f>IFERROR(B146/B327, "NA")</f>
      </c>
      <c r="D146" s="15"/>
      <c r="E146" s="13">
        <v>16880.029999999999</v>
      </c>
      <c r="F146" s="14">
        <f>IFERROR(E146/E327, "NA")</f>
      </c>
      <c r="G146" s="15"/>
      <c r="H146" s="13">
        <v>11154.17</v>
      </c>
      <c r="I146" s="14">
        <f>IFERROR(H146/H327, "NA")</f>
      </c>
      <c r="J146" s="15"/>
      <c r="K146" s="13">
        <v>16513.52</v>
      </c>
      <c r="L146" s="14">
        <f>IFERROR(K146/K327, "NA")</f>
      </c>
      <c r="M146" s="15"/>
      <c r="N146" s="13">
        <v>-15916.27</v>
      </c>
      <c r="O146" s="14">
        <f>IFERROR(N146/N327, "NA")</f>
      </c>
    </row>
    <row r="147" ht="16.5" customHeight="1">
      <c t="s" r="A147" s="12">
        <v>150</v>
      </c>
      <c r="B147" s="13">
        <v>342.61000000000001</v>
      </c>
      <c r="C147" s="14">
        <f>IFERROR(B147/B327, "NA")</f>
      </c>
      <c r="D147" s="15"/>
      <c r="E147" s="13">
        <v>745.34000000000003</v>
      </c>
      <c r="F147" s="14">
        <f>IFERROR(E147/E327, "NA")</f>
      </c>
      <c r="G147" s="15"/>
      <c r="H147" s="13">
        <v>-840.85000000000002</v>
      </c>
      <c r="I147" s="14">
        <f>IFERROR(H147/H327, "NA")</f>
      </c>
      <c r="J147" s="15"/>
      <c r="K147" s="13">
        <v>710.22000000000003</v>
      </c>
      <c r="L147" s="14">
        <f>IFERROR(K147/K327, "NA")</f>
      </c>
      <c r="M147" s="15"/>
      <c r="N147" s="13">
        <v>-1230.6400000000001</v>
      </c>
      <c r="O147" s="14">
        <f>IFERROR(N147/N327, "NA")</f>
      </c>
    </row>
    <row r="148" ht="16.5" customHeight="1">
      <c t="s" r="A148" s="12">
        <v>151</v>
      </c>
      <c r="B148" s="13">
        <v>4954.21</v>
      </c>
      <c r="C148" s="14">
        <f>IFERROR(B148/B327, "NA")</f>
      </c>
      <c r="D148" s="15"/>
      <c r="E148" s="13">
        <v>0</v>
      </c>
      <c r="F148" s="14">
        <f>IFERROR(E148/E327, "NA")</f>
      </c>
      <c r="G148" s="15"/>
      <c r="H148" s="13">
        <v>580.32000000000005</v>
      </c>
      <c r="I148" s="14">
        <f>IFERROR(H148/H327, "NA")</f>
      </c>
      <c r="J148" s="15"/>
      <c r="K148" s="13">
        <v>0</v>
      </c>
      <c r="L148" s="14">
        <f>IFERROR(K148/K327, "NA")</f>
      </c>
      <c r="M148" s="15"/>
      <c r="N148" s="13">
        <v>-4484.6499999999996</v>
      </c>
      <c r="O148" s="14">
        <f>IFERROR(N148/N327, "NA")</f>
      </c>
    </row>
    <row r="149" ht="16.5" customHeight="1">
      <c t="s" r="A149" s="12">
        <v>152</v>
      </c>
      <c r="B149" s="13">
        <v>-709.61000000000001</v>
      </c>
      <c r="C149" s="14">
        <f>IFERROR(B149/B327, "NA")</f>
      </c>
      <c r="D149" s="15"/>
      <c r="E149" s="13">
        <v>4002.75</v>
      </c>
      <c r="F149" s="14">
        <f>IFERROR(E149/E327, "NA")</f>
      </c>
      <c r="G149" s="15"/>
      <c r="H149" s="13">
        <v>-2309.3200000000002</v>
      </c>
      <c r="I149" s="14">
        <f>IFERROR(H149/H327, "NA")</f>
      </c>
      <c r="J149" s="15"/>
      <c r="K149" s="13">
        <v>3841.21</v>
      </c>
      <c r="L149" s="14">
        <f>IFERROR(K149/K327, "NA")</f>
      </c>
      <c r="M149" s="15"/>
      <c r="N149" s="13">
        <v>-2256.1700000000001</v>
      </c>
      <c r="O149" s="14">
        <f>IFERROR(N149/N327, "NA")</f>
      </c>
    </row>
    <row r="150" ht="16.5" customHeight="1">
      <c t="s" r="A150" s="12">
        <v>153</v>
      </c>
      <c r="B150" s="13">
        <v>1211.6500000000001</v>
      </c>
      <c r="C150" s="14">
        <f>IFERROR(B150/B327, "NA")</f>
      </c>
      <c r="D150" s="15"/>
      <c r="E150" s="13">
        <v>1211.6500000000001</v>
      </c>
      <c r="F150" s="14">
        <f>IFERROR(E150/E327, "NA")</f>
      </c>
      <c r="G150" s="15"/>
      <c r="H150" s="13">
        <v>90.709999999999994</v>
      </c>
      <c r="I150" s="14">
        <f>IFERROR(H150/H327, "NA")</f>
      </c>
      <c r="J150" s="15"/>
      <c r="K150" s="13">
        <v>1211.6500000000001</v>
      </c>
      <c r="L150" s="14">
        <f>IFERROR(K150/K327, "NA")</f>
      </c>
      <c r="M150" s="15"/>
      <c r="N150" s="13">
        <v>2173.8800000000001</v>
      </c>
      <c r="O150" s="14">
        <f>IFERROR(N150/N327, "NA")</f>
      </c>
    </row>
    <row r="151" ht="16.5" customHeight="1">
      <c t="s" r="A151" s="16">
        <v>154</v>
      </c>
      <c r="B151" s="17">
        <f>IFERROR(B145+B146+B147+B148+B149+B150, "NA")</f>
      </c>
      <c r="C151" s="18">
        <f>IFERROR(B151/B327, "NA")</f>
      </c>
      <c r="D151" s="8"/>
      <c r="E151" s="17">
        <f>IFERROR(E145+E146+E147+E148+E149+E150, "NA")</f>
      </c>
      <c r="F151" s="18">
        <f>IFERROR(E151/E327, "NA")</f>
      </c>
      <c r="G151" s="8"/>
      <c r="H151" s="17">
        <f>IFERROR(H145+H146+H147+H148+H149+H150, "NA")</f>
      </c>
      <c r="I151" s="18">
        <f>IFERROR(H151/H327, "NA")</f>
      </c>
      <c r="J151" s="8"/>
      <c r="K151" s="17">
        <f>IFERROR(K145+K146+K147+K148+K149+K150, "NA")</f>
      </c>
      <c r="L151" s="18">
        <f>IFERROR(K151/K327, "NA")</f>
      </c>
      <c r="M151" s="8"/>
      <c r="N151" s="17">
        <f>IFERROR(N145+N146+N147+N148+N149+N150, "NA")</f>
      </c>
      <c r="O151" s="18">
        <f>IFERROR(N151/N327, "NA")</f>
      </c>
    </row>
    <row r="152" ht="16.5" customHeight="1">
      <c t="s" r="A152" s="19">
        <v>155</v>
      </c>
      <c r="B152" s="13">
        <v>0</v>
      </c>
      <c r="C152" s="14">
        <f>IFERROR(B152/B327, "NA")</f>
      </c>
      <c r="D152" s="15"/>
      <c r="E152" s="13">
        <v>0</v>
      </c>
      <c r="F152" s="14">
        <f>IFERROR(E152/E327, "NA")</f>
      </c>
      <c r="G152" s="15"/>
      <c r="H152" s="13">
        <v>0</v>
      </c>
      <c r="I152" s="14">
        <f>IFERROR(H152/H327, "NA")</f>
      </c>
      <c r="J152" s="15"/>
      <c r="K152" s="13">
        <v>0</v>
      </c>
      <c r="L152" s="14">
        <f>IFERROR(K152/K327, "NA")</f>
      </c>
      <c r="M152" s="15"/>
      <c r="N152" s="13">
        <v>0</v>
      </c>
      <c r="O152" s="14">
        <f>IFERROR(N152/N327, "NA")</f>
      </c>
    </row>
    <row r="153" ht="16.5" customHeight="1">
      <c t="s" r="A153" s="19">
        <v>156</v>
      </c>
      <c r="B153" s="13">
        <v>-4463.8500000000004</v>
      </c>
      <c r="C153" s="14">
        <f>IFERROR(B153/B327, "NA")</f>
      </c>
      <c r="D153" s="15"/>
      <c r="E153" s="13">
        <v>0</v>
      </c>
      <c r="F153" s="14">
        <f>IFERROR(E153/E327, "NA")</f>
      </c>
      <c r="G153" s="15"/>
      <c r="H153" s="13">
        <v>-4791.8199999999997</v>
      </c>
      <c r="I153" s="14">
        <f>IFERROR(H153/H327, "NA")</f>
      </c>
      <c r="J153" s="15"/>
      <c r="K153" s="13">
        <v>24303.619999999999</v>
      </c>
      <c r="L153" s="14">
        <f>IFERROR(K153/K327, "NA")</f>
      </c>
      <c r="M153" s="15"/>
      <c r="N153" s="13">
        <v>0</v>
      </c>
      <c r="O153" s="14">
        <f>IFERROR(N153/N327, "NA")</f>
      </c>
    </row>
    <row r="154" ht="16.5" customHeight="1">
      <c t="s" r="A154" s="19">
        <v>157</v>
      </c>
      <c r="B154" s="13">
        <v>-769.65999999999997</v>
      </c>
      <c r="C154" s="14">
        <f>IFERROR(B154/B327, "NA")</f>
      </c>
      <c r="D154" s="15"/>
      <c r="E154" s="13">
        <v>0</v>
      </c>
      <c r="F154" s="14">
        <f>IFERROR(E154/E327, "NA")</f>
      </c>
      <c r="G154" s="15"/>
      <c r="H154" s="13">
        <v>-798.79999999999995</v>
      </c>
      <c r="I154" s="14">
        <f>IFERROR(H154/H327, "NA")</f>
      </c>
      <c r="J154" s="15"/>
      <c r="K154" s="13">
        <v>0</v>
      </c>
      <c r="L154" s="14">
        <f>IFERROR(K154/K327, "NA")</f>
      </c>
      <c r="M154" s="15"/>
      <c r="N154" s="13">
        <v>0</v>
      </c>
      <c r="O154" s="14">
        <f>IFERROR(N154/N327, "NA")</f>
      </c>
    </row>
    <row r="155" ht="16.5" customHeight="1">
      <c t="s" r="A155" s="19">
        <v>158</v>
      </c>
      <c r="B155" s="13">
        <v>-75.060000000000002</v>
      </c>
      <c r="C155" s="14">
        <f>IFERROR(B155/B327, "NA")</f>
      </c>
      <c r="D155" s="15"/>
      <c r="E155" s="13">
        <v>0</v>
      </c>
      <c r="F155" s="14">
        <f>IFERROR(E155/E327, "NA")</f>
      </c>
      <c r="G155" s="15"/>
      <c r="H155" s="13">
        <v>-69.120000000000005</v>
      </c>
      <c r="I155" s="14">
        <f>IFERROR(H155/H327, "NA")</f>
      </c>
      <c r="J155" s="15"/>
      <c r="K155" s="13">
        <v>0</v>
      </c>
      <c r="L155" s="14">
        <f>IFERROR(K155/K327, "NA")</f>
      </c>
      <c r="M155" s="15"/>
      <c r="N155" s="13">
        <v>0</v>
      </c>
      <c r="O155" s="14">
        <f>IFERROR(N155/N327, "NA")</f>
      </c>
    </row>
    <row r="156" ht="16.5" customHeight="1">
      <c t="s" r="A156" s="19">
        <v>159</v>
      </c>
      <c r="B156" s="13">
        <v>0</v>
      </c>
      <c r="C156" s="14">
        <f>IFERROR(B156/B327, "NA")</f>
      </c>
      <c r="D156" s="15"/>
      <c r="E156" s="13">
        <v>0</v>
      </c>
      <c r="F156" s="14">
        <f>IFERROR(E156/E327, "NA")</f>
      </c>
      <c r="G156" s="15"/>
      <c r="H156" s="13">
        <v>0</v>
      </c>
      <c r="I156" s="14">
        <f>IFERROR(H156/H327, "NA")</f>
      </c>
      <c r="J156" s="15"/>
      <c r="K156" s="13">
        <v>0</v>
      </c>
      <c r="L156" s="14">
        <f>IFERROR(K156/K327, "NA")</f>
      </c>
      <c r="M156" s="15"/>
      <c r="N156" s="13">
        <v>0</v>
      </c>
      <c r="O156" s="14">
        <f>IFERROR(N156/N327, "NA")</f>
      </c>
    </row>
    <row r="157" ht="16.5" customHeight="1">
      <c t="s" r="A157" s="20">
        <v>160</v>
      </c>
      <c r="B157" s="17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</c>
      <c r="C157" s="18">
        <f>IFERROR(B157/B327, "NA")</f>
      </c>
      <c r="D157" s="8"/>
      <c r="E157" s="17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</c>
      <c r="F157" s="18">
        <f>IFERROR(E157/E327, "NA")</f>
      </c>
      <c r="G157" s="8"/>
      <c r="H157" s="17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</c>
      <c r="I157" s="18">
        <f>IFERROR(H157/H327, "NA")</f>
      </c>
      <c r="J157" s="8"/>
      <c r="K157" s="17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</c>
      <c r="L157" s="18">
        <f>IFERROR(K157/K327, "NA")</f>
      </c>
      <c r="M157" s="8"/>
      <c r="N157" s="17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</c>
      <c r="O157" s="18">
        <f>IFERROR(N157/N327, "NA")</f>
      </c>
    </row>
    <row r="158" ht="16.5" customHeight="1">
      <c t="s" r="A158" s="7">
        <v>161</v>
      </c>
      <c r="B158" s="8"/>
      <c r="C158" s="9"/>
      <c r="D158" s="10"/>
      <c r="E158" s="8"/>
      <c r="F158" s="9"/>
      <c r="G158" s="10"/>
      <c r="H158" s="8"/>
      <c r="I158" s="9"/>
      <c r="J158" s="10"/>
      <c r="K158" s="8"/>
      <c r="L158" s="9"/>
      <c r="M158" s="10"/>
      <c r="N158" s="8"/>
      <c r="O158" s="9"/>
    </row>
    <row r="159" ht="16.5" customHeight="1">
      <c t="s" r="A159" s="11">
        <v>162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</row>
    <row r="160" ht="16.5" customHeight="1">
      <c t="s" r="A160" s="12">
        <v>163</v>
      </c>
      <c r="B160" s="13">
        <v>0</v>
      </c>
      <c r="C160" s="14">
        <f>IFERROR(B160/B327, "NA")</f>
      </c>
      <c r="D160" s="15"/>
      <c r="E160" s="13">
        <v>0</v>
      </c>
      <c r="F160" s="14">
        <f>IFERROR(E160/E327, "NA")</f>
      </c>
      <c r="G160" s="15"/>
      <c r="H160" s="13">
        <v>0</v>
      </c>
      <c r="I160" s="14">
        <f>IFERROR(H160/H327, "NA")</f>
      </c>
      <c r="J160" s="15"/>
      <c r="K160" s="13">
        <v>0</v>
      </c>
      <c r="L160" s="14">
        <f>IFERROR(K160/K327, "NA")</f>
      </c>
      <c r="M160" s="15"/>
      <c r="N160" s="13">
        <v>0</v>
      </c>
      <c r="O160" s="14">
        <f>IFERROR(N160/N327, "NA")</f>
      </c>
    </row>
    <row r="161" ht="16.5" customHeight="1">
      <c t="s" r="A161" s="12">
        <v>164</v>
      </c>
      <c r="B161" s="13">
        <v>0</v>
      </c>
      <c r="C161" s="14">
        <f>IFERROR(B161/B327, "NA")</f>
      </c>
      <c r="D161" s="15"/>
      <c r="E161" s="13">
        <v>0</v>
      </c>
      <c r="F161" s="14">
        <f>IFERROR(E161/E327, "NA")</f>
      </c>
      <c r="G161" s="15"/>
      <c r="H161" s="13">
        <v>0</v>
      </c>
      <c r="I161" s="14">
        <f>IFERROR(H161/H327, "NA")</f>
      </c>
      <c r="J161" s="15"/>
      <c r="K161" s="13">
        <v>0</v>
      </c>
      <c r="L161" s="14">
        <f>IFERROR(K161/K327, "NA")</f>
      </c>
      <c r="M161" s="15"/>
      <c r="N161" s="13">
        <v>0</v>
      </c>
      <c r="O161" s="14">
        <f>IFERROR(N161/N327, "NA")</f>
      </c>
    </row>
    <row r="162" ht="16.5" customHeight="1">
      <c t="s" r="A162" s="12">
        <v>165</v>
      </c>
      <c r="B162" s="13">
        <v>0</v>
      </c>
      <c r="C162" s="14">
        <f>IFERROR(B162/B327, "NA")</f>
      </c>
      <c r="D162" s="15"/>
      <c r="E162" s="13">
        <v>0</v>
      </c>
      <c r="F162" s="14">
        <f>IFERROR(E162/E327, "NA")</f>
      </c>
      <c r="G162" s="15"/>
      <c r="H162" s="13">
        <v>0</v>
      </c>
      <c r="I162" s="14">
        <f>IFERROR(H162/H327, "NA")</f>
      </c>
      <c r="J162" s="15"/>
      <c r="K162" s="13">
        <v>-29073.799999999999</v>
      </c>
      <c r="L162" s="14">
        <f>IFERROR(K162/K327, "NA")</f>
      </c>
      <c r="M162" s="15"/>
      <c r="N162" s="13">
        <v>0</v>
      </c>
      <c r="O162" s="14">
        <f>IFERROR(N162/N327, "NA")</f>
      </c>
    </row>
    <row r="163" ht="16.5" customHeight="1">
      <c t="s" r="A163" s="12">
        <v>166</v>
      </c>
      <c r="B163" s="13">
        <v>0</v>
      </c>
      <c r="C163" s="14">
        <f>IFERROR(B163/B327, "NA")</f>
      </c>
      <c r="D163" s="15"/>
      <c r="E163" s="13">
        <v>0</v>
      </c>
      <c r="F163" s="14">
        <f>IFERROR(E163/E327, "NA")</f>
      </c>
      <c r="G163" s="15"/>
      <c r="H163" s="13">
        <v>1709.1400000000001</v>
      </c>
      <c r="I163" s="14">
        <f>IFERROR(H163/H327, "NA")</f>
      </c>
      <c r="J163" s="15"/>
      <c r="K163" s="13">
        <v>0</v>
      </c>
      <c r="L163" s="14">
        <f>IFERROR(K163/K327, "NA")</f>
      </c>
      <c r="M163" s="15"/>
      <c r="N163" s="13">
        <v>0</v>
      </c>
      <c r="O163" s="14">
        <f>IFERROR(N163/N327, "NA")</f>
      </c>
    </row>
    <row r="164" ht="16.5" customHeight="1">
      <c t="s" r="A164" s="12">
        <v>167</v>
      </c>
      <c r="B164" s="13">
        <v>0</v>
      </c>
      <c r="C164" s="14">
        <f>IFERROR(B164/B327, "NA")</f>
      </c>
      <c r="D164" s="15"/>
      <c r="E164" s="13">
        <v>0</v>
      </c>
      <c r="F164" s="14">
        <f>IFERROR(E164/E327, "NA")</f>
      </c>
      <c r="G164" s="15"/>
      <c r="H164" s="13">
        <v>0</v>
      </c>
      <c r="I164" s="14">
        <f>IFERROR(H164/H327, "NA")</f>
      </c>
      <c r="J164" s="15"/>
      <c r="K164" s="13">
        <v>0</v>
      </c>
      <c r="L164" s="14">
        <f>IFERROR(K164/K327, "NA")</f>
      </c>
      <c r="M164" s="15"/>
      <c r="N164" s="13">
        <v>0</v>
      </c>
      <c r="O164" s="14">
        <f>IFERROR(N164/N327, "NA")</f>
      </c>
    </row>
    <row r="165" ht="16.5" customHeight="1">
      <c t="s" r="A165" s="12">
        <v>168</v>
      </c>
      <c r="B165" s="13">
        <v>-162.19</v>
      </c>
      <c r="C165" s="14">
        <f>IFERROR(B165/B327, "NA")</f>
      </c>
      <c r="D165" s="15"/>
      <c r="E165" s="13">
        <v>0</v>
      </c>
      <c r="F165" s="14">
        <f>IFERROR(E165/E327, "NA")</f>
      </c>
      <c r="G165" s="15"/>
      <c r="H165" s="13">
        <v>294.25</v>
      </c>
      <c r="I165" s="14">
        <f>IFERROR(H165/H327, "NA")</f>
      </c>
      <c r="J165" s="15"/>
      <c r="K165" s="13">
        <v>0</v>
      </c>
      <c r="L165" s="14">
        <f>IFERROR(K165/K327, "NA")</f>
      </c>
      <c r="M165" s="15"/>
      <c r="N165" s="13">
        <v>0</v>
      </c>
      <c r="O165" s="14">
        <f>IFERROR(N165/N327, "NA")</f>
      </c>
    </row>
    <row r="166" ht="16.5" customHeight="1">
      <c t="s" r="A166" s="12">
        <v>169</v>
      </c>
      <c r="B166" s="13">
        <v>-108.43000000000001</v>
      </c>
      <c r="C166" s="14">
        <f>IFERROR(B166/B327, "NA")</f>
      </c>
      <c r="D166" s="15"/>
      <c r="E166" s="13">
        <v>1045.8</v>
      </c>
      <c r="F166" s="14">
        <f>IFERROR(E166/E327, "NA")</f>
      </c>
      <c r="G166" s="15"/>
      <c r="H166" s="13">
        <v>351.12</v>
      </c>
      <c r="I166" s="14">
        <f>IFERROR(H166/H327, "NA")</f>
      </c>
      <c r="J166" s="15"/>
      <c r="K166" s="13">
        <v>951.29999999999995</v>
      </c>
      <c r="L166" s="14">
        <f>IFERROR(K166/K327, "NA")</f>
      </c>
      <c r="M166" s="15"/>
      <c r="N166" s="13">
        <v>1228.5</v>
      </c>
      <c r="O166" s="14">
        <f>IFERROR(N166/N327, "NA")</f>
      </c>
    </row>
    <row r="167" ht="16.5" customHeight="1">
      <c t="s" r="A167" s="12">
        <v>170</v>
      </c>
      <c r="B167" s="13">
        <v>-678.08000000000004</v>
      </c>
      <c r="C167" s="14">
        <f>IFERROR(B167/B327, "NA")</f>
      </c>
      <c r="D167" s="15"/>
      <c r="E167" s="13">
        <v>687.10000000000002</v>
      </c>
      <c r="F167" s="14">
        <f>IFERROR(E167/E327, "NA")</f>
      </c>
      <c r="G167" s="15"/>
      <c r="H167" s="13">
        <v>464.06999999999999</v>
      </c>
      <c r="I167" s="14">
        <f>IFERROR(H167/H327, "NA")</f>
      </c>
      <c r="J167" s="15"/>
      <c r="K167" s="13">
        <v>1386.5899999999999</v>
      </c>
      <c r="L167" s="14">
        <f>IFERROR(K167/K327, "NA")</f>
      </c>
      <c r="M167" s="15"/>
      <c r="N167" s="13">
        <v>1152.98</v>
      </c>
      <c r="O167" s="14">
        <f>IFERROR(N167/N327, "NA")</f>
      </c>
    </row>
    <row r="168" ht="16.5" customHeight="1">
      <c t="s" r="A168" s="12">
        <v>171</v>
      </c>
      <c r="B168" s="13">
        <v>-628.12</v>
      </c>
      <c r="C168" s="14">
        <f>IFERROR(B168/B327, "NA")</f>
      </c>
      <c r="D168" s="15"/>
      <c r="E168" s="13">
        <v>1594.8</v>
      </c>
      <c r="F168" s="14">
        <f>IFERROR(E168/E327, "NA")</f>
      </c>
      <c r="G168" s="15"/>
      <c r="H168" s="13">
        <v>-252.83000000000001</v>
      </c>
      <c r="I168" s="14">
        <f>IFERROR(H168/H327, "NA")</f>
      </c>
      <c r="J168" s="15"/>
      <c r="K168" s="13">
        <v>1740.75</v>
      </c>
      <c r="L168" s="14">
        <f>IFERROR(K168/K327, "NA")</f>
      </c>
      <c r="M168" s="15"/>
      <c r="N168" s="13">
        <v>2345.8499999999999</v>
      </c>
      <c r="O168" s="14">
        <f>IFERROR(N168/N327, "NA")</f>
      </c>
    </row>
    <row r="169" ht="16.5" customHeight="1">
      <c t="s" r="A169" s="12">
        <v>172</v>
      </c>
      <c r="B169" s="13">
        <v>0</v>
      </c>
      <c r="C169" s="14">
        <f>IFERROR(B169/B327, "NA")</f>
      </c>
      <c r="D169" s="15"/>
      <c r="E169" s="13">
        <v>0</v>
      </c>
      <c r="F169" s="14">
        <f>IFERROR(E169/E327, "NA")</f>
      </c>
      <c r="G169" s="15"/>
      <c r="H169" s="13">
        <v>0</v>
      </c>
      <c r="I169" s="14">
        <f>IFERROR(H169/H327, "NA")</f>
      </c>
      <c r="J169" s="15"/>
      <c r="K169" s="13">
        <v>0</v>
      </c>
      <c r="L169" s="14">
        <f>IFERROR(K169/K327, "NA")</f>
      </c>
      <c r="M169" s="15"/>
      <c r="N169" s="13">
        <v>0</v>
      </c>
      <c r="O169" s="14">
        <f>IFERROR(N169/N327, "NA")</f>
      </c>
    </row>
    <row r="170" ht="16.5" customHeight="1">
      <c t="s" r="A170" s="12">
        <v>173</v>
      </c>
      <c r="B170" s="13">
        <v>952.78999999999996</v>
      </c>
      <c r="C170" s="14">
        <f>IFERROR(B170/B327, "NA")</f>
      </c>
      <c r="D170" s="15"/>
      <c r="E170" s="13">
        <v>1971.8199999999999</v>
      </c>
      <c r="F170" s="14">
        <f>IFERROR(E170/E327, "NA")</f>
      </c>
      <c r="G170" s="15"/>
      <c r="H170" s="13">
        <v>1038.04</v>
      </c>
      <c r="I170" s="14">
        <f>IFERROR(H170/H327, "NA")</f>
      </c>
      <c r="J170" s="15"/>
      <c r="K170" s="13">
        <v>543.75999999999999</v>
      </c>
      <c r="L170" s="14">
        <f>IFERROR(K170/K327, "NA")</f>
      </c>
      <c r="M170" s="15"/>
      <c r="N170" s="13">
        <v>690.35000000000002</v>
      </c>
      <c r="O170" s="14">
        <f>IFERROR(N170/N327, "NA")</f>
      </c>
    </row>
    <row r="171" ht="16.5" customHeight="1">
      <c t="s" r="A171" s="12">
        <v>174</v>
      </c>
      <c r="B171" s="13">
        <v>0</v>
      </c>
      <c r="C171" s="14">
        <f>IFERROR(B171/B327, "NA")</f>
      </c>
      <c r="D171" s="15"/>
      <c r="E171" s="13">
        <v>970.63</v>
      </c>
      <c r="F171" s="14">
        <f>IFERROR(E171/E327, "NA")</f>
      </c>
      <c r="G171" s="15"/>
      <c r="H171" s="13">
        <v>0</v>
      </c>
      <c r="I171" s="14">
        <f>IFERROR(H171/H327, "NA")</f>
      </c>
      <c r="J171" s="15"/>
      <c r="K171" s="13">
        <v>4400.5699999999997</v>
      </c>
      <c r="L171" s="14">
        <f>IFERROR(K171/K327, "NA")</f>
      </c>
      <c r="M171" s="15"/>
      <c r="N171" s="13">
        <v>0</v>
      </c>
      <c r="O171" s="14">
        <f>IFERROR(N171/N327, "NA")</f>
      </c>
    </row>
    <row r="172" ht="16.5" customHeight="1">
      <c t="s" r="A172" s="12">
        <v>175</v>
      </c>
      <c r="B172" s="13">
        <v>0</v>
      </c>
      <c r="C172" s="14">
        <f>IFERROR(B172/B327, "NA")</f>
      </c>
      <c r="D172" s="15"/>
      <c r="E172" s="13">
        <v>0</v>
      </c>
      <c r="F172" s="14">
        <f>IFERROR(E172/E327, "NA")</f>
      </c>
      <c r="G172" s="15"/>
      <c r="H172" s="13">
        <v>0</v>
      </c>
      <c r="I172" s="14">
        <f>IFERROR(H172/H327, "NA")</f>
      </c>
      <c r="J172" s="15"/>
      <c r="K172" s="13">
        <v>0</v>
      </c>
      <c r="L172" s="14">
        <f>IFERROR(K172/K327, "NA")</f>
      </c>
      <c r="M172" s="15"/>
      <c r="N172" s="13">
        <v>0</v>
      </c>
      <c r="O172" s="14">
        <f>IFERROR(N172/N327, "NA")</f>
      </c>
    </row>
    <row r="173" ht="16.5" customHeight="1">
      <c t="s" r="A173" s="12">
        <v>176</v>
      </c>
      <c r="B173" s="13">
        <v>0</v>
      </c>
      <c r="C173" s="14">
        <f>IFERROR(B173/B327, "NA")</f>
      </c>
      <c r="D173" s="15"/>
      <c r="E173" s="13">
        <v>0</v>
      </c>
      <c r="F173" s="14">
        <f>IFERROR(E173/E327, "NA")</f>
      </c>
      <c r="G173" s="15"/>
      <c r="H173" s="13">
        <v>0</v>
      </c>
      <c r="I173" s="14">
        <f>IFERROR(H173/H327, "NA")</f>
      </c>
      <c r="J173" s="15"/>
      <c r="K173" s="13">
        <v>0</v>
      </c>
      <c r="L173" s="14">
        <f>IFERROR(K173/K327, "NA")</f>
      </c>
      <c r="M173" s="15"/>
      <c r="N173" s="13">
        <v>0</v>
      </c>
      <c r="O173" s="14">
        <f>IFERROR(N173/N327, "NA")</f>
      </c>
    </row>
    <row r="174" ht="16.5" customHeight="1">
      <c t="s" r="A174" s="12">
        <v>177</v>
      </c>
      <c r="B174" s="13">
        <v>0</v>
      </c>
      <c r="C174" s="14">
        <f>IFERROR(B174/B327, "NA")</f>
      </c>
      <c r="D174" s="15"/>
      <c r="E174" s="13">
        <v>0</v>
      </c>
      <c r="F174" s="14">
        <f>IFERROR(E174/E327, "NA")</f>
      </c>
      <c r="G174" s="15"/>
      <c r="H174" s="13">
        <v>0</v>
      </c>
      <c r="I174" s="14">
        <f>IFERROR(H174/H327, "NA")</f>
      </c>
      <c r="J174" s="15"/>
      <c r="K174" s="13">
        <v>0</v>
      </c>
      <c r="L174" s="14">
        <f>IFERROR(K174/K327, "NA")</f>
      </c>
      <c r="M174" s="15"/>
      <c r="N174" s="13">
        <v>0</v>
      </c>
      <c r="O174" s="14">
        <f>IFERROR(N174/N327, "NA")</f>
      </c>
    </row>
    <row r="175" ht="16.5" customHeight="1">
      <c t="s" r="A175" s="12">
        <v>178</v>
      </c>
      <c r="B175" s="13">
        <v>-945.95000000000005</v>
      </c>
      <c r="C175" s="14">
        <f>IFERROR(B175/B327, "NA")</f>
      </c>
      <c r="D175" s="15"/>
      <c r="E175" s="13">
        <v>932.96000000000004</v>
      </c>
      <c r="F175" s="14">
        <f>IFERROR(E175/E327, "NA")</f>
      </c>
      <c r="G175" s="15"/>
      <c r="H175" s="13">
        <v>656.97000000000003</v>
      </c>
      <c r="I175" s="14">
        <f>IFERROR(H175/H327, "NA")</f>
      </c>
      <c r="J175" s="15"/>
      <c r="K175" s="13">
        <v>1816.77</v>
      </c>
      <c r="L175" s="14">
        <f>IFERROR(K175/K327, "NA")</f>
      </c>
      <c r="M175" s="15"/>
      <c r="N175" s="13">
        <v>2879.8400000000001</v>
      </c>
      <c r="O175" s="14">
        <f>IFERROR(N175/N327, "NA")</f>
      </c>
    </row>
    <row r="176" ht="16.5" customHeight="1">
      <c t="s" r="A176" s="12">
        <v>179</v>
      </c>
      <c r="B176" s="13">
        <v>-597.13999999999999</v>
      </c>
      <c r="C176" s="14">
        <f>IFERROR(B176/B327, "NA")</f>
      </c>
      <c r="D176" s="15"/>
      <c r="E176" s="13">
        <v>770.58000000000004</v>
      </c>
      <c r="F176" s="14">
        <f>IFERROR(E176/E327, "NA")</f>
      </c>
      <c r="G176" s="15"/>
      <c r="H176" s="13">
        <v>634.47000000000003</v>
      </c>
      <c r="I176" s="14">
        <f>IFERROR(H176/H327, "NA")</f>
      </c>
      <c r="J176" s="15"/>
      <c r="K176" s="13">
        <v>2615.1999999999998</v>
      </c>
      <c r="L176" s="14">
        <f>IFERROR(K176/K327, "NA")</f>
      </c>
      <c r="M176" s="15"/>
      <c r="N176" s="13">
        <v>2104.6599999999999</v>
      </c>
      <c r="O176" s="14">
        <f>IFERROR(N176/N327, "NA")</f>
      </c>
    </row>
    <row r="177" ht="16.5" customHeight="1">
      <c t="s" r="A177" s="12">
        <v>180</v>
      </c>
      <c r="B177" s="13">
        <v>0</v>
      </c>
      <c r="C177" s="14">
        <f>IFERROR(B177/B327, "NA")</f>
      </c>
      <c r="D177" s="15"/>
      <c r="E177" s="13">
        <v>1893.55</v>
      </c>
      <c r="F177" s="14">
        <f>IFERROR(E177/E327, "NA")</f>
      </c>
      <c r="G177" s="15"/>
      <c r="H177" s="13">
        <v>1661.3499999999999</v>
      </c>
      <c r="I177" s="14">
        <f>IFERROR(H177/H327, "NA")</f>
      </c>
      <c r="J177" s="15"/>
      <c r="K177" s="13">
        <v>1553.6500000000001</v>
      </c>
      <c r="L177" s="14">
        <f>IFERROR(K177/K327, "NA")</f>
      </c>
      <c r="M177" s="15"/>
      <c r="N177" s="13">
        <v>1630.26</v>
      </c>
      <c r="O177" s="14">
        <f>IFERROR(N177/N327, "NA")</f>
      </c>
    </row>
    <row r="178" ht="16.5" customHeight="1">
      <c t="s" r="A178" s="12">
        <v>181</v>
      </c>
      <c r="B178" s="13">
        <v>-2219.9699999999998</v>
      </c>
      <c r="C178" s="14">
        <f>IFERROR(B178/B327, "NA")</f>
      </c>
      <c r="D178" s="15"/>
      <c r="E178" s="13">
        <v>0</v>
      </c>
      <c r="F178" s="14">
        <f>IFERROR(E178/E327, "NA")</f>
      </c>
      <c r="G178" s="15"/>
      <c r="H178" s="13">
        <v>-2375.5100000000002</v>
      </c>
      <c r="I178" s="14">
        <f>IFERROR(H178/H327, "NA")</f>
      </c>
      <c r="J178" s="15"/>
      <c r="K178" s="13">
        <v>-148</v>
      </c>
      <c r="L178" s="14">
        <f>IFERROR(K178/K327, "NA")</f>
      </c>
      <c r="M178" s="15"/>
      <c r="N178" s="13">
        <v>80.219999999999999</v>
      </c>
      <c r="O178" s="14">
        <f>IFERROR(N178/N327, "NA")</f>
      </c>
    </row>
    <row r="179" ht="16.5" customHeight="1">
      <c t="s" r="A179" s="12">
        <v>182</v>
      </c>
      <c r="B179" s="13">
        <v>3566.4299999999998</v>
      </c>
      <c r="C179" s="14">
        <f>IFERROR(B179/B327, "NA")</f>
      </c>
      <c r="D179" s="15"/>
      <c r="E179" s="13">
        <v>0</v>
      </c>
      <c r="F179" s="14">
        <f>IFERROR(E179/E327, "NA")</f>
      </c>
      <c r="G179" s="15"/>
      <c r="H179" s="13">
        <v>0</v>
      </c>
      <c r="I179" s="14">
        <f>IFERROR(H179/H327, "NA")</f>
      </c>
      <c r="J179" s="15"/>
      <c r="K179" s="13">
        <v>0</v>
      </c>
      <c r="L179" s="14">
        <f>IFERROR(K179/K327, "NA")</f>
      </c>
      <c r="M179" s="15"/>
      <c r="N179" s="13">
        <v>3700</v>
      </c>
      <c r="O179" s="14">
        <f>IFERROR(N179/N327, "NA")</f>
      </c>
    </row>
    <row r="180" ht="16.5" customHeight="1">
      <c t="s" r="A180" s="12">
        <v>183</v>
      </c>
      <c r="B180" s="13">
        <v>5611.8999999999996</v>
      </c>
      <c r="C180" s="14">
        <f>IFERROR(B180/B327, "NA")</f>
      </c>
      <c r="D180" s="15"/>
      <c r="E180" s="13">
        <v>5576.3000000000002</v>
      </c>
      <c r="F180" s="14">
        <f>IFERROR(E180/E327, "NA")</f>
      </c>
      <c r="G180" s="15"/>
      <c r="H180" s="13">
        <v>5407.8000000000002</v>
      </c>
      <c r="I180" s="14">
        <f>IFERROR(H180/H327, "NA")</f>
      </c>
      <c r="J180" s="15"/>
      <c r="K180" s="13">
        <v>5260.1400000000003</v>
      </c>
      <c r="L180" s="14">
        <f>IFERROR(K180/K327, "NA")</f>
      </c>
      <c r="M180" s="15"/>
      <c r="N180" s="13">
        <v>3291.5</v>
      </c>
      <c r="O180" s="14">
        <f>IFERROR(N180/N327, "NA")</f>
      </c>
    </row>
    <row r="181" ht="16.5" customHeight="1">
      <c t="s" r="A181" s="12">
        <v>184</v>
      </c>
      <c r="B181" s="13">
        <v>0</v>
      </c>
      <c r="C181" s="14">
        <f>IFERROR(B181/B327, "NA")</f>
      </c>
      <c r="D181" s="15"/>
      <c r="E181" s="13">
        <v>0</v>
      </c>
      <c r="F181" s="14">
        <f>IFERROR(E181/E327, "NA")</f>
      </c>
      <c r="G181" s="15"/>
      <c r="H181" s="13">
        <v>0</v>
      </c>
      <c r="I181" s="14">
        <f>IFERROR(H181/H327, "NA")</f>
      </c>
      <c r="J181" s="15"/>
      <c r="K181" s="13">
        <v>0</v>
      </c>
      <c r="L181" s="14">
        <f>IFERROR(K181/K327, "NA")</f>
      </c>
      <c r="M181" s="15"/>
      <c r="N181" s="13">
        <v>0</v>
      </c>
      <c r="O181" s="14">
        <f>IFERROR(N181/N327, "NA")</f>
      </c>
    </row>
    <row r="182" ht="16.5" customHeight="1">
      <c t="s" r="A182" s="12">
        <v>185</v>
      </c>
      <c r="B182" s="13">
        <v>-52.859999999999999</v>
      </c>
      <c r="C182" s="14">
        <f>IFERROR(B182/B327, "NA")</f>
      </c>
      <c r="D182" s="15"/>
      <c r="E182" s="13">
        <v>0</v>
      </c>
      <c r="F182" s="14">
        <f>IFERROR(E182/E327, "NA")</f>
      </c>
      <c r="G182" s="15"/>
      <c r="H182" s="13">
        <v>0</v>
      </c>
      <c r="I182" s="14">
        <f>IFERROR(H182/H327, "NA")</f>
      </c>
      <c r="J182" s="15"/>
      <c r="K182" s="13">
        <v>163.13999999999999</v>
      </c>
      <c r="L182" s="14">
        <f>IFERROR(K182/K327, "NA")</f>
      </c>
      <c r="M182" s="15"/>
      <c r="N182" s="13">
        <v>142.86000000000001</v>
      </c>
      <c r="O182" s="14">
        <f>IFERROR(N182/N327, "NA")</f>
      </c>
    </row>
    <row r="183" ht="16.5" customHeight="1">
      <c t="s" r="A183" s="12">
        <v>186</v>
      </c>
      <c r="B183" s="13">
        <v>0</v>
      </c>
      <c r="C183" s="14">
        <f>IFERROR(B183/B327, "NA")</f>
      </c>
      <c r="D183" s="15"/>
      <c r="E183" s="13">
        <v>2586.0500000000002</v>
      </c>
      <c r="F183" s="14">
        <f>IFERROR(E183/E327, "NA")</f>
      </c>
      <c r="G183" s="15"/>
      <c r="H183" s="13">
        <v>1928.3399999999999</v>
      </c>
      <c r="I183" s="14">
        <f>IFERROR(H183/H327, "NA")</f>
      </c>
      <c r="J183" s="15"/>
      <c r="K183" s="13">
        <v>2226.8299999999999</v>
      </c>
      <c r="L183" s="14">
        <f>IFERROR(K183/K327, "NA")</f>
      </c>
      <c r="M183" s="15"/>
      <c r="N183" s="13">
        <v>2420.0999999999999</v>
      </c>
      <c r="O183" s="14">
        <f>IFERROR(N183/N327, "NA")</f>
      </c>
    </row>
    <row r="184" ht="16.5" customHeight="1">
      <c t="s" r="A184" s="12">
        <v>187</v>
      </c>
      <c r="B184" s="13">
        <v>0</v>
      </c>
      <c r="C184" s="14">
        <f>IFERROR(B184/B327, "NA")</f>
      </c>
      <c r="D184" s="15"/>
      <c r="E184" s="13">
        <v>139.22999999999999</v>
      </c>
      <c r="F184" s="14">
        <f>IFERROR(E184/E327, "NA")</f>
      </c>
      <c r="G184" s="15"/>
      <c r="H184" s="13">
        <v>245.94999999999999</v>
      </c>
      <c r="I184" s="14">
        <f>IFERROR(H184/H327, "NA")</f>
      </c>
      <c r="J184" s="15"/>
      <c r="K184" s="13">
        <v>303.75999999999999</v>
      </c>
      <c r="L184" s="14">
        <f>IFERROR(K184/K327, "NA")</f>
      </c>
      <c r="M184" s="15"/>
      <c r="N184" s="13">
        <v>726.44000000000005</v>
      </c>
      <c r="O184" s="14">
        <f>IFERROR(N184/N327, "NA")</f>
      </c>
    </row>
    <row r="185" ht="16.5" customHeight="1">
      <c t="s" r="A185" s="12">
        <v>188</v>
      </c>
      <c r="B185" s="13">
        <v>0</v>
      </c>
      <c r="C185" s="14">
        <f>IFERROR(B185/B327, "NA")</f>
      </c>
      <c r="D185" s="15"/>
      <c r="E185" s="13">
        <v>0</v>
      </c>
      <c r="F185" s="14">
        <f>IFERROR(E185/E327, "NA")</f>
      </c>
      <c r="G185" s="15"/>
      <c r="H185" s="13">
        <v>0</v>
      </c>
      <c r="I185" s="14">
        <f>IFERROR(H185/H327, "NA")</f>
      </c>
      <c r="J185" s="15"/>
      <c r="K185" s="13">
        <v>1600</v>
      </c>
      <c r="L185" s="14">
        <f>IFERROR(K185/K327, "NA")</f>
      </c>
      <c r="M185" s="15"/>
      <c r="N185" s="13">
        <v>0</v>
      </c>
      <c r="O185" s="14">
        <f>IFERROR(N185/N327, "NA")</f>
      </c>
    </row>
    <row r="186" ht="16.5" customHeight="1">
      <c t="s" r="A186" s="12">
        <v>189</v>
      </c>
      <c r="B186" s="13">
        <v>0</v>
      </c>
      <c r="C186" s="14">
        <f>IFERROR(B186/B327, "NA")</f>
      </c>
      <c r="D186" s="15"/>
      <c r="E186" s="13">
        <v>0</v>
      </c>
      <c r="F186" s="14">
        <f>IFERROR(E186/E327, "NA")</f>
      </c>
      <c r="G186" s="15"/>
      <c r="H186" s="13">
        <v>0</v>
      </c>
      <c r="I186" s="14">
        <f>IFERROR(H186/H327, "NA")</f>
      </c>
      <c r="J186" s="15"/>
      <c r="K186" s="13">
        <v>0</v>
      </c>
      <c r="L186" s="14">
        <f>IFERROR(K186/K327, "NA")</f>
      </c>
      <c r="M186" s="15"/>
      <c r="N186" s="13">
        <v>0</v>
      </c>
      <c r="O186" s="14">
        <f>IFERROR(N186/N327, "NA")</f>
      </c>
    </row>
    <row r="187" ht="16.5" customHeight="1">
      <c t="s" r="A187" s="12">
        <v>190</v>
      </c>
      <c r="B187" s="13">
        <v>1102.05</v>
      </c>
      <c r="C187" s="14">
        <f>IFERROR(B187/B327, "NA")</f>
      </c>
      <c r="D187" s="15"/>
      <c r="E187" s="13">
        <v>834.19000000000005</v>
      </c>
      <c r="F187" s="14">
        <f>IFERROR(E187/E327, "NA")</f>
      </c>
      <c r="G187" s="15"/>
      <c r="H187" s="13">
        <v>1062.77</v>
      </c>
      <c r="I187" s="14">
        <f>IFERROR(H187/H327, "NA")</f>
      </c>
      <c r="J187" s="15"/>
      <c r="K187" s="13">
        <v>911.84000000000003</v>
      </c>
      <c r="L187" s="14">
        <f>IFERROR(K187/K327, "NA")</f>
      </c>
      <c r="M187" s="15"/>
      <c r="N187" s="13">
        <v>692.60000000000002</v>
      </c>
      <c r="O187" s="14">
        <f>IFERROR(N187/N327, "NA")</f>
      </c>
    </row>
    <row r="188" ht="16.5" customHeight="1">
      <c t="s" r="A188" s="12">
        <v>191</v>
      </c>
      <c r="B188" s="13">
        <v>-230.94999999999999</v>
      </c>
      <c r="C188" s="14">
        <f>IFERROR(B188/B327, "NA")</f>
      </c>
      <c r="D188" s="15"/>
      <c r="E188" s="13">
        <v>1539.26</v>
      </c>
      <c r="F188" s="14">
        <f>IFERROR(E188/E327, "NA")</f>
      </c>
      <c r="G188" s="15"/>
      <c r="H188" s="13">
        <v>0</v>
      </c>
      <c r="I188" s="14">
        <f>IFERROR(H188/H327, "NA")</f>
      </c>
      <c r="J188" s="15"/>
      <c r="K188" s="13">
        <v>2473.8000000000002</v>
      </c>
      <c r="L188" s="14">
        <f>IFERROR(K188/K327, "NA")</f>
      </c>
      <c r="M188" s="15"/>
      <c r="N188" s="13">
        <v>1086.8699999999999</v>
      </c>
      <c r="O188" s="14">
        <f>IFERROR(N188/N327, "NA")</f>
      </c>
    </row>
    <row r="189" ht="16.5" customHeight="1">
      <c t="s" r="A189" s="12">
        <v>192</v>
      </c>
      <c r="B189" s="13">
        <v>-514.39999999999998</v>
      </c>
      <c r="C189" s="14">
        <f>IFERROR(B189/B327, "NA")</f>
      </c>
      <c r="D189" s="15"/>
      <c r="E189" s="13">
        <v>-7833.2700000000004</v>
      </c>
      <c r="F189" s="14">
        <f>IFERROR(E189/E327, "NA")</f>
      </c>
      <c r="G189" s="15"/>
      <c r="H189" s="13">
        <v>2085.4499999999998</v>
      </c>
      <c r="I189" s="14">
        <f>IFERROR(H189/H327, "NA")</f>
      </c>
      <c r="J189" s="15"/>
      <c r="K189" s="13">
        <v>6280.8999999999996</v>
      </c>
      <c r="L189" s="14">
        <f>IFERROR(K189/K327, "NA")</f>
      </c>
      <c r="M189" s="15"/>
      <c r="N189" s="13">
        <v>1436.8599999999999</v>
      </c>
      <c r="O189" s="14">
        <f>IFERROR(N189/N327, "NA")</f>
      </c>
    </row>
    <row r="190" ht="16.5" customHeight="1">
      <c t="s" r="A190" s="12">
        <v>193</v>
      </c>
      <c r="B190" s="13">
        <v>0</v>
      </c>
      <c r="C190" s="14">
        <f>IFERROR(B190/B327, "NA")</f>
      </c>
      <c r="D190" s="15"/>
      <c r="E190" s="13">
        <v>0</v>
      </c>
      <c r="F190" s="14">
        <f>IFERROR(E190/E327, "NA")</f>
      </c>
      <c r="G190" s="15"/>
      <c r="H190" s="13">
        <v>0</v>
      </c>
      <c r="I190" s="14">
        <f>IFERROR(H190/H327, "NA")</f>
      </c>
      <c r="J190" s="15"/>
      <c r="K190" s="13">
        <v>0</v>
      </c>
      <c r="L190" s="14">
        <f>IFERROR(K190/K327, "NA")</f>
      </c>
      <c r="M190" s="15"/>
      <c r="N190" s="13">
        <v>0</v>
      </c>
      <c r="O190" s="14">
        <f>IFERROR(N190/N327, "NA")</f>
      </c>
    </row>
    <row r="191" ht="16.5" customHeight="1">
      <c t="s" r="A191" s="12">
        <v>194</v>
      </c>
      <c r="B191" s="13">
        <v>0</v>
      </c>
      <c r="C191" s="14">
        <f>IFERROR(B191/B327, "NA")</f>
      </c>
      <c r="D191" s="15"/>
      <c r="E191" s="13">
        <v>0</v>
      </c>
      <c r="F191" s="14">
        <f>IFERROR(E191/E327, "NA")</f>
      </c>
      <c r="G191" s="15"/>
      <c r="H191" s="13">
        <v>0</v>
      </c>
      <c r="I191" s="14">
        <f>IFERROR(H191/H327, "NA")</f>
      </c>
      <c r="J191" s="15"/>
      <c r="K191" s="13">
        <v>0</v>
      </c>
      <c r="L191" s="14">
        <f>IFERROR(K191/K327, "NA")</f>
      </c>
      <c r="M191" s="15"/>
      <c r="N191" s="13">
        <v>0</v>
      </c>
      <c r="O191" s="14">
        <f>IFERROR(N191/N327, "NA")</f>
      </c>
    </row>
    <row r="192" ht="16.5" customHeight="1">
      <c t="s" r="A192" s="12">
        <v>195</v>
      </c>
      <c r="B192" s="13">
        <v>0</v>
      </c>
      <c r="C192" s="14">
        <f>IFERROR(B192/B327, "NA")</f>
      </c>
      <c r="D192" s="15"/>
      <c r="E192" s="13">
        <v>1483</v>
      </c>
      <c r="F192" s="14">
        <f>IFERROR(E192/E327, "NA")</f>
      </c>
      <c r="G192" s="15"/>
      <c r="H192" s="13">
        <v>1168.4400000000001</v>
      </c>
      <c r="I192" s="14">
        <f>IFERROR(H192/H327, "NA")</f>
      </c>
      <c r="J192" s="15"/>
      <c r="K192" s="13">
        <v>0</v>
      </c>
      <c r="L192" s="14">
        <f>IFERROR(K192/K327, "NA")</f>
      </c>
      <c r="M192" s="15"/>
      <c r="N192" s="13">
        <v>0</v>
      </c>
      <c r="O192" s="14">
        <f>IFERROR(N192/N327, "NA")</f>
      </c>
    </row>
    <row r="193" ht="16.5" customHeight="1">
      <c t="s" r="A193" s="12">
        <v>196</v>
      </c>
      <c r="B193" s="13">
        <v>0</v>
      </c>
      <c r="C193" s="14">
        <f>IFERROR(B193/B327, "NA")</f>
      </c>
      <c r="D193" s="15"/>
      <c r="E193" s="13">
        <v>23464.700000000001</v>
      </c>
      <c r="F193" s="14">
        <f>IFERROR(E193/E327, "NA")</f>
      </c>
      <c r="G193" s="15"/>
      <c r="H193" s="13">
        <v>13185.85</v>
      </c>
      <c r="I193" s="14">
        <f>IFERROR(H193/H327, "NA")</f>
      </c>
      <c r="J193" s="15"/>
      <c r="K193" s="13">
        <v>15410.85</v>
      </c>
      <c r="L193" s="14">
        <f>IFERROR(K193/K327, "NA")</f>
      </c>
      <c r="M193" s="15"/>
      <c r="N193" s="13">
        <v>12610.85</v>
      </c>
      <c r="O193" s="14">
        <f>IFERROR(N193/N327, "NA")</f>
      </c>
    </row>
    <row r="194" ht="16.5" customHeight="1">
      <c t="s" r="A194" s="12">
        <v>197</v>
      </c>
      <c r="B194" s="13">
        <v>0</v>
      </c>
      <c r="C194" s="14">
        <f>IFERROR(B194/B327, "NA")</f>
      </c>
      <c r="D194" s="15"/>
      <c r="E194" s="13">
        <v>0</v>
      </c>
      <c r="F194" s="14">
        <f>IFERROR(E194/E327, "NA")</f>
      </c>
      <c r="G194" s="15"/>
      <c r="H194" s="13">
        <v>0</v>
      </c>
      <c r="I194" s="14">
        <f>IFERROR(H194/H327, "NA")</f>
      </c>
      <c r="J194" s="15"/>
      <c r="K194" s="13">
        <v>0</v>
      </c>
      <c r="L194" s="14">
        <f>IFERROR(K194/K327, "NA")</f>
      </c>
      <c r="M194" s="15"/>
      <c r="N194" s="13">
        <v>0</v>
      </c>
      <c r="O194" s="14">
        <f>IFERROR(N194/N327, "NA")</f>
      </c>
    </row>
    <row r="195" ht="16.5" customHeight="1">
      <c t="s" r="A195" s="12">
        <v>198</v>
      </c>
      <c r="B195" s="13">
        <v>0</v>
      </c>
      <c r="C195" s="14">
        <f>IFERROR(B195/B327, "NA")</f>
      </c>
      <c r="D195" s="15"/>
      <c r="E195" s="13">
        <v>529.20000000000005</v>
      </c>
      <c r="F195" s="14">
        <f>IFERROR(E195/E327, "NA")</f>
      </c>
      <c r="G195" s="15"/>
      <c r="H195" s="13">
        <v>0</v>
      </c>
      <c r="I195" s="14">
        <f>IFERROR(H195/H327, "NA")</f>
      </c>
      <c r="J195" s="15"/>
      <c r="K195" s="13">
        <v>0</v>
      </c>
      <c r="L195" s="14">
        <f>IFERROR(K195/K327, "NA")</f>
      </c>
      <c r="M195" s="15"/>
      <c r="N195" s="13">
        <v>585</v>
      </c>
      <c r="O195" s="14">
        <f>IFERROR(N195/N327, "NA")</f>
      </c>
    </row>
    <row r="196" ht="16.5" customHeight="1">
      <c t="s" r="A196" s="12">
        <v>199</v>
      </c>
      <c r="B196" s="13">
        <v>14158.870000000001</v>
      </c>
      <c r="C196" s="14">
        <f>IFERROR(B196/B327, "NA")</f>
      </c>
      <c r="D196" s="15"/>
      <c r="E196" s="13">
        <v>28883.950000000001</v>
      </c>
      <c r="F196" s="14">
        <f>IFERROR(E196/E327, "NA")</f>
      </c>
      <c r="G196" s="15"/>
      <c r="H196" s="13">
        <v>18686.549999999999</v>
      </c>
      <c r="I196" s="14">
        <f>IFERROR(H196/H327, "NA")</f>
      </c>
      <c r="J196" s="15"/>
      <c r="K196" s="13">
        <v>27874.310000000001</v>
      </c>
      <c r="L196" s="14">
        <f>IFERROR(K196/K327, "NA")</f>
      </c>
      <c r="M196" s="15"/>
      <c r="N196" s="13">
        <v>21360.330000000002</v>
      </c>
      <c r="O196" s="14">
        <f>IFERROR(N196/N327, "NA")</f>
      </c>
    </row>
    <row r="197" ht="16.5" customHeight="1">
      <c t="s" r="A197" s="12">
        <v>200</v>
      </c>
      <c r="B197" s="13">
        <v>0</v>
      </c>
      <c r="C197" s="14">
        <f>IFERROR(B197/B327, "NA")</f>
      </c>
      <c r="D197" s="15"/>
      <c r="E197" s="13">
        <v>0</v>
      </c>
      <c r="F197" s="14">
        <f>IFERROR(E197/E327, "NA")</f>
      </c>
      <c r="G197" s="15"/>
      <c r="H197" s="13">
        <v>0</v>
      </c>
      <c r="I197" s="14">
        <f>IFERROR(H197/H327, "NA")</f>
      </c>
      <c r="J197" s="15"/>
      <c r="K197" s="13">
        <v>0</v>
      </c>
      <c r="L197" s="14">
        <f>IFERROR(K197/K327, "NA")</f>
      </c>
      <c r="M197" s="15"/>
      <c r="N197" s="13">
        <v>0</v>
      </c>
      <c r="O197" s="14">
        <f>IFERROR(N197/N327, "NA")</f>
      </c>
    </row>
    <row r="198" ht="16.5" customHeight="1">
      <c t="s" r="A198" s="12">
        <v>201</v>
      </c>
      <c r="B198" s="13">
        <v>0</v>
      </c>
      <c r="C198" s="14">
        <f>IFERROR(B198/B327, "NA")</f>
      </c>
      <c r="D198" s="15"/>
      <c r="E198" s="13">
        <v>0</v>
      </c>
      <c r="F198" s="14">
        <f>IFERROR(E198/E327, "NA")</f>
      </c>
      <c r="G198" s="15"/>
      <c r="H198" s="13">
        <v>0</v>
      </c>
      <c r="I198" s="14">
        <f>IFERROR(H198/H327, "NA")</f>
      </c>
      <c r="J198" s="15"/>
      <c r="K198" s="13">
        <v>0</v>
      </c>
      <c r="L198" s="14">
        <f>IFERROR(K198/K327, "NA")</f>
      </c>
      <c r="M198" s="15"/>
      <c r="N198" s="13">
        <v>0</v>
      </c>
      <c r="O198" s="14">
        <f>IFERROR(N198/N327, "NA")</f>
      </c>
    </row>
    <row r="199" ht="16.5" customHeight="1">
      <c t="s" r="A199" s="12">
        <v>202</v>
      </c>
      <c r="B199" s="13">
        <v>0</v>
      </c>
      <c r="C199" s="14">
        <f>IFERROR(B199/B327, "NA")</f>
      </c>
      <c r="D199" s="15"/>
      <c r="E199" s="13">
        <v>0</v>
      </c>
      <c r="F199" s="14">
        <f>IFERROR(E199/E327, "NA")</f>
      </c>
      <c r="G199" s="15"/>
      <c r="H199" s="13">
        <v>0</v>
      </c>
      <c r="I199" s="14">
        <f>IFERROR(H199/H327, "NA")</f>
      </c>
      <c r="J199" s="15"/>
      <c r="K199" s="13">
        <v>0</v>
      </c>
      <c r="L199" s="14">
        <f>IFERROR(K199/K327, "NA")</f>
      </c>
      <c r="M199" s="15"/>
      <c r="N199" s="13">
        <v>0</v>
      </c>
      <c r="O199" s="14">
        <f>IFERROR(N199/N327, "NA")</f>
      </c>
    </row>
    <row r="200" ht="16.5" customHeight="1">
      <c t="s" r="A200" s="12">
        <v>203</v>
      </c>
      <c r="B200" s="13">
        <v>0</v>
      </c>
      <c r="C200" s="14">
        <f>IFERROR(B200/B327, "NA")</f>
      </c>
      <c r="D200" s="15"/>
      <c r="E200" s="13">
        <v>0</v>
      </c>
      <c r="F200" s="14">
        <f>IFERROR(E200/E327, "NA")</f>
      </c>
      <c r="G200" s="15"/>
      <c r="H200" s="13">
        <v>0</v>
      </c>
      <c r="I200" s="14">
        <f>IFERROR(H200/H327, "NA")</f>
      </c>
      <c r="J200" s="15"/>
      <c r="K200" s="13">
        <v>0</v>
      </c>
      <c r="L200" s="14">
        <f>IFERROR(K200/K327, "NA")</f>
      </c>
      <c r="M200" s="15"/>
      <c r="N200" s="13">
        <v>0</v>
      </c>
      <c r="O200" s="14">
        <f>IFERROR(N200/N327, "NA")</f>
      </c>
    </row>
    <row r="201" ht="16.5" customHeight="1">
      <c t="s" r="A201" s="12">
        <v>204</v>
      </c>
      <c r="B201" s="13">
        <v>0</v>
      </c>
      <c r="C201" s="14">
        <f>IFERROR(B201/B327, "NA")</f>
      </c>
      <c r="D201" s="15"/>
      <c r="E201" s="13">
        <v>0</v>
      </c>
      <c r="F201" s="14">
        <f>IFERROR(E201/E327, "NA")</f>
      </c>
      <c r="G201" s="15"/>
      <c r="H201" s="13">
        <v>0</v>
      </c>
      <c r="I201" s="14">
        <f>IFERROR(H201/H327, "NA")</f>
      </c>
      <c r="J201" s="15"/>
      <c r="K201" s="13">
        <v>303.18000000000001</v>
      </c>
      <c r="L201" s="14">
        <f>IFERROR(K201/K327, "NA")</f>
      </c>
      <c r="M201" s="15"/>
      <c r="N201" s="13">
        <v>0</v>
      </c>
      <c r="O201" s="14">
        <f>IFERROR(N201/N327, "NA")</f>
      </c>
    </row>
    <row r="202" ht="16.5" customHeight="1">
      <c t="s" r="A202" s="12">
        <v>205</v>
      </c>
      <c r="B202" s="13">
        <v>0</v>
      </c>
      <c r="C202" s="14">
        <f>IFERROR(B202/B327, "NA")</f>
      </c>
      <c r="D202" s="15"/>
      <c r="E202" s="13">
        <v>0</v>
      </c>
      <c r="F202" s="14">
        <f>IFERROR(E202/E327, "NA")</f>
      </c>
      <c r="G202" s="15"/>
      <c r="H202" s="13">
        <v>0</v>
      </c>
      <c r="I202" s="14">
        <f>IFERROR(H202/H327, "NA")</f>
      </c>
      <c r="J202" s="15"/>
      <c r="K202" s="13">
        <v>0</v>
      </c>
      <c r="L202" s="14">
        <f>IFERROR(K202/K327, "NA")</f>
      </c>
      <c r="M202" s="15"/>
      <c r="N202" s="13">
        <v>0</v>
      </c>
      <c r="O202" s="14">
        <f>IFERROR(N202/N327, "NA")</f>
      </c>
    </row>
    <row r="203" ht="16.5" customHeight="1">
      <c t="s" r="A203" s="12">
        <v>206</v>
      </c>
      <c r="B203" s="13">
        <v>0</v>
      </c>
      <c r="C203" s="14">
        <f>IFERROR(B203/B327, "NA")</f>
      </c>
      <c r="D203" s="15"/>
      <c r="E203" s="13">
        <v>0</v>
      </c>
      <c r="F203" s="14">
        <f>IFERROR(E203/E327, "NA")</f>
      </c>
      <c r="G203" s="15"/>
      <c r="H203" s="13">
        <v>0</v>
      </c>
      <c r="I203" s="14">
        <f>IFERROR(H203/H327, "NA")</f>
      </c>
      <c r="J203" s="15"/>
      <c r="K203" s="13">
        <v>0</v>
      </c>
      <c r="L203" s="14">
        <f>IFERROR(K203/K327, "NA")</f>
      </c>
      <c r="M203" s="15"/>
      <c r="N203" s="13">
        <v>0</v>
      </c>
      <c r="O203" s="14">
        <f>IFERROR(N203/N327, "NA")</f>
      </c>
    </row>
    <row r="204" ht="16.5" customHeight="1">
      <c t="s" r="A204" s="12">
        <v>207</v>
      </c>
      <c r="B204" s="13">
        <v>0</v>
      </c>
      <c r="C204" s="14">
        <f>IFERROR(B204/B327, "NA")</f>
      </c>
      <c r="D204" s="15"/>
      <c r="E204" s="13">
        <v>0</v>
      </c>
      <c r="F204" s="14">
        <f>IFERROR(E204/E327, "NA")</f>
      </c>
      <c r="G204" s="15"/>
      <c r="H204" s="13">
        <v>0</v>
      </c>
      <c r="I204" s="14">
        <f>IFERROR(H204/H327, "NA")</f>
      </c>
      <c r="J204" s="15"/>
      <c r="K204" s="13">
        <v>0</v>
      </c>
      <c r="L204" s="14">
        <f>IFERROR(K204/K327, "NA")</f>
      </c>
      <c r="M204" s="15"/>
      <c r="N204" s="13">
        <v>0</v>
      </c>
      <c r="O204" s="14">
        <f>IFERROR(N204/N327, "NA")</f>
      </c>
    </row>
    <row r="205" ht="16.5" customHeight="1">
      <c t="s" r="A205" s="12">
        <v>208</v>
      </c>
      <c r="B205" s="13">
        <v>0</v>
      </c>
      <c r="C205" s="14">
        <f>IFERROR(B205/B327, "NA")</f>
      </c>
      <c r="D205" s="15"/>
      <c r="E205" s="13">
        <v>0</v>
      </c>
      <c r="F205" s="14">
        <f>IFERROR(E205/E327, "NA")</f>
      </c>
      <c r="G205" s="15"/>
      <c r="H205" s="13">
        <v>0</v>
      </c>
      <c r="I205" s="14">
        <f>IFERROR(H205/H327, "NA")</f>
      </c>
      <c r="J205" s="15"/>
      <c r="K205" s="13">
        <v>0</v>
      </c>
      <c r="L205" s="14">
        <f>IFERROR(K205/K327, "NA")</f>
      </c>
      <c r="M205" s="15"/>
      <c r="N205" s="13">
        <v>0</v>
      </c>
      <c r="O205" s="14">
        <f>IFERROR(N205/N327, "NA")</f>
      </c>
    </row>
    <row r="206" ht="16.5" customHeight="1">
      <c t="s" r="A206" s="12">
        <v>209</v>
      </c>
      <c r="B206" s="13">
        <v>0</v>
      </c>
      <c r="C206" s="14">
        <f>IFERROR(B206/B327, "NA")</f>
      </c>
      <c r="D206" s="15"/>
      <c r="E206" s="13">
        <v>0</v>
      </c>
      <c r="F206" s="14">
        <f>IFERROR(E206/E327, "NA")</f>
      </c>
      <c r="G206" s="15"/>
      <c r="H206" s="13">
        <v>0</v>
      </c>
      <c r="I206" s="14">
        <f>IFERROR(H206/H327, "NA")</f>
      </c>
      <c r="J206" s="15"/>
      <c r="K206" s="13">
        <v>0</v>
      </c>
      <c r="L206" s="14">
        <f>IFERROR(K206/K327, "NA")</f>
      </c>
      <c r="M206" s="15"/>
      <c r="N206" s="13">
        <v>0</v>
      </c>
      <c r="O206" s="14">
        <f>IFERROR(N206/N327, "NA")</f>
      </c>
    </row>
    <row r="207" ht="16.5" customHeight="1">
      <c t="s" r="A207" s="12">
        <v>210</v>
      </c>
      <c r="B207" s="13">
        <v>0</v>
      </c>
      <c r="C207" s="14">
        <f>IFERROR(B207/B327, "NA")</f>
      </c>
      <c r="D207" s="15"/>
      <c r="E207" s="13">
        <v>0</v>
      </c>
      <c r="F207" s="14">
        <f>IFERROR(E207/E327, "NA")</f>
      </c>
      <c r="G207" s="15"/>
      <c r="H207" s="13">
        <v>0</v>
      </c>
      <c r="I207" s="14">
        <f>IFERROR(H207/H327, "NA")</f>
      </c>
      <c r="J207" s="15"/>
      <c r="K207" s="13">
        <v>0</v>
      </c>
      <c r="L207" s="14">
        <f>IFERROR(K207/K327, "NA")</f>
      </c>
      <c r="M207" s="15"/>
      <c r="N207" s="13">
        <v>0</v>
      </c>
      <c r="O207" s="14">
        <f>IFERROR(N207/N327, "NA")</f>
      </c>
    </row>
    <row r="208" ht="16.5" customHeight="1">
      <c t="s" r="A208" s="12">
        <v>211</v>
      </c>
      <c r="B208" s="13">
        <v>0</v>
      </c>
      <c r="C208" s="14">
        <f>IFERROR(B208/B327, "NA")</f>
      </c>
      <c r="D208" s="15"/>
      <c r="E208" s="13">
        <v>0</v>
      </c>
      <c r="F208" s="14">
        <f>IFERROR(E208/E327, "NA")</f>
      </c>
      <c r="G208" s="15"/>
      <c r="H208" s="13">
        <v>0</v>
      </c>
      <c r="I208" s="14">
        <f>IFERROR(H208/H327, "NA")</f>
      </c>
      <c r="J208" s="15"/>
      <c r="K208" s="13">
        <v>0</v>
      </c>
      <c r="L208" s="14">
        <f>IFERROR(K208/K327, "NA")</f>
      </c>
      <c r="M208" s="15"/>
      <c r="N208" s="13">
        <v>0</v>
      </c>
      <c r="O208" s="14">
        <f>IFERROR(N208/N327, "NA")</f>
      </c>
    </row>
    <row r="209" ht="16.5" customHeight="1">
      <c t="s" r="A209" s="16">
        <v>212</v>
      </c>
      <c r="B209" s="17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</c>
      <c r="C209" s="18">
        <f>IFERROR(B209/B327, "NA")</f>
      </c>
      <c r="D209" s="8"/>
      <c r="E209" s="17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</c>
      <c r="F209" s="18">
        <f>IFERROR(E209/E327, "NA")</f>
      </c>
      <c r="G209" s="8"/>
      <c r="H209" s="17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</c>
      <c r="I209" s="18">
        <f>IFERROR(H209/H327, "NA")</f>
      </c>
      <c r="J209" s="8"/>
      <c r="K209" s="17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</c>
      <c r="L209" s="18">
        <f>IFERROR(K209/K327, "NA")</f>
      </c>
      <c r="M209" s="8"/>
      <c r="N209" s="17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</c>
      <c r="O209" s="18">
        <f>IFERROR(N209/N327, "NA")</f>
      </c>
    </row>
    <row r="210" ht="16.5" customHeight="1">
      <c t="s" r="A210" s="19">
        <v>213</v>
      </c>
      <c r="B210" s="13">
        <v>0</v>
      </c>
      <c r="C210" s="14">
        <f>IFERROR(B210/B327, "NA")</f>
      </c>
      <c r="D210" s="15"/>
      <c r="E210" s="13">
        <v>0</v>
      </c>
      <c r="F210" s="14">
        <f>IFERROR(E210/E327, "NA")</f>
      </c>
      <c r="G210" s="15"/>
      <c r="H210" s="13">
        <v>0</v>
      </c>
      <c r="I210" s="14">
        <f>IFERROR(H210/H327, "NA")</f>
      </c>
      <c r="J210" s="15"/>
      <c r="K210" s="13">
        <v>0</v>
      </c>
      <c r="L210" s="14">
        <f>IFERROR(K210/K327, "NA")</f>
      </c>
      <c r="M210" s="15"/>
      <c r="N210" s="13">
        <v>0</v>
      </c>
      <c r="O210" s="14">
        <f>IFERROR(N210/N327, "NA")</f>
      </c>
    </row>
    <row r="211" ht="16.5" customHeight="1">
      <c t="s" r="A211" s="20">
        <v>214</v>
      </c>
      <c r="B211" s="17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</c>
      <c r="C211" s="18">
        <f>IFERROR(B211/B327, "NA")</f>
      </c>
      <c r="D211" s="8"/>
      <c r="E211" s="17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</c>
      <c r="F211" s="18">
        <f>IFERROR(E211/E327, "NA")</f>
      </c>
      <c r="G211" s="8"/>
      <c r="H211" s="17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</c>
      <c r="I211" s="18">
        <f>IFERROR(H211/H327, "NA")</f>
      </c>
      <c r="J211" s="8"/>
      <c r="K211" s="17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</c>
      <c r="L211" s="18">
        <f>IFERROR(K211/K327, "NA")</f>
      </c>
      <c r="M211" s="8"/>
      <c r="N211" s="17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</c>
      <c r="O211" s="18">
        <f>IFERROR(N211/N327, "NA")</f>
      </c>
    </row>
    <row r="212" ht="16.5" customHeight="1">
      <c t="s" r="A212" s="7">
        <v>215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</row>
    <row r="213" ht="16.5" customHeight="1">
      <c t="s" r="A213" s="11">
        <v>216</v>
      </c>
      <c r="B213" s="8"/>
      <c r="C213" s="9"/>
      <c r="D213" s="10"/>
      <c r="E213" s="8"/>
      <c r="F213" s="9"/>
      <c r="G213" s="10"/>
      <c r="H213" s="8"/>
      <c r="I213" s="9"/>
      <c r="J213" s="10"/>
      <c r="K213" s="8"/>
      <c r="L213" s="9"/>
      <c r="M213" s="10"/>
      <c r="N213" s="8"/>
      <c r="O213" s="9"/>
    </row>
    <row r="214" ht="16.5" customHeight="1">
      <c t="s" r="A214" s="12">
        <v>217</v>
      </c>
      <c r="B214" s="13">
        <v>0</v>
      </c>
      <c r="C214" s="14">
        <f>IFERROR(B214/B327, "NA")</f>
      </c>
      <c r="D214" s="15"/>
      <c r="E214" s="13">
        <v>0</v>
      </c>
      <c r="F214" s="14">
        <f>IFERROR(E214/E327, "NA")</f>
      </c>
      <c r="G214" s="15"/>
      <c r="H214" s="13">
        <v>0</v>
      </c>
      <c r="I214" s="14">
        <f>IFERROR(H214/H327, "NA")</f>
      </c>
      <c r="J214" s="15"/>
      <c r="K214" s="13">
        <v>0</v>
      </c>
      <c r="L214" s="14">
        <f>IFERROR(K214/K327, "NA")</f>
      </c>
      <c r="M214" s="15"/>
      <c r="N214" s="13">
        <v>0</v>
      </c>
      <c r="O214" s="14">
        <f>IFERROR(N214/N327, "NA")</f>
      </c>
    </row>
    <row r="215" ht="16.5" customHeight="1">
      <c t="s" r="A215" s="12">
        <v>218</v>
      </c>
      <c r="B215" s="13">
        <v>2610.9000000000001</v>
      </c>
      <c r="C215" s="14">
        <f>IFERROR(B215/B327, "NA")</f>
      </c>
      <c r="D215" s="15"/>
      <c r="E215" s="13">
        <v>12056.01</v>
      </c>
      <c r="F215" s="14">
        <f>IFERROR(E215/E327, "NA")</f>
      </c>
      <c r="G215" s="15"/>
      <c r="H215" s="13">
        <v>12843.32</v>
      </c>
      <c r="I215" s="14">
        <f>IFERROR(H215/H327, "NA")</f>
      </c>
      <c r="J215" s="15"/>
      <c r="K215" s="13">
        <v>10261.290000000001</v>
      </c>
      <c r="L215" s="14">
        <f>IFERROR(K215/K327, "NA")</f>
      </c>
      <c r="M215" s="15"/>
      <c r="N215" s="13">
        <v>10952.610000000001</v>
      </c>
      <c r="O215" s="14">
        <f>IFERROR(N215/N327, "NA")</f>
      </c>
    </row>
    <row r="216" ht="16.5" customHeight="1">
      <c t="s" r="A216" s="12">
        <v>219</v>
      </c>
      <c r="B216" s="13">
        <v>0</v>
      </c>
      <c r="C216" s="14">
        <f>IFERROR(B216/B327, "NA")</f>
      </c>
      <c r="D216" s="15"/>
      <c r="E216" s="13">
        <v>15.25</v>
      </c>
      <c r="F216" s="14">
        <f>IFERROR(E216/E327, "NA")</f>
      </c>
      <c r="G216" s="15"/>
      <c r="H216" s="13">
        <v>118.95</v>
      </c>
      <c r="I216" s="14">
        <f>IFERROR(H216/H327, "NA")</f>
      </c>
      <c r="J216" s="15"/>
      <c r="K216" s="13">
        <v>140</v>
      </c>
      <c r="L216" s="14">
        <f>IFERROR(K216/K327, "NA")</f>
      </c>
      <c r="M216" s="15"/>
      <c r="N216" s="13">
        <v>15.15</v>
      </c>
      <c r="O216" s="14">
        <f>IFERROR(N216/N327, "NA")</f>
      </c>
    </row>
    <row r="217" ht="16.5" customHeight="1">
      <c t="s" r="A217" s="12">
        <v>220</v>
      </c>
      <c r="B217" s="13">
        <v>-431.92000000000002</v>
      </c>
      <c r="C217" s="14">
        <f>IFERROR(B217/B327, "NA")</f>
      </c>
      <c r="D217" s="15"/>
      <c r="E217" s="13">
        <v>2053.5599999999999</v>
      </c>
      <c r="F217" s="14">
        <f>IFERROR(E217/E327, "NA")</f>
      </c>
      <c r="G217" s="15"/>
      <c r="H217" s="13">
        <v>635.90999999999997</v>
      </c>
      <c r="I217" s="14">
        <f>IFERROR(H217/H327, "NA")</f>
      </c>
      <c r="J217" s="15"/>
      <c r="K217" s="13">
        <v>2651.8299999999999</v>
      </c>
      <c r="L217" s="14">
        <f>IFERROR(K217/K327, "NA")</f>
      </c>
      <c r="M217" s="15"/>
      <c r="N217" s="13">
        <v>2144.5</v>
      </c>
      <c r="O217" s="14">
        <f>IFERROR(N217/N327, "NA")</f>
      </c>
    </row>
    <row r="218" ht="16.5" customHeight="1">
      <c t="s" r="A218" s="12">
        <v>221</v>
      </c>
      <c r="B218" s="13">
        <v>0</v>
      </c>
      <c r="C218" s="14">
        <f>IFERROR(B218/B327, "NA")</f>
      </c>
      <c r="D218" s="15"/>
      <c r="E218" s="13">
        <v>0</v>
      </c>
      <c r="F218" s="14">
        <f>IFERROR(E218/E327, "NA")</f>
      </c>
      <c r="G218" s="15"/>
      <c r="H218" s="13">
        <v>0</v>
      </c>
      <c r="I218" s="14">
        <f>IFERROR(H218/H327, "NA")</f>
      </c>
      <c r="J218" s="15"/>
      <c r="K218" s="13">
        <v>0</v>
      </c>
      <c r="L218" s="14">
        <f>IFERROR(K218/K327, "NA")</f>
      </c>
      <c r="M218" s="15"/>
      <c r="N218" s="13">
        <v>0</v>
      </c>
      <c r="O218" s="14">
        <f>IFERROR(N218/N327, "NA")</f>
      </c>
    </row>
    <row r="219" ht="16.5" customHeight="1">
      <c t="s" r="A219" s="12">
        <v>222</v>
      </c>
      <c r="B219" s="13">
        <v>6847.3800000000001</v>
      </c>
      <c r="C219" s="14">
        <f>IFERROR(B219/B327, "NA")</f>
      </c>
      <c r="D219" s="15"/>
      <c r="E219" s="13">
        <v>11639.07</v>
      </c>
      <c r="F219" s="14">
        <f>IFERROR(E219/E327, "NA")</f>
      </c>
      <c r="G219" s="15"/>
      <c r="H219" s="13">
        <v>10545</v>
      </c>
      <c r="I219" s="14">
        <f>IFERROR(H219/H327, "NA")</f>
      </c>
      <c r="J219" s="15"/>
      <c r="K219" s="13">
        <v>10449.68</v>
      </c>
      <c r="L219" s="14">
        <f>IFERROR(K219/K327, "NA")</f>
      </c>
      <c r="M219" s="15"/>
      <c r="N219" s="13">
        <v>0</v>
      </c>
      <c r="O219" s="14">
        <f>IFERROR(N219/N327, "NA")</f>
      </c>
    </row>
    <row r="220" ht="16.5" customHeight="1">
      <c t="s" r="A220" s="12">
        <v>223</v>
      </c>
      <c r="B220" s="13">
        <v>-28.48</v>
      </c>
      <c r="C220" s="14">
        <f>IFERROR(B220/B327, "NA")</f>
      </c>
      <c r="D220" s="15"/>
      <c r="E220" s="13">
        <v>273.06</v>
      </c>
      <c r="F220" s="14">
        <f>IFERROR(E220/E327, "NA")</f>
      </c>
      <c r="G220" s="15"/>
      <c r="H220" s="13">
        <v>26.629999999999999</v>
      </c>
      <c r="I220" s="14">
        <f>IFERROR(H220/H327, "NA")</f>
      </c>
      <c r="J220" s="15"/>
      <c r="K220" s="13">
        <v>234.84999999999999</v>
      </c>
      <c r="L220" s="14">
        <f>IFERROR(K220/K327, "NA")</f>
      </c>
      <c r="M220" s="15"/>
      <c r="N220" s="13">
        <v>364.02999999999997</v>
      </c>
      <c r="O220" s="14">
        <f>IFERROR(N220/N327, "NA")</f>
      </c>
    </row>
    <row r="221" ht="16.5" customHeight="1">
      <c t="s" r="A221" s="12">
        <v>224</v>
      </c>
      <c r="B221" s="13">
        <v>5408.4799999999996</v>
      </c>
      <c r="C221" s="14">
        <f>IFERROR(B221/B327, "NA")</f>
      </c>
      <c r="D221" s="15"/>
      <c r="E221" s="13">
        <v>5209.8299999999999</v>
      </c>
      <c r="F221" s="14">
        <f>IFERROR(E221/E327, "NA")</f>
      </c>
      <c r="G221" s="15"/>
      <c r="H221" s="13">
        <v>0</v>
      </c>
      <c r="I221" s="14">
        <f>IFERROR(H221/H327, "NA")</f>
      </c>
      <c r="J221" s="15"/>
      <c r="K221" s="13">
        <v>5408.4799999999996</v>
      </c>
      <c r="L221" s="14">
        <f>IFERROR(K221/K327, "NA")</f>
      </c>
      <c r="M221" s="15"/>
      <c r="N221" s="13">
        <v>1190</v>
      </c>
      <c r="O221" s="14">
        <f>IFERROR(N221/N327, "NA")</f>
      </c>
    </row>
    <row r="222" ht="16.5" customHeight="1">
      <c t="s" r="A222" s="12">
        <v>225</v>
      </c>
      <c r="B222" s="13">
        <v>0</v>
      </c>
      <c r="C222" s="14">
        <f>IFERROR(B222/B327, "NA")</f>
      </c>
      <c r="D222" s="15"/>
      <c r="E222" s="13">
        <v>0</v>
      </c>
      <c r="F222" s="14">
        <f>IFERROR(E222/E327, "NA")</f>
      </c>
      <c r="G222" s="15"/>
      <c r="H222" s="13">
        <v>2.5699999999999998</v>
      </c>
      <c r="I222" s="14">
        <f>IFERROR(H222/H327, "NA")</f>
      </c>
      <c r="J222" s="15"/>
      <c r="K222" s="13">
        <v>25.870000000000001</v>
      </c>
      <c r="L222" s="14">
        <f>IFERROR(K222/K327, "NA")</f>
      </c>
      <c r="M222" s="15"/>
      <c r="N222" s="13">
        <v>0</v>
      </c>
      <c r="O222" s="14">
        <f>IFERROR(N222/N327, "NA")</f>
      </c>
    </row>
    <row r="223" ht="16.5" customHeight="1">
      <c t="s" r="A223" s="12">
        <v>226</v>
      </c>
      <c r="B223" s="13">
        <v>-307.70999999999998</v>
      </c>
      <c r="C223" s="14">
        <f>IFERROR(B223/B327, "NA")</f>
      </c>
      <c r="D223" s="15"/>
      <c r="E223" s="13">
        <v>0</v>
      </c>
      <c r="F223" s="14">
        <f>IFERROR(E223/E327, "NA")</f>
      </c>
      <c r="G223" s="15"/>
      <c r="H223" s="13">
        <v>0</v>
      </c>
      <c r="I223" s="14">
        <f>IFERROR(H223/H327, "NA")</f>
      </c>
      <c r="J223" s="15"/>
      <c r="K223" s="13">
        <v>42.950000000000003</v>
      </c>
      <c r="L223" s="14">
        <f>IFERROR(K223/K327, "NA")</f>
      </c>
      <c r="M223" s="15"/>
      <c r="N223" s="13">
        <v>0</v>
      </c>
      <c r="O223" s="14">
        <f>IFERROR(N223/N327, "NA")</f>
      </c>
    </row>
    <row r="224" ht="16.5" customHeight="1">
      <c t="s" r="A224" s="12">
        <v>227</v>
      </c>
      <c r="B224" s="13">
        <v>0</v>
      </c>
      <c r="C224" s="14">
        <f>IFERROR(B224/B327, "NA")</f>
      </c>
      <c r="D224" s="15"/>
      <c r="E224" s="13">
        <v>0</v>
      </c>
      <c r="F224" s="14">
        <f>IFERROR(E224/E327, "NA")</f>
      </c>
      <c r="G224" s="15"/>
      <c r="H224" s="13">
        <v>0</v>
      </c>
      <c r="I224" s="14">
        <f>IFERROR(H224/H327, "NA")</f>
      </c>
      <c r="J224" s="15"/>
      <c r="K224" s="13">
        <v>0</v>
      </c>
      <c r="L224" s="14">
        <f>IFERROR(K224/K327, "NA")</f>
      </c>
      <c r="M224" s="15"/>
      <c r="N224" s="13">
        <v>0</v>
      </c>
      <c r="O224" s="14">
        <f>IFERROR(N224/N327, "NA")</f>
      </c>
    </row>
    <row r="225" ht="16.5" customHeight="1">
      <c t="s" r="A225" s="12">
        <v>228</v>
      </c>
      <c r="B225" s="13">
        <v>1875</v>
      </c>
      <c r="C225" s="14">
        <f>IFERROR(B225/B327, "NA")</f>
      </c>
      <c r="D225" s="15"/>
      <c r="E225" s="13">
        <v>0</v>
      </c>
      <c r="F225" s="14">
        <f>IFERROR(E225/E327, "NA")</f>
      </c>
      <c r="G225" s="15"/>
      <c r="H225" s="13">
        <v>0</v>
      </c>
      <c r="I225" s="14">
        <f>IFERROR(H225/H327, "NA")</f>
      </c>
      <c r="J225" s="15"/>
      <c r="K225" s="13">
        <v>0</v>
      </c>
      <c r="L225" s="14">
        <f>IFERROR(K225/K327, "NA")</f>
      </c>
      <c r="M225" s="15"/>
      <c r="N225" s="13">
        <v>0</v>
      </c>
      <c r="O225" s="14">
        <f>IFERROR(N225/N327, "NA")</f>
      </c>
    </row>
    <row r="226" ht="16.5" customHeight="1">
      <c t="s" r="A226" s="12">
        <v>229</v>
      </c>
      <c r="B226" s="13">
        <v>-32.729999999999997</v>
      </c>
      <c r="C226" s="14">
        <f>IFERROR(B226/B327, "NA")</f>
      </c>
      <c r="D226" s="15"/>
      <c r="E226" s="13">
        <v>2.8599999999999999</v>
      </c>
      <c r="F226" s="14">
        <f>IFERROR(E226/E327, "NA")</f>
      </c>
      <c r="G226" s="15"/>
      <c r="H226" s="13">
        <v>-9.3499999999999996</v>
      </c>
      <c r="I226" s="14">
        <f>IFERROR(H226/H327, "NA")</f>
      </c>
      <c r="J226" s="15"/>
      <c r="K226" s="13">
        <v>-126.19</v>
      </c>
      <c r="L226" s="14">
        <f>IFERROR(K226/K327, "NA")</f>
      </c>
      <c r="M226" s="15"/>
      <c r="N226" s="13">
        <v>16.079999999999998</v>
      </c>
      <c r="O226" s="14">
        <f>IFERROR(N226/N327, "NA")</f>
      </c>
    </row>
    <row r="227" ht="16.5" customHeight="1">
      <c t="s" r="A227" s="12">
        <v>230</v>
      </c>
      <c r="B227" s="13">
        <v>0</v>
      </c>
      <c r="C227" s="14">
        <f>IFERROR(B227/B327, "NA")</f>
      </c>
      <c r="D227" s="15"/>
      <c r="E227" s="13">
        <v>0</v>
      </c>
      <c r="F227" s="14">
        <f>IFERROR(E227/E327, "NA")</f>
      </c>
      <c r="G227" s="15"/>
      <c r="H227" s="13">
        <v>0</v>
      </c>
      <c r="I227" s="14">
        <f>IFERROR(H227/H327, "NA")</f>
      </c>
      <c r="J227" s="15"/>
      <c r="K227" s="13">
        <v>-106.3</v>
      </c>
      <c r="L227" s="14">
        <f>IFERROR(K227/K327, "NA")</f>
      </c>
      <c r="M227" s="15"/>
      <c r="N227" s="13">
        <v>0</v>
      </c>
      <c r="O227" s="14">
        <f>IFERROR(N227/N327, "NA")</f>
      </c>
    </row>
    <row r="228" ht="16.5" customHeight="1">
      <c t="s" r="A228" s="12">
        <v>231</v>
      </c>
      <c r="B228" s="13">
        <v>347.29000000000002</v>
      </c>
      <c r="C228" s="14">
        <f>IFERROR(B228/B327, "NA")</f>
      </c>
      <c r="D228" s="15"/>
      <c r="E228" s="13">
        <v>0</v>
      </c>
      <c r="F228" s="14">
        <f>IFERROR(E228/E327, "NA")</f>
      </c>
      <c r="G228" s="15"/>
      <c r="H228" s="13">
        <v>500</v>
      </c>
      <c r="I228" s="14">
        <f>IFERROR(H228/H327, "NA")</f>
      </c>
      <c r="J228" s="15"/>
      <c r="K228" s="13">
        <v>69.609999999999999</v>
      </c>
      <c r="L228" s="14">
        <f>IFERROR(K228/K327, "NA")</f>
      </c>
      <c r="M228" s="15"/>
      <c r="N228" s="13">
        <v>85.799999999999997</v>
      </c>
      <c r="O228" s="14">
        <f>IFERROR(N228/N327, "NA")</f>
      </c>
    </row>
    <row r="229" ht="16.5" customHeight="1">
      <c t="s" r="A229" s="12">
        <v>232</v>
      </c>
      <c r="B229" s="13">
        <v>0</v>
      </c>
      <c r="C229" s="14">
        <f>IFERROR(B229/B327, "NA")</f>
      </c>
      <c r="D229" s="15"/>
      <c r="E229" s="13">
        <v>0</v>
      </c>
      <c r="F229" s="14">
        <f>IFERROR(E229/E327, "NA")</f>
      </c>
      <c r="G229" s="15"/>
      <c r="H229" s="13">
        <v>0</v>
      </c>
      <c r="I229" s="14">
        <f>IFERROR(H229/H327, "NA")</f>
      </c>
      <c r="J229" s="15"/>
      <c r="K229" s="13">
        <v>0</v>
      </c>
      <c r="L229" s="14">
        <f>IFERROR(K229/K327, "NA")</f>
      </c>
      <c r="M229" s="15"/>
      <c r="N229" s="13">
        <v>0</v>
      </c>
      <c r="O229" s="14">
        <f>IFERROR(N229/N327, "NA")</f>
      </c>
    </row>
    <row r="230" ht="16.5" customHeight="1">
      <c t="s" r="A230" s="12">
        <v>233</v>
      </c>
      <c r="B230" s="13">
        <v>2016</v>
      </c>
      <c r="C230" s="14">
        <f>IFERROR(B230/B327, "NA")</f>
      </c>
      <c r="D230" s="15"/>
      <c r="E230" s="13">
        <v>0</v>
      </c>
      <c r="F230" s="14">
        <f>IFERROR(E230/E327, "NA")</f>
      </c>
      <c r="G230" s="15"/>
      <c r="H230" s="13">
        <v>0</v>
      </c>
      <c r="I230" s="14">
        <f>IFERROR(H230/H327, "NA")</f>
      </c>
      <c r="J230" s="15"/>
      <c r="K230" s="13">
        <v>0</v>
      </c>
      <c r="L230" s="14">
        <f>IFERROR(K230/K327, "NA")</f>
      </c>
      <c r="M230" s="15"/>
      <c r="N230" s="13">
        <v>0</v>
      </c>
      <c r="O230" s="14">
        <f>IFERROR(N230/N327, "NA")</f>
      </c>
    </row>
    <row r="231" ht="16.5" customHeight="1">
      <c t="s" r="A231" s="12">
        <v>234</v>
      </c>
      <c r="B231" s="13">
        <v>0</v>
      </c>
      <c r="C231" s="14">
        <f>IFERROR(B231/B327, "NA")</f>
      </c>
      <c r="D231" s="15"/>
      <c r="E231" s="13">
        <v>0</v>
      </c>
      <c r="F231" s="14">
        <f>IFERROR(E231/E327, "NA")</f>
      </c>
      <c r="G231" s="15"/>
      <c r="H231" s="13">
        <v>0</v>
      </c>
      <c r="I231" s="14">
        <f>IFERROR(H231/H327, "NA")</f>
      </c>
      <c r="J231" s="15"/>
      <c r="K231" s="13">
        <v>0</v>
      </c>
      <c r="L231" s="14">
        <f>IFERROR(K231/K327, "NA")</f>
      </c>
      <c r="M231" s="15"/>
      <c r="N231" s="13">
        <v>0</v>
      </c>
      <c r="O231" s="14">
        <f>IFERROR(N231/N327, "NA")</f>
      </c>
    </row>
    <row r="232" ht="16.5" customHeight="1">
      <c t="s" r="A232" s="12">
        <v>235</v>
      </c>
      <c r="B232" s="13">
        <v>0</v>
      </c>
      <c r="C232" s="14">
        <f>IFERROR(B232/B327, "NA")</f>
      </c>
      <c r="D232" s="15"/>
      <c r="E232" s="13">
        <v>0</v>
      </c>
      <c r="F232" s="14">
        <f>IFERROR(E232/E327, "NA")</f>
      </c>
      <c r="G232" s="15"/>
      <c r="H232" s="13">
        <v>0</v>
      </c>
      <c r="I232" s="14">
        <f>IFERROR(H232/H327, "NA")</f>
      </c>
      <c r="J232" s="15"/>
      <c r="K232" s="13">
        <v>0</v>
      </c>
      <c r="L232" s="14">
        <f>IFERROR(K232/K327, "NA")</f>
      </c>
      <c r="M232" s="15"/>
      <c r="N232" s="13">
        <v>0</v>
      </c>
      <c r="O232" s="14">
        <f>IFERROR(N232/N327, "NA")</f>
      </c>
    </row>
    <row r="233" ht="16.5" customHeight="1">
      <c t="s" r="A233" s="12">
        <v>236</v>
      </c>
      <c r="B233" s="13">
        <v>0</v>
      </c>
      <c r="C233" s="14">
        <f>IFERROR(B233/B327, "NA")</f>
      </c>
      <c r="D233" s="15"/>
      <c r="E233" s="13">
        <v>0</v>
      </c>
      <c r="F233" s="14">
        <f>IFERROR(E233/E327, "NA")</f>
      </c>
      <c r="G233" s="15"/>
      <c r="H233" s="13">
        <v>0</v>
      </c>
      <c r="I233" s="14">
        <f>IFERROR(H233/H327, "NA")</f>
      </c>
      <c r="J233" s="15"/>
      <c r="K233" s="13">
        <v>0</v>
      </c>
      <c r="L233" s="14">
        <f>IFERROR(K233/K327, "NA")</f>
      </c>
      <c r="M233" s="15"/>
      <c r="N233" s="13">
        <v>0</v>
      </c>
      <c r="O233" s="14">
        <f>IFERROR(N233/N327, "NA")</f>
      </c>
    </row>
    <row r="234" ht="16.5" customHeight="1">
      <c t="s" r="A234" s="12">
        <v>237</v>
      </c>
      <c r="B234" s="13">
        <v>24.27</v>
      </c>
      <c r="C234" s="14">
        <f>IFERROR(B234/B327, "NA")</f>
      </c>
      <c r="D234" s="15"/>
      <c r="E234" s="13">
        <v>0</v>
      </c>
      <c r="F234" s="14">
        <f>IFERROR(E234/E327, "NA")</f>
      </c>
      <c r="G234" s="15"/>
      <c r="H234" s="13">
        <v>253.33000000000001</v>
      </c>
      <c r="I234" s="14">
        <f>IFERROR(H234/H327, "NA")</f>
      </c>
      <c r="J234" s="15"/>
      <c r="K234" s="13">
        <v>836.94000000000005</v>
      </c>
      <c r="L234" s="14">
        <f>IFERROR(K234/K327, "NA")</f>
      </c>
      <c r="M234" s="15"/>
      <c r="N234" s="13">
        <v>0</v>
      </c>
      <c r="O234" s="14">
        <f>IFERROR(N234/N327, "NA")</f>
      </c>
    </row>
    <row r="235" ht="16.5" customHeight="1">
      <c t="s" r="A235" s="12">
        <v>238</v>
      </c>
      <c r="B235" s="13">
        <v>103.68000000000001</v>
      </c>
      <c r="C235" s="14">
        <f>IFERROR(B235/B327, "NA")</f>
      </c>
      <c r="D235" s="15"/>
      <c r="E235" s="13">
        <v>234.13</v>
      </c>
      <c r="F235" s="14">
        <f>IFERROR(E235/E327, "NA")</f>
      </c>
      <c r="G235" s="15"/>
      <c r="H235" s="13">
        <v>269.13</v>
      </c>
      <c r="I235" s="14">
        <f>IFERROR(H235/H327, "NA")</f>
      </c>
      <c r="J235" s="15"/>
      <c r="K235" s="13">
        <v>347.95999999999998</v>
      </c>
      <c r="L235" s="14">
        <f>IFERROR(K235/K327, "NA")</f>
      </c>
      <c r="M235" s="15"/>
      <c r="N235" s="13">
        <v>81.219999999999999</v>
      </c>
      <c r="O235" s="14">
        <f>IFERROR(N235/N327, "NA")</f>
      </c>
    </row>
    <row r="236" ht="16.5" customHeight="1">
      <c t="s" r="A236" s="12">
        <v>239</v>
      </c>
      <c r="B236" s="13">
        <v>0</v>
      </c>
      <c r="C236" s="14">
        <f>IFERROR(B236/B327, "NA")</f>
      </c>
      <c r="D236" s="15"/>
      <c r="E236" s="13">
        <v>0</v>
      </c>
      <c r="F236" s="14">
        <f>IFERROR(E236/E327, "NA")</f>
      </c>
      <c r="G236" s="15"/>
      <c r="H236" s="13">
        <v>0</v>
      </c>
      <c r="I236" s="14">
        <f>IFERROR(H236/H327, "NA")</f>
      </c>
      <c r="J236" s="15"/>
      <c r="K236" s="13">
        <v>72310.460000000006</v>
      </c>
      <c r="L236" s="14">
        <f>IFERROR(K236/K327, "NA")</f>
      </c>
      <c r="M236" s="15"/>
      <c r="N236" s="13">
        <v>0</v>
      </c>
      <c r="O236" s="14">
        <f>IFERROR(N236/N327, "NA")</f>
      </c>
    </row>
    <row r="237" ht="16.5" customHeight="1">
      <c t="s" r="A237" s="12">
        <v>240</v>
      </c>
      <c r="B237" s="13">
        <v>10250.030000000001</v>
      </c>
      <c r="C237" s="14">
        <f>IFERROR(B237/B327, "NA")</f>
      </c>
      <c r="D237" s="15"/>
      <c r="E237" s="13">
        <v>3412.73</v>
      </c>
      <c r="F237" s="14">
        <f>IFERROR(E237/E327, "NA")</f>
      </c>
      <c r="G237" s="15"/>
      <c r="H237" s="13">
        <v>2092.02</v>
      </c>
      <c r="I237" s="14">
        <f>IFERROR(H237/H327, "NA")</f>
      </c>
      <c r="J237" s="15"/>
      <c r="K237" s="13">
        <v>374.5</v>
      </c>
      <c r="L237" s="14">
        <f>IFERROR(K237/K327, "NA")</f>
      </c>
      <c r="M237" s="15"/>
      <c r="N237" s="13">
        <v>337.11000000000001</v>
      </c>
      <c r="O237" s="14">
        <f>IFERROR(N237/N327, "NA")</f>
      </c>
    </row>
    <row r="238" ht="16.5" customHeight="1">
      <c t="s" r="A238" s="12">
        <v>241</v>
      </c>
      <c r="B238" s="13">
        <v>21</v>
      </c>
      <c r="C238" s="14">
        <f>IFERROR(B238/B327, "NA")</f>
      </c>
      <c r="D238" s="15"/>
      <c r="E238" s="13">
        <v>1365.3900000000001</v>
      </c>
      <c r="F238" s="14">
        <f>IFERROR(E238/E327, "NA")</f>
      </c>
      <c r="G238" s="15"/>
      <c r="H238" s="13">
        <v>107.44</v>
      </c>
      <c r="I238" s="14">
        <f>IFERROR(H238/H327, "NA")</f>
      </c>
      <c r="J238" s="15"/>
      <c r="K238" s="13">
        <v>538.70000000000005</v>
      </c>
      <c r="L238" s="14">
        <f>IFERROR(K238/K327, "NA")</f>
      </c>
      <c r="M238" s="15"/>
      <c r="N238" s="13">
        <v>-72.390000000000001</v>
      </c>
      <c r="O238" s="14">
        <f>IFERROR(N238/N327, "NA")</f>
      </c>
    </row>
    <row r="239" ht="16.5" customHeight="1">
      <c t="s" r="A239" s="12">
        <v>242</v>
      </c>
      <c r="B239" s="13">
        <v>6500</v>
      </c>
      <c r="C239" s="14">
        <f>IFERROR(B239/B327, "NA")</f>
      </c>
      <c r="D239" s="15"/>
      <c r="E239" s="13">
        <v>0</v>
      </c>
      <c r="F239" s="14">
        <f>IFERROR(E239/E327, "NA")</f>
      </c>
      <c r="G239" s="15"/>
      <c r="H239" s="13">
        <v>0</v>
      </c>
      <c r="I239" s="14">
        <f>IFERROR(H239/H327, "NA")</f>
      </c>
      <c r="J239" s="15"/>
      <c r="K239" s="13">
        <v>0</v>
      </c>
      <c r="L239" s="14">
        <f>IFERROR(K239/K327, "NA")</f>
      </c>
      <c r="M239" s="15"/>
      <c r="N239" s="13">
        <v>0</v>
      </c>
      <c r="O239" s="14">
        <f>IFERROR(N239/N327, "NA")</f>
      </c>
    </row>
    <row r="240" ht="16.5" customHeight="1">
      <c t="s" r="A240" s="12">
        <v>243</v>
      </c>
      <c r="B240" s="13">
        <v>0</v>
      </c>
      <c r="C240" s="14">
        <f>IFERROR(B240/B327, "NA")</f>
      </c>
      <c r="D240" s="15"/>
      <c r="E240" s="13">
        <v>0</v>
      </c>
      <c r="F240" s="14">
        <f>IFERROR(E240/E327, "NA")</f>
      </c>
      <c r="G240" s="15"/>
      <c r="H240" s="13">
        <v>0</v>
      </c>
      <c r="I240" s="14">
        <f>IFERROR(H240/H327, "NA")</f>
      </c>
      <c r="J240" s="15"/>
      <c r="K240" s="13">
        <v>0</v>
      </c>
      <c r="L240" s="14">
        <f>IFERROR(K240/K327, "NA")</f>
      </c>
      <c r="M240" s="15"/>
      <c r="N240" s="13">
        <v>0</v>
      </c>
      <c r="O240" s="14">
        <f>IFERROR(N240/N327, "NA")</f>
      </c>
    </row>
    <row r="241" ht="16.5" customHeight="1">
      <c t="s" r="A241" s="16">
        <v>244</v>
      </c>
      <c r="B241" s="17">
        <f>IFERROR(B214+B215+B216+B217+B218+B219+B220+B221+B222+B223+B224+B225+B226+B227+B228+B229+B230+B231+B232+B233+B234+B235+B236+B237+B238+B239+B240, "NA")</f>
      </c>
      <c r="C241" s="18">
        <f>IFERROR(B241/B327, "NA")</f>
      </c>
      <c r="D241" s="8"/>
      <c r="E241" s="17">
        <f>IFERROR(E214+E215+E216+E217+E218+E219+E220+E221+E222+E223+E224+E225+E226+E227+E228+E229+E230+E231+E232+E233+E234+E235+E236+E237+E238+E239+E240, "NA")</f>
      </c>
      <c r="F241" s="18">
        <f>IFERROR(E241/E327, "NA")</f>
      </c>
      <c r="G241" s="8"/>
      <c r="H241" s="17">
        <f>IFERROR(H214+H215+H216+H217+H218+H219+H220+H221+H222+H223+H224+H225+H226+H227+H228+H229+H230+H231+H232+H233+H234+H235+H236+H237+H238+H239+H240, "NA")</f>
      </c>
      <c r="I241" s="18">
        <f>IFERROR(H241/H327, "NA")</f>
      </c>
      <c r="J241" s="8"/>
      <c r="K241" s="17">
        <f>IFERROR(K214+K215+K216+K217+K218+K219+K220+K221+K222+K223+K224+K225+K226+K227+K228+K229+K230+K231+K232+K233+K234+K235+K236+K237+K238+K239+K240, "NA")</f>
      </c>
      <c r="L241" s="18">
        <f>IFERROR(K241/K327, "NA")</f>
      </c>
      <c r="M241" s="8"/>
      <c r="N241" s="17">
        <f>IFERROR(N214+N215+N216+N217+N218+N219+N220+N221+N222+N223+N224+N225+N226+N227+N228+N229+N230+N231+N232+N233+N234+N235+N236+N237+N238+N239+N240, "NA")</f>
      </c>
      <c r="O241" s="18">
        <f>IFERROR(N241/N327, "NA")</f>
      </c>
    </row>
    <row r="242" ht="16.5" customHeight="1">
      <c t="s" r="A242" s="11">
        <v>245</v>
      </c>
      <c r="B242" s="8"/>
      <c r="C242" s="9"/>
      <c r="D242" s="10"/>
      <c r="E242" s="8"/>
      <c r="F242" s="9"/>
      <c r="G242" s="10"/>
      <c r="H242" s="8"/>
      <c r="I242" s="9"/>
      <c r="J242" s="10"/>
      <c r="K242" s="8"/>
      <c r="L242" s="9"/>
      <c r="M242" s="10"/>
      <c r="N242" s="8"/>
      <c r="O242" s="9"/>
    </row>
    <row r="243" ht="16.5" customHeight="1">
      <c t="s" r="A243" s="12">
        <v>246</v>
      </c>
      <c r="B243" s="13">
        <v>0</v>
      </c>
      <c r="C243" s="14">
        <f>IFERROR(B243/B327, "NA")</f>
      </c>
      <c r="D243" s="15"/>
      <c r="E243" s="13">
        <v>0</v>
      </c>
      <c r="F243" s="14">
        <f>IFERROR(E243/E327, "NA")</f>
      </c>
      <c r="G243" s="15"/>
      <c r="H243" s="13">
        <v>0</v>
      </c>
      <c r="I243" s="14">
        <f>IFERROR(H243/H327, "NA")</f>
      </c>
      <c r="J243" s="15"/>
      <c r="K243" s="13">
        <v>0</v>
      </c>
      <c r="L243" s="14">
        <f>IFERROR(K243/K327, "NA")</f>
      </c>
      <c r="M243" s="15"/>
      <c r="N243" s="13">
        <v>0</v>
      </c>
      <c r="O243" s="14">
        <f>IFERROR(N243/N327, "NA")</f>
      </c>
    </row>
    <row r="244" ht="16.5" customHeight="1">
      <c t="s" r="A244" s="12">
        <v>247</v>
      </c>
      <c r="B244" s="13">
        <v>0</v>
      </c>
      <c r="C244" s="14">
        <f>IFERROR(B244/B327, "NA")</f>
      </c>
      <c r="D244" s="15"/>
      <c r="E244" s="13">
        <v>0</v>
      </c>
      <c r="F244" s="14">
        <f>IFERROR(E244/E327, "NA")</f>
      </c>
      <c r="G244" s="15"/>
      <c r="H244" s="13">
        <v>700</v>
      </c>
      <c r="I244" s="14">
        <f>IFERROR(H244/H327, "NA")</f>
      </c>
      <c r="J244" s="15"/>
      <c r="K244" s="13">
        <v>100</v>
      </c>
      <c r="L244" s="14">
        <f>IFERROR(K244/K327, "NA")</f>
      </c>
      <c r="M244" s="15"/>
      <c r="N244" s="13">
        <v>0</v>
      </c>
      <c r="O244" s="14">
        <f>IFERROR(N244/N327, "NA")</f>
      </c>
    </row>
    <row r="245" ht="16.5" customHeight="1">
      <c t="s" r="A245" s="12">
        <v>248</v>
      </c>
      <c r="B245" s="13">
        <v>0</v>
      </c>
      <c r="C245" s="14">
        <f>IFERROR(B245/B327, "NA")</f>
      </c>
      <c r="D245" s="15"/>
      <c r="E245" s="13">
        <v>0</v>
      </c>
      <c r="F245" s="14">
        <f>IFERROR(E245/E327, "NA")</f>
      </c>
      <c r="G245" s="15"/>
      <c r="H245" s="13">
        <v>974.57000000000005</v>
      </c>
      <c r="I245" s="14">
        <f>IFERROR(H245/H327, "NA")</f>
      </c>
      <c r="J245" s="15"/>
      <c r="K245" s="13">
        <v>273.30000000000001</v>
      </c>
      <c r="L245" s="14">
        <f>IFERROR(K245/K327, "NA")</f>
      </c>
      <c r="M245" s="15"/>
      <c r="N245" s="13">
        <v>0</v>
      </c>
      <c r="O245" s="14">
        <f>IFERROR(N245/N327, "NA")</f>
      </c>
    </row>
    <row r="246" ht="16.5" customHeight="1">
      <c t="s" r="A246" s="12">
        <v>249</v>
      </c>
      <c r="B246" s="13">
        <v>0</v>
      </c>
      <c r="C246" s="14">
        <f>IFERROR(B246/B327, "NA")</f>
      </c>
      <c r="D246" s="15"/>
      <c r="E246" s="13">
        <v>0</v>
      </c>
      <c r="F246" s="14">
        <f>IFERROR(E246/E327, "NA")</f>
      </c>
      <c r="G246" s="15"/>
      <c r="H246" s="13">
        <v>0</v>
      </c>
      <c r="I246" s="14">
        <f>IFERROR(H246/H327, "NA")</f>
      </c>
      <c r="J246" s="15"/>
      <c r="K246" s="13">
        <v>0</v>
      </c>
      <c r="L246" s="14">
        <f>IFERROR(K246/K327, "NA")</f>
      </c>
      <c r="M246" s="15"/>
      <c r="N246" s="13">
        <v>0</v>
      </c>
      <c r="O246" s="14">
        <f>IFERROR(N246/N327, "NA")</f>
      </c>
    </row>
    <row r="247" ht="16.5" customHeight="1">
      <c t="s" r="A247" s="12">
        <v>250</v>
      </c>
      <c r="B247" s="13">
        <v>-8042.3100000000004</v>
      </c>
      <c r="C247" s="14">
        <f>IFERROR(B247/B327, "NA")</f>
      </c>
      <c r="D247" s="15"/>
      <c r="E247" s="13">
        <v>0</v>
      </c>
      <c r="F247" s="14">
        <f>IFERROR(E247/E327, "NA")</f>
      </c>
      <c r="G247" s="15"/>
      <c r="H247" s="13">
        <v>0</v>
      </c>
      <c r="I247" s="14">
        <f>IFERROR(H247/H327, "NA")</f>
      </c>
      <c r="J247" s="15"/>
      <c r="K247" s="13">
        <v>0</v>
      </c>
      <c r="L247" s="14">
        <f>IFERROR(K247/K327, "NA")</f>
      </c>
      <c r="M247" s="15"/>
      <c r="N247" s="13">
        <v>22400.330000000002</v>
      </c>
      <c r="O247" s="14">
        <f>IFERROR(N247/N327, "NA")</f>
      </c>
    </row>
    <row r="248" ht="16.5" customHeight="1">
      <c t="s" r="A248" s="12">
        <v>251</v>
      </c>
      <c r="B248" s="13">
        <v>-562.89999999999998</v>
      </c>
      <c r="C248" s="14">
        <f>IFERROR(B248/B327, "NA")</f>
      </c>
      <c r="D248" s="15"/>
      <c r="E248" s="13">
        <v>0</v>
      </c>
      <c r="F248" s="14">
        <f>IFERROR(E248/E327, "NA")</f>
      </c>
      <c r="G248" s="15"/>
      <c r="H248" s="13">
        <v>0</v>
      </c>
      <c r="I248" s="14">
        <f>IFERROR(H248/H327, "NA")</f>
      </c>
      <c r="J248" s="15"/>
      <c r="K248" s="13">
        <v>0</v>
      </c>
      <c r="L248" s="14">
        <f>IFERROR(K248/K327, "NA")</f>
      </c>
      <c r="M248" s="15"/>
      <c r="N248" s="13">
        <v>2636.3200000000002</v>
      </c>
      <c r="O248" s="14">
        <f>IFERROR(N248/N327, "NA")</f>
      </c>
    </row>
    <row r="249" ht="16.5" customHeight="1">
      <c t="s" r="A249" s="12">
        <v>252</v>
      </c>
      <c r="B249" s="13">
        <v>-3173.4099999999999</v>
      </c>
      <c r="C249" s="14">
        <f>IFERROR(B249/B327, "NA")</f>
      </c>
      <c r="D249" s="15"/>
      <c r="E249" s="13">
        <v>0</v>
      </c>
      <c r="F249" s="14">
        <f>IFERROR(E249/E327, "NA")</f>
      </c>
      <c r="G249" s="15"/>
      <c r="H249" s="13">
        <v>0</v>
      </c>
      <c r="I249" s="14">
        <f>IFERROR(H249/H327, "NA")</f>
      </c>
      <c r="J249" s="15"/>
      <c r="K249" s="13">
        <v>0</v>
      </c>
      <c r="L249" s="14">
        <f>IFERROR(K249/K327, "NA")</f>
      </c>
      <c r="M249" s="15"/>
      <c r="N249" s="13">
        <v>0</v>
      </c>
      <c r="O249" s="14">
        <f>IFERROR(N249/N327, "NA")</f>
      </c>
    </row>
    <row r="250" ht="16.5" customHeight="1">
      <c t="s" r="A250" s="12">
        <v>253</v>
      </c>
      <c r="B250" s="13">
        <v>0</v>
      </c>
      <c r="C250" s="14">
        <f>IFERROR(B250/B327, "NA")</f>
      </c>
      <c r="D250" s="15"/>
      <c r="E250" s="13">
        <v>0</v>
      </c>
      <c r="F250" s="14">
        <f>IFERROR(E250/E327, "NA")</f>
      </c>
      <c r="G250" s="15"/>
      <c r="H250" s="13">
        <v>0</v>
      </c>
      <c r="I250" s="14">
        <f>IFERROR(H250/H327, "NA")</f>
      </c>
      <c r="J250" s="15"/>
      <c r="K250" s="13">
        <v>3592.7800000000002</v>
      </c>
      <c r="L250" s="14">
        <f>IFERROR(K250/K327, "NA")</f>
      </c>
      <c r="M250" s="15"/>
      <c r="N250" s="13">
        <v>0</v>
      </c>
      <c r="O250" s="14">
        <f>IFERROR(N250/N327, "NA")</f>
      </c>
    </row>
    <row r="251" ht="16.5" customHeight="1">
      <c t="s" r="A251" s="12">
        <v>254</v>
      </c>
      <c r="B251" s="13">
        <v>0</v>
      </c>
      <c r="C251" s="14">
        <f>IFERROR(B251/B327, "NA")</f>
      </c>
      <c r="D251" s="15"/>
      <c r="E251" s="13">
        <v>0</v>
      </c>
      <c r="F251" s="14">
        <f>IFERROR(E251/E327, "NA")</f>
      </c>
      <c r="G251" s="15"/>
      <c r="H251" s="13">
        <v>0</v>
      </c>
      <c r="I251" s="14">
        <f>IFERROR(H251/H327, "NA")</f>
      </c>
      <c r="J251" s="15"/>
      <c r="K251" s="13">
        <v>0</v>
      </c>
      <c r="L251" s="14">
        <f>IFERROR(K251/K327, "NA")</f>
      </c>
      <c r="M251" s="15"/>
      <c r="N251" s="13">
        <v>0</v>
      </c>
      <c r="O251" s="14">
        <f>IFERROR(N251/N327, "NA")</f>
      </c>
    </row>
    <row r="252" ht="16.5" customHeight="1">
      <c t="s" r="A252" s="16">
        <v>255</v>
      </c>
      <c r="B252" s="17">
        <f>IFERROR(B243+B244+B245+B246+B247+B248+B249+B250+B251, "NA")</f>
      </c>
      <c r="C252" s="18">
        <f>IFERROR(B252/B327, "NA")</f>
      </c>
      <c r="D252" s="8"/>
      <c r="E252" s="17">
        <f>IFERROR(E243+E244+E245+E246+E247+E248+E249+E250+E251, "NA")</f>
      </c>
      <c r="F252" s="18">
        <f>IFERROR(E252/E327, "NA")</f>
      </c>
      <c r="G252" s="8"/>
      <c r="H252" s="17">
        <f>IFERROR(H243+H244+H245+H246+H247+H248+H249+H250+H251, "NA")</f>
      </c>
      <c r="I252" s="18">
        <f>IFERROR(H252/H327, "NA")</f>
      </c>
      <c r="J252" s="8"/>
      <c r="K252" s="17">
        <f>IFERROR(K243+K244+K245+K246+K247+K248+K249+K250+K251, "NA")</f>
      </c>
      <c r="L252" s="18">
        <f>IFERROR(K252/K327, "NA")</f>
      </c>
      <c r="M252" s="8"/>
      <c r="N252" s="17">
        <f>IFERROR(N243+N244+N245+N246+N247+N248+N249+N250+N251, "NA")</f>
      </c>
      <c r="O252" s="18">
        <f>IFERROR(N252/N327, "NA")</f>
      </c>
    </row>
    <row r="253" ht="16.5" customHeight="1">
      <c t="s" r="A253" s="11">
        <v>256</v>
      </c>
      <c r="B253" s="8"/>
      <c r="C253" s="9"/>
      <c r="D253" s="10"/>
      <c r="E253" s="8"/>
      <c r="F253" s="9"/>
      <c r="G253" s="10"/>
      <c r="H253" s="8"/>
      <c r="I253" s="9"/>
      <c r="J253" s="10"/>
      <c r="K253" s="8"/>
      <c r="L253" s="9"/>
      <c r="M253" s="10"/>
      <c r="N253" s="8"/>
      <c r="O253" s="9"/>
    </row>
    <row r="254" ht="16.5" customHeight="1">
      <c t="s" r="A254" s="12">
        <v>257</v>
      </c>
      <c r="B254" s="13">
        <v>0</v>
      </c>
      <c r="C254" s="14">
        <f>IFERROR(B254/B327, "NA")</f>
      </c>
      <c r="D254" s="15"/>
      <c r="E254" s="13">
        <v>0</v>
      </c>
      <c r="F254" s="14">
        <f>IFERROR(E254/E327, "NA")</f>
      </c>
      <c r="G254" s="15"/>
      <c r="H254" s="13">
        <v>0</v>
      </c>
      <c r="I254" s="14">
        <f>IFERROR(H254/H327, "NA")</f>
      </c>
      <c r="J254" s="15"/>
      <c r="K254" s="13">
        <v>0</v>
      </c>
      <c r="L254" s="14">
        <f>IFERROR(K254/K327, "NA")</f>
      </c>
      <c r="M254" s="15"/>
      <c r="N254" s="13">
        <v>0</v>
      </c>
      <c r="O254" s="14">
        <f>IFERROR(N254/N327, "NA")</f>
      </c>
    </row>
    <row r="255" ht="16.5" customHeight="1">
      <c t="s" r="A255" s="12">
        <v>258</v>
      </c>
      <c r="B255" s="13">
        <v>0</v>
      </c>
      <c r="C255" s="14">
        <f>IFERROR(B255/B327, "NA")</f>
      </c>
      <c r="D255" s="15"/>
      <c r="E255" s="13">
        <v>0</v>
      </c>
      <c r="F255" s="14">
        <f>IFERROR(E255/E327, "NA")</f>
      </c>
      <c r="G255" s="15"/>
      <c r="H255" s="13">
        <v>0</v>
      </c>
      <c r="I255" s="14">
        <f>IFERROR(H255/H327, "NA")</f>
      </c>
      <c r="J255" s="15"/>
      <c r="K255" s="13">
        <v>0</v>
      </c>
      <c r="L255" s="14">
        <f>IFERROR(K255/K327, "NA")</f>
      </c>
      <c r="M255" s="15"/>
      <c r="N255" s="13">
        <v>0</v>
      </c>
      <c r="O255" s="14">
        <f>IFERROR(N255/N327, "NA")</f>
      </c>
    </row>
    <row r="256" ht="16.5" customHeight="1">
      <c t="s" r="A256" s="12">
        <v>259</v>
      </c>
      <c r="B256" s="13">
        <v>0</v>
      </c>
      <c r="C256" s="14">
        <f>IFERROR(B256/B327, "NA")</f>
      </c>
      <c r="D256" s="15"/>
      <c r="E256" s="13">
        <v>0</v>
      </c>
      <c r="F256" s="14">
        <f>IFERROR(E256/E327, "NA")</f>
      </c>
      <c r="G256" s="15"/>
      <c r="H256" s="13">
        <v>0</v>
      </c>
      <c r="I256" s="14">
        <f>IFERROR(H256/H327, "NA")</f>
      </c>
      <c r="J256" s="15"/>
      <c r="K256" s="13">
        <v>0</v>
      </c>
      <c r="L256" s="14">
        <f>IFERROR(K256/K327, "NA")</f>
      </c>
      <c r="M256" s="15"/>
      <c r="N256" s="13">
        <v>0</v>
      </c>
      <c r="O256" s="14">
        <f>IFERROR(N256/N327, "NA")</f>
      </c>
    </row>
    <row r="257" ht="16.5" customHeight="1">
      <c t="s" r="A257" s="12">
        <v>260</v>
      </c>
      <c r="B257" s="13">
        <v>0</v>
      </c>
      <c r="C257" s="14">
        <f>IFERROR(B257/B327, "NA")</f>
      </c>
      <c r="D257" s="15"/>
      <c r="E257" s="13">
        <v>0</v>
      </c>
      <c r="F257" s="14">
        <f>IFERROR(E257/E327, "NA")</f>
      </c>
      <c r="G257" s="15"/>
      <c r="H257" s="13">
        <v>0</v>
      </c>
      <c r="I257" s="14">
        <f>IFERROR(H257/H327, "NA")</f>
      </c>
      <c r="J257" s="15"/>
      <c r="K257" s="13">
        <v>0</v>
      </c>
      <c r="L257" s="14">
        <f>IFERROR(K257/K327, "NA")</f>
      </c>
      <c r="M257" s="15"/>
      <c r="N257" s="13">
        <v>0</v>
      </c>
      <c r="O257" s="14">
        <f>IFERROR(N257/N327, "NA")</f>
      </c>
    </row>
    <row r="258" ht="16.5" customHeight="1">
      <c t="s" r="A258" s="12">
        <v>261</v>
      </c>
      <c r="B258" s="13">
        <v>31619.669999999998</v>
      </c>
      <c r="C258" s="14">
        <f>IFERROR(B258/B327, "NA")</f>
      </c>
      <c r="D258" s="15"/>
      <c r="E258" s="13">
        <v>0</v>
      </c>
      <c r="F258" s="14">
        <f>IFERROR(E258/E327, "NA")</f>
      </c>
      <c r="G258" s="15"/>
      <c r="H258" s="13">
        <v>0</v>
      </c>
      <c r="I258" s="14">
        <f>IFERROR(H258/H327, "NA")</f>
      </c>
      <c r="J258" s="15"/>
      <c r="K258" s="13">
        <v>0</v>
      </c>
      <c r="L258" s="14">
        <f>IFERROR(K258/K327, "NA")</f>
      </c>
      <c r="M258" s="15"/>
      <c r="N258" s="13">
        <v>0</v>
      </c>
      <c r="O258" s="14">
        <f>IFERROR(N258/N327, "NA")</f>
      </c>
    </row>
    <row r="259" ht="16.5" customHeight="1">
      <c t="s" r="A259" s="12">
        <v>262</v>
      </c>
      <c r="B259" s="13">
        <v>0</v>
      </c>
      <c r="C259" s="14">
        <f>IFERROR(B259/B327, "NA")</f>
      </c>
      <c r="D259" s="15"/>
      <c r="E259" s="13">
        <v>0</v>
      </c>
      <c r="F259" s="14">
        <f>IFERROR(E259/E327, "NA")</f>
      </c>
      <c r="G259" s="15"/>
      <c r="H259" s="13">
        <v>0</v>
      </c>
      <c r="I259" s="14">
        <f>IFERROR(H259/H327, "NA")</f>
      </c>
      <c r="J259" s="15"/>
      <c r="K259" s="13">
        <v>0</v>
      </c>
      <c r="L259" s="14">
        <f>IFERROR(K259/K327, "NA")</f>
      </c>
      <c r="M259" s="15"/>
      <c r="N259" s="13">
        <v>0</v>
      </c>
      <c r="O259" s="14">
        <f>IFERROR(N259/N327, "NA")</f>
      </c>
    </row>
    <row r="260" ht="16.5" customHeight="1">
      <c t="s" r="A260" s="12">
        <v>263</v>
      </c>
      <c r="B260" s="13">
        <v>0</v>
      </c>
      <c r="C260" s="14">
        <f>IFERROR(B260/B327, "NA")</f>
      </c>
      <c r="D260" s="15"/>
      <c r="E260" s="13">
        <v>0</v>
      </c>
      <c r="F260" s="14">
        <f>IFERROR(E260/E327, "NA")</f>
      </c>
      <c r="G260" s="15"/>
      <c r="H260" s="13">
        <v>0</v>
      </c>
      <c r="I260" s="14">
        <f>IFERROR(H260/H327, "NA")</f>
      </c>
      <c r="J260" s="15"/>
      <c r="K260" s="13">
        <v>0</v>
      </c>
      <c r="L260" s="14">
        <f>IFERROR(K260/K327, "NA")</f>
      </c>
      <c r="M260" s="15"/>
      <c r="N260" s="13">
        <v>0</v>
      </c>
      <c r="O260" s="14">
        <f>IFERROR(N260/N327, "NA")</f>
      </c>
    </row>
    <row r="261" ht="16.5" customHeight="1">
      <c t="s" r="A261" s="12">
        <v>264</v>
      </c>
      <c r="B261" s="13">
        <v>0</v>
      </c>
      <c r="C261" s="14">
        <f>IFERROR(B261/B327, "NA")</f>
      </c>
      <c r="D261" s="15"/>
      <c r="E261" s="13">
        <v>0</v>
      </c>
      <c r="F261" s="14">
        <f>IFERROR(E261/E327, "NA")</f>
      </c>
      <c r="G261" s="15"/>
      <c r="H261" s="13">
        <v>0</v>
      </c>
      <c r="I261" s="14">
        <f>IFERROR(H261/H327, "NA")</f>
      </c>
      <c r="J261" s="15"/>
      <c r="K261" s="13">
        <v>79666.889999999999</v>
      </c>
      <c r="L261" s="14">
        <f>IFERROR(K261/K327, "NA")</f>
      </c>
      <c r="M261" s="15"/>
      <c r="N261" s="13">
        <v>0</v>
      </c>
      <c r="O261" s="14">
        <f>IFERROR(N261/N327, "NA")</f>
      </c>
    </row>
    <row r="262" ht="16.5" customHeight="1">
      <c t="s" r="A262" s="12">
        <v>265</v>
      </c>
      <c r="B262" s="13">
        <v>0</v>
      </c>
      <c r="C262" s="14">
        <f>IFERROR(B262/B327, "NA")</f>
      </c>
      <c r="D262" s="15"/>
      <c r="E262" s="13">
        <v>0</v>
      </c>
      <c r="F262" s="14">
        <f>IFERROR(E262/E327, "NA")</f>
      </c>
      <c r="G262" s="15"/>
      <c r="H262" s="13">
        <v>0</v>
      </c>
      <c r="I262" s="14">
        <f>IFERROR(H262/H327, "NA")</f>
      </c>
      <c r="J262" s="15"/>
      <c r="K262" s="13">
        <v>5861.2600000000002</v>
      </c>
      <c r="L262" s="14">
        <f>IFERROR(K262/K327, "NA")</f>
      </c>
      <c r="M262" s="15"/>
      <c r="N262" s="13">
        <v>0</v>
      </c>
      <c r="O262" s="14">
        <f>IFERROR(N262/N327, "NA")</f>
      </c>
    </row>
    <row r="263" ht="16.5" customHeight="1">
      <c t="s" r="A263" s="16">
        <v>266</v>
      </c>
      <c r="B263" s="17">
        <f>IFERROR(B254+B255+B256+B257+B258+B259+B260+B261+B262, "NA")</f>
      </c>
      <c r="C263" s="18">
        <f>IFERROR(B263/B327, "NA")</f>
      </c>
      <c r="D263" s="8"/>
      <c r="E263" s="17">
        <f>IFERROR(E254+E255+E256+E257+E258+E259+E260+E261+E262, "NA")</f>
      </c>
      <c r="F263" s="18">
        <f>IFERROR(E263/E327, "NA")</f>
      </c>
      <c r="G263" s="8"/>
      <c r="H263" s="17">
        <f>IFERROR(H254+H255+H256+H257+H258+H259+H260+H261+H262, "NA")</f>
      </c>
      <c r="I263" s="18">
        <f>IFERROR(H263/H327, "NA")</f>
      </c>
      <c r="J263" s="8"/>
      <c r="K263" s="17">
        <f>IFERROR(K254+K255+K256+K257+K258+K259+K260+K261+K262, "NA")</f>
      </c>
      <c r="L263" s="18">
        <f>IFERROR(K263/K327, "NA")</f>
      </c>
      <c r="M263" s="8"/>
      <c r="N263" s="17">
        <f>IFERROR(N254+N255+N256+N257+N258+N259+N260+N261+N262, "NA")</f>
      </c>
      <c r="O263" s="18">
        <f>IFERROR(N263/N327, "NA")</f>
      </c>
    </row>
    <row r="264" ht="16.5" customHeight="1">
      <c t="s" r="A264" s="11">
        <v>267</v>
      </c>
      <c r="B264" s="8"/>
      <c r="C264" s="9"/>
      <c r="D264" s="10"/>
      <c r="E264" s="8"/>
      <c r="F264" s="9"/>
      <c r="G264" s="10"/>
      <c r="H264" s="8"/>
      <c r="I264" s="9"/>
      <c r="J264" s="10"/>
      <c r="K264" s="8"/>
      <c r="L264" s="9"/>
      <c r="M264" s="10"/>
      <c r="N264" s="8"/>
      <c r="O264" s="9"/>
    </row>
    <row r="265" ht="16.5" customHeight="1">
      <c t="s" r="A265" s="12">
        <v>268</v>
      </c>
      <c r="B265" s="13">
        <v>0</v>
      </c>
      <c r="C265" s="14">
        <f>IFERROR(B265/B327, "NA")</f>
      </c>
      <c r="D265" s="15"/>
      <c r="E265" s="13">
        <v>0</v>
      </c>
      <c r="F265" s="14">
        <f>IFERROR(E265/E327, "NA")</f>
      </c>
      <c r="G265" s="15"/>
      <c r="H265" s="13">
        <v>0</v>
      </c>
      <c r="I265" s="14">
        <f>IFERROR(H265/H327, "NA")</f>
      </c>
      <c r="J265" s="15"/>
      <c r="K265" s="13">
        <v>0</v>
      </c>
      <c r="L265" s="14">
        <f>IFERROR(K265/K327, "NA")</f>
      </c>
      <c r="M265" s="15"/>
      <c r="N265" s="13">
        <v>0</v>
      </c>
      <c r="O265" s="14">
        <f>IFERROR(N265/N327, "NA")</f>
      </c>
    </row>
    <row r="266" ht="16.5" customHeight="1">
      <c t="s" r="A266" s="12">
        <v>269</v>
      </c>
      <c r="B266" s="13">
        <v>0</v>
      </c>
      <c r="C266" s="14">
        <f>IFERROR(B266/B327, "NA")</f>
      </c>
      <c r="D266" s="15"/>
      <c r="E266" s="13">
        <v>0</v>
      </c>
      <c r="F266" s="14">
        <f>IFERROR(E266/E327, "NA")</f>
      </c>
      <c r="G266" s="15"/>
      <c r="H266" s="13">
        <v>0</v>
      </c>
      <c r="I266" s="14">
        <f>IFERROR(H266/H327, "NA")</f>
      </c>
      <c r="J266" s="15"/>
      <c r="K266" s="13">
        <v>0</v>
      </c>
      <c r="L266" s="14">
        <f>IFERROR(K266/K327, "NA")</f>
      </c>
      <c r="M266" s="15"/>
      <c r="N266" s="13">
        <v>0</v>
      </c>
      <c r="O266" s="14">
        <f>IFERROR(N266/N327, "NA")</f>
      </c>
    </row>
    <row r="267" ht="16.5" customHeight="1">
      <c t="s" r="A267" s="12">
        <v>270</v>
      </c>
      <c r="B267" s="13">
        <v>0</v>
      </c>
      <c r="C267" s="14">
        <f>IFERROR(B267/B327, "NA")</f>
      </c>
      <c r="D267" s="15"/>
      <c r="E267" s="13">
        <v>0</v>
      </c>
      <c r="F267" s="14">
        <f>IFERROR(E267/E327, "NA")</f>
      </c>
      <c r="G267" s="15"/>
      <c r="H267" s="13">
        <v>0</v>
      </c>
      <c r="I267" s="14">
        <f>IFERROR(H267/H327, "NA")</f>
      </c>
      <c r="J267" s="15"/>
      <c r="K267" s="13">
        <v>0</v>
      </c>
      <c r="L267" s="14">
        <f>IFERROR(K267/K327, "NA")</f>
      </c>
      <c r="M267" s="15"/>
      <c r="N267" s="13">
        <v>0</v>
      </c>
      <c r="O267" s="14">
        <f>IFERROR(N267/N327, "NA")</f>
      </c>
    </row>
    <row r="268" ht="16.5" customHeight="1">
      <c t="s" r="A268" s="12">
        <v>271</v>
      </c>
      <c r="B268" s="13">
        <v>0</v>
      </c>
      <c r="C268" s="14">
        <f>IFERROR(B268/B327, "NA")</f>
      </c>
      <c r="D268" s="15"/>
      <c r="E268" s="13">
        <v>-7456.21</v>
      </c>
      <c r="F268" s="14">
        <f>IFERROR(E268/E327, "NA")</f>
      </c>
      <c r="G268" s="15"/>
      <c r="H268" s="13">
        <v>-4500</v>
      </c>
      <c r="I268" s="14">
        <f>IFERROR(H268/H327, "NA")</f>
      </c>
      <c r="J268" s="15"/>
      <c r="K268" s="13">
        <v>-38.18</v>
      </c>
      <c r="L268" s="14">
        <f>IFERROR(K268/K327, "NA")</f>
      </c>
      <c r="M268" s="15"/>
      <c r="N268" s="13">
        <v>0</v>
      </c>
      <c r="O268" s="14">
        <f>IFERROR(N268/N327, "NA")</f>
      </c>
    </row>
    <row r="269" ht="16.5" customHeight="1">
      <c t="s" r="A269" s="12">
        <v>272</v>
      </c>
      <c r="B269" s="13">
        <v>0</v>
      </c>
      <c r="C269" s="14">
        <f>IFERROR(B269/B327, "NA")</f>
      </c>
      <c r="D269" s="15"/>
      <c r="E269" s="13">
        <v>0</v>
      </c>
      <c r="F269" s="14">
        <f>IFERROR(E269/E327, "NA")</f>
      </c>
      <c r="G269" s="15"/>
      <c r="H269" s="13">
        <v>0</v>
      </c>
      <c r="I269" s="14">
        <f>IFERROR(H269/H327, "NA")</f>
      </c>
      <c r="J269" s="15"/>
      <c r="K269" s="13">
        <v>0</v>
      </c>
      <c r="L269" s="14">
        <f>IFERROR(K269/K327, "NA")</f>
      </c>
      <c r="M269" s="15"/>
      <c r="N269" s="13">
        <v>0</v>
      </c>
      <c r="O269" s="14">
        <f>IFERROR(N269/N327, "NA")</f>
      </c>
    </row>
    <row r="270" ht="16.5" customHeight="1">
      <c t="s" r="A270" s="12">
        <v>273</v>
      </c>
      <c r="B270" s="13">
        <v>0</v>
      </c>
      <c r="C270" s="14">
        <f>IFERROR(B270/B327, "NA")</f>
      </c>
      <c r="D270" s="15"/>
      <c r="E270" s="13">
        <v>0</v>
      </c>
      <c r="F270" s="14">
        <f>IFERROR(E270/E327, "NA")</f>
      </c>
      <c r="G270" s="15"/>
      <c r="H270" s="13">
        <v>0</v>
      </c>
      <c r="I270" s="14">
        <f>IFERROR(H270/H327, "NA")</f>
      </c>
      <c r="J270" s="15"/>
      <c r="K270" s="13">
        <v>0</v>
      </c>
      <c r="L270" s="14">
        <f>IFERROR(K270/K327, "NA")</f>
      </c>
      <c r="M270" s="15"/>
      <c r="N270" s="13">
        <v>0</v>
      </c>
      <c r="O270" s="14">
        <f>IFERROR(N270/N327, "NA")</f>
      </c>
    </row>
    <row r="271" ht="16.5" customHeight="1">
      <c t="s" r="A271" s="12">
        <v>274</v>
      </c>
      <c r="B271" s="13">
        <v>0</v>
      </c>
      <c r="C271" s="14">
        <f>IFERROR(B271/B327, "NA")</f>
      </c>
      <c r="D271" s="15"/>
      <c r="E271" s="13">
        <v>0</v>
      </c>
      <c r="F271" s="14">
        <f>IFERROR(E271/E327, "NA")</f>
      </c>
      <c r="G271" s="15"/>
      <c r="H271" s="13">
        <v>0</v>
      </c>
      <c r="I271" s="14">
        <f>IFERROR(H271/H327, "NA")</f>
      </c>
      <c r="J271" s="15"/>
      <c r="K271" s="13">
        <v>0</v>
      </c>
      <c r="L271" s="14">
        <f>IFERROR(K271/K327, "NA")</f>
      </c>
      <c r="M271" s="15"/>
      <c r="N271" s="13">
        <v>0</v>
      </c>
      <c r="O271" s="14">
        <f>IFERROR(N271/N327, "NA")</f>
      </c>
    </row>
    <row r="272" ht="16.5" customHeight="1">
      <c t="s" r="A272" s="12">
        <v>275</v>
      </c>
      <c r="B272" s="13">
        <v>0</v>
      </c>
      <c r="C272" s="14">
        <f>IFERROR(B272/B327, "NA")</f>
      </c>
      <c r="D272" s="15"/>
      <c r="E272" s="13">
        <v>0</v>
      </c>
      <c r="F272" s="14">
        <f>IFERROR(E272/E327, "NA")</f>
      </c>
      <c r="G272" s="15"/>
      <c r="H272" s="13">
        <v>0</v>
      </c>
      <c r="I272" s="14">
        <f>IFERROR(H272/H327, "NA")</f>
      </c>
      <c r="J272" s="15"/>
      <c r="K272" s="13">
        <v>0</v>
      </c>
      <c r="L272" s="14">
        <f>IFERROR(K272/K327, "NA")</f>
      </c>
      <c r="M272" s="15"/>
      <c r="N272" s="13">
        <v>0</v>
      </c>
      <c r="O272" s="14">
        <f>IFERROR(N272/N327, "NA")</f>
      </c>
    </row>
    <row r="273" ht="16.5" customHeight="1">
      <c t="s" r="A273" s="12">
        <v>276</v>
      </c>
      <c r="B273" s="13">
        <v>0</v>
      </c>
      <c r="C273" s="14">
        <f>IFERROR(B273/B327, "NA")</f>
      </c>
      <c r="D273" s="15"/>
      <c r="E273" s="13">
        <v>0</v>
      </c>
      <c r="F273" s="14">
        <f>IFERROR(E273/E327, "NA")</f>
      </c>
      <c r="G273" s="15"/>
      <c r="H273" s="13">
        <v>0</v>
      </c>
      <c r="I273" s="14">
        <f>IFERROR(H273/H327, "NA")</f>
      </c>
      <c r="J273" s="15"/>
      <c r="K273" s="13">
        <v>0</v>
      </c>
      <c r="L273" s="14">
        <f>IFERROR(K273/K327, "NA")</f>
      </c>
      <c r="M273" s="15"/>
      <c r="N273" s="13">
        <v>0</v>
      </c>
      <c r="O273" s="14">
        <f>IFERROR(N273/N327, "NA")</f>
      </c>
    </row>
    <row r="274" ht="16.5" customHeight="1">
      <c t="s" r="A274" s="12">
        <v>277</v>
      </c>
      <c r="B274" s="13">
        <v>0</v>
      </c>
      <c r="C274" s="14">
        <f>IFERROR(B274/B327, "NA")</f>
      </c>
      <c r="D274" s="15"/>
      <c r="E274" s="13">
        <v>0</v>
      </c>
      <c r="F274" s="14">
        <f>IFERROR(E274/E327, "NA")</f>
      </c>
      <c r="G274" s="15"/>
      <c r="H274" s="13">
        <v>0</v>
      </c>
      <c r="I274" s="14">
        <f>IFERROR(H274/H327, "NA")</f>
      </c>
      <c r="J274" s="15"/>
      <c r="K274" s="13">
        <v>0</v>
      </c>
      <c r="L274" s="14">
        <f>IFERROR(K274/K327, "NA")</f>
      </c>
      <c r="M274" s="15"/>
      <c r="N274" s="13">
        <v>0</v>
      </c>
      <c r="O274" s="14">
        <f>IFERROR(N274/N327, "NA")</f>
      </c>
    </row>
    <row r="275" ht="16.5" customHeight="1">
      <c t="s" r="A275" s="12">
        <v>278</v>
      </c>
      <c r="B275" s="13">
        <v>0</v>
      </c>
      <c r="C275" s="14">
        <f>IFERROR(B275/B327, "NA")</f>
      </c>
      <c r="D275" s="15"/>
      <c r="E275" s="13">
        <v>0</v>
      </c>
      <c r="F275" s="14">
        <f>IFERROR(E275/E327, "NA")</f>
      </c>
      <c r="G275" s="15"/>
      <c r="H275" s="13">
        <v>0</v>
      </c>
      <c r="I275" s="14">
        <f>IFERROR(H275/H327, "NA")</f>
      </c>
      <c r="J275" s="15"/>
      <c r="K275" s="13">
        <v>0</v>
      </c>
      <c r="L275" s="14">
        <f>IFERROR(K275/K327, "NA")</f>
      </c>
      <c r="M275" s="15"/>
      <c r="N275" s="13">
        <v>0</v>
      </c>
      <c r="O275" s="14">
        <f>IFERROR(N275/N327, "NA")</f>
      </c>
    </row>
    <row r="276" ht="16.5" customHeight="1">
      <c t="s" r="A276" s="12">
        <v>279</v>
      </c>
      <c r="B276" s="13">
        <v>0</v>
      </c>
      <c r="C276" s="14">
        <f>IFERROR(B276/B327, "NA")</f>
      </c>
      <c r="D276" s="15"/>
      <c r="E276" s="13">
        <v>0</v>
      </c>
      <c r="F276" s="14">
        <f>IFERROR(E276/E327, "NA")</f>
      </c>
      <c r="G276" s="15"/>
      <c r="H276" s="13">
        <v>0</v>
      </c>
      <c r="I276" s="14">
        <f>IFERROR(H276/H327, "NA")</f>
      </c>
      <c r="J276" s="15"/>
      <c r="K276" s="13">
        <v>0</v>
      </c>
      <c r="L276" s="14">
        <f>IFERROR(K276/K327, "NA")</f>
      </c>
      <c r="M276" s="15"/>
      <c r="N276" s="13">
        <v>0</v>
      </c>
      <c r="O276" s="14">
        <f>IFERROR(N276/N327, "NA")</f>
      </c>
    </row>
    <row r="277" ht="16.5" customHeight="1">
      <c t="s" r="A277" s="12">
        <v>280</v>
      </c>
      <c r="B277" s="13">
        <v>0</v>
      </c>
      <c r="C277" s="14">
        <f>IFERROR(B277/B327, "NA")</f>
      </c>
      <c r="D277" s="15"/>
      <c r="E277" s="13">
        <v>0</v>
      </c>
      <c r="F277" s="14">
        <f>IFERROR(E277/E327, "NA")</f>
      </c>
      <c r="G277" s="15"/>
      <c r="H277" s="13">
        <v>0</v>
      </c>
      <c r="I277" s="14">
        <f>IFERROR(H277/H327, "NA")</f>
      </c>
      <c r="J277" s="15"/>
      <c r="K277" s="13">
        <v>0</v>
      </c>
      <c r="L277" s="14">
        <f>IFERROR(K277/K327, "NA")</f>
      </c>
      <c r="M277" s="15"/>
      <c r="N277" s="13">
        <v>0</v>
      </c>
      <c r="O277" s="14">
        <f>IFERROR(N277/N327, "NA")</f>
      </c>
    </row>
    <row r="278" ht="16.5" customHeight="1">
      <c t="s" r="A278" s="12">
        <v>281</v>
      </c>
      <c r="B278" s="13">
        <v>-11412.83</v>
      </c>
      <c r="C278" s="14">
        <f>IFERROR(B278/B327, "NA")</f>
      </c>
      <c r="D278" s="15"/>
      <c r="E278" s="13">
        <v>-14472.66</v>
      </c>
      <c r="F278" s="14">
        <f>IFERROR(E278/E327, "NA")</f>
      </c>
      <c r="G278" s="15"/>
      <c r="H278" s="13">
        <v>-13033.549999999999</v>
      </c>
      <c r="I278" s="14">
        <f>IFERROR(H278/H327, "NA")</f>
      </c>
      <c r="J278" s="15"/>
      <c r="K278" s="13">
        <v>-13086.620000000001</v>
      </c>
      <c r="L278" s="14">
        <f>IFERROR(K278/K327, "NA")</f>
      </c>
      <c r="M278" s="15"/>
      <c r="N278" s="13">
        <v>-13759.42</v>
      </c>
      <c r="O278" s="14">
        <f>IFERROR(N278/N327, "NA")</f>
      </c>
    </row>
    <row r="279" ht="16.5" customHeight="1">
      <c t="s" r="A279" s="12">
        <v>282</v>
      </c>
      <c r="B279" s="13">
        <v>0</v>
      </c>
      <c r="C279" s="14">
        <f>IFERROR(B279/B327, "NA")</f>
      </c>
      <c r="D279" s="15"/>
      <c r="E279" s="13">
        <v>0</v>
      </c>
      <c r="F279" s="14">
        <f>IFERROR(E279/E327, "NA")</f>
      </c>
      <c r="G279" s="15"/>
      <c r="H279" s="13">
        <v>0</v>
      </c>
      <c r="I279" s="14">
        <f>IFERROR(H279/H327, "NA")</f>
      </c>
      <c r="J279" s="15"/>
      <c r="K279" s="13">
        <v>0</v>
      </c>
      <c r="L279" s="14">
        <f>IFERROR(K279/K327, "NA")</f>
      </c>
      <c r="M279" s="15"/>
      <c r="N279" s="13">
        <v>0</v>
      </c>
      <c r="O279" s="14">
        <f>IFERROR(N279/N327, "NA")</f>
      </c>
    </row>
    <row r="280" ht="16.5" customHeight="1">
      <c t="s" r="A280" s="12">
        <v>283</v>
      </c>
      <c r="B280" s="13">
        <v>0</v>
      </c>
      <c r="C280" s="14">
        <f>IFERROR(B280/B327, "NA")</f>
      </c>
      <c r="D280" s="15"/>
      <c r="E280" s="13">
        <v>0</v>
      </c>
      <c r="F280" s="14">
        <f>IFERROR(E280/E327, "NA")</f>
      </c>
      <c r="G280" s="15"/>
      <c r="H280" s="13">
        <v>0</v>
      </c>
      <c r="I280" s="14">
        <f>IFERROR(H280/H327, "NA")</f>
      </c>
      <c r="J280" s="15"/>
      <c r="K280" s="13">
        <v>0</v>
      </c>
      <c r="L280" s="14">
        <f>IFERROR(K280/K327, "NA")</f>
      </c>
      <c r="M280" s="15"/>
      <c r="N280" s="13">
        <v>0</v>
      </c>
      <c r="O280" s="14">
        <f>IFERROR(N280/N327, "NA")</f>
      </c>
    </row>
    <row r="281" ht="16.5" customHeight="1">
      <c t="s" r="A281" s="12">
        <v>284</v>
      </c>
      <c r="B281" s="13">
        <v>0</v>
      </c>
      <c r="C281" s="14">
        <f>IFERROR(B281/B327, "NA")</f>
      </c>
      <c r="D281" s="15"/>
      <c r="E281" s="13">
        <v>0</v>
      </c>
      <c r="F281" s="14">
        <f>IFERROR(E281/E327, "NA")</f>
      </c>
      <c r="G281" s="15"/>
      <c r="H281" s="13">
        <v>0</v>
      </c>
      <c r="I281" s="14">
        <f>IFERROR(H281/H327, "NA")</f>
      </c>
      <c r="J281" s="15"/>
      <c r="K281" s="13">
        <v>0</v>
      </c>
      <c r="L281" s="14">
        <f>IFERROR(K281/K327, "NA")</f>
      </c>
      <c r="M281" s="15"/>
      <c r="N281" s="13">
        <v>0</v>
      </c>
      <c r="O281" s="14">
        <f>IFERROR(N281/N327, "NA")</f>
      </c>
    </row>
    <row r="282" ht="16.5" customHeight="1">
      <c t="s" r="A282" s="12">
        <v>285</v>
      </c>
      <c r="B282" s="13">
        <v>0</v>
      </c>
      <c r="C282" s="14">
        <f>IFERROR(B282/B327, "NA")</f>
      </c>
      <c r="D282" s="15"/>
      <c r="E282" s="13">
        <v>0</v>
      </c>
      <c r="F282" s="14">
        <f>IFERROR(E282/E327, "NA")</f>
      </c>
      <c r="G282" s="15"/>
      <c r="H282" s="13">
        <v>0</v>
      </c>
      <c r="I282" s="14">
        <f>IFERROR(H282/H327, "NA")</f>
      </c>
      <c r="J282" s="15"/>
      <c r="K282" s="13">
        <v>0</v>
      </c>
      <c r="L282" s="14">
        <f>IFERROR(K282/K327, "NA")</f>
      </c>
      <c r="M282" s="15"/>
      <c r="N282" s="13">
        <v>0</v>
      </c>
      <c r="O282" s="14">
        <f>IFERROR(N282/N327, "NA")</f>
      </c>
    </row>
    <row r="283" ht="16.5" customHeight="1">
      <c t="s" r="A283" s="16">
        <v>286</v>
      </c>
      <c r="B283" s="17">
        <f>IFERROR(B265+B266+B267+B268+B269+B270+B271+B272+B273+B274+B275+B276+B277+B278+B279+B280+B281+B282, "NA")</f>
      </c>
      <c r="C283" s="18">
        <f>IFERROR(B283/B327, "NA")</f>
      </c>
      <c r="D283" s="8"/>
      <c r="E283" s="17">
        <f>IFERROR(E265+E266+E267+E268+E269+E270+E271+E272+E273+E274+E275+E276+E277+E278+E279+E280+E281+E282, "NA")</f>
      </c>
      <c r="F283" s="18">
        <f>IFERROR(E283/E327, "NA")</f>
      </c>
      <c r="G283" s="8"/>
      <c r="H283" s="17">
        <f>IFERROR(H265+H266+H267+H268+H269+H270+H271+H272+H273+H274+H275+H276+H277+H278+H279+H280+H281+H282, "NA")</f>
      </c>
      <c r="I283" s="18">
        <f>IFERROR(H283/H327, "NA")</f>
      </c>
      <c r="J283" s="8"/>
      <c r="K283" s="17">
        <f>IFERROR(K265+K266+K267+K268+K269+K270+K271+K272+K273+K274+K275+K276+K277+K278+K279+K280+K281+K282, "NA")</f>
      </c>
      <c r="L283" s="18">
        <f>IFERROR(K283/K327, "NA")</f>
      </c>
      <c r="M283" s="8"/>
      <c r="N283" s="17">
        <f>IFERROR(N265+N266+N267+N268+N269+N270+N271+N272+N273+N274+N275+N276+N277+N278+N279+N280+N281+N282, "NA")</f>
      </c>
      <c r="O283" s="18">
        <f>IFERROR(N283/N327, "NA")</f>
      </c>
    </row>
    <row r="284" ht="16.5" customHeight="1">
      <c t="s" r="A284" s="20">
        <v>287</v>
      </c>
      <c r="B284" s="17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</c>
      <c r="C284" s="18">
        <f>IFERROR(B284/B327, "NA")</f>
      </c>
      <c r="D284" s="8"/>
      <c r="E284" s="17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</c>
      <c r="F284" s="18">
        <f>IFERROR(E284/E327, "NA")</f>
      </c>
      <c r="G284" s="8"/>
      <c r="H284" s="17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</c>
      <c r="I284" s="18">
        <f>IFERROR(H284/H327, "NA")</f>
      </c>
      <c r="J284" s="8"/>
      <c r="K284" s="17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</c>
      <c r="L284" s="18">
        <f>IFERROR(K284/K327, "NA")</f>
      </c>
      <c r="M284" s="8"/>
      <c r="N284" s="17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</c>
      <c r="O284" s="18">
        <f>IFERROR(N284/N327, "NA")</f>
      </c>
    </row>
    <row r="285" ht="16.5" customHeight="1">
      <c t="s" r="A285" s="7">
        <v>288</v>
      </c>
      <c r="B285" s="8"/>
      <c r="C285" s="9"/>
      <c r="D285" s="10"/>
      <c r="E285" s="8"/>
      <c r="F285" s="9"/>
      <c r="G285" s="10"/>
      <c r="H285" s="8"/>
      <c r="I285" s="9"/>
      <c r="J285" s="10"/>
      <c r="K285" s="8"/>
      <c r="L285" s="9"/>
      <c r="M285" s="10"/>
      <c r="N285" s="8"/>
      <c r="O285" s="9"/>
    </row>
    <row r="286" ht="16.5" customHeight="1">
      <c t="s" r="A286" s="11">
        <v>289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</row>
    <row r="287" ht="16.5" customHeight="1">
      <c t="s" r="A287" s="12">
        <v>290</v>
      </c>
      <c r="B287" s="13">
        <v>0</v>
      </c>
      <c r="C287" s="14">
        <f>IFERROR(B287/B327, "NA")</f>
      </c>
      <c r="D287" s="15"/>
      <c r="E287" s="13">
        <v>0</v>
      </c>
      <c r="F287" s="14">
        <f>IFERROR(E287/E327, "NA")</f>
      </c>
      <c r="G287" s="15"/>
      <c r="H287" s="13">
        <v>0</v>
      </c>
      <c r="I287" s="14">
        <f>IFERROR(H287/H327, "NA")</f>
      </c>
      <c r="J287" s="15"/>
      <c r="K287" s="13">
        <v>0</v>
      </c>
      <c r="L287" s="14">
        <f>IFERROR(K287/K327, "NA")</f>
      </c>
      <c r="M287" s="15"/>
      <c r="N287" s="13">
        <v>0</v>
      </c>
      <c r="O287" s="14">
        <f>IFERROR(N287/N327, "NA")</f>
      </c>
    </row>
    <row r="288" ht="16.5" customHeight="1">
      <c t="s" r="A288" s="12">
        <v>291</v>
      </c>
      <c r="B288" s="13">
        <v>0</v>
      </c>
      <c r="C288" s="14">
        <f>IFERROR(B288/B327, "NA")</f>
      </c>
      <c r="D288" s="15"/>
      <c r="E288" s="13">
        <v>0</v>
      </c>
      <c r="F288" s="14">
        <f>IFERROR(E288/E327, "NA")</f>
      </c>
      <c r="G288" s="15"/>
      <c r="H288" s="13">
        <v>0</v>
      </c>
      <c r="I288" s="14">
        <f>IFERROR(H288/H327, "NA")</f>
      </c>
      <c r="J288" s="15"/>
      <c r="K288" s="13">
        <v>0</v>
      </c>
      <c r="L288" s="14">
        <f>IFERROR(K288/K327, "NA")</f>
      </c>
      <c r="M288" s="15"/>
      <c r="N288" s="13">
        <v>0</v>
      </c>
      <c r="O288" s="14">
        <f>IFERROR(N288/N327, "NA")</f>
      </c>
    </row>
    <row r="289" ht="16.5" customHeight="1">
      <c t="s" r="A289" s="12">
        <v>292</v>
      </c>
      <c r="B289" s="13">
        <v>468.30000000000001</v>
      </c>
      <c r="C289" s="14">
        <f>IFERROR(B289/B327, "NA")</f>
      </c>
      <c r="D289" s="15"/>
      <c r="E289" s="13">
        <v>1657.5</v>
      </c>
      <c r="F289" s="14">
        <f>IFERROR(E289/E327, "NA")</f>
      </c>
      <c r="G289" s="15"/>
      <c r="H289" s="13">
        <v>530.70000000000005</v>
      </c>
      <c r="I289" s="14">
        <f>IFERROR(H289/H327, "NA")</f>
      </c>
      <c r="J289" s="15"/>
      <c r="K289" s="13">
        <v>0</v>
      </c>
      <c r="L289" s="14">
        <f>IFERROR(K289/K327, "NA")</f>
      </c>
      <c r="M289" s="15"/>
      <c r="N289" s="13">
        <v>0</v>
      </c>
      <c r="O289" s="14">
        <f>IFERROR(N289/N327, "NA")</f>
      </c>
    </row>
    <row r="290" ht="16.5" customHeight="1">
      <c t="s" r="A290" s="12">
        <v>293</v>
      </c>
      <c r="B290" s="13">
        <v>23786.84</v>
      </c>
      <c r="C290" s="14">
        <f>IFERROR(B290/B327, "NA")</f>
      </c>
      <c r="D290" s="15"/>
      <c r="E290" s="13">
        <v>23155.59</v>
      </c>
      <c r="F290" s="14">
        <f>IFERROR(E290/E327, "NA")</f>
      </c>
      <c r="G290" s="15"/>
      <c r="H290" s="13">
        <v>19748.990000000002</v>
      </c>
      <c r="I290" s="14">
        <f>IFERROR(H290/H327, "NA")</f>
      </c>
      <c r="J290" s="15"/>
      <c r="K290" s="13">
        <v>20497.139999999999</v>
      </c>
      <c r="L290" s="14">
        <f>IFERROR(K290/K327, "NA")</f>
      </c>
      <c r="M290" s="15"/>
      <c r="N290" s="13">
        <v>21494.700000000001</v>
      </c>
      <c r="O290" s="14">
        <f>IFERROR(N290/N327, "NA")</f>
      </c>
    </row>
    <row r="291" ht="16.5" customHeight="1">
      <c t="s" r="A291" s="12">
        <v>294</v>
      </c>
      <c r="B291" s="13">
        <v>0</v>
      </c>
      <c r="C291" s="14">
        <f>IFERROR(B291/B327, "NA")</f>
      </c>
      <c r="D291" s="15"/>
      <c r="E291" s="13">
        <v>0</v>
      </c>
      <c r="F291" s="14">
        <f>IFERROR(E291/E327, "NA")</f>
      </c>
      <c r="G291" s="15"/>
      <c r="H291" s="13">
        <v>25</v>
      </c>
      <c r="I291" s="14">
        <f>IFERROR(H291/H327, "NA")</f>
      </c>
      <c r="J291" s="15"/>
      <c r="K291" s="13">
        <v>0</v>
      </c>
      <c r="L291" s="14">
        <f>IFERROR(K291/K327, "NA")</f>
      </c>
      <c r="M291" s="15"/>
      <c r="N291" s="13">
        <v>0</v>
      </c>
      <c r="O291" s="14">
        <f>IFERROR(N291/N327, "NA")</f>
      </c>
    </row>
    <row r="292" ht="16.5" customHeight="1">
      <c t="s" r="A292" s="12">
        <v>295</v>
      </c>
      <c r="B292" s="13">
        <v>0</v>
      </c>
      <c r="C292" s="14">
        <f>IFERROR(B292/B327, "NA")</f>
      </c>
      <c r="D292" s="15"/>
      <c r="E292" s="13">
        <v>0</v>
      </c>
      <c r="F292" s="14">
        <f>IFERROR(E292/E327, "NA")</f>
      </c>
      <c r="G292" s="15"/>
      <c r="H292" s="13">
        <v>0</v>
      </c>
      <c r="I292" s="14">
        <f>IFERROR(H292/H327, "NA")</f>
      </c>
      <c r="J292" s="15"/>
      <c r="K292" s="13">
        <v>6000</v>
      </c>
      <c r="L292" s="14">
        <f>IFERROR(K292/K327, "NA")</f>
      </c>
      <c r="M292" s="15"/>
      <c r="N292" s="13">
        <v>0</v>
      </c>
      <c r="O292" s="14">
        <f>IFERROR(N292/N327, "NA")</f>
      </c>
    </row>
    <row r="293" ht="16.5" customHeight="1">
      <c t="s" r="A293" s="12">
        <v>296</v>
      </c>
      <c r="B293" s="13">
        <v>332.79000000000002</v>
      </c>
      <c r="C293" s="14">
        <f>IFERROR(B293/B327, "NA")</f>
      </c>
      <c r="D293" s="15"/>
      <c r="E293" s="13">
        <v>1400</v>
      </c>
      <c r="F293" s="14">
        <f>IFERROR(E293/E327, "NA")</f>
      </c>
      <c r="G293" s="15"/>
      <c r="H293" s="13">
        <v>1400</v>
      </c>
      <c r="I293" s="14">
        <f>IFERROR(H293/H327, "NA")</f>
      </c>
      <c r="J293" s="15"/>
      <c r="K293" s="13">
        <v>900</v>
      </c>
      <c r="L293" s="14">
        <f>IFERROR(K293/K327, "NA")</f>
      </c>
      <c r="M293" s="15"/>
      <c r="N293" s="13">
        <v>0</v>
      </c>
      <c r="O293" s="14">
        <f>IFERROR(N293/N327, "NA")</f>
      </c>
    </row>
    <row r="294" ht="16.5" customHeight="1">
      <c t="s" r="A294" s="12">
        <v>297</v>
      </c>
      <c r="B294" s="13">
        <v>1885.48</v>
      </c>
      <c r="C294" s="14">
        <f>IFERROR(B294/B327, "NA")</f>
      </c>
      <c r="D294" s="15"/>
      <c r="E294" s="13">
        <v>707.88999999999999</v>
      </c>
      <c r="F294" s="14">
        <f>IFERROR(E294/E327, "NA")</f>
      </c>
      <c r="G294" s="15"/>
      <c r="H294" s="13">
        <v>0</v>
      </c>
      <c r="I294" s="14">
        <f>IFERROR(H294/H327, "NA")</f>
      </c>
      <c r="J294" s="15"/>
      <c r="K294" s="13">
        <v>100</v>
      </c>
      <c r="L294" s="14">
        <f>IFERROR(K294/K327, "NA")</f>
      </c>
      <c r="M294" s="15"/>
      <c r="N294" s="13">
        <v>0</v>
      </c>
      <c r="O294" s="14">
        <f>IFERROR(N294/N327, "NA")</f>
      </c>
    </row>
    <row r="295" ht="16.5" customHeight="1">
      <c t="s" r="A295" s="12">
        <v>298</v>
      </c>
      <c r="B295" s="13">
        <v>0</v>
      </c>
      <c r="C295" s="14">
        <f>IFERROR(B295/B327, "NA")</f>
      </c>
      <c r="D295" s="15"/>
      <c r="E295" s="13">
        <v>0</v>
      </c>
      <c r="F295" s="14">
        <f>IFERROR(E295/E327, "NA")</f>
      </c>
      <c r="G295" s="15"/>
      <c r="H295" s="13">
        <v>0</v>
      </c>
      <c r="I295" s="14">
        <f>IFERROR(H295/H327, "NA")</f>
      </c>
      <c r="J295" s="15"/>
      <c r="K295" s="13">
        <v>92.700000000000003</v>
      </c>
      <c r="L295" s="14">
        <f>IFERROR(K295/K327, "NA")</f>
      </c>
      <c r="M295" s="15"/>
      <c r="N295" s="13">
        <v>0</v>
      </c>
      <c r="O295" s="14">
        <f>IFERROR(N295/N327, "NA")</f>
      </c>
    </row>
    <row r="296" ht="16.5" customHeight="1">
      <c t="s" r="A296" s="12">
        <v>299</v>
      </c>
      <c r="B296" s="13">
        <v>0</v>
      </c>
      <c r="C296" s="14">
        <f>IFERROR(B296/B327, "NA")</f>
      </c>
      <c r="D296" s="15"/>
      <c r="E296" s="13">
        <v>0</v>
      </c>
      <c r="F296" s="14">
        <f>IFERROR(E296/E327, "NA")</f>
      </c>
      <c r="G296" s="15"/>
      <c r="H296" s="13">
        <v>0</v>
      </c>
      <c r="I296" s="14">
        <f>IFERROR(H296/H327, "NA")</f>
      </c>
      <c r="J296" s="15"/>
      <c r="K296" s="13">
        <v>0</v>
      </c>
      <c r="L296" s="14">
        <f>IFERROR(K296/K327, "NA")</f>
      </c>
      <c r="M296" s="15"/>
      <c r="N296" s="13">
        <v>0</v>
      </c>
      <c r="O296" s="14">
        <f>IFERROR(N296/N327, "NA")</f>
      </c>
    </row>
    <row r="297" ht="16.5" customHeight="1">
      <c t="s" r="A297" s="12">
        <v>300</v>
      </c>
      <c r="B297" s="13">
        <v>0</v>
      </c>
      <c r="C297" s="14">
        <f>IFERROR(B297/B327, "NA")</f>
      </c>
      <c r="D297" s="15"/>
      <c r="E297" s="13">
        <v>0</v>
      </c>
      <c r="F297" s="14">
        <f>IFERROR(E297/E327, "NA")</f>
      </c>
      <c r="G297" s="15"/>
      <c r="H297" s="13">
        <v>0</v>
      </c>
      <c r="I297" s="14">
        <f>IFERROR(H297/H327, "NA")</f>
      </c>
      <c r="J297" s="15"/>
      <c r="K297" s="13">
        <v>0</v>
      </c>
      <c r="L297" s="14">
        <f>IFERROR(K297/K327, "NA")</f>
      </c>
      <c r="M297" s="15"/>
      <c r="N297" s="13">
        <v>0</v>
      </c>
      <c r="O297" s="14">
        <f>IFERROR(N297/N327, "NA")</f>
      </c>
    </row>
    <row r="298" ht="16.5" customHeight="1">
      <c t="s" r="A298" s="12">
        <v>301</v>
      </c>
      <c r="B298" s="13">
        <v>0</v>
      </c>
      <c r="C298" s="14">
        <f>IFERROR(B298/B327, "NA")</f>
      </c>
      <c r="D298" s="15"/>
      <c r="E298" s="13">
        <v>0</v>
      </c>
      <c r="F298" s="14">
        <f>IFERROR(E298/E327, "NA")</f>
      </c>
      <c r="G298" s="15"/>
      <c r="H298" s="13">
        <v>0</v>
      </c>
      <c r="I298" s="14">
        <f>IFERROR(H298/H327, "NA")</f>
      </c>
      <c r="J298" s="15"/>
      <c r="K298" s="13">
        <v>0</v>
      </c>
      <c r="L298" s="14">
        <f>IFERROR(K298/K327, "NA")</f>
      </c>
      <c r="M298" s="15"/>
      <c r="N298" s="13">
        <v>0</v>
      </c>
      <c r="O298" s="14">
        <f>IFERROR(N298/N327, "NA")</f>
      </c>
    </row>
    <row r="299" ht="16.5" customHeight="1">
      <c t="s" r="A299" s="12">
        <v>302</v>
      </c>
      <c r="B299" s="13">
        <v>0</v>
      </c>
      <c r="C299" s="14">
        <f>IFERROR(B299/B327, "NA")</f>
      </c>
      <c r="D299" s="15"/>
      <c r="E299" s="13">
        <v>0</v>
      </c>
      <c r="F299" s="14">
        <f>IFERROR(E299/E327, "NA")</f>
      </c>
      <c r="G299" s="15"/>
      <c r="H299" s="13">
        <v>0</v>
      </c>
      <c r="I299" s="14">
        <f>IFERROR(H299/H327, "NA")</f>
      </c>
      <c r="J299" s="15"/>
      <c r="K299" s="13">
        <v>0</v>
      </c>
      <c r="L299" s="14">
        <f>IFERROR(K299/K327, "NA")</f>
      </c>
      <c r="M299" s="15"/>
      <c r="N299" s="13">
        <v>0</v>
      </c>
      <c r="O299" s="14">
        <f>IFERROR(N299/N327, "NA")</f>
      </c>
    </row>
    <row r="300" ht="16.5" customHeight="1">
      <c t="s" r="A300" s="12">
        <v>303</v>
      </c>
      <c r="B300" s="13">
        <v>0</v>
      </c>
      <c r="C300" s="14">
        <f>IFERROR(B300/B327, "NA")</f>
      </c>
      <c r="D300" s="15"/>
      <c r="E300" s="13">
        <v>0</v>
      </c>
      <c r="F300" s="14">
        <f>IFERROR(E300/E327, "NA")</f>
      </c>
      <c r="G300" s="15"/>
      <c r="H300" s="13">
        <v>0</v>
      </c>
      <c r="I300" s="14">
        <f>IFERROR(H300/H327, "NA")</f>
      </c>
      <c r="J300" s="15"/>
      <c r="K300" s="13">
        <v>0</v>
      </c>
      <c r="L300" s="14">
        <f>IFERROR(K300/K327, "NA")</f>
      </c>
      <c r="M300" s="15"/>
      <c r="N300" s="13">
        <v>0</v>
      </c>
      <c r="O300" s="14">
        <f>IFERROR(N300/N327, "NA")</f>
      </c>
    </row>
    <row r="301" ht="16.5" customHeight="1">
      <c t="s" r="A301" s="12">
        <v>304</v>
      </c>
      <c r="B301" s="13">
        <v>0</v>
      </c>
      <c r="C301" s="14">
        <f>IFERROR(B301/B327, "NA")</f>
      </c>
      <c r="D301" s="15"/>
      <c r="E301" s="13">
        <v>0</v>
      </c>
      <c r="F301" s="14">
        <f>IFERROR(E301/E327, "NA")</f>
      </c>
      <c r="G301" s="15"/>
      <c r="H301" s="13">
        <v>0</v>
      </c>
      <c r="I301" s="14">
        <f>IFERROR(H301/H327, "NA")</f>
      </c>
      <c r="J301" s="15"/>
      <c r="K301" s="13">
        <v>0</v>
      </c>
      <c r="L301" s="14">
        <f>IFERROR(K301/K327, "NA")</f>
      </c>
      <c r="M301" s="15"/>
      <c r="N301" s="13">
        <v>0</v>
      </c>
      <c r="O301" s="14">
        <f>IFERROR(N301/N327, "NA")</f>
      </c>
    </row>
    <row r="302" ht="16.5" customHeight="1">
      <c t="s" r="A302" s="12">
        <v>305</v>
      </c>
      <c r="B302" s="13">
        <v>0</v>
      </c>
      <c r="C302" s="14">
        <f>IFERROR(B302/B327, "NA")</f>
      </c>
      <c r="D302" s="15"/>
      <c r="E302" s="13">
        <v>0</v>
      </c>
      <c r="F302" s="14">
        <f>IFERROR(E302/E327, "NA")</f>
      </c>
      <c r="G302" s="15"/>
      <c r="H302" s="13">
        <v>0</v>
      </c>
      <c r="I302" s="14">
        <f>IFERROR(H302/H327, "NA")</f>
      </c>
      <c r="J302" s="15"/>
      <c r="K302" s="13">
        <v>0</v>
      </c>
      <c r="L302" s="14">
        <f>IFERROR(K302/K327, "NA")</f>
      </c>
      <c r="M302" s="15"/>
      <c r="N302" s="13">
        <v>0</v>
      </c>
      <c r="O302" s="14">
        <f>IFERROR(N302/N327, "NA")</f>
      </c>
    </row>
    <row r="303" ht="16.5" customHeight="1">
      <c t="s" r="A303" s="12">
        <v>306</v>
      </c>
      <c r="B303" s="13">
        <v>0</v>
      </c>
      <c r="C303" s="14">
        <f>IFERROR(B303/B327, "NA")</f>
      </c>
      <c r="D303" s="15"/>
      <c r="E303" s="13">
        <v>0</v>
      </c>
      <c r="F303" s="14">
        <f>IFERROR(E303/E327, "NA")</f>
      </c>
      <c r="G303" s="15"/>
      <c r="H303" s="13">
        <v>0</v>
      </c>
      <c r="I303" s="14">
        <f>IFERROR(H303/H327, "NA")</f>
      </c>
      <c r="J303" s="15"/>
      <c r="K303" s="13">
        <v>0</v>
      </c>
      <c r="L303" s="14">
        <f>IFERROR(K303/K327, "NA")</f>
      </c>
      <c r="M303" s="15"/>
      <c r="N303" s="13">
        <v>0</v>
      </c>
      <c r="O303" s="14">
        <f>IFERROR(N303/N327, "NA")</f>
      </c>
    </row>
    <row r="304" ht="16.5" customHeight="1">
      <c t="s" r="A304" s="12">
        <v>307</v>
      </c>
      <c r="B304" s="13">
        <v>0</v>
      </c>
      <c r="C304" s="14">
        <f>IFERROR(B304/B327, "NA")</f>
      </c>
      <c r="D304" s="15"/>
      <c r="E304" s="13">
        <v>0</v>
      </c>
      <c r="F304" s="14">
        <f>IFERROR(E304/E327, "NA")</f>
      </c>
      <c r="G304" s="15"/>
      <c r="H304" s="13">
        <v>0</v>
      </c>
      <c r="I304" s="14">
        <f>IFERROR(H304/H327, "NA")</f>
      </c>
      <c r="J304" s="15"/>
      <c r="K304" s="13">
        <v>0</v>
      </c>
      <c r="L304" s="14">
        <f>IFERROR(K304/K327, "NA")</f>
      </c>
      <c r="M304" s="15"/>
      <c r="N304" s="13">
        <v>0</v>
      </c>
      <c r="O304" s="14">
        <f>IFERROR(N304/N327, "NA")</f>
      </c>
    </row>
    <row r="305" ht="16.5" customHeight="1">
      <c t="s" r="A305" s="12">
        <v>308</v>
      </c>
      <c r="B305" s="13">
        <v>0</v>
      </c>
      <c r="C305" s="14">
        <f>IFERROR(B305/B327, "NA")</f>
      </c>
      <c r="D305" s="15"/>
      <c r="E305" s="13">
        <v>0</v>
      </c>
      <c r="F305" s="14">
        <f>IFERROR(E305/E327, "NA")</f>
      </c>
      <c r="G305" s="15"/>
      <c r="H305" s="13">
        <v>0</v>
      </c>
      <c r="I305" s="14">
        <f>IFERROR(H305/H327, "NA")</f>
      </c>
      <c r="J305" s="15"/>
      <c r="K305" s="13">
        <v>0</v>
      </c>
      <c r="L305" s="14">
        <f>IFERROR(K305/K327, "NA")</f>
      </c>
      <c r="M305" s="15"/>
      <c r="N305" s="13">
        <v>0</v>
      </c>
      <c r="O305" s="14">
        <f>IFERROR(N305/N327, "NA")</f>
      </c>
    </row>
    <row r="306" ht="16.5" customHeight="1">
      <c t="s" r="A306" s="12">
        <v>309</v>
      </c>
      <c r="B306" s="13">
        <v>0</v>
      </c>
      <c r="C306" s="14">
        <f>IFERROR(B306/B327, "NA")</f>
      </c>
      <c r="D306" s="15"/>
      <c r="E306" s="13">
        <v>0</v>
      </c>
      <c r="F306" s="14">
        <f>IFERROR(E306/E327, "NA")</f>
      </c>
      <c r="G306" s="15"/>
      <c r="H306" s="13">
        <v>0</v>
      </c>
      <c r="I306" s="14">
        <f>IFERROR(H306/H327, "NA")</f>
      </c>
      <c r="J306" s="15"/>
      <c r="K306" s="13">
        <v>0</v>
      </c>
      <c r="L306" s="14">
        <f>IFERROR(K306/K327, "NA")</f>
      </c>
      <c r="M306" s="15"/>
      <c r="N306" s="13">
        <v>0</v>
      </c>
      <c r="O306" s="14">
        <f>IFERROR(N306/N327, "NA")</f>
      </c>
    </row>
    <row r="307" ht="16.5" customHeight="1">
      <c t="s" r="A307" s="12">
        <v>310</v>
      </c>
      <c r="B307" s="13">
        <v>0</v>
      </c>
      <c r="C307" s="14">
        <f>IFERROR(B307/B327, "NA")</f>
      </c>
      <c r="D307" s="15"/>
      <c r="E307" s="13">
        <v>0</v>
      </c>
      <c r="F307" s="14">
        <f>IFERROR(E307/E327, "NA")</f>
      </c>
      <c r="G307" s="15"/>
      <c r="H307" s="13">
        <v>0</v>
      </c>
      <c r="I307" s="14">
        <f>IFERROR(H307/H327, "NA")</f>
      </c>
      <c r="J307" s="15"/>
      <c r="K307" s="13">
        <v>0</v>
      </c>
      <c r="L307" s="14">
        <f>IFERROR(K307/K327, "NA")</f>
      </c>
      <c r="M307" s="15"/>
      <c r="N307" s="13">
        <v>0</v>
      </c>
      <c r="O307" s="14">
        <f>IFERROR(N307/N327, "NA")</f>
      </c>
    </row>
    <row r="308" ht="16.5" customHeight="1">
      <c t="s" r="A308" s="12">
        <v>311</v>
      </c>
      <c r="B308" s="13">
        <v>0</v>
      </c>
      <c r="C308" s="14">
        <f>IFERROR(B308/B327, "NA")</f>
      </c>
      <c r="D308" s="15"/>
      <c r="E308" s="13">
        <v>0</v>
      </c>
      <c r="F308" s="14">
        <f>IFERROR(E308/E327, "NA")</f>
      </c>
      <c r="G308" s="15"/>
      <c r="H308" s="13">
        <v>0</v>
      </c>
      <c r="I308" s="14">
        <f>IFERROR(H308/H327, "NA")</f>
      </c>
      <c r="J308" s="15"/>
      <c r="K308" s="13">
        <v>0</v>
      </c>
      <c r="L308" s="14">
        <f>IFERROR(K308/K327, "NA")</f>
      </c>
      <c r="M308" s="15"/>
      <c r="N308" s="13">
        <v>0</v>
      </c>
      <c r="O308" s="14">
        <f>IFERROR(N308/N327, "NA")</f>
      </c>
    </row>
    <row r="309" ht="16.5" customHeight="1">
      <c t="s" r="A309" s="12">
        <v>312</v>
      </c>
      <c r="B309" s="13">
        <v>0</v>
      </c>
      <c r="C309" s="14">
        <f>IFERROR(B309/B327, "NA")</f>
      </c>
      <c r="D309" s="15"/>
      <c r="E309" s="13">
        <v>0</v>
      </c>
      <c r="F309" s="14">
        <f>IFERROR(E309/E327, "NA")</f>
      </c>
      <c r="G309" s="15"/>
      <c r="H309" s="13">
        <v>0</v>
      </c>
      <c r="I309" s="14">
        <f>IFERROR(H309/H327, "NA")</f>
      </c>
      <c r="J309" s="15"/>
      <c r="K309" s="13">
        <v>0</v>
      </c>
      <c r="L309" s="14">
        <f>IFERROR(K309/K327, "NA")</f>
      </c>
      <c r="M309" s="15"/>
      <c r="N309" s="13">
        <v>0</v>
      </c>
      <c r="O309" s="14">
        <f>IFERROR(N309/N327, "NA")</f>
      </c>
    </row>
    <row r="310" ht="16.5" customHeight="1">
      <c t="s" r="A310" s="12">
        <v>313</v>
      </c>
      <c r="B310" s="13">
        <v>0</v>
      </c>
      <c r="C310" s="14">
        <f>IFERROR(B310/B327, "NA")</f>
      </c>
      <c r="D310" s="15"/>
      <c r="E310" s="13">
        <v>0</v>
      </c>
      <c r="F310" s="14">
        <f>IFERROR(E310/E327, "NA")</f>
      </c>
      <c r="G310" s="15"/>
      <c r="H310" s="13">
        <v>0</v>
      </c>
      <c r="I310" s="14">
        <f>IFERROR(H310/H327, "NA")</f>
      </c>
      <c r="J310" s="15"/>
      <c r="K310" s="13">
        <v>0</v>
      </c>
      <c r="L310" s="14">
        <f>IFERROR(K310/K327, "NA")</f>
      </c>
      <c r="M310" s="15"/>
      <c r="N310" s="13">
        <v>0</v>
      </c>
      <c r="O310" s="14">
        <f>IFERROR(N310/N327, "NA")</f>
      </c>
    </row>
    <row r="311" ht="16.5" customHeight="1">
      <c t="s" r="A311" s="12">
        <v>314</v>
      </c>
      <c r="B311" s="13">
        <v>0</v>
      </c>
      <c r="C311" s="14">
        <f>IFERROR(B311/B327, "NA")</f>
      </c>
      <c r="D311" s="15"/>
      <c r="E311" s="13">
        <v>0</v>
      </c>
      <c r="F311" s="14">
        <f>IFERROR(E311/E327, "NA")</f>
      </c>
      <c r="G311" s="15"/>
      <c r="H311" s="13">
        <v>0</v>
      </c>
      <c r="I311" s="14">
        <f>IFERROR(H311/H327, "NA")</f>
      </c>
      <c r="J311" s="15"/>
      <c r="K311" s="13">
        <v>0</v>
      </c>
      <c r="L311" s="14">
        <f>IFERROR(K311/K327, "NA")</f>
      </c>
      <c r="M311" s="15"/>
      <c r="N311" s="13">
        <v>0</v>
      </c>
      <c r="O311" s="14">
        <f>IFERROR(N311/N327, "NA")</f>
      </c>
    </row>
    <row r="312" ht="16.5" customHeight="1">
      <c t="s" r="A312" s="12">
        <v>315</v>
      </c>
      <c r="B312" s="13">
        <v>0</v>
      </c>
      <c r="C312" s="14">
        <f>IFERROR(B312/B327, "NA")</f>
      </c>
      <c r="D312" s="15"/>
      <c r="E312" s="13">
        <v>0</v>
      </c>
      <c r="F312" s="14">
        <f>IFERROR(E312/E327, "NA")</f>
      </c>
      <c r="G312" s="15"/>
      <c r="H312" s="13">
        <v>0</v>
      </c>
      <c r="I312" s="14">
        <f>IFERROR(H312/H327, "NA")</f>
      </c>
      <c r="J312" s="15"/>
      <c r="K312" s="13">
        <v>0</v>
      </c>
      <c r="L312" s="14">
        <f>IFERROR(K312/K327, "NA")</f>
      </c>
      <c r="M312" s="15"/>
      <c r="N312" s="13">
        <v>0</v>
      </c>
      <c r="O312" s="14">
        <f>IFERROR(N312/N327, "NA")</f>
      </c>
    </row>
    <row r="313" ht="16.5" customHeight="1">
      <c t="s" r="A313" s="12">
        <v>316</v>
      </c>
      <c r="B313" s="13">
        <v>0</v>
      </c>
      <c r="C313" s="14">
        <f>IFERROR(B313/B327, "NA")</f>
      </c>
      <c r="D313" s="15"/>
      <c r="E313" s="13">
        <v>0</v>
      </c>
      <c r="F313" s="14">
        <f>IFERROR(E313/E327, "NA")</f>
      </c>
      <c r="G313" s="15"/>
      <c r="H313" s="13">
        <v>0</v>
      </c>
      <c r="I313" s="14">
        <f>IFERROR(H313/H327, "NA")</f>
      </c>
      <c r="J313" s="15"/>
      <c r="K313" s="13">
        <v>0</v>
      </c>
      <c r="L313" s="14">
        <f>IFERROR(K313/K327, "NA")</f>
      </c>
      <c r="M313" s="15"/>
      <c r="N313" s="13">
        <v>0</v>
      </c>
      <c r="O313" s="14">
        <f>IFERROR(N313/N327, "NA")</f>
      </c>
    </row>
    <row r="314" ht="16.5" customHeight="1">
      <c t="s" r="A314" s="16">
        <v>317</v>
      </c>
      <c r="B314" s="17">
        <f>IFERROR(B287+B288+B289+B290+B291+B292+B293+B294+B295+B296+B297+B298+B299+B300+B301+B302+B303+B304+B305+B306+B307+B308+B309+B310+B311+B312+B313, "NA")</f>
      </c>
      <c r="C314" s="18">
        <f>IFERROR(B314/B327, "NA")</f>
      </c>
      <c r="D314" s="8"/>
      <c r="E314" s="17">
        <f>IFERROR(E287+E288+E289+E290+E291+E292+E293+E294+E295+E296+E297+E298+E299+E300+E301+E302+E303+E304+E305+E306+E307+E308+E309+E310+E311+E312+E313, "NA")</f>
      </c>
      <c r="F314" s="18">
        <f>IFERROR(E314/E327, "NA")</f>
      </c>
      <c r="G314" s="8"/>
      <c r="H314" s="17">
        <f>IFERROR(H287+H288+H289+H290+H291+H292+H293+H294+H295+H296+H297+H298+H299+H300+H301+H302+H303+H304+H305+H306+H307+H308+H309+H310+H311+H312+H313, "NA")</f>
      </c>
      <c r="I314" s="18">
        <f>IFERROR(H314/H327, "NA")</f>
      </c>
      <c r="J314" s="8"/>
      <c r="K314" s="17">
        <f>IFERROR(K287+K288+K289+K290+K291+K292+K293+K294+K295+K296+K297+K298+K299+K300+K301+K302+K303+K304+K305+K306+K307+K308+K309+K310+K311+K312+K313, "NA")</f>
      </c>
      <c r="L314" s="18">
        <f>IFERROR(K314/K327, "NA")</f>
      </c>
      <c r="M314" s="8"/>
      <c r="N314" s="17">
        <f>IFERROR(N287+N288+N289+N290+N291+N292+N293+N294+N295+N296+N297+N298+N299+N300+N301+N302+N303+N304+N305+N306+N307+N308+N309+N310+N311+N312+N313, "NA")</f>
      </c>
      <c r="O314" s="18">
        <f>IFERROR(N314/N327, "NA")</f>
      </c>
    </row>
    <row r="315" ht="16.5" customHeight="1">
      <c t="s" r="A315" s="11">
        <v>318</v>
      </c>
      <c r="B315" s="8"/>
      <c r="C315" s="9"/>
      <c r="D315" s="10"/>
      <c r="E315" s="8"/>
      <c r="F315" s="9"/>
      <c r="G315" s="10"/>
      <c r="H315" s="8"/>
      <c r="I315" s="9"/>
      <c r="J315" s="10"/>
      <c r="K315" s="8"/>
      <c r="L315" s="9"/>
      <c r="M315" s="10"/>
      <c r="N315" s="8"/>
      <c r="O315" s="9"/>
    </row>
    <row r="316" ht="16.5" customHeight="1">
      <c t="s" r="A316" s="12">
        <v>319</v>
      </c>
      <c r="B316" s="13">
        <v>0</v>
      </c>
      <c r="C316" s="14">
        <f>IFERROR(B316/B327, "NA")</f>
      </c>
      <c r="D316" s="15"/>
      <c r="E316" s="13">
        <v>0</v>
      </c>
      <c r="F316" s="14">
        <f>IFERROR(E316/E327, "NA")</f>
      </c>
      <c r="G316" s="15"/>
      <c r="H316" s="13">
        <v>0</v>
      </c>
      <c r="I316" s="14">
        <f>IFERROR(H316/H327, "NA")</f>
      </c>
      <c r="J316" s="15"/>
      <c r="K316" s="13">
        <v>0</v>
      </c>
      <c r="L316" s="14">
        <f>IFERROR(K316/K327, "NA")</f>
      </c>
      <c r="M316" s="15"/>
      <c r="N316" s="13">
        <v>0</v>
      </c>
      <c r="O316" s="14">
        <f>IFERROR(N316/N327, "NA")</f>
      </c>
    </row>
    <row r="317" ht="16.5" customHeight="1">
      <c t="s" r="A317" s="12">
        <v>320</v>
      </c>
      <c r="B317" s="13">
        <v>0</v>
      </c>
      <c r="C317" s="14">
        <f>IFERROR(B317/B327, "NA")</f>
      </c>
      <c r="D317" s="15"/>
      <c r="E317" s="13">
        <v>0</v>
      </c>
      <c r="F317" s="14">
        <f>IFERROR(E317/E327, "NA")</f>
      </c>
      <c r="G317" s="15"/>
      <c r="H317" s="13">
        <v>0</v>
      </c>
      <c r="I317" s="14">
        <f>IFERROR(H317/H327, "NA")</f>
      </c>
      <c r="J317" s="15"/>
      <c r="K317" s="13">
        <v>0</v>
      </c>
      <c r="L317" s="14">
        <f>IFERROR(K317/K327, "NA")</f>
      </c>
      <c r="M317" s="15"/>
      <c r="N317" s="13">
        <v>0</v>
      </c>
      <c r="O317" s="14">
        <f>IFERROR(N317/N327, "NA")</f>
      </c>
    </row>
    <row r="318" ht="16.5" customHeight="1">
      <c t="s" r="A318" s="12">
        <v>321</v>
      </c>
      <c r="B318" s="13">
        <v>0</v>
      </c>
      <c r="C318" s="14">
        <f>IFERROR(B318/B327, "NA")</f>
      </c>
      <c r="D318" s="15"/>
      <c r="E318" s="13">
        <v>0</v>
      </c>
      <c r="F318" s="14">
        <f>IFERROR(E318/E327, "NA")</f>
      </c>
      <c r="G318" s="15"/>
      <c r="H318" s="13">
        <v>0</v>
      </c>
      <c r="I318" s="14">
        <f>IFERROR(H318/H327, "NA")</f>
      </c>
      <c r="J318" s="15"/>
      <c r="K318" s="13">
        <v>0</v>
      </c>
      <c r="L318" s="14">
        <f>IFERROR(K318/K327, "NA")</f>
      </c>
      <c r="M318" s="15"/>
      <c r="N318" s="13">
        <v>0</v>
      </c>
      <c r="O318" s="14">
        <f>IFERROR(N318/N327, "NA")</f>
      </c>
    </row>
    <row r="319" ht="16.5" customHeight="1">
      <c t="s" r="A319" s="12">
        <v>322</v>
      </c>
      <c r="B319" s="13">
        <v>0</v>
      </c>
      <c r="C319" s="14">
        <f>IFERROR(B319/B327, "NA")</f>
      </c>
      <c r="D319" s="15"/>
      <c r="E319" s="13">
        <v>0</v>
      </c>
      <c r="F319" s="14">
        <f>IFERROR(E319/E327, "NA")</f>
      </c>
      <c r="G319" s="15"/>
      <c r="H319" s="13">
        <v>0</v>
      </c>
      <c r="I319" s="14">
        <f>IFERROR(H319/H327, "NA")</f>
      </c>
      <c r="J319" s="15"/>
      <c r="K319" s="13">
        <v>0</v>
      </c>
      <c r="L319" s="14">
        <f>IFERROR(K319/K327, "NA")</f>
      </c>
      <c r="M319" s="15"/>
      <c r="N319" s="13">
        <v>0</v>
      </c>
      <c r="O319" s="14">
        <f>IFERROR(N319/N327, "NA")</f>
      </c>
    </row>
    <row r="320" ht="16.5" customHeight="1">
      <c t="s" r="A320" s="12">
        <v>323</v>
      </c>
      <c r="B320" s="13">
        <v>0</v>
      </c>
      <c r="C320" s="14">
        <f>IFERROR(B320/B327, "NA")</f>
      </c>
      <c r="D320" s="15"/>
      <c r="E320" s="13">
        <v>0</v>
      </c>
      <c r="F320" s="14">
        <f>IFERROR(E320/E327, "NA")</f>
      </c>
      <c r="G320" s="15"/>
      <c r="H320" s="13">
        <v>0</v>
      </c>
      <c r="I320" s="14">
        <f>IFERROR(H320/H327, "NA")</f>
      </c>
      <c r="J320" s="15"/>
      <c r="K320" s="13">
        <v>0</v>
      </c>
      <c r="L320" s="14">
        <f>IFERROR(K320/K327, "NA")</f>
      </c>
      <c r="M320" s="15"/>
      <c r="N320" s="13">
        <v>0</v>
      </c>
      <c r="O320" s="14">
        <f>IFERROR(N320/N327, "NA")</f>
      </c>
    </row>
    <row r="321" ht="16.5" customHeight="1">
      <c t="s" r="A321" s="12">
        <v>324</v>
      </c>
      <c r="B321" s="13">
        <v>0</v>
      </c>
      <c r="C321" s="14">
        <f>IFERROR(B321/B327, "NA")</f>
      </c>
      <c r="D321" s="15"/>
      <c r="E321" s="13">
        <v>0</v>
      </c>
      <c r="F321" s="14">
        <f>IFERROR(E321/E327, "NA")</f>
      </c>
      <c r="G321" s="15"/>
      <c r="H321" s="13">
        <v>0</v>
      </c>
      <c r="I321" s="14">
        <f>IFERROR(H321/H327, "NA")</f>
      </c>
      <c r="J321" s="15"/>
      <c r="K321" s="13">
        <v>0</v>
      </c>
      <c r="L321" s="14">
        <f>IFERROR(K321/K327, "NA")</f>
      </c>
      <c r="M321" s="15"/>
      <c r="N321" s="13">
        <v>0</v>
      </c>
      <c r="O321" s="14">
        <f>IFERROR(N321/N327, "NA")</f>
      </c>
    </row>
    <row r="322" ht="16.5" customHeight="1">
      <c t="s" r="A322" s="12">
        <v>325</v>
      </c>
      <c r="B322" s="13">
        <v>5000</v>
      </c>
      <c r="C322" s="14">
        <f>IFERROR(B322/B327, "NA")</f>
      </c>
      <c r="D322" s="15"/>
      <c r="E322" s="13">
        <v>0</v>
      </c>
      <c r="F322" s="14">
        <f>IFERROR(E322/E327, "NA")</f>
      </c>
      <c r="G322" s="15"/>
      <c r="H322" s="13">
        <v>0</v>
      </c>
      <c r="I322" s="14">
        <f>IFERROR(H322/H327, "NA")</f>
      </c>
      <c r="J322" s="15"/>
      <c r="K322" s="13">
        <v>0</v>
      </c>
      <c r="L322" s="14">
        <f>IFERROR(K322/K327, "NA")</f>
      </c>
      <c r="M322" s="15"/>
      <c r="N322" s="13">
        <v>0</v>
      </c>
      <c r="O322" s="14">
        <f>IFERROR(N322/N327, "NA")</f>
      </c>
    </row>
    <row r="323" ht="16.5" customHeight="1">
      <c t="s" r="A323" s="12">
        <v>326</v>
      </c>
      <c r="B323" s="13">
        <v>0</v>
      </c>
      <c r="C323" s="14">
        <f>IFERROR(B323/B327, "NA")</f>
      </c>
      <c r="D323" s="15"/>
      <c r="E323" s="13">
        <v>0</v>
      </c>
      <c r="F323" s="14">
        <f>IFERROR(E323/E327, "NA")</f>
      </c>
      <c r="G323" s="15"/>
      <c r="H323" s="13">
        <v>0</v>
      </c>
      <c r="I323" s="14">
        <f>IFERROR(H323/H327, "NA")</f>
      </c>
      <c r="J323" s="15"/>
      <c r="K323" s="13">
        <v>0</v>
      </c>
      <c r="L323" s="14">
        <f>IFERROR(K323/K327, "NA")</f>
      </c>
      <c r="M323" s="15"/>
      <c r="N323" s="13">
        <v>0</v>
      </c>
      <c r="O323" s="14">
        <f>IFERROR(N323/N327, "NA")</f>
      </c>
    </row>
    <row r="324" ht="16.5" customHeight="1">
      <c t="s" r="A324" s="16">
        <v>327</v>
      </c>
      <c r="B324" s="17">
        <f>IFERROR(B316+B317+B318+B319+B320+B321+B322+B323, "NA")</f>
      </c>
      <c r="C324" s="18">
        <f>IFERROR(B324/B327, "NA")</f>
      </c>
      <c r="D324" s="8"/>
      <c r="E324" s="17">
        <f>IFERROR(E316+E317+E318+E319+E320+E321+E322+E323, "NA")</f>
      </c>
      <c r="F324" s="18">
        <f>IFERROR(E324/E327, "NA")</f>
      </c>
      <c r="G324" s="8"/>
      <c r="H324" s="17">
        <f>IFERROR(H316+H317+H318+H319+H320+H321+H322+H323, "NA")</f>
      </c>
      <c r="I324" s="18">
        <f>IFERROR(H324/H327, "NA")</f>
      </c>
      <c r="J324" s="8"/>
      <c r="K324" s="17">
        <f>IFERROR(K316+K317+K318+K319+K320+K321+K322+K323, "NA")</f>
      </c>
      <c r="L324" s="18">
        <f>IFERROR(K324/K327, "NA")</f>
      </c>
      <c r="M324" s="8"/>
      <c r="N324" s="17">
        <f>IFERROR(N316+N317+N318+N319+N320+N321+N322+N323, "NA")</f>
      </c>
      <c r="O324" s="18">
        <f>IFERROR(N324/N327, "NA")</f>
      </c>
    </row>
    <row r="325" ht="16.5" customHeight="1">
      <c t="s" r="A325" s="20">
        <v>328</v>
      </c>
      <c r="B325" s="17">
        <f>IFERROR(B287+B288+B289+B290+B291+B292+B293+B294+B295+B296+B297+B298+B299+B300+B301+B302+B303+B304+B305+B306+B307+B308+B309+B310+B311+B312+B313+B316+B317+B318+B319+B320+B321+B322+B323, "NA")</f>
      </c>
      <c r="C325" s="18">
        <f>IFERROR(B325/B327, "NA")</f>
      </c>
      <c r="D325" s="8"/>
      <c r="E325" s="17">
        <f>IFERROR(E287+E288+E289+E290+E291+E292+E293+E294+E295+E296+E297+E298+E299+E300+E301+E302+E303+E304+E305+E306+E307+E308+E309+E310+E311+E312+E313+E316+E317+E318+E319+E320+E321+E322+E323, "NA")</f>
      </c>
      <c r="F325" s="18">
        <f>IFERROR(E325/E327, "NA")</f>
      </c>
      <c r="G325" s="8"/>
      <c r="H325" s="17">
        <f>IFERROR(H287+H288+H289+H290+H291+H292+H293+H294+H295+H296+H297+H298+H299+H300+H301+H302+H303+H304+H305+H306+H307+H308+H309+H310+H311+H312+H313+H316+H317+H318+H319+H320+H321+H322+H323, "NA")</f>
      </c>
      <c r="I325" s="18">
        <f>IFERROR(H325/H327, "NA")</f>
      </c>
      <c r="J325" s="8"/>
      <c r="K325" s="17">
        <f>IFERROR(K287+K288+K289+K290+K291+K292+K293+K294+K295+K296+K297+K298+K299+K300+K301+K302+K303+K304+K305+K306+K307+K308+K309+K310+K311+K312+K313+K316+K317+K318+K319+K320+K321+K322+K323, "NA")</f>
      </c>
      <c r="L325" s="18">
        <f>IFERROR(K325/K327, "NA")</f>
      </c>
      <c r="M325" s="8"/>
      <c r="N325" s="17">
        <f>IFERROR(N287+N288+N289+N290+N291+N292+N293+N294+N295+N296+N297+N298+N299+N300+N301+N302+N303+N304+N305+N306+N307+N308+N309+N310+N311+N312+N313+N316+N317+N318+N319+N320+N321+N322+N323, "NA")</f>
      </c>
      <c r="O325" s="18">
        <f>IFERROR(N325/N327, "NA")</f>
      </c>
    </row>
    <row r="326" ht="16.5" customHeight="1">
      <c t="s" r="A326" s="20">
        <v>329</v>
      </c>
      <c r="B326" s="17">
        <f>IFERROR(+B52-B157-B211-B284-B325, "NA")</f>
      </c>
      <c r="C326" s="18">
        <f>IFERROR(B326/B327, "NA")</f>
      </c>
      <c r="D326" s="8"/>
      <c r="E326" s="17">
        <f>IFERROR(+E52-E157-E211-E284-E325, "NA")</f>
      </c>
      <c r="F326" s="18">
        <f>IFERROR(E326/E327, "NA")</f>
      </c>
      <c r="G326" s="8"/>
      <c r="H326" s="17">
        <f>IFERROR(+H52-H157-H211-H284-H325, "NA")</f>
      </c>
      <c r="I326" s="18">
        <f>IFERROR(H326/H327, "NA")</f>
      </c>
      <c r="J326" s="8"/>
      <c r="K326" s="17">
        <f>IFERROR(+K52-K157-K211-K284-K325, "NA")</f>
      </c>
      <c r="L326" s="18">
        <f>IFERROR(K326/K327, "NA")</f>
      </c>
      <c r="M326" s="8"/>
      <c r="N326" s="17">
        <f>IFERROR(+N52-N157-N211-N284-N325, "NA")</f>
      </c>
      <c r="O326" s="18">
        <f>IFERROR(N326/N327, "NA")</f>
      </c>
    </row>
    <row r="327" hidden="1">
      <c t="s" r="A327" s="24">
        <v>55</v>
      </c>
      <c r="B327" s="13">
        <v>319662.52000000002</v>
      </c>
      <c r="C327" s="25"/>
      <c r="D327" s="15"/>
      <c r="E327" s="13">
        <v>439726.28999999998</v>
      </c>
      <c r="F327" s="25"/>
      <c r="G327" s="15"/>
      <c r="H327" s="13">
        <v>372907.44</v>
      </c>
      <c r="I327" s="25"/>
      <c r="J327" s="15"/>
      <c r="K327" s="13">
        <v>381892.96000000002</v>
      </c>
      <c r="L327" s="25"/>
      <c r="M327" s="15"/>
      <c r="N327" s="13">
        <v>409784.52000000002</v>
      </c>
      <c r="O327" s="25"/>
    </row>
    <row r="328"/>
    <row r="329"/>
    <row r="330">
      <c t="s" r="A330" s="26">
        <v>330</v>
      </c>
    </row>
    <row r="331">
      <c t="s" r="A331" s="26">
        <v>331</v>
      </c>
    </row>
    <row r="332">
      <c t="s" r="A332" s="26">
        <v>332</v>
      </c>
    </row>
  </sheetData>
  <mergeCells count="13">
    <mergeCell ref="A1:O1"/>
    <mergeCell ref="A2:O2"/>
    <mergeCell ref="A3:O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</mergeCells>
  <ignoredErrors>
    <ignoredError sqref="A1:O332" numberStoredAsText="1"/>
  </ignoredErrors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</row>
    <row r="3">
      <c t="s" r="A3" s="3">
        <v>335</v>
      </c>
      <c t="s" r="B3" s="3">
        <v>335</v>
      </c>
      <c t="s" r="C3" s="3">
        <v>335</v>
      </c>
      <c t="s" r="D3" s="3">
        <v>335</v>
      </c>
      <c t="s" r="E3" s="3">
        <v>335</v>
      </c>
      <c t="s" r="F3" s="3">
        <v>335</v>
      </c>
      <c t="s" r="G3" s="3">
        <v>335</v>
      </c>
      <c t="s" r="H3" s="3">
        <v>335</v>
      </c>
      <c t="s" r="I3" s="3">
        <v>335</v>
      </c>
      <c t="s" r="J3" s="3">
        <v>335</v>
      </c>
      <c t="s" r="K3" s="3">
        <v>335</v>
      </c>
      <c t="s" r="L3" s="3">
        <v>335</v>
      </c>
      <c t="s" r="M3" s="3">
        <v>335</v>
      </c>
      <c t="s" r="N3" s="3">
        <v>335</v>
      </c>
      <c t="s" r="O3" s="3">
        <v>335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8</v>
      </c>
      <c t="s" r="O5" s="6">
        <v>3</v>
      </c>
    </row>
    <row r="6" ht="16.5" customHeight="1">
      <c t="s" r="A6" s="7">
        <v>9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</row>
    <row r="7" ht="16.5" customHeight="1">
      <c t="s" r="A7" s="11">
        <v>10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</row>
    <row r="8" ht="16.5" customHeight="1">
      <c t="s" r="A8" s="12">
        <v>11</v>
      </c>
      <c r="B8" s="13">
        <v>6454</v>
      </c>
      <c r="C8" s="14">
        <f>IFERROR(B8/B327, "NA")</f>
      </c>
      <c r="D8" s="15"/>
      <c r="E8" s="13">
        <v>37198</v>
      </c>
      <c r="F8" s="14">
        <f>IFERROR(E8/E327, "NA")</f>
      </c>
      <c r="G8" s="15"/>
      <c r="H8" s="13">
        <v>38512</v>
      </c>
      <c r="I8" s="14">
        <f>IFERROR(H8/H327, "NA")</f>
      </c>
      <c r="J8" s="15"/>
      <c r="K8" s="13">
        <v>43486</v>
      </c>
      <c r="L8" s="14">
        <f>IFERROR(K8/K327, "NA")</f>
      </c>
      <c r="M8" s="15"/>
      <c r="N8" s="13">
        <v>29806</v>
      </c>
      <c r="O8" s="14">
        <f>IFERROR(N8/N327, "NA")</f>
      </c>
    </row>
    <row r="9" ht="16.5" customHeight="1">
      <c t="s" r="A9" s="12">
        <v>12</v>
      </c>
      <c r="B9" s="13">
        <v>0</v>
      </c>
      <c r="C9" s="14">
        <f>IFERROR(B9/B327, "NA")</f>
      </c>
      <c r="D9" s="15"/>
      <c r="E9" s="13">
        <v>0</v>
      </c>
      <c r="F9" s="14">
        <f>IFERROR(E9/E327, "NA")</f>
      </c>
      <c r="G9" s="15"/>
      <c r="H9" s="13">
        <v>0</v>
      </c>
      <c r="I9" s="14">
        <f>IFERROR(H9/H327, "NA")</f>
      </c>
      <c r="J9" s="15"/>
      <c r="K9" s="13">
        <v>0</v>
      </c>
      <c r="L9" s="14">
        <f>IFERROR(K9/K327, "NA")</f>
      </c>
      <c r="M9" s="15"/>
      <c r="N9" s="13">
        <v>0</v>
      </c>
      <c r="O9" s="14">
        <f>IFERROR(N9/N327, "NA")</f>
      </c>
    </row>
    <row r="10" ht="16.5" customHeight="1">
      <c t="s" r="A10" s="16">
        <v>13</v>
      </c>
      <c r="B10" s="17">
        <f>IFERROR(B8+B9, "NA")</f>
      </c>
      <c r="C10" s="18">
        <f>IFERROR(B10/B327, "NA")</f>
      </c>
      <c r="D10" s="8"/>
      <c r="E10" s="17">
        <f>IFERROR(E8+E9, "NA")</f>
      </c>
      <c r="F10" s="18">
        <f>IFERROR(E10/E327, "NA")</f>
      </c>
      <c r="G10" s="8"/>
      <c r="H10" s="17">
        <f>IFERROR(H8+H9, "NA")</f>
      </c>
      <c r="I10" s="18">
        <f>IFERROR(H10/H327, "NA")</f>
      </c>
      <c r="J10" s="8"/>
      <c r="K10" s="17">
        <f>IFERROR(K8+K9, "NA")</f>
      </c>
      <c r="L10" s="18">
        <f>IFERROR(K10/K327, "NA")</f>
      </c>
      <c r="M10" s="8"/>
      <c r="N10" s="17">
        <f>IFERROR(N8+N9, "NA")</f>
      </c>
      <c r="O10" s="18">
        <f>IFERROR(N10/N327, "NA")</f>
      </c>
    </row>
    <row r="11" ht="16.5" customHeight="1">
      <c t="s" r="A11" s="19">
        <v>14</v>
      </c>
      <c r="B11" s="13">
        <v>1905</v>
      </c>
      <c r="C11" s="14">
        <f>IFERROR(B11/B327, "NA")</f>
      </c>
      <c r="D11" s="15"/>
      <c r="E11" s="13">
        <v>2948</v>
      </c>
      <c r="F11" s="14">
        <f>IFERROR(E11/E327, "NA")</f>
      </c>
      <c r="G11" s="15"/>
      <c r="H11" s="13">
        <v>6370</v>
      </c>
      <c r="I11" s="14">
        <f>IFERROR(H11/H327, "NA")</f>
      </c>
      <c r="J11" s="15"/>
      <c r="K11" s="13">
        <v>5172</v>
      </c>
      <c r="L11" s="14">
        <f>IFERROR(K11/K327, "NA")</f>
      </c>
      <c r="M11" s="15"/>
      <c r="N11" s="13">
        <v>3999</v>
      </c>
      <c r="O11" s="14">
        <f>IFERROR(N11/N327, "NA")</f>
      </c>
    </row>
    <row r="12" ht="16.5" customHeight="1">
      <c t="s" r="A12" s="11">
        <v>15</v>
      </c>
      <c r="B12" s="8"/>
      <c r="C12" s="9"/>
      <c r="D12" s="10"/>
      <c r="E12" s="8"/>
      <c r="F12" s="9"/>
      <c r="G12" s="10"/>
      <c r="H12" s="8"/>
      <c r="I12" s="9"/>
      <c r="J12" s="10"/>
      <c r="K12" s="8"/>
      <c r="L12" s="9"/>
      <c r="M12" s="10"/>
      <c r="N12" s="8"/>
      <c r="O12" s="9"/>
    </row>
    <row r="13" ht="16.5" customHeight="1">
      <c t="s" r="A13" s="12">
        <v>16</v>
      </c>
      <c r="B13" s="13">
        <v>0</v>
      </c>
      <c r="C13" s="14">
        <f>IFERROR(B13/B327, "NA")</f>
      </c>
      <c r="D13" s="15"/>
      <c r="E13" s="13">
        <v>0</v>
      </c>
      <c r="F13" s="14">
        <f>IFERROR(E13/E327, "NA")</f>
      </c>
      <c r="G13" s="15"/>
      <c r="H13" s="13">
        <v>0</v>
      </c>
      <c r="I13" s="14">
        <f>IFERROR(H13/H327, "NA")</f>
      </c>
      <c r="J13" s="15"/>
      <c r="K13" s="13">
        <v>0</v>
      </c>
      <c r="L13" s="14">
        <f>IFERROR(K13/K327, "NA")</f>
      </c>
      <c r="M13" s="15"/>
      <c r="N13" s="13">
        <v>0</v>
      </c>
      <c r="O13" s="14">
        <f>IFERROR(N13/N327, "NA")</f>
      </c>
    </row>
    <row r="14" ht="16.5" customHeight="1">
      <c t="s" r="A14" s="12">
        <v>17</v>
      </c>
      <c r="B14" s="13">
        <v>37647</v>
      </c>
      <c r="C14" s="14">
        <f>IFERROR(B14/B327, "NA")</f>
      </c>
      <c r="D14" s="15"/>
      <c r="E14" s="13">
        <v>45490</v>
      </c>
      <c r="F14" s="14">
        <f>IFERROR(E14/E327, "NA")</f>
      </c>
      <c r="G14" s="15"/>
      <c r="H14" s="13">
        <v>100455</v>
      </c>
      <c r="I14" s="14">
        <f>IFERROR(H14/H327, "NA")</f>
      </c>
      <c r="J14" s="15"/>
      <c r="K14" s="13">
        <v>66651</v>
      </c>
      <c r="L14" s="14">
        <f>IFERROR(K14/K327, "NA")</f>
      </c>
      <c r="M14" s="15"/>
      <c r="N14" s="13">
        <v>50958</v>
      </c>
      <c r="O14" s="14">
        <f>IFERROR(N14/N327, "NA")</f>
      </c>
    </row>
    <row r="15" ht="16.5" customHeight="1">
      <c t="s" r="A15" s="12">
        <v>18</v>
      </c>
      <c r="B15" s="13">
        <v>324</v>
      </c>
      <c r="C15" s="14">
        <f>IFERROR(B15/B327, "NA")</f>
      </c>
      <c r="D15" s="15"/>
      <c r="E15" s="13">
        <v>984</v>
      </c>
      <c r="F15" s="14">
        <f>IFERROR(E15/E327, "NA")</f>
      </c>
      <c r="G15" s="15"/>
      <c r="H15" s="13">
        <v>816</v>
      </c>
      <c r="I15" s="14">
        <f>IFERROR(H15/H327, "NA")</f>
      </c>
      <c r="J15" s="15"/>
      <c r="K15" s="13">
        <v>816</v>
      </c>
      <c r="L15" s="14">
        <f>IFERROR(K15/K327, "NA")</f>
      </c>
      <c r="M15" s="15"/>
      <c r="N15" s="13">
        <v>444</v>
      </c>
      <c r="O15" s="14">
        <f>IFERROR(N15/N327, "NA")</f>
      </c>
    </row>
    <row r="16" ht="16.5" customHeight="1">
      <c t="s" r="A16" s="12">
        <v>19</v>
      </c>
      <c r="B16" s="13">
        <v>5805</v>
      </c>
      <c r="C16" s="14">
        <f>IFERROR(B16/B327, "NA")</f>
      </c>
      <c r="D16" s="15"/>
      <c r="E16" s="13">
        <v>6315</v>
      </c>
      <c r="F16" s="14">
        <f>IFERROR(E16/E327, "NA")</f>
      </c>
      <c r="G16" s="15"/>
      <c r="H16" s="13">
        <v>8325</v>
      </c>
      <c r="I16" s="14">
        <f>IFERROR(H16/H327, "NA")</f>
      </c>
      <c r="J16" s="15"/>
      <c r="K16" s="13">
        <v>10340</v>
      </c>
      <c r="L16" s="14">
        <f>IFERROR(K16/K327, "NA")</f>
      </c>
      <c r="M16" s="15"/>
      <c r="N16" s="13">
        <v>11595</v>
      </c>
      <c r="O16" s="14">
        <f>IFERROR(N16/N327, "NA")</f>
      </c>
    </row>
    <row r="17" ht="16.5" customHeight="1">
      <c t="s" r="A17" s="12">
        <v>20</v>
      </c>
      <c r="B17" s="13">
        <v>1382</v>
      </c>
      <c r="C17" s="14">
        <f>IFERROR(B17/B327, "NA")</f>
      </c>
      <c r="D17" s="15"/>
      <c r="E17" s="13">
        <v>2411</v>
      </c>
      <c r="F17" s="14">
        <f>IFERROR(E17/E327, "NA")</f>
      </c>
      <c r="G17" s="15"/>
      <c r="H17" s="13">
        <v>2695</v>
      </c>
      <c r="I17" s="14">
        <f>IFERROR(H17/H327, "NA")</f>
      </c>
      <c r="J17" s="15"/>
      <c r="K17" s="13">
        <v>3082</v>
      </c>
      <c r="L17" s="14">
        <f>IFERROR(K17/K327, "NA")</f>
      </c>
      <c r="M17" s="15"/>
      <c r="N17" s="13">
        <v>2215</v>
      </c>
      <c r="O17" s="14">
        <f>IFERROR(N17/N327, "NA")</f>
      </c>
    </row>
    <row r="18" ht="16.5" customHeight="1">
      <c t="s" r="A18" s="12">
        <v>21</v>
      </c>
      <c r="B18" s="13">
        <v>0</v>
      </c>
      <c r="C18" s="14">
        <f>IFERROR(B18/B327, "NA")</f>
      </c>
      <c r="D18" s="15"/>
      <c r="E18" s="13">
        <v>0</v>
      </c>
      <c r="F18" s="14">
        <f>IFERROR(E18/E327, "NA")</f>
      </c>
      <c r="G18" s="15"/>
      <c r="H18" s="13">
        <v>0</v>
      </c>
      <c r="I18" s="14">
        <f>IFERROR(H18/H327, "NA")</f>
      </c>
      <c r="J18" s="15"/>
      <c r="K18" s="13">
        <v>0</v>
      </c>
      <c r="L18" s="14">
        <f>IFERROR(K18/K327, "NA")</f>
      </c>
      <c r="M18" s="15"/>
      <c r="N18" s="13">
        <v>0</v>
      </c>
      <c r="O18" s="14">
        <f>IFERROR(N18/N327, "NA")</f>
      </c>
    </row>
    <row r="19" ht="16.5" customHeight="1">
      <c t="s" r="A19" s="16">
        <v>22</v>
      </c>
      <c r="B19" s="17">
        <f>IFERROR(B13+B14+B15+B16+B17+B18, "NA")</f>
      </c>
      <c r="C19" s="18">
        <f>IFERROR(B19/B327, "NA")</f>
      </c>
      <c r="D19" s="8"/>
      <c r="E19" s="17">
        <f>IFERROR(E13+E14+E15+E16+E17+E18, "NA")</f>
      </c>
      <c r="F19" s="18">
        <f>IFERROR(E19/E327, "NA")</f>
      </c>
      <c r="G19" s="8"/>
      <c r="H19" s="17">
        <f>IFERROR(H13+H14+H15+H16+H17+H18, "NA")</f>
      </c>
      <c r="I19" s="18">
        <f>IFERROR(H19/H327, "NA")</f>
      </c>
      <c r="J19" s="8"/>
      <c r="K19" s="17">
        <f>IFERROR(K13+K14+K15+K16+K17+K18, "NA")</f>
      </c>
      <c r="L19" s="18">
        <f>IFERROR(K19/K327, "NA")</f>
      </c>
      <c r="M19" s="8"/>
      <c r="N19" s="17">
        <f>IFERROR(N13+N14+N15+N16+N17+N18, "NA")</f>
      </c>
      <c r="O19" s="18">
        <f>IFERROR(N19/N327, "NA")</f>
      </c>
    </row>
    <row r="20" ht="16.5" customHeight="1">
      <c t="s" r="A20" s="11">
        <v>23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</row>
    <row r="21" ht="16.5" customHeight="1">
      <c t="s" r="A21" s="12">
        <v>24</v>
      </c>
      <c r="B21" s="13">
        <v>0</v>
      </c>
      <c r="C21" s="14">
        <f>IFERROR(B21/B327, "NA")</f>
      </c>
      <c r="D21" s="15"/>
      <c r="E21" s="13">
        <v>0</v>
      </c>
      <c r="F21" s="14">
        <f>IFERROR(E21/E327, "NA")</f>
      </c>
      <c r="G21" s="15"/>
      <c r="H21" s="13">
        <v>0</v>
      </c>
      <c r="I21" s="14">
        <f>IFERROR(H21/H327, "NA")</f>
      </c>
      <c r="J21" s="15"/>
      <c r="K21" s="13">
        <v>0</v>
      </c>
      <c r="L21" s="14">
        <f>IFERROR(K21/K327, "NA")</f>
      </c>
      <c r="M21" s="15"/>
      <c r="N21" s="13">
        <v>0</v>
      </c>
      <c r="O21" s="14">
        <f>IFERROR(N21/N327, "NA")</f>
      </c>
    </row>
    <row r="22" ht="16.5" customHeight="1">
      <c t="s" r="A22" s="12">
        <v>25</v>
      </c>
      <c r="B22" s="13">
        <v>200</v>
      </c>
      <c r="C22" s="14">
        <f>IFERROR(B22/B327, "NA")</f>
      </c>
      <c r="D22" s="15"/>
      <c r="E22" s="13">
        <v>375</v>
      </c>
      <c r="F22" s="14">
        <f>IFERROR(E22/E327, "NA")</f>
      </c>
      <c r="G22" s="15"/>
      <c r="H22" s="13">
        <v>1493</v>
      </c>
      <c r="I22" s="14">
        <f>IFERROR(H22/H327, "NA")</f>
      </c>
      <c r="J22" s="15"/>
      <c r="K22" s="13">
        <v>2553</v>
      </c>
      <c r="L22" s="14">
        <f>IFERROR(K22/K327, "NA")</f>
      </c>
      <c r="M22" s="15"/>
      <c r="N22" s="13">
        <v>3063</v>
      </c>
      <c r="O22" s="14">
        <f>IFERROR(N22/N327, "NA")</f>
      </c>
    </row>
    <row r="23" ht="16.5" customHeight="1">
      <c t="s" r="A23" s="12">
        <v>26</v>
      </c>
      <c r="B23" s="13">
        <v>0</v>
      </c>
      <c r="C23" s="14">
        <f>IFERROR(B23/B327, "NA")</f>
      </c>
      <c r="D23" s="15"/>
      <c r="E23" s="13">
        <v>0</v>
      </c>
      <c r="F23" s="14">
        <f>IFERROR(E23/E327, "NA")</f>
      </c>
      <c r="G23" s="15"/>
      <c r="H23" s="13">
        <v>1401.8599999999999</v>
      </c>
      <c r="I23" s="14">
        <f>IFERROR(H23/H327, "NA")</f>
      </c>
      <c r="J23" s="15"/>
      <c r="K23" s="13">
        <v>0</v>
      </c>
      <c r="L23" s="14">
        <f>IFERROR(K23/K327, "NA")</f>
      </c>
      <c r="M23" s="15"/>
      <c r="N23" s="13">
        <v>886.10000000000002</v>
      </c>
      <c r="O23" s="14">
        <f>IFERROR(N23/N327, "NA")</f>
      </c>
    </row>
    <row r="24" ht="16.5" customHeight="1">
      <c t="s" r="A24" s="12">
        <v>27</v>
      </c>
      <c r="B24" s="13">
        <v>0</v>
      </c>
      <c r="C24" s="14">
        <f>IFERROR(B24/B327, "NA")</f>
      </c>
      <c r="D24" s="15"/>
      <c r="E24" s="13">
        <v>0</v>
      </c>
      <c r="F24" s="14">
        <f>IFERROR(E24/E327, "NA")</f>
      </c>
      <c r="G24" s="15"/>
      <c r="H24" s="13">
        <v>0</v>
      </c>
      <c r="I24" s="14">
        <f>IFERROR(H24/H327, "NA")</f>
      </c>
      <c r="J24" s="15"/>
      <c r="K24" s="13">
        <v>0</v>
      </c>
      <c r="L24" s="14">
        <f>IFERROR(K24/K327, "NA")</f>
      </c>
      <c r="M24" s="15"/>
      <c r="N24" s="13">
        <v>0</v>
      </c>
      <c r="O24" s="14">
        <f>IFERROR(N24/N327, "NA")</f>
      </c>
    </row>
    <row r="25" ht="16.5" customHeight="1">
      <c t="s" r="A25" s="12">
        <v>28</v>
      </c>
      <c r="B25" s="13">
        <v>0</v>
      </c>
      <c r="C25" s="14">
        <f>IFERROR(B25/B327, "NA")</f>
      </c>
      <c r="D25" s="15"/>
      <c r="E25" s="13">
        <v>0</v>
      </c>
      <c r="F25" s="14">
        <f>IFERROR(E25/E327, "NA")</f>
      </c>
      <c r="G25" s="15"/>
      <c r="H25" s="13">
        <v>0</v>
      </c>
      <c r="I25" s="14">
        <f>IFERROR(H25/H327, "NA")</f>
      </c>
      <c r="J25" s="15"/>
      <c r="K25" s="13">
        <v>0</v>
      </c>
      <c r="L25" s="14">
        <f>IFERROR(K25/K327, "NA")</f>
      </c>
      <c r="M25" s="15"/>
      <c r="N25" s="13">
        <v>0</v>
      </c>
      <c r="O25" s="14">
        <f>IFERROR(N25/N327, "NA")</f>
      </c>
    </row>
    <row r="26" ht="16.5" customHeight="1">
      <c t="s" r="A26" s="12">
        <v>29</v>
      </c>
      <c r="B26" s="13">
        <v>0</v>
      </c>
      <c r="C26" s="14">
        <f>IFERROR(B26/B327, "NA")</f>
      </c>
      <c r="D26" s="15"/>
      <c r="E26" s="13">
        <v>0</v>
      </c>
      <c r="F26" s="14">
        <f>IFERROR(E26/E327, "NA")</f>
      </c>
      <c r="G26" s="15"/>
      <c r="H26" s="13">
        <v>0</v>
      </c>
      <c r="I26" s="14">
        <f>IFERROR(H26/H327, "NA")</f>
      </c>
      <c r="J26" s="15"/>
      <c r="K26" s="13">
        <v>0</v>
      </c>
      <c r="L26" s="14">
        <f>IFERROR(K26/K327, "NA")</f>
      </c>
      <c r="M26" s="15"/>
      <c r="N26" s="13">
        <v>0</v>
      </c>
      <c r="O26" s="14">
        <f>IFERROR(N26/N327, "NA")</f>
      </c>
    </row>
    <row r="27" ht="16.5" customHeight="1">
      <c t="s" r="A27" s="12">
        <v>30</v>
      </c>
      <c r="B27" s="13">
        <v>0</v>
      </c>
      <c r="C27" s="14">
        <f>IFERROR(B27/B327, "NA")</f>
      </c>
      <c r="D27" s="15"/>
      <c r="E27" s="13">
        <v>0</v>
      </c>
      <c r="F27" s="14">
        <f>IFERROR(E27/E327, "NA")</f>
      </c>
      <c r="G27" s="15"/>
      <c r="H27" s="13">
        <v>0</v>
      </c>
      <c r="I27" s="14">
        <f>IFERROR(H27/H327, "NA")</f>
      </c>
      <c r="J27" s="15"/>
      <c r="K27" s="13">
        <v>0</v>
      </c>
      <c r="L27" s="14">
        <f>IFERROR(K27/K327, "NA")</f>
      </c>
      <c r="M27" s="15"/>
      <c r="N27" s="13">
        <v>0</v>
      </c>
      <c r="O27" s="14">
        <f>IFERROR(N27/N327, "NA")</f>
      </c>
    </row>
    <row r="28" ht="16.5" customHeight="1">
      <c t="s" r="A28" s="12">
        <v>31</v>
      </c>
      <c r="B28" s="13">
        <v>0</v>
      </c>
      <c r="C28" s="14">
        <f>IFERROR(B28/B327, "NA")</f>
      </c>
      <c r="D28" s="15"/>
      <c r="E28" s="13">
        <v>0</v>
      </c>
      <c r="F28" s="14">
        <f>IFERROR(E28/E327, "NA")</f>
      </c>
      <c r="G28" s="15"/>
      <c r="H28" s="13">
        <v>0</v>
      </c>
      <c r="I28" s="14">
        <f>IFERROR(H28/H327, "NA")</f>
      </c>
      <c r="J28" s="15"/>
      <c r="K28" s="13">
        <v>0</v>
      </c>
      <c r="L28" s="14">
        <f>IFERROR(K28/K327, "NA")</f>
      </c>
      <c r="M28" s="15"/>
      <c r="N28" s="13">
        <v>0</v>
      </c>
      <c r="O28" s="14">
        <f>IFERROR(N28/N327, "NA")</f>
      </c>
    </row>
    <row r="29" ht="16.5" customHeight="1">
      <c t="s" r="A29" s="12">
        <v>32</v>
      </c>
      <c r="B29" s="13">
        <v>0</v>
      </c>
      <c r="C29" s="14">
        <f>IFERROR(B29/B327, "NA")</f>
      </c>
      <c r="D29" s="15"/>
      <c r="E29" s="13">
        <v>0</v>
      </c>
      <c r="F29" s="14">
        <f>IFERROR(E29/E327, "NA")</f>
      </c>
      <c r="G29" s="15"/>
      <c r="H29" s="13">
        <v>0</v>
      </c>
      <c r="I29" s="14">
        <f>IFERROR(H29/H327, "NA")</f>
      </c>
      <c r="J29" s="15"/>
      <c r="K29" s="13">
        <v>0</v>
      </c>
      <c r="L29" s="14">
        <f>IFERROR(K29/K327, "NA")</f>
      </c>
      <c r="M29" s="15"/>
      <c r="N29" s="13">
        <v>0</v>
      </c>
      <c r="O29" s="14">
        <f>IFERROR(N29/N327, "NA")</f>
      </c>
    </row>
    <row r="30" ht="16.5" customHeight="1">
      <c t="s" r="A30" s="16">
        <v>33</v>
      </c>
      <c r="B30" s="17">
        <f>IFERROR(B21+B22+B23+B24+B25+B26+B27+B28+B29, "NA")</f>
      </c>
      <c r="C30" s="18">
        <f>IFERROR(B30/B327, "NA")</f>
      </c>
      <c r="D30" s="8"/>
      <c r="E30" s="17">
        <f>IFERROR(E21+E22+E23+E24+E25+E26+E27+E28+E29, "NA")</f>
      </c>
      <c r="F30" s="18">
        <f>IFERROR(E30/E327, "NA")</f>
      </c>
      <c r="G30" s="8"/>
      <c r="H30" s="17">
        <f>IFERROR(H21+H22+H23+H24+H25+H26+H27+H28+H29, "NA")</f>
      </c>
      <c r="I30" s="18">
        <f>IFERROR(H30/H327, "NA")</f>
      </c>
      <c r="J30" s="8"/>
      <c r="K30" s="17">
        <f>IFERROR(K21+K22+K23+K24+K25+K26+K27+K28+K29, "NA")</f>
      </c>
      <c r="L30" s="18">
        <f>IFERROR(K30/K327, "NA")</f>
      </c>
      <c r="M30" s="8"/>
      <c r="N30" s="17">
        <f>IFERROR(N21+N22+N23+N24+N25+N26+N27+N28+N29, "NA")</f>
      </c>
      <c r="O30" s="18">
        <f>IFERROR(N30/N327, "NA")</f>
      </c>
    </row>
    <row r="31" ht="16.5" customHeight="1">
      <c t="s" r="A31" s="11">
        <v>34</v>
      </c>
      <c r="B31" s="8"/>
      <c r="C31" s="9"/>
      <c r="D31" s="10"/>
      <c r="E31" s="8"/>
      <c r="F31" s="9"/>
      <c r="G31" s="10"/>
      <c r="H31" s="8"/>
      <c r="I31" s="9"/>
      <c r="J31" s="10"/>
      <c r="K31" s="8"/>
      <c r="L31" s="9"/>
      <c r="M31" s="10"/>
      <c r="N31" s="8"/>
      <c r="O31" s="9"/>
    </row>
    <row r="32" ht="16.5" customHeight="1">
      <c t="s" r="A32" s="12">
        <v>35</v>
      </c>
      <c r="B32" s="13">
        <v>0</v>
      </c>
      <c r="C32" s="14">
        <f>IFERROR(B32/B327, "NA")</f>
      </c>
      <c r="D32" s="15"/>
      <c r="E32" s="13">
        <v>0</v>
      </c>
      <c r="F32" s="14">
        <f>IFERROR(E32/E327, "NA")</f>
      </c>
      <c r="G32" s="15"/>
      <c r="H32" s="13">
        <v>0</v>
      </c>
      <c r="I32" s="14">
        <f>IFERROR(H32/H327, "NA")</f>
      </c>
      <c r="J32" s="15"/>
      <c r="K32" s="13">
        <v>0</v>
      </c>
      <c r="L32" s="14">
        <f>IFERROR(K32/K327, "NA")</f>
      </c>
      <c r="M32" s="15"/>
      <c r="N32" s="13">
        <v>0</v>
      </c>
      <c r="O32" s="14">
        <f>IFERROR(N32/N327, "NA")</f>
      </c>
    </row>
    <row r="33" ht="16.5" customHeight="1">
      <c t="s" r="A33" s="12">
        <v>36</v>
      </c>
      <c r="B33" s="13">
        <v>0</v>
      </c>
      <c r="C33" s="14">
        <f>IFERROR(B33/B327, "NA")</f>
      </c>
      <c r="D33" s="15"/>
      <c r="E33" s="13">
        <v>0</v>
      </c>
      <c r="F33" s="14">
        <f>IFERROR(E33/E327, "NA")</f>
      </c>
      <c r="G33" s="15"/>
      <c r="H33" s="13">
        <v>0</v>
      </c>
      <c r="I33" s="14">
        <f>IFERROR(H33/H327, "NA")</f>
      </c>
      <c r="J33" s="15"/>
      <c r="K33" s="13">
        <v>0</v>
      </c>
      <c r="L33" s="14">
        <f>IFERROR(K33/K327, "NA")</f>
      </c>
      <c r="M33" s="15"/>
      <c r="N33" s="13">
        <v>0</v>
      </c>
      <c r="O33" s="14">
        <f>IFERROR(N33/N327, "NA")</f>
      </c>
    </row>
    <row r="34" ht="16.5" customHeight="1">
      <c t="s" r="A34" s="12">
        <v>37</v>
      </c>
      <c r="B34" s="13">
        <v>0</v>
      </c>
      <c r="C34" s="14">
        <f>IFERROR(B34/B327, "NA")</f>
      </c>
      <c r="D34" s="15"/>
      <c r="E34" s="13">
        <v>0</v>
      </c>
      <c r="F34" s="14">
        <f>IFERROR(E34/E327, "NA")</f>
      </c>
      <c r="G34" s="15"/>
      <c r="H34" s="13">
        <v>0</v>
      </c>
      <c r="I34" s="14">
        <f>IFERROR(H34/H327, "NA")</f>
      </c>
      <c r="J34" s="15"/>
      <c r="K34" s="13">
        <v>0</v>
      </c>
      <c r="L34" s="14">
        <f>IFERROR(K34/K327, "NA")</f>
      </c>
      <c r="M34" s="15"/>
      <c r="N34" s="13">
        <v>0</v>
      </c>
      <c r="O34" s="14">
        <f>IFERROR(N34/N327, "NA")</f>
      </c>
    </row>
    <row r="35" ht="16.5" customHeight="1">
      <c t="s" r="A35" s="12">
        <v>38</v>
      </c>
      <c r="B35" s="13">
        <v>0</v>
      </c>
      <c r="C35" s="14">
        <f>IFERROR(B35/B327, "NA")</f>
      </c>
      <c r="D35" s="15"/>
      <c r="E35" s="13">
        <v>0</v>
      </c>
      <c r="F35" s="14">
        <f>IFERROR(E35/E327, "NA")</f>
      </c>
      <c r="G35" s="15"/>
      <c r="H35" s="13">
        <v>0</v>
      </c>
      <c r="I35" s="14">
        <f>IFERROR(H35/H327, "NA")</f>
      </c>
      <c r="J35" s="15"/>
      <c r="K35" s="13">
        <v>0</v>
      </c>
      <c r="L35" s="14">
        <f>IFERROR(K35/K327, "NA")</f>
      </c>
      <c r="M35" s="15"/>
      <c r="N35" s="13">
        <v>0</v>
      </c>
      <c r="O35" s="14">
        <f>IFERROR(N35/N327, "NA")</f>
      </c>
    </row>
    <row r="36" ht="16.5" customHeight="1">
      <c t="s" r="A36" s="12">
        <v>39</v>
      </c>
      <c r="B36" s="13">
        <v>0</v>
      </c>
      <c r="C36" s="14">
        <f>IFERROR(B36/B327, "NA")</f>
      </c>
      <c r="D36" s="15"/>
      <c r="E36" s="13">
        <v>0</v>
      </c>
      <c r="F36" s="14">
        <f>IFERROR(E36/E327, "NA")</f>
      </c>
      <c r="G36" s="15"/>
      <c r="H36" s="13">
        <v>0</v>
      </c>
      <c r="I36" s="14">
        <f>IFERROR(H36/H327, "NA")</f>
      </c>
      <c r="J36" s="15"/>
      <c r="K36" s="13">
        <v>0</v>
      </c>
      <c r="L36" s="14">
        <f>IFERROR(K36/K327, "NA")</f>
      </c>
      <c r="M36" s="15"/>
      <c r="N36" s="13">
        <v>0</v>
      </c>
      <c r="O36" s="14">
        <f>IFERROR(N36/N327, "NA")</f>
      </c>
    </row>
    <row r="37" ht="16.5" customHeight="1">
      <c t="s" r="A37" s="16">
        <v>40</v>
      </c>
      <c r="B37" s="17">
        <f>IFERROR(B32+B33+B34+B35+B36, "NA")</f>
      </c>
      <c r="C37" s="18">
        <f>IFERROR(B37/B327, "NA")</f>
      </c>
      <c r="D37" s="8"/>
      <c r="E37" s="17">
        <f>IFERROR(E32+E33+E34+E35+E36, "NA")</f>
      </c>
      <c r="F37" s="18">
        <f>IFERROR(E37/E327, "NA")</f>
      </c>
      <c r="G37" s="8"/>
      <c r="H37" s="17">
        <f>IFERROR(H32+H33+H34+H35+H36, "NA")</f>
      </c>
      <c r="I37" s="18">
        <f>IFERROR(H37/H327, "NA")</f>
      </c>
      <c r="J37" s="8"/>
      <c r="K37" s="17">
        <f>IFERROR(K32+K33+K34+K35+K36, "NA")</f>
      </c>
      <c r="L37" s="18">
        <f>IFERROR(K37/K327, "NA")</f>
      </c>
      <c r="M37" s="8"/>
      <c r="N37" s="17">
        <f>IFERROR(N32+N33+N34+N35+N36, "NA")</f>
      </c>
      <c r="O37" s="18">
        <f>IFERROR(N37/N327, "NA")</f>
      </c>
    </row>
    <row r="38" ht="16.5" customHeight="1">
      <c t="s" r="A38" s="11">
        <v>41</v>
      </c>
      <c r="B38" s="8"/>
      <c r="C38" s="9"/>
      <c r="D38" s="10"/>
      <c r="E38" s="8"/>
      <c r="F38" s="9"/>
      <c r="G38" s="10"/>
      <c r="H38" s="8"/>
      <c r="I38" s="9"/>
      <c r="J38" s="10"/>
      <c r="K38" s="8"/>
      <c r="L38" s="9"/>
      <c r="M38" s="10"/>
      <c r="N38" s="8"/>
      <c r="O38" s="9"/>
    </row>
    <row r="39" ht="16.5" customHeight="1">
      <c t="s" r="A39" s="12">
        <v>42</v>
      </c>
      <c r="B39" s="13">
        <v>0</v>
      </c>
      <c r="C39" s="14">
        <f>IFERROR(B39/B327, "NA")</f>
      </c>
      <c r="D39" s="15"/>
      <c r="E39" s="13">
        <v>0</v>
      </c>
      <c r="F39" s="14">
        <f>IFERROR(E39/E327, "NA")</f>
      </c>
      <c r="G39" s="15"/>
      <c r="H39" s="13">
        <v>0</v>
      </c>
      <c r="I39" s="14">
        <f>IFERROR(H39/H327, "NA")</f>
      </c>
      <c r="J39" s="15"/>
      <c r="K39" s="13">
        <v>0</v>
      </c>
      <c r="L39" s="14">
        <f>IFERROR(K39/K327, "NA")</f>
      </c>
      <c r="M39" s="15"/>
      <c r="N39" s="13">
        <v>0</v>
      </c>
      <c r="O39" s="14">
        <f>IFERROR(N39/N327, "NA")</f>
      </c>
    </row>
    <row r="40" ht="16.5" customHeight="1">
      <c t="s" r="A40" s="12">
        <v>43</v>
      </c>
      <c r="B40" s="13">
        <v>0</v>
      </c>
      <c r="C40" s="14">
        <f>IFERROR(B40/B327, "NA")</f>
      </c>
      <c r="D40" s="15"/>
      <c r="E40" s="13">
        <v>0</v>
      </c>
      <c r="F40" s="14">
        <f>IFERROR(E40/E327, "NA")</f>
      </c>
      <c r="G40" s="15"/>
      <c r="H40" s="13">
        <v>-13</v>
      </c>
      <c r="I40" s="14">
        <f>IFERROR(H40/H327, "NA")</f>
      </c>
      <c r="J40" s="15"/>
      <c r="K40" s="13">
        <v>-1.25</v>
      </c>
      <c r="L40" s="14">
        <f>IFERROR(K40/K327, "NA")</f>
      </c>
      <c r="M40" s="15"/>
      <c r="N40" s="13">
        <v>0</v>
      </c>
      <c r="O40" s="14">
        <f>IFERROR(N40/N327, "NA")</f>
      </c>
    </row>
    <row r="41" ht="16.5" customHeight="1">
      <c t="s" r="A41" s="12">
        <v>44</v>
      </c>
      <c r="B41" s="13">
        <v>-111</v>
      </c>
      <c r="C41" s="14">
        <f>IFERROR(B41/B327, "NA")</f>
      </c>
      <c r="D41" s="15"/>
      <c r="E41" s="13">
        <v>-239</v>
      </c>
      <c r="F41" s="14">
        <f>IFERROR(E41/E327, "NA")</f>
      </c>
      <c r="G41" s="15"/>
      <c r="H41" s="13">
        <v>-479</v>
      </c>
      <c r="I41" s="14">
        <f>IFERROR(H41/H327, "NA")</f>
      </c>
      <c r="J41" s="15"/>
      <c r="K41" s="13">
        <v>-336</v>
      </c>
      <c r="L41" s="14">
        <f>IFERROR(K41/K327, "NA")</f>
      </c>
      <c r="M41" s="15"/>
      <c r="N41" s="13">
        <v>-320</v>
      </c>
      <c r="O41" s="14">
        <f>IFERROR(N41/N327, "NA")</f>
      </c>
    </row>
    <row r="42" ht="16.5" customHeight="1">
      <c t="s" r="A42" s="12">
        <v>45</v>
      </c>
      <c r="B42" s="13">
        <v>-260</v>
      </c>
      <c r="C42" s="14">
        <f>IFERROR(B42/B327, "NA")</f>
      </c>
      <c r="D42" s="15"/>
      <c r="E42" s="13">
        <v>-357</v>
      </c>
      <c r="F42" s="14">
        <f>IFERROR(E42/E327, "NA")</f>
      </c>
      <c r="G42" s="15"/>
      <c r="H42" s="13">
        <v>-552</v>
      </c>
      <c r="I42" s="14">
        <f>IFERROR(H42/H327, "NA")</f>
      </c>
      <c r="J42" s="15"/>
      <c r="K42" s="13">
        <v>-399</v>
      </c>
      <c r="L42" s="14">
        <f>IFERROR(K42/K327, "NA")</f>
      </c>
      <c r="M42" s="15"/>
      <c r="N42" s="13">
        <v>-98</v>
      </c>
      <c r="O42" s="14">
        <f>IFERROR(N42/N327, "NA")</f>
      </c>
    </row>
    <row r="43" ht="16.5" customHeight="1">
      <c t="s" r="A43" s="12">
        <v>46</v>
      </c>
      <c r="B43" s="13">
        <v>-2850</v>
      </c>
      <c r="C43" s="14">
        <f>IFERROR(B43/B327, "NA")</f>
      </c>
      <c r="D43" s="15"/>
      <c r="E43" s="13">
        <v>-9141</v>
      </c>
      <c r="F43" s="14">
        <f>IFERROR(E43/E327, "NA")</f>
      </c>
      <c r="G43" s="15"/>
      <c r="H43" s="13">
        <v>-6840</v>
      </c>
      <c r="I43" s="14">
        <f>IFERROR(H43/H327, "NA")</f>
      </c>
      <c r="J43" s="15"/>
      <c r="K43" s="13">
        <v>-9118</v>
      </c>
      <c r="L43" s="14">
        <f>IFERROR(K43/K327, "NA")</f>
      </c>
      <c r="M43" s="15"/>
      <c r="N43" s="13">
        <v>-6250.25</v>
      </c>
      <c r="O43" s="14">
        <f>IFERROR(N43/N327, "NA")</f>
      </c>
    </row>
    <row r="44" ht="16.5" customHeight="1">
      <c t="s" r="A44" s="12">
        <v>47</v>
      </c>
      <c r="B44" s="13">
        <v>0</v>
      </c>
      <c r="C44" s="14">
        <f>IFERROR(B44/B327, "NA")</f>
      </c>
      <c r="D44" s="15"/>
      <c r="E44" s="13">
        <v>0</v>
      </c>
      <c r="F44" s="14">
        <f>IFERROR(E44/E327, "NA")</f>
      </c>
      <c r="G44" s="15"/>
      <c r="H44" s="13">
        <v>-1798</v>
      </c>
      <c r="I44" s="14">
        <f>IFERROR(H44/H327, "NA")</f>
      </c>
      <c r="J44" s="15"/>
      <c r="K44" s="13">
        <v>-1370</v>
      </c>
      <c r="L44" s="14">
        <f>IFERROR(K44/K327, "NA")</f>
      </c>
      <c r="M44" s="15"/>
      <c r="N44" s="13">
        <v>-910</v>
      </c>
      <c r="O44" s="14">
        <f>IFERROR(N44/N327, "NA")</f>
      </c>
    </row>
    <row r="45" ht="16.5" customHeight="1">
      <c t="s" r="A45" s="12">
        <v>48</v>
      </c>
      <c r="B45" s="13">
        <v>0</v>
      </c>
      <c r="C45" s="14">
        <f>IFERROR(B45/B327, "NA")</f>
      </c>
      <c r="D45" s="15"/>
      <c r="E45" s="13">
        <v>0</v>
      </c>
      <c r="F45" s="14">
        <f>IFERROR(E45/E327, "NA")</f>
      </c>
      <c r="G45" s="15"/>
      <c r="H45" s="13">
        <v>0</v>
      </c>
      <c r="I45" s="14">
        <f>IFERROR(H45/H327, "NA")</f>
      </c>
      <c r="J45" s="15"/>
      <c r="K45" s="13">
        <v>0</v>
      </c>
      <c r="L45" s="14">
        <f>IFERROR(K45/K327, "NA")</f>
      </c>
      <c r="M45" s="15"/>
      <c r="N45" s="13">
        <v>0</v>
      </c>
      <c r="O45" s="14">
        <f>IFERROR(N45/N327, "NA")</f>
      </c>
    </row>
    <row r="46" ht="16.5" customHeight="1">
      <c t="s" r="A46" s="12">
        <v>49</v>
      </c>
      <c r="B46" s="13">
        <v>-359</v>
      </c>
      <c r="C46" s="14">
        <f>IFERROR(B46/B327, "NA")</f>
      </c>
      <c r="D46" s="15"/>
      <c r="E46" s="13">
        <v>-484</v>
      </c>
      <c r="F46" s="14">
        <f>IFERROR(E46/E327, "NA")</f>
      </c>
      <c r="G46" s="15"/>
      <c r="H46" s="13">
        <v>-2274</v>
      </c>
      <c r="I46" s="14">
        <f>IFERROR(H46/H327, "NA")</f>
      </c>
      <c r="J46" s="15"/>
      <c r="K46" s="13">
        <v>-1418</v>
      </c>
      <c r="L46" s="14">
        <f>IFERROR(K46/K327, "NA")</f>
      </c>
      <c r="M46" s="15"/>
      <c r="N46" s="13">
        <v>-1358</v>
      </c>
      <c r="O46" s="14">
        <f>IFERROR(N46/N327, "NA")</f>
      </c>
    </row>
    <row r="47" ht="16.5" customHeight="1">
      <c t="s" r="A47" s="12">
        <v>50</v>
      </c>
      <c r="B47" s="13">
        <v>-279</v>
      </c>
      <c r="C47" s="14">
        <f>IFERROR(B47/B327, "NA")</f>
      </c>
      <c r="D47" s="15"/>
      <c r="E47" s="13">
        <v>-957</v>
      </c>
      <c r="F47" s="14">
        <f>IFERROR(E47/E327, "NA")</f>
      </c>
      <c r="G47" s="15"/>
      <c r="H47" s="13">
        <v>-1678</v>
      </c>
      <c r="I47" s="14">
        <f>IFERROR(H47/H327, "NA")</f>
      </c>
      <c r="J47" s="15"/>
      <c r="K47" s="13">
        <v>-1286</v>
      </c>
      <c r="L47" s="14">
        <f>IFERROR(K47/K327, "NA")</f>
      </c>
      <c r="M47" s="15"/>
      <c r="N47" s="13">
        <v>-601</v>
      </c>
      <c r="O47" s="14">
        <f>IFERROR(N47/N327, "NA")</f>
      </c>
    </row>
    <row r="48" ht="16.5" customHeight="1">
      <c t="s" r="A48" s="12">
        <v>51</v>
      </c>
      <c r="B48" s="13">
        <v>-285</v>
      </c>
      <c r="C48" s="14">
        <f>IFERROR(B48/B327, "NA")</f>
      </c>
      <c r="D48" s="15"/>
      <c r="E48" s="13">
        <v>-146</v>
      </c>
      <c r="F48" s="14">
        <f>IFERROR(E48/E327, "NA")</f>
      </c>
      <c r="G48" s="15"/>
      <c r="H48" s="13">
        <v>-240</v>
      </c>
      <c r="I48" s="14">
        <f>IFERROR(H48/H327, "NA")</f>
      </c>
      <c r="J48" s="15"/>
      <c r="K48" s="13">
        <v>-241</v>
      </c>
      <c r="L48" s="14">
        <f>IFERROR(K48/K327, "NA")</f>
      </c>
      <c r="M48" s="15"/>
      <c r="N48" s="13">
        <v>0</v>
      </c>
      <c r="O48" s="14">
        <f>IFERROR(N48/N327, "NA")</f>
      </c>
    </row>
    <row r="49" ht="16.5" customHeight="1">
      <c t="s" r="A49" s="12">
        <v>52</v>
      </c>
      <c r="B49" s="13">
        <v>0</v>
      </c>
      <c r="C49" s="14">
        <f>IFERROR(B49/B327, "NA")</f>
      </c>
      <c r="D49" s="15"/>
      <c r="E49" s="13">
        <v>0</v>
      </c>
      <c r="F49" s="14">
        <f>IFERROR(E49/E327, "NA")</f>
      </c>
      <c r="G49" s="15"/>
      <c r="H49" s="13">
        <v>0</v>
      </c>
      <c r="I49" s="14">
        <f>IFERROR(H49/H327, "NA")</f>
      </c>
      <c r="J49" s="15"/>
      <c r="K49" s="13">
        <v>0</v>
      </c>
      <c r="L49" s="14">
        <f>IFERROR(K49/K327, "NA")</f>
      </c>
      <c r="M49" s="15"/>
      <c r="N49" s="13">
        <v>0</v>
      </c>
      <c r="O49" s="14">
        <f>IFERROR(N49/N327, "NA")</f>
      </c>
    </row>
    <row r="50" ht="16.5" customHeight="1">
      <c t="s" r="A50" s="12">
        <v>53</v>
      </c>
      <c r="B50" s="13">
        <v>0</v>
      </c>
      <c r="C50" s="14">
        <f>IFERROR(B50/B327, "NA")</f>
      </c>
      <c r="D50" s="15"/>
      <c r="E50" s="13">
        <v>0</v>
      </c>
      <c r="F50" s="14">
        <f>IFERROR(E50/E327, "NA")</f>
      </c>
      <c r="G50" s="15"/>
      <c r="H50" s="13">
        <v>-194</v>
      </c>
      <c r="I50" s="14">
        <f>IFERROR(H50/H327, "NA")</f>
      </c>
      <c r="J50" s="15"/>
      <c r="K50" s="13">
        <v>-566</v>
      </c>
      <c r="L50" s="14">
        <f>IFERROR(K50/K327, "NA")</f>
      </c>
      <c r="M50" s="15"/>
      <c r="N50" s="13">
        <v>-557</v>
      </c>
      <c r="O50" s="14">
        <f>IFERROR(N50/N327, "NA")</f>
      </c>
    </row>
    <row r="51" ht="16.5" customHeight="1">
      <c t="s" r="A51" s="16">
        <v>54</v>
      </c>
      <c r="B51" s="17">
        <f>IFERROR(B39+B40+B41+B42+B43+B44+B45+B46+B47+B48+B49+B50, "NA")</f>
      </c>
      <c r="C51" s="18">
        <f>IFERROR(B51/B327, "NA")</f>
      </c>
      <c r="D51" s="8"/>
      <c r="E51" s="17">
        <f>IFERROR(E39+E40+E41+E42+E43+E44+E45+E46+E47+E48+E49+E50, "NA")</f>
      </c>
      <c r="F51" s="18">
        <f>IFERROR(E51/E327, "NA")</f>
      </c>
      <c r="G51" s="8"/>
      <c r="H51" s="17">
        <f>IFERROR(H39+H40+H41+H42+H43+H44+H45+H46+H47+H48+H49+H50, "NA")</f>
      </c>
      <c r="I51" s="18">
        <f>IFERROR(H51/H327, "NA")</f>
      </c>
      <c r="J51" s="8"/>
      <c r="K51" s="17">
        <f>IFERROR(K39+K40+K41+K42+K43+K44+K45+K46+K47+K48+K49+K50, "NA")</f>
      </c>
      <c r="L51" s="18">
        <f>IFERROR(K51/K327, "NA")</f>
      </c>
      <c r="M51" s="8"/>
      <c r="N51" s="17">
        <f>IFERROR(N39+N40+N41+N42+N43+N44+N45+N46+N47+N48+N49+N50, "NA")</f>
      </c>
      <c r="O51" s="18">
        <f>IFERROR(N51/N327, "NA")</f>
      </c>
    </row>
    <row r="52" ht="16.5" customHeight="1">
      <c t="s" r="A52" s="20">
        <v>55</v>
      </c>
      <c r="B52" s="17">
        <f>IFERROR(B8+B9+B11+B13+B14+B15+B16+B17+B18+B21+B22+B23+B24+B25+B26+B27+B28+B29+B32+B33+B34+B35+B36+B39+B40+B41+B42+B43+B44+B45+B46+B47+B48+B49+B50, "NA")</f>
      </c>
      <c r="C52" s="18">
        <f>IFERROR(B52/B327, "NA")</f>
      </c>
      <c r="D52" s="8"/>
      <c r="E52" s="17">
        <f>IFERROR(E8+E9+E11+E13+E14+E15+E16+E17+E18+E21+E22+E23+E24+E25+E26+E27+E28+E29+E32+E33+E34+E35+E36+E39+E40+E41+E42+E43+E44+E45+E46+E47+E48+E49+E50, "NA")</f>
      </c>
      <c r="F52" s="18">
        <f>IFERROR(E52/E327, "NA")</f>
      </c>
      <c r="G52" s="8"/>
      <c r="H52" s="17">
        <f>IFERROR(H8+H9+H11+H13+H14+H15+H16+H17+H18+H21+H22+H23+H24+H25+H26+H27+H28+H29+H32+H33+H34+H35+H36+H39+H40+H41+H42+H43+H44+H45+H46+H47+H48+H49+H50, "NA")</f>
      </c>
      <c r="I52" s="18">
        <f>IFERROR(H52/H327, "NA")</f>
      </c>
      <c r="J52" s="8"/>
      <c r="K52" s="17">
        <f>IFERROR(K8+K9+K11+K13+K14+K15+K16+K17+K18+K21+K22+K23+K24+K25+K26+K27+K28+K29+K32+K33+K34+K35+K36+K39+K40+K41+K42+K43+K44+K45+K46+K47+K48+K49+K50, "NA")</f>
      </c>
      <c r="L52" s="18">
        <f>IFERROR(K52/K327, "NA")</f>
      </c>
      <c r="M52" s="8"/>
      <c r="N52" s="17">
        <f>IFERROR(N8+N9+N11+N13+N14+N15+N16+N17+N18+N21+N22+N23+N24+N25+N26+N27+N28+N29+N32+N33+N34+N35+N36+N39+N40+N41+N42+N43+N44+N45+N46+N47+N48+N49+N50, "NA")</f>
      </c>
      <c r="O52" s="18">
        <f>IFERROR(N52/N327, "NA")</f>
      </c>
    </row>
    <row r="53" ht="16.5" customHeight="1">
      <c t="s" r="A53" s="7">
        <v>56</v>
      </c>
      <c r="B53" s="8"/>
      <c r="C53" s="9"/>
      <c r="D53" s="10"/>
      <c r="E53" s="8"/>
      <c r="F53" s="9"/>
      <c r="G53" s="10"/>
      <c r="H53" s="8"/>
      <c r="I53" s="9"/>
      <c r="J53" s="10"/>
      <c r="K53" s="8"/>
      <c r="L53" s="9"/>
      <c r="M53" s="10"/>
      <c r="N53" s="8"/>
      <c r="O53" s="9"/>
    </row>
    <row r="54" ht="16.5" customHeight="1">
      <c t="s" r="A54" s="11">
        <v>57</v>
      </c>
      <c r="B54" s="8"/>
      <c r="C54" s="9"/>
      <c r="D54" s="10"/>
      <c r="E54" s="8"/>
      <c r="F54" s="9"/>
      <c r="G54" s="10"/>
      <c r="H54" s="8"/>
      <c r="I54" s="9"/>
      <c r="J54" s="10"/>
      <c r="K54" s="8"/>
      <c r="L54" s="9"/>
      <c r="M54" s="10"/>
      <c r="N54" s="8"/>
      <c r="O54" s="9"/>
    </row>
    <row r="55" ht="16.5" customHeight="1">
      <c t="s" r="A55" s="12">
        <v>58</v>
      </c>
      <c r="B55" s="13">
        <v>0</v>
      </c>
      <c r="C55" s="14">
        <f>IFERROR(B55/B327, "NA")</f>
      </c>
      <c r="D55" s="15"/>
      <c r="E55" s="13">
        <v>0</v>
      </c>
      <c r="F55" s="14">
        <f>IFERROR(E55/E327, "NA")</f>
      </c>
      <c r="G55" s="15"/>
      <c r="H55" s="13">
        <v>0</v>
      </c>
      <c r="I55" s="14">
        <f>IFERROR(H55/H327, "NA")</f>
      </c>
      <c r="J55" s="15"/>
      <c r="K55" s="13">
        <v>0</v>
      </c>
      <c r="L55" s="14">
        <f>IFERROR(K55/K327, "NA")</f>
      </c>
      <c r="M55" s="15"/>
      <c r="N55" s="13">
        <v>0</v>
      </c>
      <c r="O55" s="14">
        <f>IFERROR(N55/N327, "NA")</f>
      </c>
    </row>
    <row r="56" ht="16.5" customHeight="1">
      <c t="s" r="A56" s="12">
        <v>59</v>
      </c>
      <c r="B56" s="13">
        <v>749.75</v>
      </c>
      <c r="C56" s="14">
        <f>IFERROR(B56/B327, "NA")</f>
      </c>
      <c r="D56" s="15"/>
      <c r="E56" s="13">
        <v>1313.49</v>
      </c>
      <c r="F56" s="14">
        <f>IFERROR(E56/E327, "NA")</f>
      </c>
      <c r="G56" s="15"/>
      <c r="H56" s="13">
        <v>3496.8000000000002</v>
      </c>
      <c r="I56" s="14">
        <f>IFERROR(H56/H327, "NA")</f>
      </c>
      <c r="J56" s="15"/>
      <c r="K56" s="13">
        <v>1597.3599999999999</v>
      </c>
      <c r="L56" s="14">
        <f>IFERROR(K56/K327, "NA")</f>
      </c>
      <c r="M56" s="15"/>
      <c r="N56" s="13">
        <v>0</v>
      </c>
      <c r="O56" s="14">
        <f>IFERROR(N56/N327, "NA")</f>
      </c>
    </row>
    <row r="57" ht="16.5" customHeight="1">
      <c t="s" r="A57" s="12">
        <v>60</v>
      </c>
      <c r="B57" s="13">
        <v>242.63999999999999</v>
      </c>
      <c r="C57" s="14">
        <f>IFERROR(B57/B327, "NA")</f>
      </c>
      <c r="D57" s="15"/>
      <c r="E57" s="13">
        <v>271.35000000000002</v>
      </c>
      <c r="F57" s="14">
        <f>IFERROR(E57/E327, "NA")</f>
      </c>
      <c r="G57" s="15"/>
      <c r="H57" s="13">
        <v>1283.3599999999999</v>
      </c>
      <c r="I57" s="14">
        <f>IFERROR(H57/H327, "NA")</f>
      </c>
      <c r="J57" s="15"/>
      <c r="K57" s="13">
        <v>626.14999999999998</v>
      </c>
      <c r="L57" s="14">
        <f>IFERROR(K57/K327, "NA")</f>
      </c>
      <c r="M57" s="15"/>
      <c r="N57" s="13">
        <v>0</v>
      </c>
      <c r="O57" s="14">
        <f>IFERROR(N57/N327, "NA")</f>
      </c>
    </row>
    <row r="58" ht="16.5" customHeight="1">
      <c t="s" r="A58" s="12">
        <v>61</v>
      </c>
      <c r="B58" s="13">
        <v>847.55999999999995</v>
      </c>
      <c r="C58" s="14">
        <f>IFERROR(B58/B327, "NA")</f>
      </c>
      <c r="D58" s="15"/>
      <c r="E58" s="13">
        <v>1723.98</v>
      </c>
      <c r="F58" s="14">
        <f>IFERROR(E58/E327, "NA")</f>
      </c>
      <c r="G58" s="15"/>
      <c r="H58" s="13">
        <v>3807.4400000000001</v>
      </c>
      <c r="I58" s="14">
        <f>IFERROR(H58/H327, "NA")</f>
      </c>
      <c r="J58" s="15"/>
      <c r="K58" s="13">
        <v>2177.0700000000002</v>
      </c>
      <c r="L58" s="14">
        <f>IFERROR(K58/K327, "NA")</f>
      </c>
      <c r="M58" s="15"/>
      <c r="N58" s="13">
        <v>0</v>
      </c>
      <c r="O58" s="14">
        <f>IFERROR(N58/N327, "NA")</f>
      </c>
    </row>
    <row r="59" ht="16.5" customHeight="1">
      <c t="s" r="A59" s="12">
        <v>62</v>
      </c>
      <c r="B59" s="13">
        <v>93.629999999999995</v>
      </c>
      <c r="C59" s="14">
        <f>IFERROR(B59/B327, "NA")</f>
      </c>
      <c r="D59" s="15"/>
      <c r="E59" s="13">
        <v>164.16</v>
      </c>
      <c r="F59" s="14">
        <f>IFERROR(E59/E327, "NA")</f>
      </c>
      <c r="G59" s="15"/>
      <c r="H59" s="13">
        <v>411.51999999999998</v>
      </c>
      <c r="I59" s="14">
        <f>IFERROR(H59/H327, "NA")</f>
      </c>
      <c r="J59" s="15"/>
      <c r="K59" s="13">
        <v>694</v>
      </c>
      <c r="L59" s="14">
        <f>IFERROR(K59/K327, "NA")</f>
      </c>
      <c r="M59" s="15"/>
      <c r="N59" s="13">
        <v>0</v>
      </c>
      <c r="O59" s="14">
        <f>IFERROR(N59/N327, "NA")</f>
      </c>
    </row>
    <row r="60" ht="16.5" customHeight="1">
      <c t="s" r="A60" s="12">
        <v>63</v>
      </c>
      <c r="B60" s="13">
        <v>1269.4200000000001</v>
      </c>
      <c r="C60" s="14">
        <f>IFERROR(B60/B327, "NA")</f>
      </c>
      <c r="D60" s="15"/>
      <c r="E60" s="13">
        <v>2576.5100000000002</v>
      </c>
      <c r="F60" s="14">
        <f>IFERROR(E60/E327, "NA")</f>
      </c>
      <c r="G60" s="15"/>
      <c r="H60" s="13">
        <v>6205.2399999999998</v>
      </c>
      <c r="I60" s="14">
        <f>IFERROR(H60/H327, "NA")</f>
      </c>
      <c r="J60" s="15"/>
      <c r="K60" s="13">
        <v>2741.1300000000001</v>
      </c>
      <c r="L60" s="14">
        <f>IFERROR(K60/K327, "NA")</f>
      </c>
      <c r="M60" s="15"/>
      <c r="N60" s="13">
        <v>0</v>
      </c>
      <c r="O60" s="14">
        <f>IFERROR(N60/N327, "NA")</f>
      </c>
    </row>
    <row r="61" ht="16.5" customHeight="1">
      <c t="s" r="A61" s="12">
        <v>64</v>
      </c>
      <c r="B61" s="13">
        <v>844.86000000000001</v>
      </c>
      <c r="C61" s="14">
        <f>IFERROR(B61/B327, "NA")</f>
      </c>
      <c r="D61" s="15"/>
      <c r="E61" s="13">
        <v>1420.8499999999999</v>
      </c>
      <c r="F61" s="14">
        <f>IFERROR(E61/E327, "NA")</f>
      </c>
      <c r="G61" s="15"/>
      <c r="H61" s="13">
        <v>3193.4400000000001</v>
      </c>
      <c r="I61" s="14">
        <f>IFERROR(H61/H327, "NA")</f>
      </c>
      <c r="J61" s="15"/>
      <c r="K61" s="13">
        <v>2211.98</v>
      </c>
      <c r="L61" s="14">
        <f>IFERROR(K61/K327, "NA")</f>
      </c>
      <c r="M61" s="15"/>
      <c r="N61" s="13">
        <v>0</v>
      </c>
      <c r="O61" s="14">
        <f>IFERROR(N61/N327, "NA")</f>
      </c>
    </row>
    <row r="62" ht="16.5" customHeight="1">
      <c t="s" r="A62" s="12">
        <v>65</v>
      </c>
      <c r="B62" s="13">
        <v>152.77000000000001</v>
      </c>
      <c r="C62" s="14">
        <f>IFERROR(B62/B327, "NA")</f>
      </c>
      <c r="D62" s="15"/>
      <c r="E62" s="13">
        <v>299.57999999999998</v>
      </c>
      <c r="F62" s="14">
        <f>IFERROR(E62/E327, "NA")</f>
      </c>
      <c r="G62" s="15"/>
      <c r="H62" s="13">
        <v>723.44000000000005</v>
      </c>
      <c r="I62" s="14">
        <f>IFERROR(H62/H327, "NA")</f>
      </c>
      <c r="J62" s="15"/>
      <c r="K62" s="13">
        <v>345.38</v>
      </c>
      <c r="L62" s="14">
        <f>IFERROR(K62/K327, "NA")</f>
      </c>
      <c r="M62" s="15"/>
      <c r="N62" s="13">
        <v>0</v>
      </c>
      <c r="O62" s="14">
        <f>IFERROR(N62/N327, "NA")</f>
      </c>
    </row>
    <row r="63" ht="16.5" customHeight="1">
      <c t="s" r="A63" s="12">
        <v>66</v>
      </c>
      <c r="B63" s="13">
        <v>143.78</v>
      </c>
      <c r="C63" s="14">
        <f>IFERROR(B63/B327, "NA")</f>
      </c>
      <c r="D63" s="15"/>
      <c r="E63" s="13">
        <v>439.68000000000001</v>
      </c>
      <c r="F63" s="14">
        <f>IFERROR(E63/E327, "NA")</f>
      </c>
      <c r="G63" s="15"/>
      <c r="H63" s="13">
        <v>751.12</v>
      </c>
      <c r="I63" s="14">
        <f>IFERROR(H63/H327, "NA")</f>
      </c>
      <c r="J63" s="15"/>
      <c r="K63" s="13">
        <v>370.39999999999998</v>
      </c>
      <c r="L63" s="14">
        <f>IFERROR(K63/K327, "NA")</f>
      </c>
      <c r="M63" s="15"/>
      <c r="N63" s="13">
        <v>0</v>
      </c>
      <c r="O63" s="14">
        <f>IFERROR(N63/N327, "NA")</f>
      </c>
    </row>
    <row r="64" ht="16.5" customHeight="1">
      <c t="s" r="A64" s="12">
        <v>67</v>
      </c>
      <c r="B64" s="13">
        <v>0</v>
      </c>
      <c r="C64" s="14">
        <f>IFERROR(B64/B327, "NA")</f>
      </c>
      <c r="D64" s="15"/>
      <c r="E64" s="13">
        <v>0</v>
      </c>
      <c r="F64" s="14">
        <f>IFERROR(E64/E327, "NA")</f>
      </c>
      <c r="G64" s="15"/>
      <c r="H64" s="13">
        <v>0</v>
      </c>
      <c r="I64" s="14">
        <f>IFERROR(H64/H327, "NA")</f>
      </c>
      <c r="J64" s="15"/>
      <c r="K64" s="13">
        <v>0</v>
      </c>
      <c r="L64" s="14">
        <f>IFERROR(K64/K327, "NA")</f>
      </c>
      <c r="M64" s="15"/>
      <c r="N64" s="13">
        <v>0</v>
      </c>
      <c r="O64" s="14">
        <f>IFERROR(N64/N327, "NA")</f>
      </c>
    </row>
    <row r="65" ht="16.5" customHeight="1">
      <c t="s" r="A65" s="16">
        <v>68</v>
      </c>
      <c r="B65" s="17">
        <f>IFERROR(B55+B56+B57+B58+B59+B60+B61+B62+B63+B64, "NA")</f>
      </c>
      <c r="C65" s="18">
        <f>IFERROR(B65/B327, "NA")</f>
      </c>
      <c r="D65" s="8"/>
      <c r="E65" s="17">
        <f>IFERROR(E55+E56+E57+E58+E59+E60+E61+E62+E63+E64, "NA")</f>
      </c>
      <c r="F65" s="18">
        <f>IFERROR(E65/E327, "NA")</f>
      </c>
      <c r="G65" s="8"/>
      <c r="H65" s="17">
        <f>IFERROR(H55+H56+H57+H58+H59+H60+H61+H62+H63+H64, "NA")</f>
      </c>
      <c r="I65" s="18">
        <f>IFERROR(H65/H327, "NA")</f>
      </c>
      <c r="J65" s="8"/>
      <c r="K65" s="17">
        <f>IFERROR(K55+K56+K57+K58+K59+K60+K61+K62+K63+K64, "NA")</f>
      </c>
      <c r="L65" s="18">
        <f>IFERROR(K65/K327, "NA")</f>
      </c>
      <c r="M65" s="8"/>
      <c r="N65" s="17">
        <f>IFERROR(N55+N56+N57+N58+N59+N60+N61+N62+N63+N64, "NA")</f>
      </c>
      <c r="O65" s="18">
        <f>IFERROR(N65/N327, "NA")</f>
      </c>
    </row>
    <row r="66" ht="16.5" customHeight="1">
      <c t="s" r="A66" s="19">
        <v>69</v>
      </c>
      <c r="B66" s="13">
        <v>661.74000000000001</v>
      </c>
      <c r="C66" s="14">
        <f>IFERROR(B66/B327, "NA")</f>
      </c>
      <c r="D66" s="15"/>
      <c r="E66" s="13">
        <v>350.73000000000002</v>
      </c>
      <c r="F66" s="14">
        <f>IFERROR(E66/E327, "NA")</f>
      </c>
      <c r="G66" s="15"/>
      <c r="H66" s="13">
        <v>2312.52</v>
      </c>
      <c r="I66" s="14">
        <f>IFERROR(H66/H327, "NA")</f>
      </c>
      <c r="J66" s="15"/>
      <c r="K66" s="13">
        <v>1290.8499999999999</v>
      </c>
      <c r="L66" s="14">
        <f>IFERROR(K66/K327, "NA")</f>
      </c>
      <c r="M66" s="15"/>
      <c r="N66" s="13">
        <v>0</v>
      </c>
      <c r="O66" s="14">
        <f>IFERROR(N66/N327, "NA")</f>
      </c>
    </row>
    <row r="67" ht="16.5" customHeight="1">
      <c t="s" r="A67" s="11">
        <v>70</v>
      </c>
      <c r="B67" s="8"/>
      <c r="C67" s="9"/>
      <c r="D67" s="10"/>
      <c r="E67" s="8"/>
      <c r="F67" s="9"/>
      <c r="G67" s="10"/>
      <c r="H67" s="8"/>
      <c r="I67" s="9"/>
      <c r="J67" s="10"/>
      <c r="K67" s="8"/>
      <c r="L67" s="9"/>
      <c r="M67" s="10"/>
      <c r="N67" s="8"/>
      <c r="O67" s="9"/>
    </row>
    <row r="68" ht="16.5" customHeight="1">
      <c t="s" r="A68" s="12">
        <v>71</v>
      </c>
      <c r="B68" s="13">
        <v>0</v>
      </c>
      <c r="C68" s="14">
        <f>IFERROR(B68/B327, "NA")</f>
      </c>
      <c r="D68" s="15"/>
      <c r="E68" s="13">
        <v>0</v>
      </c>
      <c r="F68" s="14">
        <f>IFERROR(E68/E327, "NA")</f>
      </c>
      <c r="G68" s="15"/>
      <c r="H68" s="13">
        <v>0</v>
      </c>
      <c r="I68" s="14">
        <f>IFERROR(H68/H327, "NA")</f>
      </c>
      <c r="J68" s="15"/>
      <c r="K68" s="13">
        <v>0</v>
      </c>
      <c r="L68" s="14">
        <f>IFERROR(K68/K327, "NA")</f>
      </c>
      <c r="M68" s="15"/>
      <c r="N68" s="13">
        <v>0</v>
      </c>
      <c r="O68" s="14">
        <f>IFERROR(N68/N327, "NA")</f>
      </c>
    </row>
    <row r="69" ht="16.5" customHeight="1">
      <c t="s" r="A69" s="12">
        <v>72</v>
      </c>
      <c r="B69" s="13">
        <v>73.519999999999996</v>
      </c>
      <c r="C69" s="14">
        <f>IFERROR(B69/B327, "NA")</f>
      </c>
      <c r="D69" s="15"/>
      <c r="E69" s="13">
        <v>143.46000000000001</v>
      </c>
      <c r="F69" s="14">
        <f>IFERROR(E69/E327, "NA")</f>
      </c>
      <c r="G69" s="15"/>
      <c r="H69" s="13">
        <v>243.62</v>
      </c>
      <c r="I69" s="14">
        <f>IFERROR(H69/H327, "NA")</f>
      </c>
      <c r="J69" s="15"/>
      <c r="K69" s="13">
        <v>113.98999999999999</v>
      </c>
      <c r="L69" s="14">
        <f>IFERROR(K69/K327, "NA")</f>
      </c>
      <c r="M69" s="15"/>
      <c r="N69" s="13">
        <v>0</v>
      </c>
      <c r="O69" s="14">
        <f>IFERROR(N69/N327, "NA")</f>
      </c>
    </row>
    <row r="70" ht="16.5" customHeight="1">
      <c t="s" r="A70" s="12">
        <v>73</v>
      </c>
      <c r="B70" s="13">
        <v>0</v>
      </c>
      <c r="C70" s="14">
        <f>IFERROR(B70/B327, "NA")</f>
      </c>
      <c r="D70" s="15"/>
      <c r="E70" s="13">
        <v>0</v>
      </c>
      <c r="F70" s="14">
        <f>IFERROR(E70/E327, "NA")</f>
      </c>
      <c r="G70" s="15"/>
      <c r="H70" s="13">
        <v>0</v>
      </c>
      <c r="I70" s="14">
        <f>IFERROR(H70/H327, "NA")</f>
      </c>
      <c r="J70" s="15"/>
      <c r="K70" s="13">
        <v>0</v>
      </c>
      <c r="L70" s="14">
        <f>IFERROR(K70/K327, "NA")</f>
      </c>
      <c r="M70" s="15"/>
      <c r="N70" s="13">
        <v>0</v>
      </c>
      <c r="O70" s="14">
        <f>IFERROR(N70/N327, "NA")</f>
      </c>
    </row>
    <row r="71" ht="16.5" customHeight="1">
      <c t="s" r="A71" s="12">
        <v>74</v>
      </c>
      <c r="B71" s="13">
        <v>2270.3800000000001</v>
      </c>
      <c r="C71" s="14">
        <f>IFERROR(B71/B327, "NA")</f>
      </c>
      <c r="D71" s="15"/>
      <c r="E71" s="13">
        <v>1701.51</v>
      </c>
      <c r="F71" s="14">
        <f>IFERROR(E71/E327, "NA")</f>
      </c>
      <c r="G71" s="15"/>
      <c r="H71" s="13">
        <v>4275.7399999999998</v>
      </c>
      <c r="I71" s="14">
        <f>IFERROR(H71/H327, "NA")</f>
      </c>
      <c r="J71" s="15"/>
      <c r="K71" s="13">
        <v>2509.9699999999998</v>
      </c>
      <c r="L71" s="14">
        <f>IFERROR(K71/K327, "NA")</f>
      </c>
      <c r="M71" s="15"/>
      <c r="N71" s="13">
        <v>0</v>
      </c>
      <c r="O71" s="14">
        <f>IFERROR(N71/N327, "NA")</f>
      </c>
    </row>
    <row r="72" ht="16.5" customHeight="1">
      <c t="s" r="A72" s="12">
        <v>75</v>
      </c>
      <c r="B72" s="13">
        <v>0</v>
      </c>
      <c r="C72" s="14">
        <f>IFERROR(B72/B327, "NA")</f>
      </c>
      <c r="D72" s="15"/>
      <c r="E72" s="13">
        <v>0</v>
      </c>
      <c r="F72" s="14">
        <f>IFERROR(E72/E327, "NA")</f>
      </c>
      <c r="G72" s="15"/>
      <c r="H72" s="13">
        <v>0</v>
      </c>
      <c r="I72" s="14">
        <f>IFERROR(H72/H327, "NA")</f>
      </c>
      <c r="J72" s="15"/>
      <c r="K72" s="13">
        <v>0</v>
      </c>
      <c r="L72" s="14">
        <f>IFERROR(K72/K327, "NA")</f>
      </c>
      <c r="M72" s="15"/>
      <c r="N72" s="13">
        <v>0</v>
      </c>
      <c r="O72" s="14">
        <f>IFERROR(N72/N327, "NA")</f>
      </c>
    </row>
    <row r="73" ht="16.5" customHeight="1">
      <c t="s" r="A73" s="12">
        <v>76</v>
      </c>
      <c r="B73" s="13">
        <v>5650.3900000000003</v>
      </c>
      <c r="C73" s="14">
        <f>IFERROR(B73/B327, "NA")</f>
      </c>
      <c r="D73" s="15"/>
      <c r="E73" s="13">
        <v>4639.9200000000001</v>
      </c>
      <c r="F73" s="14">
        <f>IFERROR(E73/E327, "NA")</f>
      </c>
      <c r="G73" s="15"/>
      <c r="H73" s="13">
        <v>18081.759999999998</v>
      </c>
      <c r="I73" s="14">
        <f>IFERROR(H73/H327, "NA")</f>
      </c>
      <c r="J73" s="15"/>
      <c r="K73" s="13">
        <v>6131.8000000000002</v>
      </c>
      <c r="L73" s="14">
        <f>IFERROR(K73/K327, "NA")</f>
      </c>
      <c r="M73" s="15"/>
      <c r="N73" s="13">
        <v>0</v>
      </c>
      <c r="O73" s="14">
        <f>IFERROR(N73/N327, "NA")</f>
      </c>
    </row>
    <row r="74" ht="16.5" customHeight="1">
      <c t="s" r="A74" s="12">
        <v>77</v>
      </c>
      <c r="B74" s="13">
        <v>0</v>
      </c>
      <c r="C74" s="14">
        <f>IFERROR(B74/B327, "NA")</f>
      </c>
      <c r="D74" s="15"/>
      <c r="E74" s="13">
        <v>0</v>
      </c>
      <c r="F74" s="14">
        <f>IFERROR(E74/E327, "NA")</f>
      </c>
      <c r="G74" s="15"/>
      <c r="H74" s="13">
        <v>0</v>
      </c>
      <c r="I74" s="14">
        <f>IFERROR(H74/H327, "NA")</f>
      </c>
      <c r="J74" s="15"/>
      <c r="K74" s="13">
        <v>0</v>
      </c>
      <c r="L74" s="14">
        <f>IFERROR(K74/K327, "NA")</f>
      </c>
      <c r="M74" s="15"/>
      <c r="N74" s="13">
        <v>0</v>
      </c>
      <c r="O74" s="14">
        <f>IFERROR(N74/N327, "NA")</f>
      </c>
    </row>
    <row r="75" ht="16.5" customHeight="1">
      <c t="s" r="A75" s="12">
        <v>78</v>
      </c>
      <c r="B75" s="13">
        <v>963.34000000000003</v>
      </c>
      <c r="C75" s="14">
        <f>IFERROR(B75/B327, "NA")</f>
      </c>
      <c r="D75" s="15"/>
      <c r="E75" s="13">
        <v>590.77999999999997</v>
      </c>
      <c r="F75" s="14">
        <f>IFERROR(E75/E327, "NA")</f>
      </c>
      <c r="G75" s="15"/>
      <c r="H75" s="13">
        <v>2260.6399999999999</v>
      </c>
      <c r="I75" s="14">
        <f>IFERROR(H75/H327, "NA")</f>
      </c>
      <c r="J75" s="15"/>
      <c r="K75" s="13">
        <v>799.02999999999997</v>
      </c>
      <c r="L75" s="14">
        <f>IFERROR(K75/K327, "NA")</f>
      </c>
      <c r="M75" s="15"/>
      <c r="N75" s="13">
        <v>0</v>
      </c>
      <c r="O75" s="14">
        <f>IFERROR(N75/N327, "NA")</f>
      </c>
    </row>
    <row r="76" ht="16.5" customHeight="1">
      <c t="s" r="A76" s="16">
        <v>79</v>
      </c>
      <c r="B76" s="17">
        <f>IFERROR(B68+B69+B70+B71+B72+B73+B74+B75, "NA")</f>
      </c>
      <c r="C76" s="18">
        <f>IFERROR(B76/B327, "NA")</f>
      </c>
      <c r="D76" s="8"/>
      <c r="E76" s="17">
        <f>IFERROR(E68+E69+E70+E71+E72+E73+E74+E75, "NA")</f>
      </c>
      <c r="F76" s="18">
        <f>IFERROR(E76/E327, "NA")</f>
      </c>
      <c r="G76" s="8"/>
      <c r="H76" s="17">
        <f>IFERROR(H68+H69+H70+H71+H72+H73+H74+H75, "NA")</f>
      </c>
      <c r="I76" s="18">
        <f>IFERROR(H76/H327, "NA")</f>
      </c>
      <c r="J76" s="8"/>
      <c r="K76" s="17">
        <f>IFERROR(K68+K69+K70+K71+K72+K73+K74+K75, "NA")</f>
      </c>
      <c r="L76" s="18">
        <f>IFERROR(K76/K327, "NA")</f>
      </c>
      <c r="M76" s="8"/>
      <c r="N76" s="17">
        <f>IFERROR(N68+N69+N70+N71+N72+N73+N74+N75, "NA")</f>
      </c>
      <c r="O76" s="18">
        <f>IFERROR(N76/N327, "NA")</f>
      </c>
    </row>
    <row r="77" ht="16.5" customHeight="1">
      <c t="s" r="A77" s="11">
        <v>80</v>
      </c>
      <c r="B77" s="8"/>
      <c r="C77" s="9"/>
      <c r="D77" s="10"/>
      <c r="E77" s="8"/>
      <c r="F77" s="9"/>
      <c r="G77" s="10"/>
      <c r="H77" s="8"/>
      <c r="I77" s="9"/>
      <c r="J77" s="10"/>
      <c r="K77" s="8"/>
      <c r="L77" s="9"/>
      <c r="M77" s="10"/>
      <c r="N77" s="8"/>
      <c r="O77" s="9"/>
    </row>
    <row r="78" ht="16.5" customHeight="1">
      <c t="s" r="A78" s="12">
        <v>81</v>
      </c>
      <c r="B78" s="13">
        <v>0</v>
      </c>
      <c r="C78" s="14">
        <f>IFERROR(B78/B327, "NA")</f>
      </c>
      <c r="D78" s="15"/>
      <c r="E78" s="13">
        <v>0</v>
      </c>
      <c r="F78" s="14">
        <f>IFERROR(E78/E327, "NA")</f>
      </c>
      <c r="G78" s="15"/>
      <c r="H78" s="13">
        <v>0</v>
      </c>
      <c r="I78" s="14">
        <f>IFERROR(H78/H327, "NA")</f>
      </c>
      <c r="J78" s="15"/>
      <c r="K78" s="13">
        <v>0</v>
      </c>
      <c r="L78" s="14">
        <f>IFERROR(K78/K327, "NA")</f>
      </c>
      <c r="M78" s="15"/>
      <c r="N78" s="13">
        <v>0</v>
      </c>
      <c r="O78" s="14">
        <f>IFERROR(N78/N327, "NA")</f>
      </c>
    </row>
    <row r="79" ht="16.5" customHeight="1">
      <c t="s" r="A79" s="12">
        <v>82</v>
      </c>
      <c r="B79" s="13">
        <v>0</v>
      </c>
      <c r="C79" s="14">
        <f>IFERROR(B79/B327, "NA")</f>
      </c>
      <c r="D79" s="15"/>
      <c r="E79" s="13">
        <v>0</v>
      </c>
      <c r="F79" s="14">
        <f>IFERROR(E79/E327, "NA")</f>
      </c>
      <c r="G79" s="15"/>
      <c r="H79" s="13">
        <v>0</v>
      </c>
      <c r="I79" s="14">
        <f>IFERROR(H79/H327, "NA")</f>
      </c>
      <c r="J79" s="15"/>
      <c r="K79" s="13">
        <v>0</v>
      </c>
      <c r="L79" s="14">
        <f>IFERROR(K79/K327, "NA")</f>
      </c>
      <c r="M79" s="15"/>
      <c r="N79" s="13">
        <v>0</v>
      </c>
      <c r="O79" s="14">
        <f>IFERROR(N79/N327, "NA")</f>
      </c>
    </row>
    <row r="80" ht="16.5" customHeight="1">
      <c t="s" r="A80" s="16">
        <v>83</v>
      </c>
      <c r="B80" s="17">
        <f>IFERROR(B78+B79, "NA")</f>
      </c>
      <c r="C80" s="18">
        <f>IFERROR(B80/B327, "NA")</f>
      </c>
      <c r="D80" s="8"/>
      <c r="E80" s="17">
        <f>IFERROR(E78+E79, "NA")</f>
      </c>
      <c r="F80" s="18">
        <f>IFERROR(E80/E327, "NA")</f>
      </c>
      <c r="G80" s="8"/>
      <c r="H80" s="17">
        <f>IFERROR(H78+H79, "NA")</f>
      </c>
      <c r="I80" s="18">
        <f>IFERROR(H80/H327, "NA")</f>
      </c>
      <c r="J80" s="8"/>
      <c r="K80" s="17">
        <f>IFERROR(K78+K79, "NA")</f>
      </c>
      <c r="L80" s="18">
        <f>IFERROR(K80/K327, "NA")</f>
      </c>
      <c r="M80" s="8"/>
      <c r="N80" s="17">
        <f>IFERROR(N78+N79, "NA")</f>
      </c>
      <c r="O80" s="18">
        <f>IFERROR(N80/N327, "NA")</f>
      </c>
    </row>
    <row r="81" ht="16.5" customHeight="1">
      <c t="s" r="A81" s="11">
        <v>84</v>
      </c>
      <c r="B81" s="8"/>
      <c r="C81" s="9"/>
      <c r="D81" s="10"/>
      <c r="E81" s="8"/>
      <c r="F81" s="9"/>
      <c r="G81" s="10"/>
      <c r="H81" s="8"/>
      <c r="I81" s="9"/>
      <c r="J81" s="10"/>
      <c r="K81" s="8"/>
      <c r="L81" s="9"/>
      <c r="M81" s="10"/>
      <c r="N81" s="8"/>
      <c r="O81" s="9"/>
    </row>
    <row r="82" ht="16.5" customHeight="1">
      <c t="s" r="A82" s="12">
        <v>85</v>
      </c>
      <c r="B82" s="13">
        <v>0</v>
      </c>
      <c r="C82" s="14">
        <f>IFERROR(B82/B327, "NA")</f>
      </c>
      <c r="D82" s="15"/>
      <c r="E82" s="13">
        <v>0</v>
      </c>
      <c r="F82" s="14">
        <f>IFERROR(E82/E327, "NA")</f>
      </c>
      <c r="G82" s="15"/>
      <c r="H82" s="13">
        <v>0</v>
      </c>
      <c r="I82" s="14">
        <f>IFERROR(H82/H327, "NA")</f>
      </c>
      <c r="J82" s="15"/>
      <c r="K82" s="13">
        <v>0</v>
      </c>
      <c r="L82" s="14">
        <f>IFERROR(K82/K327, "NA")</f>
      </c>
      <c r="M82" s="15"/>
      <c r="N82" s="13">
        <v>0</v>
      </c>
      <c r="O82" s="14">
        <f>IFERROR(N82/N327, "NA")</f>
      </c>
    </row>
    <row r="83" ht="16.5" customHeight="1">
      <c t="s" r="A83" s="21">
        <v>86</v>
      </c>
      <c r="B83" s="8"/>
      <c r="C83" s="9"/>
      <c r="D83" s="10"/>
      <c r="E83" s="8"/>
      <c r="F83" s="9"/>
      <c r="G83" s="10"/>
      <c r="H83" s="8"/>
      <c r="I83" s="9"/>
      <c r="J83" s="10"/>
      <c r="K83" s="8"/>
      <c r="L83" s="9"/>
      <c r="M83" s="10"/>
      <c r="N83" s="8"/>
      <c r="O83" s="9"/>
    </row>
    <row r="84" ht="16.5" customHeight="1">
      <c t="s" r="A84" s="22">
        <v>87</v>
      </c>
      <c r="B84" s="13">
        <v>0</v>
      </c>
      <c r="C84" s="14">
        <f>IFERROR(B84/B327, "NA")</f>
      </c>
      <c r="D84" s="15"/>
      <c r="E84" s="13">
        <v>0</v>
      </c>
      <c r="F84" s="14">
        <f>IFERROR(E84/E327, "NA")</f>
      </c>
      <c r="G84" s="15"/>
      <c r="H84" s="13">
        <v>0</v>
      </c>
      <c r="I84" s="14">
        <f>IFERROR(H84/H327, "NA")</f>
      </c>
      <c r="J84" s="15"/>
      <c r="K84" s="13">
        <v>0</v>
      </c>
      <c r="L84" s="14">
        <f>IFERROR(K84/K327, "NA")</f>
      </c>
      <c r="M84" s="15"/>
      <c r="N84" s="13">
        <v>0</v>
      </c>
      <c r="O84" s="14">
        <f>IFERROR(N84/N327, "NA")</f>
      </c>
    </row>
    <row r="85" ht="16.5" customHeight="1">
      <c t="s" r="A85" s="22">
        <v>88</v>
      </c>
      <c r="B85" s="13">
        <v>0</v>
      </c>
      <c r="C85" s="14">
        <f>IFERROR(B85/B327, "NA")</f>
      </c>
      <c r="D85" s="15"/>
      <c r="E85" s="13">
        <v>0</v>
      </c>
      <c r="F85" s="14">
        <f>IFERROR(E85/E327, "NA")</f>
      </c>
      <c r="G85" s="15"/>
      <c r="H85" s="13">
        <v>0</v>
      </c>
      <c r="I85" s="14">
        <f>IFERROR(H85/H327, "NA")</f>
      </c>
      <c r="J85" s="15"/>
      <c r="K85" s="13">
        <v>0</v>
      </c>
      <c r="L85" s="14">
        <f>IFERROR(K85/K327, "NA")</f>
      </c>
      <c r="M85" s="15"/>
      <c r="N85" s="13">
        <v>0</v>
      </c>
      <c r="O85" s="14">
        <f>IFERROR(N85/N327, "NA")</f>
      </c>
    </row>
    <row r="86" ht="16.5" customHeight="1">
      <c t="s" r="A86" s="22">
        <v>89</v>
      </c>
      <c r="B86" s="13">
        <v>0</v>
      </c>
      <c r="C86" s="14">
        <f>IFERROR(B86/B327, "NA")</f>
      </c>
      <c r="D86" s="15"/>
      <c r="E86" s="13">
        <v>0</v>
      </c>
      <c r="F86" s="14">
        <f>IFERROR(E86/E327, "NA")</f>
      </c>
      <c r="G86" s="15"/>
      <c r="H86" s="13">
        <v>0</v>
      </c>
      <c r="I86" s="14">
        <f>IFERROR(H86/H327, "NA")</f>
      </c>
      <c r="J86" s="15"/>
      <c r="K86" s="13">
        <v>0</v>
      </c>
      <c r="L86" s="14">
        <f>IFERROR(K86/K327, "NA")</f>
      </c>
      <c r="M86" s="15"/>
      <c r="N86" s="13">
        <v>0</v>
      </c>
      <c r="O86" s="14">
        <f>IFERROR(N86/N327, "NA")</f>
      </c>
    </row>
    <row r="87" ht="16.5" customHeight="1">
      <c t="s" r="A87" s="22">
        <v>90</v>
      </c>
      <c r="B87" s="13">
        <v>0</v>
      </c>
      <c r="C87" s="14">
        <f>IFERROR(B87/B327, "NA")</f>
      </c>
      <c r="D87" s="15"/>
      <c r="E87" s="13">
        <v>0</v>
      </c>
      <c r="F87" s="14">
        <f>IFERROR(E87/E327, "NA")</f>
      </c>
      <c r="G87" s="15"/>
      <c r="H87" s="13">
        <v>0</v>
      </c>
      <c r="I87" s="14">
        <f>IFERROR(H87/H327, "NA")</f>
      </c>
      <c r="J87" s="15"/>
      <c r="K87" s="13">
        <v>0</v>
      </c>
      <c r="L87" s="14">
        <f>IFERROR(K87/K327, "NA")</f>
      </c>
      <c r="M87" s="15"/>
      <c r="N87" s="13">
        <v>0</v>
      </c>
      <c r="O87" s="14">
        <f>IFERROR(N87/N327, "NA")</f>
      </c>
    </row>
    <row r="88" ht="16.5" customHeight="1">
      <c t="s" r="A88" s="22">
        <v>91</v>
      </c>
      <c r="B88" s="13">
        <v>0</v>
      </c>
      <c r="C88" s="14">
        <f>IFERROR(B88/B327, "NA")</f>
      </c>
      <c r="D88" s="15"/>
      <c r="E88" s="13">
        <v>0</v>
      </c>
      <c r="F88" s="14">
        <f>IFERROR(E88/E327, "NA")</f>
      </c>
      <c r="G88" s="15"/>
      <c r="H88" s="13">
        <v>0</v>
      </c>
      <c r="I88" s="14">
        <f>IFERROR(H88/H327, "NA")</f>
      </c>
      <c r="J88" s="15"/>
      <c r="K88" s="13">
        <v>0</v>
      </c>
      <c r="L88" s="14">
        <f>IFERROR(K88/K327, "NA")</f>
      </c>
      <c r="M88" s="15"/>
      <c r="N88" s="13">
        <v>0</v>
      </c>
      <c r="O88" s="14">
        <f>IFERROR(N88/N327, "NA")</f>
      </c>
    </row>
    <row r="89" ht="16.5" customHeight="1">
      <c t="s" r="A89" s="22">
        <v>92</v>
      </c>
      <c r="B89" s="13">
        <v>0</v>
      </c>
      <c r="C89" s="14">
        <f>IFERROR(B89/B327, "NA")</f>
      </c>
      <c r="D89" s="15"/>
      <c r="E89" s="13">
        <v>0</v>
      </c>
      <c r="F89" s="14">
        <f>IFERROR(E89/E327, "NA")</f>
      </c>
      <c r="G89" s="15"/>
      <c r="H89" s="13">
        <v>0</v>
      </c>
      <c r="I89" s="14">
        <f>IFERROR(H89/H327, "NA")</f>
      </c>
      <c r="J89" s="15"/>
      <c r="K89" s="13">
        <v>0</v>
      </c>
      <c r="L89" s="14">
        <f>IFERROR(K89/K327, "NA")</f>
      </c>
      <c r="M89" s="15"/>
      <c r="N89" s="13">
        <v>0</v>
      </c>
      <c r="O89" s="14">
        <f>IFERROR(N89/N327, "NA")</f>
      </c>
    </row>
    <row r="90" ht="16.5" customHeight="1">
      <c t="s" r="A90" s="22">
        <v>93</v>
      </c>
      <c r="B90" s="13">
        <v>0</v>
      </c>
      <c r="C90" s="14">
        <f>IFERROR(B90/B327, "NA")</f>
      </c>
      <c r="D90" s="15"/>
      <c r="E90" s="13">
        <v>0</v>
      </c>
      <c r="F90" s="14">
        <f>IFERROR(E90/E327, "NA")</f>
      </c>
      <c r="G90" s="15"/>
      <c r="H90" s="13">
        <v>0</v>
      </c>
      <c r="I90" s="14">
        <f>IFERROR(H90/H327, "NA")</f>
      </c>
      <c r="J90" s="15"/>
      <c r="K90" s="13">
        <v>0</v>
      </c>
      <c r="L90" s="14">
        <f>IFERROR(K90/K327, "NA")</f>
      </c>
      <c r="M90" s="15"/>
      <c r="N90" s="13">
        <v>0</v>
      </c>
      <c r="O90" s="14">
        <f>IFERROR(N90/N327, "NA")</f>
      </c>
    </row>
    <row r="91" ht="16.5" customHeight="1">
      <c t="s" r="A91" s="22">
        <v>94</v>
      </c>
      <c r="B91" s="13">
        <v>0</v>
      </c>
      <c r="C91" s="14">
        <f>IFERROR(B91/B327, "NA")</f>
      </c>
      <c r="D91" s="15"/>
      <c r="E91" s="13">
        <v>0</v>
      </c>
      <c r="F91" s="14">
        <f>IFERROR(E91/E327, "NA")</f>
      </c>
      <c r="G91" s="15"/>
      <c r="H91" s="13">
        <v>0</v>
      </c>
      <c r="I91" s="14">
        <f>IFERROR(H91/H327, "NA")</f>
      </c>
      <c r="J91" s="15"/>
      <c r="K91" s="13">
        <v>0</v>
      </c>
      <c r="L91" s="14">
        <f>IFERROR(K91/K327, "NA")</f>
      </c>
      <c r="M91" s="15"/>
      <c r="N91" s="13">
        <v>0</v>
      </c>
      <c r="O91" s="14">
        <f>IFERROR(N91/N327, "NA")</f>
      </c>
    </row>
    <row r="92" ht="16.5" customHeight="1">
      <c t="s" r="A92" s="22">
        <v>95</v>
      </c>
      <c r="B92" s="13">
        <v>0</v>
      </c>
      <c r="C92" s="14">
        <f>IFERROR(B92/B327, "NA")</f>
      </c>
      <c r="D92" s="15"/>
      <c r="E92" s="13">
        <v>0</v>
      </c>
      <c r="F92" s="14">
        <f>IFERROR(E92/E327, "NA")</f>
      </c>
      <c r="G92" s="15"/>
      <c r="H92" s="13">
        <v>0</v>
      </c>
      <c r="I92" s="14">
        <f>IFERROR(H92/H327, "NA")</f>
      </c>
      <c r="J92" s="15"/>
      <c r="K92" s="13">
        <v>0</v>
      </c>
      <c r="L92" s="14">
        <f>IFERROR(K92/K327, "NA")</f>
      </c>
      <c r="M92" s="15"/>
      <c r="N92" s="13">
        <v>0</v>
      </c>
      <c r="O92" s="14">
        <f>IFERROR(N92/N327, "NA")</f>
      </c>
    </row>
    <row r="93" ht="16.5" customHeight="1">
      <c t="s" r="A93" s="22">
        <v>96</v>
      </c>
      <c r="B93" s="13">
        <v>0</v>
      </c>
      <c r="C93" s="14">
        <f>IFERROR(B93/B327, "NA")</f>
      </c>
      <c r="D93" s="15"/>
      <c r="E93" s="13">
        <v>0</v>
      </c>
      <c r="F93" s="14">
        <f>IFERROR(E93/E327, "NA")</f>
      </c>
      <c r="G93" s="15"/>
      <c r="H93" s="13">
        <v>0</v>
      </c>
      <c r="I93" s="14">
        <f>IFERROR(H93/H327, "NA")</f>
      </c>
      <c r="J93" s="15"/>
      <c r="K93" s="13">
        <v>0</v>
      </c>
      <c r="L93" s="14">
        <f>IFERROR(K93/K327, "NA")</f>
      </c>
      <c r="M93" s="15"/>
      <c r="N93" s="13">
        <v>0</v>
      </c>
      <c r="O93" s="14">
        <f>IFERROR(N93/N327, "NA")</f>
      </c>
    </row>
    <row r="94" ht="16.5" customHeight="1">
      <c t="s" r="A94" s="22">
        <v>97</v>
      </c>
      <c r="B94" s="13">
        <v>0</v>
      </c>
      <c r="C94" s="14">
        <f>IFERROR(B94/B327, "NA")</f>
      </c>
      <c r="D94" s="15"/>
      <c r="E94" s="13">
        <v>0</v>
      </c>
      <c r="F94" s="14">
        <f>IFERROR(E94/E327, "NA")</f>
      </c>
      <c r="G94" s="15"/>
      <c r="H94" s="13">
        <v>0</v>
      </c>
      <c r="I94" s="14">
        <f>IFERROR(H94/H327, "NA")</f>
      </c>
      <c r="J94" s="15"/>
      <c r="K94" s="13">
        <v>0</v>
      </c>
      <c r="L94" s="14">
        <f>IFERROR(K94/K327, "NA")</f>
      </c>
      <c r="M94" s="15"/>
      <c r="N94" s="13">
        <v>0</v>
      </c>
      <c r="O94" s="14">
        <f>IFERROR(N94/N327, "NA")</f>
      </c>
    </row>
    <row r="95" ht="16.5" customHeight="1">
      <c t="s" r="A95" s="22">
        <v>98</v>
      </c>
      <c r="B95" s="13">
        <v>0</v>
      </c>
      <c r="C95" s="14">
        <f>IFERROR(B95/B327, "NA")</f>
      </c>
      <c r="D95" s="15"/>
      <c r="E95" s="13">
        <v>0</v>
      </c>
      <c r="F95" s="14">
        <f>IFERROR(E95/E327, "NA")</f>
      </c>
      <c r="G95" s="15"/>
      <c r="H95" s="13">
        <v>0</v>
      </c>
      <c r="I95" s="14">
        <f>IFERROR(H95/H327, "NA")</f>
      </c>
      <c r="J95" s="15"/>
      <c r="K95" s="13">
        <v>0</v>
      </c>
      <c r="L95" s="14">
        <f>IFERROR(K95/K327, "NA")</f>
      </c>
      <c r="M95" s="15"/>
      <c r="N95" s="13">
        <v>0</v>
      </c>
      <c r="O95" s="14">
        <f>IFERROR(N95/N327, "NA")</f>
      </c>
    </row>
    <row r="96" ht="16.5" customHeight="1">
      <c t="s" r="A96" s="22">
        <v>99</v>
      </c>
      <c r="B96" s="13">
        <v>0</v>
      </c>
      <c r="C96" s="14">
        <f>IFERROR(B96/B327, "NA")</f>
      </c>
      <c r="D96" s="15"/>
      <c r="E96" s="13">
        <v>0</v>
      </c>
      <c r="F96" s="14">
        <f>IFERROR(E96/E327, "NA")</f>
      </c>
      <c r="G96" s="15"/>
      <c r="H96" s="13">
        <v>0</v>
      </c>
      <c r="I96" s="14">
        <f>IFERROR(H96/H327, "NA")</f>
      </c>
      <c r="J96" s="15"/>
      <c r="K96" s="13">
        <v>0</v>
      </c>
      <c r="L96" s="14">
        <f>IFERROR(K96/K327, "NA")</f>
      </c>
      <c r="M96" s="15"/>
      <c r="N96" s="13">
        <v>0</v>
      </c>
      <c r="O96" s="14">
        <f>IFERROR(N96/N327, "NA")</f>
      </c>
    </row>
    <row r="97" ht="16.5" customHeight="1">
      <c t="s" r="A97" s="22">
        <v>100</v>
      </c>
      <c r="B97" s="13">
        <v>886.48000000000002</v>
      </c>
      <c r="C97" s="14">
        <f>IFERROR(B97/B327, "NA")</f>
      </c>
      <c r="D97" s="15"/>
      <c r="E97" s="13">
        <v>1827.3099999999999</v>
      </c>
      <c r="F97" s="14">
        <f>IFERROR(E97/E327, "NA")</f>
      </c>
      <c r="G97" s="15"/>
      <c r="H97" s="13">
        <v>2230.1900000000001</v>
      </c>
      <c r="I97" s="14">
        <f>IFERROR(H97/H327, "NA")</f>
      </c>
      <c r="J97" s="15"/>
      <c r="K97" s="13">
        <v>2244.0599999999999</v>
      </c>
      <c r="L97" s="14">
        <f>IFERROR(K97/K327, "NA")</f>
      </c>
      <c r="M97" s="15"/>
      <c r="N97" s="13">
        <v>2318.5700000000002</v>
      </c>
      <c r="O97" s="14">
        <f>IFERROR(N97/N327, "NA")</f>
      </c>
    </row>
    <row r="98" ht="16.5" customHeight="1">
      <c t="s" r="A98" s="22">
        <v>101</v>
      </c>
      <c r="B98" s="13">
        <v>600</v>
      </c>
      <c r="C98" s="14">
        <f>IFERROR(B98/B327, "NA")</f>
      </c>
      <c r="D98" s="15"/>
      <c r="E98" s="13">
        <v>614</v>
      </c>
      <c r="F98" s="14">
        <f>IFERROR(E98/E327, "NA")</f>
      </c>
      <c r="G98" s="15"/>
      <c r="H98" s="13">
        <v>979</v>
      </c>
      <c r="I98" s="14">
        <f>IFERROR(H98/H327, "NA")</f>
      </c>
      <c r="J98" s="15"/>
      <c r="K98" s="13">
        <v>1119</v>
      </c>
      <c r="L98" s="14">
        <f>IFERROR(K98/K327, "NA")</f>
      </c>
      <c r="M98" s="15"/>
      <c r="N98" s="13">
        <v>713</v>
      </c>
      <c r="O98" s="14">
        <f>IFERROR(N98/N327, "NA")</f>
      </c>
    </row>
    <row r="99" ht="16.5" customHeight="1">
      <c t="s" r="A99" s="22">
        <v>102</v>
      </c>
      <c r="B99" s="13">
        <v>0</v>
      </c>
      <c r="C99" s="14">
        <f>IFERROR(B99/B327, "NA")</f>
      </c>
      <c r="D99" s="15"/>
      <c r="E99" s="13">
        <v>0</v>
      </c>
      <c r="F99" s="14">
        <f>IFERROR(E99/E327, "NA")</f>
      </c>
      <c r="G99" s="15"/>
      <c r="H99" s="13">
        <v>0</v>
      </c>
      <c r="I99" s="14">
        <f>IFERROR(H99/H327, "NA")</f>
      </c>
      <c r="J99" s="15"/>
      <c r="K99" s="13">
        <v>0</v>
      </c>
      <c r="L99" s="14">
        <f>IFERROR(K99/K327, "NA")</f>
      </c>
      <c r="M99" s="15"/>
      <c r="N99" s="13">
        <v>0</v>
      </c>
      <c r="O99" s="14">
        <f>IFERROR(N99/N327, "NA")</f>
      </c>
    </row>
    <row r="100" ht="16.5" customHeight="1">
      <c t="s" r="A100" s="22">
        <v>103</v>
      </c>
      <c r="B100" s="13">
        <v>0</v>
      </c>
      <c r="C100" s="14">
        <f>IFERROR(B100/B327, "NA")</f>
      </c>
      <c r="D100" s="15"/>
      <c r="E100" s="13">
        <v>0</v>
      </c>
      <c r="F100" s="14">
        <f>IFERROR(E100/E327, "NA")</f>
      </c>
      <c r="G100" s="15"/>
      <c r="H100" s="13">
        <v>0</v>
      </c>
      <c r="I100" s="14">
        <f>IFERROR(H100/H327, "NA")</f>
      </c>
      <c r="J100" s="15"/>
      <c r="K100" s="13">
        <v>0</v>
      </c>
      <c r="L100" s="14">
        <f>IFERROR(K100/K327, "NA")</f>
      </c>
      <c r="M100" s="15"/>
      <c r="N100" s="13">
        <v>0</v>
      </c>
      <c r="O100" s="14">
        <f>IFERROR(N100/N327, "NA")</f>
      </c>
    </row>
    <row r="101" ht="16.5" customHeight="1">
      <c t="s" r="A101" s="22">
        <v>104</v>
      </c>
      <c r="B101" s="13">
        <v>0</v>
      </c>
      <c r="C101" s="14">
        <f>IFERROR(B101/B327, "NA")</f>
      </c>
      <c r="D101" s="15"/>
      <c r="E101" s="13">
        <v>0</v>
      </c>
      <c r="F101" s="14">
        <f>IFERROR(E101/E327, "NA")</f>
      </c>
      <c r="G101" s="15"/>
      <c r="H101" s="13">
        <v>0</v>
      </c>
      <c r="I101" s="14">
        <f>IFERROR(H101/H327, "NA")</f>
      </c>
      <c r="J101" s="15"/>
      <c r="K101" s="13">
        <v>0</v>
      </c>
      <c r="L101" s="14">
        <f>IFERROR(K101/K327, "NA")</f>
      </c>
      <c r="M101" s="15"/>
      <c r="N101" s="13">
        <v>0</v>
      </c>
      <c r="O101" s="14">
        <f>IFERROR(N101/N327, "NA")</f>
      </c>
    </row>
    <row r="102" ht="16.5" customHeight="1">
      <c t="s" r="A102" s="22">
        <v>105</v>
      </c>
      <c r="B102" s="13">
        <v>0</v>
      </c>
      <c r="C102" s="14">
        <f>IFERROR(B102/B327, "NA")</f>
      </c>
      <c r="D102" s="15"/>
      <c r="E102" s="13">
        <v>0</v>
      </c>
      <c r="F102" s="14">
        <f>IFERROR(E102/E327, "NA")</f>
      </c>
      <c r="G102" s="15"/>
      <c r="H102" s="13">
        <v>0</v>
      </c>
      <c r="I102" s="14">
        <f>IFERROR(H102/H327, "NA")</f>
      </c>
      <c r="J102" s="15"/>
      <c r="K102" s="13">
        <v>0</v>
      </c>
      <c r="L102" s="14">
        <f>IFERROR(K102/K327, "NA")</f>
      </c>
      <c r="M102" s="15"/>
      <c r="N102" s="13">
        <v>0</v>
      </c>
      <c r="O102" s="14">
        <f>IFERROR(N102/N327, "NA")</f>
      </c>
    </row>
    <row r="103" ht="16.5" customHeight="1">
      <c t="s" r="A103" s="22">
        <v>106</v>
      </c>
      <c r="B103" s="13">
        <v>0</v>
      </c>
      <c r="C103" s="14">
        <f>IFERROR(B103/B327, "NA")</f>
      </c>
      <c r="D103" s="15"/>
      <c r="E103" s="13">
        <v>0</v>
      </c>
      <c r="F103" s="14">
        <f>IFERROR(E103/E327, "NA")</f>
      </c>
      <c r="G103" s="15"/>
      <c r="H103" s="13">
        <v>0</v>
      </c>
      <c r="I103" s="14">
        <f>IFERROR(H103/H327, "NA")</f>
      </c>
      <c r="J103" s="15"/>
      <c r="K103" s="13">
        <v>0</v>
      </c>
      <c r="L103" s="14">
        <f>IFERROR(K103/K327, "NA")</f>
      </c>
      <c r="M103" s="15"/>
      <c r="N103" s="13">
        <v>0</v>
      </c>
      <c r="O103" s="14">
        <f>IFERROR(N103/N327, "NA")</f>
      </c>
    </row>
    <row r="104" ht="16.5" customHeight="1">
      <c t="s" r="A104" s="22">
        <v>107</v>
      </c>
      <c r="B104" s="13">
        <v>0</v>
      </c>
      <c r="C104" s="14">
        <f>IFERROR(B104/B327, "NA")</f>
      </c>
      <c r="D104" s="15"/>
      <c r="E104" s="13">
        <v>0</v>
      </c>
      <c r="F104" s="14">
        <f>IFERROR(E104/E327, "NA")</f>
      </c>
      <c r="G104" s="15"/>
      <c r="H104" s="13">
        <v>0</v>
      </c>
      <c r="I104" s="14">
        <f>IFERROR(H104/H327, "NA")</f>
      </c>
      <c r="J104" s="15"/>
      <c r="K104" s="13">
        <v>0</v>
      </c>
      <c r="L104" s="14">
        <f>IFERROR(K104/K327, "NA")</f>
      </c>
      <c r="M104" s="15"/>
      <c r="N104" s="13">
        <v>0</v>
      </c>
      <c r="O104" s="14">
        <f>IFERROR(N104/N327, "NA")</f>
      </c>
    </row>
    <row r="105" ht="16.5" customHeight="1">
      <c t="s" r="A105" s="22">
        <v>108</v>
      </c>
      <c r="B105" s="13">
        <v>0</v>
      </c>
      <c r="C105" s="14">
        <f>IFERROR(B105/B327, "NA")</f>
      </c>
      <c r="D105" s="15"/>
      <c r="E105" s="13">
        <v>0</v>
      </c>
      <c r="F105" s="14">
        <f>IFERROR(E105/E327, "NA")</f>
      </c>
      <c r="G105" s="15"/>
      <c r="H105" s="13">
        <v>0</v>
      </c>
      <c r="I105" s="14">
        <f>IFERROR(H105/H327, "NA")</f>
      </c>
      <c r="J105" s="15"/>
      <c r="K105" s="13">
        <v>0</v>
      </c>
      <c r="L105" s="14">
        <f>IFERROR(K105/K327, "NA")</f>
      </c>
      <c r="M105" s="15"/>
      <c r="N105" s="13">
        <v>0</v>
      </c>
      <c r="O105" s="14">
        <f>IFERROR(N105/N327, "NA")</f>
      </c>
    </row>
    <row r="106" ht="16.5" customHeight="1">
      <c t="s" r="A106" s="22">
        <v>109</v>
      </c>
      <c r="B106" s="13">
        <v>0</v>
      </c>
      <c r="C106" s="14">
        <f>IFERROR(B106/B327, "NA")</f>
      </c>
      <c r="D106" s="15"/>
      <c r="E106" s="13">
        <v>0</v>
      </c>
      <c r="F106" s="14">
        <f>IFERROR(E106/E327, "NA")</f>
      </c>
      <c r="G106" s="15"/>
      <c r="H106" s="13">
        <v>0</v>
      </c>
      <c r="I106" s="14">
        <f>IFERROR(H106/H327, "NA")</f>
      </c>
      <c r="J106" s="15"/>
      <c r="K106" s="13">
        <v>0</v>
      </c>
      <c r="L106" s="14">
        <f>IFERROR(K106/K327, "NA")</f>
      </c>
      <c r="M106" s="15"/>
      <c r="N106" s="13">
        <v>0</v>
      </c>
      <c r="O106" s="14">
        <f>IFERROR(N106/N327, "NA")</f>
      </c>
    </row>
    <row r="107" ht="16.5" customHeight="1">
      <c t="s" r="A107" s="22">
        <v>110</v>
      </c>
      <c r="B107" s="13">
        <v>0</v>
      </c>
      <c r="C107" s="14">
        <f>IFERROR(B107/B327, "NA")</f>
      </c>
      <c r="D107" s="15"/>
      <c r="E107" s="13">
        <v>0</v>
      </c>
      <c r="F107" s="14">
        <f>IFERROR(E107/E327, "NA")</f>
      </c>
      <c r="G107" s="15"/>
      <c r="H107" s="13">
        <v>0</v>
      </c>
      <c r="I107" s="14">
        <f>IFERROR(H107/H327, "NA")</f>
      </c>
      <c r="J107" s="15"/>
      <c r="K107" s="13">
        <v>0</v>
      </c>
      <c r="L107" s="14">
        <f>IFERROR(K107/K327, "NA")</f>
      </c>
      <c r="M107" s="15"/>
      <c r="N107" s="13">
        <v>0</v>
      </c>
      <c r="O107" s="14">
        <f>IFERROR(N107/N327, "NA")</f>
      </c>
    </row>
    <row r="108" ht="16.5" customHeight="1">
      <c t="s" r="A108" s="22">
        <v>111</v>
      </c>
      <c r="B108" s="13">
        <v>0</v>
      </c>
      <c r="C108" s="14">
        <f>IFERROR(B108/B327, "NA")</f>
      </c>
      <c r="D108" s="15"/>
      <c r="E108" s="13">
        <v>0</v>
      </c>
      <c r="F108" s="14">
        <f>IFERROR(E108/E327, "NA")</f>
      </c>
      <c r="G108" s="15"/>
      <c r="H108" s="13">
        <v>0</v>
      </c>
      <c r="I108" s="14">
        <f>IFERROR(H108/H327, "NA")</f>
      </c>
      <c r="J108" s="15"/>
      <c r="K108" s="13">
        <v>0</v>
      </c>
      <c r="L108" s="14">
        <f>IFERROR(K108/K327, "NA")</f>
      </c>
      <c r="M108" s="15"/>
      <c r="N108" s="13">
        <v>0</v>
      </c>
      <c r="O108" s="14">
        <f>IFERROR(N108/N327, "NA")</f>
      </c>
    </row>
    <row r="109" ht="16.5" customHeight="1">
      <c t="s" r="A109" s="22">
        <v>112</v>
      </c>
      <c r="B109" s="13">
        <v>0</v>
      </c>
      <c r="C109" s="14">
        <f>IFERROR(B109/B327, "NA")</f>
      </c>
      <c r="D109" s="15"/>
      <c r="E109" s="13">
        <v>0</v>
      </c>
      <c r="F109" s="14">
        <f>IFERROR(E109/E327, "NA")</f>
      </c>
      <c r="G109" s="15"/>
      <c r="H109" s="13">
        <v>0</v>
      </c>
      <c r="I109" s="14">
        <f>IFERROR(H109/H327, "NA")</f>
      </c>
      <c r="J109" s="15"/>
      <c r="K109" s="13">
        <v>0</v>
      </c>
      <c r="L109" s="14">
        <f>IFERROR(K109/K327, "NA")</f>
      </c>
      <c r="M109" s="15"/>
      <c r="N109" s="13">
        <v>0</v>
      </c>
      <c r="O109" s="14">
        <f>IFERROR(N109/N327, "NA")</f>
      </c>
    </row>
    <row r="110" ht="16.5" customHeight="1">
      <c t="s" r="A110" s="22">
        <v>113</v>
      </c>
      <c r="B110" s="13">
        <v>446.44999999999999</v>
      </c>
      <c r="C110" s="14">
        <f>IFERROR(B110/B327, "NA")</f>
      </c>
      <c r="D110" s="15"/>
      <c r="E110" s="13">
        <v>882.26999999999998</v>
      </c>
      <c r="F110" s="14">
        <f>IFERROR(E110/E327, "NA")</f>
      </c>
      <c r="G110" s="15"/>
      <c r="H110" s="13">
        <v>1002.9299999999999</v>
      </c>
      <c r="I110" s="14">
        <f>IFERROR(H110/H327, "NA")</f>
      </c>
      <c r="J110" s="15"/>
      <c r="K110" s="13">
        <v>985.21000000000004</v>
      </c>
      <c r="L110" s="14">
        <f>IFERROR(K110/K327, "NA")</f>
      </c>
      <c r="M110" s="15"/>
      <c r="N110" s="13">
        <v>770.80999999999995</v>
      </c>
      <c r="O110" s="14">
        <f>IFERROR(N110/N327, "NA")</f>
      </c>
    </row>
    <row r="111" ht="16.5" customHeight="1">
      <c t="s" r="A111" s="22">
        <v>114</v>
      </c>
      <c r="B111" s="13">
        <v>0</v>
      </c>
      <c r="C111" s="14">
        <f>IFERROR(B111/B327, "NA")</f>
      </c>
      <c r="D111" s="15"/>
      <c r="E111" s="13">
        <v>0</v>
      </c>
      <c r="F111" s="14">
        <f>IFERROR(E111/E327, "NA")</f>
      </c>
      <c r="G111" s="15"/>
      <c r="H111" s="13">
        <v>0</v>
      </c>
      <c r="I111" s="14">
        <f>IFERROR(H111/H327, "NA")</f>
      </c>
      <c r="J111" s="15"/>
      <c r="K111" s="13">
        <v>0</v>
      </c>
      <c r="L111" s="14">
        <f>IFERROR(K111/K327, "NA")</f>
      </c>
      <c r="M111" s="15"/>
      <c r="N111" s="13">
        <v>0</v>
      </c>
      <c r="O111" s="14">
        <f>IFERROR(N111/N327, "NA")</f>
      </c>
    </row>
    <row r="112" ht="16.5" customHeight="1">
      <c t="s" r="A112" s="22">
        <v>115</v>
      </c>
      <c r="B112" s="13">
        <v>533.13</v>
      </c>
      <c r="C112" s="14">
        <f>IFERROR(B112/B327, "NA")</f>
      </c>
      <c r="D112" s="15"/>
      <c r="E112" s="13">
        <v>1078.6199999999999</v>
      </c>
      <c r="F112" s="14">
        <f>IFERROR(E112/E327, "NA")</f>
      </c>
      <c r="G112" s="15"/>
      <c r="H112" s="13">
        <v>761.12</v>
      </c>
      <c r="I112" s="14">
        <f>IFERROR(H112/H327, "NA")</f>
      </c>
      <c r="J112" s="15"/>
      <c r="K112" s="13">
        <v>879.59000000000003</v>
      </c>
      <c r="L112" s="14">
        <f>IFERROR(K112/K327, "NA")</f>
      </c>
      <c r="M112" s="15"/>
      <c r="N112" s="13">
        <v>701.95000000000005</v>
      </c>
      <c r="O112" s="14">
        <f>IFERROR(N112/N327, "NA")</f>
      </c>
    </row>
    <row r="113" ht="16.5" customHeight="1">
      <c t="s" r="A113" s="22">
        <v>116</v>
      </c>
      <c r="B113" s="13">
        <v>0</v>
      </c>
      <c r="C113" s="14">
        <f>IFERROR(B113/B327, "NA")</f>
      </c>
      <c r="D113" s="15"/>
      <c r="E113" s="13">
        <v>0</v>
      </c>
      <c r="F113" s="14">
        <f>IFERROR(E113/E327, "NA")</f>
      </c>
      <c r="G113" s="15"/>
      <c r="H113" s="13">
        <v>0</v>
      </c>
      <c r="I113" s="14">
        <f>IFERROR(H113/H327, "NA")</f>
      </c>
      <c r="J113" s="15"/>
      <c r="K113" s="13">
        <v>0</v>
      </c>
      <c r="L113" s="14">
        <f>IFERROR(K113/K327, "NA")</f>
      </c>
      <c r="M113" s="15"/>
      <c r="N113" s="13">
        <v>0</v>
      </c>
      <c r="O113" s="14">
        <f>IFERROR(N113/N327, "NA")</f>
      </c>
    </row>
    <row r="114" ht="16.5" customHeight="1">
      <c t="s" r="A114" s="22">
        <v>117</v>
      </c>
      <c r="B114" s="13">
        <v>321.75</v>
      </c>
      <c r="C114" s="14">
        <f>IFERROR(B114/B327, "NA")</f>
      </c>
      <c r="D114" s="15"/>
      <c r="E114" s="13">
        <v>0</v>
      </c>
      <c r="F114" s="14">
        <f>IFERROR(E114/E327, "NA")</f>
      </c>
      <c r="G114" s="15"/>
      <c r="H114" s="13">
        <v>187.06</v>
      </c>
      <c r="I114" s="14">
        <f>IFERROR(H114/H327, "NA")</f>
      </c>
      <c r="J114" s="15"/>
      <c r="K114" s="13">
        <v>0</v>
      </c>
      <c r="L114" s="14">
        <f>IFERROR(K114/K327, "NA")</f>
      </c>
      <c r="M114" s="15"/>
      <c r="N114" s="13">
        <v>0</v>
      </c>
      <c r="O114" s="14">
        <f>IFERROR(N114/N327, "NA")</f>
      </c>
    </row>
    <row r="115" ht="16.5" customHeight="1">
      <c t="s" r="A115" s="22">
        <v>118</v>
      </c>
      <c r="B115" s="13">
        <v>0</v>
      </c>
      <c r="C115" s="14">
        <f>IFERROR(B115/B327, "NA")</f>
      </c>
      <c r="D115" s="15"/>
      <c r="E115" s="13">
        <v>0</v>
      </c>
      <c r="F115" s="14">
        <f>IFERROR(E115/E327, "NA")</f>
      </c>
      <c r="G115" s="15"/>
      <c r="H115" s="13">
        <v>0</v>
      </c>
      <c r="I115" s="14">
        <f>IFERROR(H115/H327, "NA")</f>
      </c>
      <c r="J115" s="15"/>
      <c r="K115" s="13">
        <v>0</v>
      </c>
      <c r="L115" s="14">
        <f>IFERROR(K115/K327, "NA")</f>
      </c>
      <c r="M115" s="15"/>
      <c r="N115" s="13">
        <v>0</v>
      </c>
      <c r="O115" s="14">
        <f>IFERROR(N115/N327, "NA")</f>
      </c>
    </row>
    <row r="116" ht="16.5" customHeight="1">
      <c t="s" r="A116" s="22">
        <v>119</v>
      </c>
      <c r="B116" s="13">
        <v>0</v>
      </c>
      <c r="C116" s="14">
        <f>IFERROR(B116/B327, "NA")</f>
      </c>
      <c r="D116" s="15"/>
      <c r="E116" s="13">
        <v>0</v>
      </c>
      <c r="F116" s="14">
        <f>IFERROR(E116/E327, "NA")</f>
      </c>
      <c r="G116" s="15"/>
      <c r="H116" s="13">
        <v>0</v>
      </c>
      <c r="I116" s="14">
        <f>IFERROR(H116/H327, "NA")</f>
      </c>
      <c r="J116" s="15"/>
      <c r="K116" s="13">
        <v>0</v>
      </c>
      <c r="L116" s="14">
        <f>IFERROR(K116/K327, "NA")</f>
      </c>
      <c r="M116" s="15"/>
      <c r="N116" s="13">
        <v>0</v>
      </c>
      <c r="O116" s="14">
        <f>IFERROR(N116/N327, "NA")</f>
      </c>
    </row>
    <row r="117" ht="16.5" customHeight="1">
      <c t="s" r="A117" s="22">
        <v>120</v>
      </c>
      <c r="B117" s="13">
        <v>0</v>
      </c>
      <c r="C117" s="14">
        <f>IFERROR(B117/B327, "NA")</f>
      </c>
      <c r="D117" s="15"/>
      <c r="E117" s="13">
        <v>0</v>
      </c>
      <c r="F117" s="14">
        <f>IFERROR(E117/E327, "NA")</f>
      </c>
      <c r="G117" s="15"/>
      <c r="H117" s="13">
        <v>0</v>
      </c>
      <c r="I117" s="14">
        <f>IFERROR(H117/H327, "NA")</f>
      </c>
      <c r="J117" s="15"/>
      <c r="K117" s="13">
        <v>0</v>
      </c>
      <c r="L117" s="14">
        <f>IFERROR(K117/K327, "NA")</f>
      </c>
      <c r="M117" s="15"/>
      <c r="N117" s="13">
        <v>0</v>
      </c>
      <c r="O117" s="14">
        <f>IFERROR(N117/N327, "NA")</f>
      </c>
    </row>
    <row r="118" ht="16.5" customHeight="1">
      <c t="s" r="A118" s="22">
        <v>121</v>
      </c>
      <c r="B118" s="13">
        <v>9537.2199999999993</v>
      </c>
      <c r="C118" s="14">
        <f>IFERROR(B118/B327, "NA")</f>
      </c>
      <c r="D118" s="15"/>
      <c r="E118" s="13">
        <v>0</v>
      </c>
      <c r="F118" s="14">
        <f>IFERROR(E118/E327, "NA")</f>
      </c>
      <c r="G118" s="15"/>
      <c r="H118" s="13">
        <v>6368.9899999999998</v>
      </c>
      <c r="I118" s="14">
        <f>IFERROR(H118/H327, "NA")</f>
      </c>
      <c r="J118" s="15"/>
      <c r="K118" s="13">
        <v>0</v>
      </c>
      <c r="L118" s="14">
        <f>IFERROR(K118/K327, "NA")</f>
      </c>
      <c r="M118" s="15"/>
      <c r="N118" s="13">
        <v>0</v>
      </c>
      <c r="O118" s="14">
        <f>IFERROR(N118/N327, "NA")</f>
      </c>
    </row>
    <row r="119" ht="16.5" customHeight="1">
      <c t="s" r="A119" s="23">
        <v>122</v>
      </c>
      <c r="B119" s="17">
        <f>IFERROR(B84+B85+B86+B87+B88+B89+B90+B91+B92+B93+B94+B95+B96+B97+B98+B99+B100+B101+B102+B103+B104+B105+B106+B107+B108+B109+B110+B111+B112+B113+B114+B115+B116+B117+B118, "NA")</f>
      </c>
      <c r="C119" s="18">
        <f>IFERROR(B119/B327, "NA")</f>
      </c>
      <c r="D119" s="8"/>
      <c r="E119" s="17">
        <f>IFERROR(E84+E85+E86+E87+E88+E89+E90+E91+E92+E93+E94+E95+E96+E97+E98+E99+E100+E101+E102+E103+E104+E105+E106+E107+E108+E109+E110+E111+E112+E113+E114+E115+E116+E117+E118, "NA")</f>
      </c>
      <c r="F119" s="18">
        <f>IFERROR(E119/E327, "NA")</f>
      </c>
      <c r="G119" s="8"/>
      <c r="H119" s="17">
        <f>IFERROR(H84+H85+H86+H87+H88+H89+H90+H91+H92+H93+H94+H95+H96+H97+H98+H99+H100+H101+H102+H103+H104+H105+H106+H107+H108+H109+H110+H111+H112+H113+H114+H115+H116+H117+H118, "NA")</f>
      </c>
      <c r="I119" s="18">
        <f>IFERROR(H119/H327, "NA")</f>
      </c>
      <c r="J119" s="8"/>
      <c r="K119" s="17">
        <f>IFERROR(K84+K85+K86+K87+K88+K89+K90+K91+K92+K93+K94+K95+K96+K97+K98+K99+K100+K101+K102+K103+K104+K105+K106+K107+K108+K109+K110+K111+K112+K113+K114+K115+K116+K117+K118, "NA")</f>
      </c>
      <c r="L119" s="18">
        <f>IFERROR(K119/K327, "NA")</f>
      </c>
      <c r="M119" s="8"/>
      <c r="N119" s="17">
        <f>IFERROR(N84+N85+N86+N87+N88+N89+N90+N91+N92+N93+N94+N95+N96+N97+N98+N99+N100+N101+N102+N103+N104+N105+N106+N107+N108+N109+N110+N111+N112+N113+N114+N115+N116+N117+N118, "NA")</f>
      </c>
      <c r="O119" s="18">
        <f>IFERROR(N119/N327, "NA")</f>
      </c>
    </row>
    <row r="120" ht="16.5" customHeight="1">
      <c t="s" r="A120" s="16">
        <v>123</v>
      </c>
      <c r="B120" s="17">
        <f>IFERROR(B82+B84+B85+B86+B87+B88+B89+B90+B91+B92+B93+B94+B95+B96+B97+B98+B99+B100+B101+B102+B103+B104+B105+B106+B107+B108+B109+B110+B111+B112+B113+B114+B115+B116+B117+B118, "NA")</f>
      </c>
      <c r="C120" s="18">
        <f>IFERROR(B120/B327, "NA")</f>
      </c>
      <c r="D120" s="8"/>
      <c r="E120" s="17">
        <f>IFERROR(E82+E84+E85+E86+E87+E88+E89+E90+E91+E92+E93+E94+E95+E96+E97+E98+E99+E100+E101+E102+E103+E104+E105+E106+E107+E108+E109+E110+E111+E112+E113+E114+E115+E116+E117+E118, "NA")</f>
      </c>
      <c r="F120" s="18">
        <f>IFERROR(E120/E327, "NA")</f>
      </c>
      <c r="G120" s="8"/>
      <c r="H120" s="17">
        <f>IFERROR(H82+H84+H85+H86+H87+H88+H89+H90+H91+H92+H93+H94+H95+H96+H97+H98+H99+H100+H101+H102+H103+H104+H105+H106+H107+H108+H109+H110+H111+H112+H113+H114+H115+H116+H117+H118, "NA")</f>
      </c>
      <c r="I120" s="18">
        <f>IFERROR(H120/H327, "NA")</f>
      </c>
      <c r="J120" s="8"/>
      <c r="K120" s="17">
        <f>IFERROR(K82+K84+K85+K86+K87+K88+K89+K90+K91+K92+K93+K94+K95+K96+K97+K98+K99+K100+K101+K102+K103+K104+K105+K106+K107+K108+K109+K110+K111+K112+K113+K114+K115+K116+K117+K118, "NA")</f>
      </c>
      <c r="L120" s="18">
        <f>IFERROR(K120/K327, "NA")</f>
      </c>
      <c r="M120" s="8"/>
      <c r="N120" s="17">
        <f>IFERROR(N82+N84+N85+N86+N87+N88+N89+N90+N91+N92+N93+N94+N95+N96+N97+N98+N99+N100+N101+N102+N103+N104+N105+N106+N107+N108+N109+N110+N111+N112+N113+N114+N115+N116+N117+N118, "NA")</f>
      </c>
      <c r="O120" s="18">
        <f>IFERROR(N120/N327, "NA")</f>
      </c>
    </row>
    <row r="121" ht="16.5" customHeight="1">
      <c t="s" r="A121" s="11">
        <v>124</v>
      </c>
      <c r="B121" s="8"/>
      <c r="C121" s="9"/>
      <c r="D121" s="10"/>
      <c r="E121" s="8"/>
      <c r="F121" s="9"/>
      <c r="G121" s="10"/>
      <c r="H121" s="8"/>
      <c r="I121" s="9"/>
      <c r="J121" s="10"/>
      <c r="K121" s="8"/>
      <c r="L121" s="9"/>
      <c r="M121" s="10"/>
      <c r="N121" s="8"/>
      <c r="O121" s="9"/>
    </row>
    <row r="122" ht="16.5" customHeight="1">
      <c t="s" r="A122" s="12">
        <v>125</v>
      </c>
      <c r="B122" s="13">
        <v>0</v>
      </c>
      <c r="C122" s="14">
        <f>IFERROR(B122/B327, "NA")</f>
      </c>
      <c r="D122" s="15"/>
      <c r="E122" s="13">
        <v>0</v>
      </c>
      <c r="F122" s="14">
        <f>IFERROR(E122/E327, "NA")</f>
      </c>
      <c r="G122" s="15"/>
      <c r="H122" s="13">
        <v>0</v>
      </c>
      <c r="I122" s="14">
        <f>IFERROR(H122/H327, "NA")</f>
      </c>
      <c r="J122" s="15"/>
      <c r="K122" s="13">
        <v>0</v>
      </c>
      <c r="L122" s="14">
        <f>IFERROR(K122/K327, "NA")</f>
      </c>
      <c r="M122" s="15"/>
      <c r="N122" s="13">
        <v>0</v>
      </c>
      <c r="O122" s="14">
        <f>IFERROR(N122/N327, "NA")</f>
      </c>
    </row>
    <row r="123" ht="16.5" customHeight="1">
      <c t="s" r="A123" s="12">
        <v>126</v>
      </c>
      <c r="B123" s="13">
        <v>5384.6199999999999</v>
      </c>
      <c r="C123" s="14">
        <f>IFERROR(B123/B327, "NA")</f>
      </c>
      <c r="D123" s="15"/>
      <c r="E123" s="13">
        <v>7134.6300000000001</v>
      </c>
      <c r="F123" s="14">
        <f>IFERROR(E123/E327, "NA")</f>
      </c>
      <c r="G123" s="15"/>
      <c r="H123" s="13">
        <v>2692.3099999999999</v>
      </c>
      <c r="I123" s="14">
        <f>IFERROR(H123/H327, "NA")</f>
      </c>
      <c r="J123" s="15"/>
      <c r="K123" s="13">
        <v>2692.3099999999999</v>
      </c>
      <c r="L123" s="14">
        <f>IFERROR(K123/K327, "NA")</f>
      </c>
      <c r="M123" s="15"/>
      <c r="N123" s="13">
        <v>-2692.3099999999999</v>
      </c>
      <c r="O123" s="14">
        <f>IFERROR(N123/N327, "NA")</f>
      </c>
    </row>
    <row r="124" ht="16.5" customHeight="1">
      <c t="s" r="A124" s="12">
        <v>127</v>
      </c>
      <c r="B124" s="13">
        <v>0</v>
      </c>
      <c r="C124" s="14">
        <f>IFERROR(B124/B327, "NA")</f>
      </c>
      <c r="D124" s="15"/>
      <c r="E124" s="13">
        <v>0</v>
      </c>
      <c r="F124" s="14">
        <f>IFERROR(E124/E327, "NA")</f>
      </c>
      <c r="G124" s="15"/>
      <c r="H124" s="13">
        <v>0</v>
      </c>
      <c r="I124" s="14">
        <f>IFERROR(H124/H327, "NA")</f>
      </c>
      <c r="J124" s="15"/>
      <c r="K124" s="13">
        <v>4442.3199999999997</v>
      </c>
      <c r="L124" s="14">
        <f>IFERROR(K124/K327, "NA")</f>
      </c>
      <c r="M124" s="15"/>
      <c r="N124" s="13">
        <v>0</v>
      </c>
      <c r="O124" s="14">
        <f>IFERROR(N124/N327, "NA")</f>
      </c>
    </row>
    <row r="125" ht="30.75" customHeight="1">
      <c t="s" r="A125" s="12">
        <v>128</v>
      </c>
      <c r="B125" s="13">
        <v>0</v>
      </c>
      <c r="C125" s="14">
        <f>IFERROR(B125/B327, "NA")</f>
      </c>
      <c r="D125" s="15"/>
      <c r="E125" s="13">
        <v>0</v>
      </c>
      <c r="F125" s="14">
        <f>IFERROR(E125/E327, "NA")</f>
      </c>
      <c r="G125" s="15"/>
      <c r="H125" s="13">
        <v>0</v>
      </c>
      <c r="I125" s="14">
        <f>IFERROR(H125/H327, "NA")</f>
      </c>
      <c r="J125" s="15"/>
      <c r="K125" s="13">
        <v>0</v>
      </c>
      <c r="L125" s="14">
        <f>IFERROR(K125/K327, "NA")</f>
      </c>
      <c r="M125" s="15"/>
      <c r="N125" s="13">
        <v>0</v>
      </c>
      <c r="O125" s="14">
        <f>IFERROR(N125/N327, "NA")</f>
      </c>
    </row>
    <row r="126" ht="16.5" customHeight="1">
      <c t="s" r="A126" s="12">
        <v>129</v>
      </c>
      <c r="B126" s="13">
        <v>0</v>
      </c>
      <c r="C126" s="14">
        <f>IFERROR(B126/B327, "NA")</f>
      </c>
      <c r="D126" s="15"/>
      <c r="E126" s="13">
        <v>0</v>
      </c>
      <c r="F126" s="14">
        <f>IFERROR(E126/E327, "NA")</f>
      </c>
      <c r="G126" s="15"/>
      <c r="H126" s="13">
        <v>0</v>
      </c>
      <c r="I126" s="14">
        <f>IFERROR(H126/H327, "NA")</f>
      </c>
      <c r="J126" s="15"/>
      <c r="K126" s="13">
        <v>0</v>
      </c>
      <c r="L126" s="14">
        <f>IFERROR(K126/K327, "NA")</f>
      </c>
      <c r="M126" s="15"/>
      <c r="N126" s="13">
        <v>0</v>
      </c>
      <c r="O126" s="14">
        <f>IFERROR(N126/N327, "NA")</f>
      </c>
    </row>
    <row r="127" ht="16.5" customHeight="1">
      <c t="s" r="A127" s="12">
        <v>130</v>
      </c>
      <c r="B127" s="13">
        <v>0</v>
      </c>
      <c r="C127" s="14">
        <f>IFERROR(B127/B327, "NA")</f>
      </c>
      <c r="D127" s="15"/>
      <c r="E127" s="13">
        <v>0</v>
      </c>
      <c r="F127" s="14">
        <f>IFERROR(E127/E327, "NA")</f>
      </c>
      <c r="G127" s="15"/>
      <c r="H127" s="13">
        <v>0</v>
      </c>
      <c r="I127" s="14">
        <f>IFERROR(H127/H327, "NA")</f>
      </c>
      <c r="J127" s="15"/>
      <c r="K127" s="13">
        <v>0</v>
      </c>
      <c r="L127" s="14">
        <f>IFERROR(K127/K327, "NA")</f>
      </c>
      <c r="M127" s="15"/>
      <c r="N127" s="13">
        <v>0</v>
      </c>
      <c r="O127" s="14">
        <f>IFERROR(N127/N327, "NA")</f>
      </c>
    </row>
    <row r="128" ht="16.5" customHeight="1">
      <c t="s" r="A128" s="12">
        <v>131</v>
      </c>
      <c r="B128" s="13">
        <v>0</v>
      </c>
      <c r="C128" s="14">
        <f>IFERROR(B128/B327, "NA")</f>
      </c>
      <c r="D128" s="15"/>
      <c r="E128" s="13">
        <v>0</v>
      </c>
      <c r="F128" s="14">
        <f>IFERROR(E128/E327, "NA")</f>
      </c>
      <c r="G128" s="15"/>
      <c r="H128" s="13">
        <v>0</v>
      </c>
      <c r="I128" s="14">
        <f>IFERROR(H128/H327, "NA")</f>
      </c>
      <c r="J128" s="15"/>
      <c r="K128" s="13">
        <v>0</v>
      </c>
      <c r="L128" s="14">
        <f>IFERROR(K128/K327, "NA")</f>
      </c>
      <c r="M128" s="15"/>
      <c r="N128" s="13">
        <v>0</v>
      </c>
      <c r="O128" s="14">
        <f>IFERROR(N128/N327, "NA")</f>
      </c>
    </row>
    <row r="129" ht="16.5" customHeight="1">
      <c t="s" r="A129" s="12">
        <v>132</v>
      </c>
      <c r="B129" s="13">
        <v>0</v>
      </c>
      <c r="C129" s="14">
        <f>IFERROR(B129/B327, "NA")</f>
      </c>
      <c r="D129" s="15"/>
      <c r="E129" s="13">
        <v>0</v>
      </c>
      <c r="F129" s="14">
        <f>IFERROR(E129/E327, "NA")</f>
      </c>
      <c r="G129" s="15"/>
      <c r="H129" s="13">
        <v>0</v>
      </c>
      <c r="I129" s="14">
        <f>IFERROR(H129/H327, "NA")</f>
      </c>
      <c r="J129" s="15"/>
      <c r="K129" s="13">
        <v>0</v>
      </c>
      <c r="L129" s="14">
        <f>IFERROR(K129/K327, "NA")</f>
      </c>
      <c r="M129" s="15"/>
      <c r="N129" s="13">
        <v>0</v>
      </c>
      <c r="O129" s="14">
        <f>IFERROR(N129/N327, "NA")</f>
      </c>
    </row>
    <row r="130" ht="16.5" customHeight="1">
      <c t="s" r="A130" s="12">
        <v>133</v>
      </c>
      <c r="B130" s="13">
        <v>0</v>
      </c>
      <c r="C130" s="14">
        <f>IFERROR(B130/B327, "NA")</f>
      </c>
      <c r="D130" s="15"/>
      <c r="E130" s="13">
        <v>0</v>
      </c>
      <c r="F130" s="14">
        <f>IFERROR(E130/E327, "NA")</f>
      </c>
      <c r="G130" s="15"/>
      <c r="H130" s="13">
        <v>0</v>
      </c>
      <c r="I130" s="14">
        <f>IFERROR(H130/H327, "NA")</f>
      </c>
      <c r="J130" s="15"/>
      <c r="K130" s="13">
        <v>0</v>
      </c>
      <c r="L130" s="14">
        <f>IFERROR(K130/K327, "NA")</f>
      </c>
      <c r="M130" s="15"/>
      <c r="N130" s="13">
        <v>0</v>
      </c>
      <c r="O130" s="14">
        <f>IFERROR(N130/N327, "NA")</f>
      </c>
    </row>
    <row r="131" ht="16.5" customHeight="1">
      <c t="s" r="A131" s="12">
        <v>134</v>
      </c>
      <c r="B131" s="13">
        <v>0</v>
      </c>
      <c r="C131" s="14">
        <f>IFERROR(B131/B327, "NA")</f>
      </c>
      <c r="D131" s="15"/>
      <c r="E131" s="13">
        <v>0</v>
      </c>
      <c r="F131" s="14">
        <f>IFERROR(E131/E327, "NA")</f>
      </c>
      <c r="G131" s="15"/>
      <c r="H131" s="13">
        <v>0</v>
      </c>
      <c r="I131" s="14">
        <f>IFERROR(H131/H327, "NA")</f>
      </c>
      <c r="J131" s="15"/>
      <c r="K131" s="13">
        <v>0</v>
      </c>
      <c r="L131" s="14">
        <f>IFERROR(K131/K327, "NA")</f>
      </c>
      <c r="M131" s="15"/>
      <c r="N131" s="13">
        <v>0</v>
      </c>
      <c r="O131" s="14">
        <f>IFERROR(N131/N327, "NA")</f>
      </c>
    </row>
    <row r="132" ht="16.5" customHeight="1">
      <c t="s" r="A132" s="12">
        <v>135</v>
      </c>
      <c r="B132" s="13">
        <v>0</v>
      </c>
      <c r="C132" s="14">
        <f>IFERROR(B132/B327, "NA")</f>
      </c>
      <c r="D132" s="15"/>
      <c r="E132" s="13">
        <v>0</v>
      </c>
      <c r="F132" s="14">
        <f>IFERROR(E132/E327, "NA")</f>
      </c>
      <c r="G132" s="15"/>
      <c r="H132" s="13">
        <v>0</v>
      </c>
      <c r="I132" s="14">
        <f>IFERROR(H132/H327, "NA")</f>
      </c>
      <c r="J132" s="15"/>
      <c r="K132" s="13">
        <v>0</v>
      </c>
      <c r="L132" s="14">
        <f>IFERROR(K132/K327, "NA")</f>
      </c>
      <c r="M132" s="15"/>
      <c r="N132" s="13">
        <v>0</v>
      </c>
      <c r="O132" s="14">
        <f>IFERROR(N132/N327, "NA")</f>
      </c>
    </row>
    <row r="133" ht="16.5" customHeight="1">
      <c t="s" r="A133" s="12">
        <v>136</v>
      </c>
      <c r="B133" s="13">
        <v>0</v>
      </c>
      <c r="C133" s="14">
        <f>IFERROR(B133/B327, "NA")</f>
      </c>
      <c r="D133" s="15"/>
      <c r="E133" s="13">
        <v>0</v>
      </c>
      <c r="F133" s="14">
        <f>IFERROR(E133/E327, "NA")</f>
      </c>
      <c r="G133" s="15"/>
      <c r="H133" s="13">
        <v>0</v>
      </c>
      <c r="I133" s="14">
        <f>IFERROR(H133/H327, "NA")</f>
      </c>
      <c r="J133" s="15"/>
      <c r="K133" s="13">
        <v>0</v>
      </c>
      <c r="L133" s="14">
        <f>IFERROR(K133/K327, "NA")</f>
      </c>
      <c r="M133" s="15"/>
      <c r="N133" s="13">
        <v>0</v>
      </c>
      <c r="O133" s="14">
        <f>IFERROR(N133/N327, "NA")</f>
      </c>
    </row>
    <row r="134" ht="16.5" customHeight="1">
      <c t="s" r="A134" s="12">
        <v>137</v>
      </c>
      <c r="B134" s="13">
        <v>0</v>
      </c>
      <c r="C134" s="14">
        <f>IFERROR(B134/B327, "NA")</f>
      </c>
      <c r="D134" s="15"/>
      <c r="E134" s="13">
        <v>0</v>
      </c>
      <c r="F134" s="14">
        <f>IFERROR(E134/E327, "NA")</f>
      </c>
      <c r="G134" s="15"/>
      <c r="H134" s="13">
        <v>0</v>
      </c>
      <c r="I134" s="14">
        <f>IFERROR(H134/H327, "NA")</f>
      </c>
      <c r="J134" s="15"/>
      <c r="K134" s="13">
        <v>0</v>
      </c>
      <c r="L134" s="14">
        <f>IFERROR(K134/K327, "NA")</f>
      </c>
      <c r="M134" s="15"/>
      <c r="N134" s="13">
        <v>0</v>
      </c>
      <c r="O134" s="14">
        <f>IFERROR(N134/N327, "NA")</f>
      </c>
    </row>
    <row r="135" ht="16.5" customHeight="1">
      <c t="s" r="A135" s="12">
        <v>138</v>
      </c>
      <c r="B135" s="13">
        <v>0</v>
      </c>
      <c r="C135" s="14">
        <f>IFERROR(B135/B327, "NA")</f>
      </c>
      <c r="D135" s="15"/>
      <c r="E135" s="13">
        <v>0</v>
      </c>
      <c r="F135" s="14">
        <f>IFERROR(E135/E327, "NA")</f>
      </c>
      <c r="G135" s="15"/>
      <c r="H135" s="13">
        <v>0</v>
      </c>
      <c r="I135" s="14">
        <f>IFERROR(H135/H327, "NA")</f>
      </c>
      <c r="J135" s="15"/>
      <c r="K135" s="13">
        <v>0</v>
      </c>
      <c r="L135" s="14">
        <f>IFERROR(K135/K327, "NA")</f>
      </c>
      <c r="M135" s="15"/>
      <c r="N135" s="13">
        <v>0</v>
      </c>
      <c r="O135" s="14">
        <f>IFERROR(N135/N327, "NA")</f>
      </c>
    </row>
    <row r="136" ht="16.5" customHeight="1">
      <c t="s" r="A136" s="12">
        <v>139</v>
      </c>
      <c r="B136" s="13">
        <v>0</v>
      </c>
      <c r="C136" s="14">
        <f>IFERROR(B136/B327, "NA")</f>
      </c>
      <c r="D136" s="15"/>
      <c r="E136" s="13">
        <v>0</v>
      </c>
      <c r="F136" s="14">
        <f>IFERROR(E136/E327, "NA")</f>
      </c>
      <c r="G136" s="15"/>
      <c r="H136" s="13">
        <v>0</v>
      </c>
      <c r="I136" s="14">
        <f>IFERROR(H136/H327, "NA")</f>
      </c>
      <c r="J136" s="15"/>
      <c r="K136" s="13">
        <v>0</v>
      </c>
      <c r="L136" s="14">
        <f>IFERROR(K136/K327, "NA")</f>
      </c>
      <c r="M136" s="15"/>
      <c r="N136" s="13">
        <v>0</v>
      </c>
      <c r="O136" s="14">
        <f>IFERROR(N136/N327, "NA")</f>
      </c>
    </row>
    <row r="137" ht="16.5" customHeight="1">
      <c t="s" r="A137" s="12">
        <v>140</v>
      </c>
      <c r="B137" s="13">
        <v>0</v>
      </c>
      <c r="C137" s="14">
        <f>IFERROR(B137/B327, "NA")</f>
      </c>
      <c r="D137" s="15"/>
      <c r="E137" s="13">
        <v>0</v>
      </c>
      <c r="F137" s="14">
        <f>IFERROR(E137/E327, "NA")</f>
      </c>
      <c r="G137" s="15"/>
      <c r="H137" s="13">
        <v>0</v>
      </c>
      <c r="I137" s="14">
        <f>IFERROR(H137/H327, "NA")</f>
      </c>
      <c r="J137" s="15"/>
      <c r="K137" s="13">
        <v>0</v>
      </c>
      <c r="L137" s="14">
        <f>IFERROR(K137/K327, "NA")</f>
      </c>
      <c r="M137" s="15"/>
      <c r="N137" s="13">
        <v>0</v>
      </c>
      <c r="O137" s="14">
        <f>IFERROR(N137/N327, "NA")</f>
      </c>
    </row>
    <row r="138" ht="16.5" customHeight="1">
      <c t="s" r="A138" s="12">
        <v>141</v>
      </c>
      <c r="B138" s="13">
        <v>0</v>
      </c>
      <c r="C138" s="14">
        <f>IFERROR(B138/B327, "NA")</f>
      </c>
      <c r="D138" s="15"/>
      <c r="E138" s="13">
        <v>0</v>
      </c>
      <c r="F138" s="14">
        <f>IFERROR(E138/E327, "NA")</f>
      </c>
      <c r="G138" s="15"/>
      <c r="H138" s="13">
        <v>0</v>
      </c>
      <c r="I138" s="14">
        <f>IFERROR(H138/H327, "NA")</f>
      </c>
      <c r="J138" s="15"/>
      <c r="K138" s="13">
        <v>0</v>
      </c>
      <c r="L138" s="14">
        <f>IFERROR(K138/K327, "NA")</f>
      </c>
      <c r="M138" s="15"/>
      <c r="N138" s="13">
        <v>0</v>
      </c>
      <c r="O138" s="14">
        <f>IFERROR(N138/N327, "NA")</f>
      </c>
    </row>
    <row r="139" ht="16.5" customHeight="1">
      <c t="s" r="A139" s="12">
        <v>142</v>
      </c>
      <c r="B139" s="13">
        <v>7387.1800000000003</v>
      </c>
      <c r="C139" s="14">
        <f>IFERROR(B139/B327, "NA")</f>
      </c>
      <c r="D139" s="15"/>
      <c r="E139" s="13">
        <v>7387.1800000000003</v>
      </c>
      <c r="F139" s="14">
        <f>IFERROR(E139/E327, "NA")</f>
      </c>
      <c r="G139" s="15"/>
      <c r="H139" s="13">
        <v>7387.1800000000003</v>
      </c>
      <c r="I139" s="14">
        <f>IFERROR(H139/H327, "NA")</f>
      </c>
      <c r="J139" s="15"/>
      <c r="K139" s="13">
        <v>7387.1800000000003</v>
      </c>
      <c r="L139" s="14">
        <f>IFERROR(K139/K327, "NA")</f>
      </c>
      <c r="M139" s="15"/>
      <c r="N139" s="13">
        <v>6478.6899999999996</v>
      </c>
      <c r="O139" s="14">
        <f>IFERROR(N139/N327, "NA")</f>
      </c>
    </row>
    <row r="140" ht="16.5" customHeight="1">
      <c t="s" r="A140" s="12">
        <v>143</v>
      </c>
      <c r="B140" s="13">
        <v>0</v>
      </c>
      <c r="C140" s="14">
        <f>IFERROR(B140/B327, "NA")</f>
      </c>
      <c r="D140" s="15"/>
      <c r="E140" s="13">
        <v>0</v>
      </c>
      <c r="F140" s="14">
        <f>IFERROR(E140/E327, "NA")</f>
      </c>
      <c r="G140" s="15"/>
      <c r="H140" s="13">
        <v>0</v>
      </c>
      <c r="I140" s="14">
        <f>IFERROR(H140/H327, "NA")</f>
      </c>
      <c r="J140" s="15"/>
      <c r="K140" s="13">
        <v>0</v>
      </c>
      <c r="L140" s="14">
        <f>IFERROR(K140/K327, "NA")</f>
      </c>
      <c r="M140" s="15"/>
      <c r="N140" s="13">
        <v>0</v>
      </c>
      <c r="O140" s="14">
        <f>IFERROR(N140/N327, "NA")</f>
      </c>
    </row>
    <row r="141" ht="16.5" customHeight="1">
      <c t="s" r="A141" s="12">
        <v>144</v>
      </c>
      <c r="B141" s="13">
        <v>0</v>
      </c>
      <c r="C141" s="14">
        <f>IFERROR(B141/B327, "NA")</f>
      </c>
      <c r="D141" s="15"/>
      <c r="E141" s="13">
        <v>0</v>
      </c>
      <c r="F141" s="14">
        <f>IFERROR(E141/E327, "NA")</f>
      </c>
      <c r="G141" s="15"/>
      <c r="H141" s="13">
        <v>0</v>
      </c>
      <c r="I141" s="14">
        <f>IFERROR(H141/H327, "NA")</f>
      </c>
      <c r="J141" s="15"/>
      <c r="K141" s="13">
        <v>0</v>
      </c>
      <c r="L141" s="14">
        <f>IFERROR(K141/K327, "NA")</f>
      </c>
      <c r="M141" s="15"/>
      <c r="N141" s="13">
        <v>0</v>
      </c>
      <c r="O141" s="14">
        <f>IFERROR(N141/N327, "NA")</f>
      </c>
    </row>
    <row r="142" ht="16.5" customHeight="1">
      <c t="s" r="A142" s="12">
        <v>145</v>
      </c>
      <c r="B142" s="13">
        <v>0</v>
      </c>
      <c r="C142" s="14">
        <f>IFERROR(B142/B327, "NA")</f>
      </c>
      <c r="D142" s="15"/>
      <c r="E142" s="13">
        <v>0</v>
      </c>
      <c r="F142" s="14">
        <f>IFERROR(E142/E327, "NA")</f>
      </c>
      <c r="G142" s="15"/>
      <c r="H142" s="13">
        <v>0</v>
      </c>
      <c r="I142" s="14">
        <f>IFERROR(H142/H327, "NA")</f>
      </c>
      <c r="J142" s="15"/>
      <c r="K142" s="13">
        <v>0</v>
      </c>
      <c r="L142" s="14">
        <f>IFERROR(K142/K327, "NA")</f>
      </c>
      <c r="M142" s="15"/>
      <c r="N142" s="13">
        <v>0</v>
      </c>
      <c r="O142" s="14">
        <f>IFERROR(N142/N327, "NA")</f>
      </c>
    </row>
    <row r="143" ht="16.5" customHeight="1">
      <c t="s" r="A143" s="16">
        <v>146</v>
      </c>
      <c r="B143" s="17">
        <f>IFERROR(B122+B123+B124+B125+B126+B127+B128+B129+B130+B131+B132+B133+B134+B135+B136+B137+B138+B139+B140+B141+B142, "NA")</f>
      </c>
      <c r="C143" s="18">
        <f>IFERROR(B143/B327, "NA")</f>
      </c>
      <c r="D143" s="8"/>
      <c r="E143" s="17">
        <f>IFERROR(E122+E123+E124+E125+E126+E127+E128+E129+E130+E131+E132+E133+E134+E135+E136+E137+E138+E139+E140+E141+E142, "NA")</f>
      </c>
      <c r="F143" s="18">
        <f>IFERROR(E143/E327, "NA")</f>
      </c>
      <c r="G143" s="8"/>
      <c r="H143" s="17">
        <f>IFERROR(H122+H123+H124+H125+H126+H127+H128+H129+H130+H131+H132+H133+H134+H135+H136+H137+H138+H139+H140+H141+H142, "NA")</f>
      </c>
      <c r="I143" s="18">
        <f>IFERROR(H143/H327, "NA")</f>
      </c>
      <c r="J143" s="8"/>
      <c r="K143" s="17">
        <f>IFERROR(K122+K123+K124+K125+K126+K127+K128+K129+K130+K131+K132+K133+K134+K135+K136+K137+K138+K139+K140+K141+K142, "NA")</f>
      </c>
      <c r="L143" s="18">
        <f>IFERROR(K143/K327, "NA")</f>
      </c>
      <c r="M143" s="8"/>
      <c r="N143" s="17">
        <f>IFERROR(N122+N123+N124+N125+N126+N127+N128+N129+N130+N131+N132+N133+N134+N135+N136+N137+N138+N139+N140+N141+N142, "NA")</f>
      </c>
      <c r="O143" s="18">
        <f>IFERROR(N143/N327, "NA")</f>
      </c>
    </row>
    <row r="144" ht="16.5" customHeight="1">
      <c t="s" r="A144" s="11">
        <v>147</v>
      </c>
      <c r="B144" s="8"/>
      <c r="C144" s="9"/>
      <c r="D144" s="10"/>
      <c r="E144" s="8"/>
      <c r="F144" s="9"/>
      <c r="G144" s="10"/>
      <c r="H144" s="8"/>
      <c r="I144" s="9"/>
      <c r="J144" s="10"/>
      <c r="K144" s="8"/>
      <c r="L144" s="9"/>
      <c r="M144" s="10"/>
      <c r="N144" s="8"/>
      <c r="O144" s="9"/>
    </row>
    <row r="145" ht="16.5" customHeight="1">
      <c t="s" r="A145" s="12">
        <v>148</v>
      </c>
      <c r="B145" s="13">
        <v>0</v>
      </c>
      <c r="C145" s="14">
        <f>IFERROR(B145/B327, "NA")</f>
      </c>
      <c r="D145" s="15"/>
      <c r="E145" s="13">
        <v>0</v>
      </c>
      <c r="F145" s="14">
        <f>IFERROR(E145/E327, "NA")</f>
      </c>
      <c r="G145" s="15"/>
      <c r="H145" s="13">
        <v>0</v>
      </c>
      <c r="I145" s="14">
        <f>IFERROR(H145/H327, "NA")</f>
      </c>
      <c r="J145" s="15"/>
      <c r="K145" s="13">
        <v>0</v>
      </c>
      <c r="L145" s="14">
        <f>IFERROR(K145/K327, "NA")</f>
      </c>
      <c r="M145" s="15"/>
      <c r="N145" s="13">
        <v>0</v>
      </c>
      <c r="O145" s="14">
        <f>IFERROR(N145/N327, "NA")</f>
      </c>
    </row>
    <row r="146" ht="16.5" customHeight="1">
      <c t="s" r="A146" s="12">
        <v>149</v>
      </c>
      <c r="B146" s="13">
        <v>4068.5300000000002</v>
      </c>
      <c r="C146" s="14">
        <f>IFERROR(B146/B327, "NA")</f>
      </c>
      <c r="D146" s="15"/>
      <c r="E146" s="13">
        <v>2482.54</v>
      </c>
      <c r="F146" s="14">
        <f>IFERROR(E146/E327, "NA")</f>
      </c>
      <c r="G146" s="15"/>
      <c r="H146" s="13">
        <v>2543.7199999999998</v>
      </c>
      <c r="I146" s="14">
        <f>IFERROR(H146/H327, "NA")</f>
      </c>
      <c r="J146" s="15"/>
      <c r="K146" s="13">
        <v>3055.46</v>
      </c>
      <c r="L146" s="14">
        <f>IFERROR(K146/K327, "NA")</f>
      </c>
      <c r="M146" s="15"/>
      <c r="N146" s="13">
        <v>-2722.9000000000001</v>
      </c>
      <c r="O146" s="14">
        <f>IFERROR(N146/N327, "NA")</f>
      </c>
    </row>
    <row r="147" ht="16.5" customHeight="1">
      <c t="s" r="A147" s="12">
        <v>150</v>
      </c>
      <c r="B147" s="13">
        <v>540.10000000000002</v>
      </c>
      <c r="C147" s="14">
        <f>IFERROR(B147/B327, "NA")</f>
      </c>
      <c r="D147" s="15"/>
      <c r="E147" s="13">
        <v>683.25</v>
      </c>
      <c r="F147" s="14">
        <f>IFERROR(E147/E327, "NA")</f>
      </c>
      <c r="G147" s="15"/>
      <c r="H147" s="13">
        <v>420.20999999999998</v>
      </c>
      <c r="I147" s="14">
        <f>IFERROR(H147/H327, "NA")</f>
      </c>
      <c r="J147" s="15"/>
      <c r="K147" s="13">
        <v>735.38999999999999</v>
      </c>
      <c r="L147" s="14">
        <f>IFERROR(K147/K327, "NA")</f>
      </c>
      <c r="M147" s="15"/>
      <c r="N147" s="13">
        <v>-214.97</v>
      </c>
      <c r="O147" s="14">
        <f>IFERROR(N147/N327, "NA")</f>
      </c>
    </row>
    <row r="148" ht="16.5" customHeight="1">
      <c t="s" r="A148" s="12">
        <v>151</v>
      </c>
      <c r="B148" s="13">
        <v>0</v>
      </c>
      <c r="C148" s="14">
        <f>IFERROR(B148/B327, "NA")</f>
      </c>
      <c r="D148" s="15"/>
      <c r="E148" s="13">
        <v>0</v>
      </c>
      <c r="F148" s="14">
        <f>IFERROR(E148/E327, "NA")</f>
      </c>
      <c r="G148" s="15"/>
      <c r="H148" s="13">
        <v>0</v>
      </c>
      <c r="I148" s="14">
        <f>IFERROR(H148/H327, "NA")</f>
      </c>
      <c r="J148" s="15"/>
      <c r="K148" s="13">
        <v>0</v>
      </c>
      <c r="L148" s="14">
        <f>IFERROR(K148/K327, "NA")</f>
      </c>
      <c r="M148" s="15"/>
      <c r="N148" s="13">
        <v>0</v>
      </c>
      <c r="O148" s="14">
        <f>IFERROR(N148/N327, "NA")</f>
      </c>
    </row>
    <row r="149" ht="16.5" customHeight="1">
      <c t="s" r="A149" s="12">
        <v>152</v>
      </c>
      <c r="B149" s="13">
        <v>709.61000000000001</v>
      </c>
      <c r="C149" s="14">
        <f>IFERROR(B149/B327, "NA")</f>
      </c>
      <c r="D149" s="15"/>
      <c r="E149" s="13">
        <v>2735.5300000000002</v>
      </c>
      <c r="F149" s="14">
        <f>IFERROR(E149/E327, "NA")</f>
      </c>
      <c r="G149" s="15"/>
      <c r="H149" s="13">
        <v>-309.75</v>
      </c>
      <c r="I149" s="14">
        <f>IFERROR(H149/H327, "NA")</f>
      </c>
      <c r="J149" s="15"/>
      <c r="K149" s="13">
        <v>2776.46</v>
      </c>
      <c r="L149" s="14">
        <f>IFERROR(K149/K327, "NA")</f>
      </c>
      <c r="M149" s="15"/>
      <c r="N149" s="13">
        <v>-394.10000000000002</v>
      </c>
      <c r="O149" s="14">
        <f>IFERROR(N149/N327, "NA")</f>
      </c>
    </row>
    <row r="150" ht="16.5" customHeight="1">
      <c t="s" r="A150" s="12">
        <v>153</v>
      </c>
      <c r="B150" s="13">
        <v>1902.0799999999999</v>
      </c>
      <c r="C150" s="14">
        <f>IFERROR(B150/B327, "NA")</f>
      </c>
      <c r="D150" s="15"/>
      <c r="E150" s="13">
        <v>1902.0799999999999</v>
      </c>
      <c r="F150" s="14">
        <f>IFERROR(E150/E327, "NA")</f>
      </c>
      <c r="G150" s="15"/>
      <c r="H150" s="13">
        <v>3023.02</v>
      </c>
      <c r="I150" s="14">
        <f>IFERROR(H150/H327, "NA")</f>
      </c>
      <c r="J150" s="15"/>
      <c r="K150" s="13">
        <v>1902.0799999999999</v>
      </c>
      <c r="L150" s="14">
        <f>IFERROR(K150/K327, "NA")</f>
      </c>
      <c r="M150" s="15"/>
      <c r="N150" s="13">
        <v>647.83000000000004</v>
      </c>
      <c r="O150" s="14">
        <f>IFERROR(N150/N327, "NA")</f>
      </c>
    </row>
    <row r="151" ht="16.5" customHeight="1">
      <c t="s" r="A151" s="16">
        <v>154</v>
      </c>
      <c r="B151" s="17">
        <f>IFERROR(B145+B146+B147+B148+B149+B150, "NA")</f>
      </c>
      <c r="C151" s="18">
        <f>IFERROR(B151/B327, "NA")</f>
      </c>
      <c r="D151" s="8"/>
      <c r="E151" s="17">
        <f>IFERROR(E145+E146+E147+E148+E149+E150, "NA")</f>
      </c>
      <c r="F151" s="18">
        <f>IFERROR(E151/E327, "NA")</f>
      </c>
      <c r="G151" s="8"/>
      <c r="H151" s="17">
        <f>IFERROR(H145+H146+H147+H148+H149+H150, "NA")</f>
      </c>
      <c r="I151" s="18">
        <f>IFERROR(H151/H327, "NA")</f>
      </c>
      <c r="J151" s="8"/>
      <c r="K151" s="17">
        <f>IFERROR(K145+K146+K147+K148+K149+K150, "NA")</f>
      </c>
      <c r="L151" s="18">
        <f>IFERROR(K151/K327, "NA")</f>
      </c>
      <c r="M151" s="8"/>
      <c r="N151" s="17">
        <f>IFERROR(N145+N146+N147+N148+N149+N150, "NA")</f>
      </c>
      <c r="O151" s="18">
        <f>IFERROR(N151/N327, "NA")</f>
      </c>
    </row>
    <row r="152" ht="16.5" customHeight="1">
      <c t="s" r="A152" s="19">
        <v>155</v>
      </c>
      <c r="B152" s="13">
        <v>0</v>
      </c>
      <c r="C152" s="14">
        <f>IFERROR(B152/B327, "NA")</f>
      </c>
      <c r="D152" s="15"/>
      <c r="E152" s="13">
        <v>0</v>
      </c>
      <c r="F152" s="14">
        <f>IFERROR(E152/E327, "NA")</f>
      </c>
      <c r="G152" s="15"/>
      <c r="H152" s="13">
        <v>0</v>
      </c>
      <c r="I152" s="14">
        <f>IFERROR(H152/H327, "NA")</f>
      </c>
      <c r="J152" s="15"/>
      <c r="K152" s="13">
        <v>0</v>
      </c>
      <c r="L152" s="14">
        <f>IFERROR(K152/K327, "NA")</f>
      </c>
      <c r="M152" s="15"/>
      <c r="N152" s="13">
        <v>0</v>
      </c>
      <c r="O152" s="14">
        <f>IFERROR(N152/N327, "NA")</f>
      </c>
    </row>
    <row r="153" ht="16.5" customHeight="1">
      <c t="s" r="A153" s="19">
        <v>156</v>
      </c>
      <c r="B153" s="13">
        <v>-739.90999999999997</v>
      </c>
      <c r="C153" s="14">
        <f>IFERROR(B153/B327, "NA")</f>
      </c>
      <c r="D153" s="15"/>
      <c r="E153" s="13">
        <v>0</v>
      </c>
      <c r="F153" s="14">
        <f>IFERROR(E153/E327, "NA")</f>
      </c>
      <c r="G153" s="15"/>
      <c r="H153" s="13">
        <v>-628.76999999999998</v>
      </c>
      <c r="I153" s="14">
        <f>IFERROR(H153/H327, "NA")</f>
      </c>
      <c r="J153" s="15"/>
      <c r="K153" s="13">
        <v>3570.2399999999998</v>
      </c>
      <c r="L153" s="14">
        <f>IFERROR(K153/K327, "NA")</f>
      </c>
      <c r="M153" s="15"/>
      <c r="N153" s="13">
        <v>0</v>
      </c>
      <c r="O153" s="14">
        <f>IFERROR(N153/N327, "NA")</f>
      </c>
    </row>
    <row r="154" ht="16.5" customHeight="1">
      <c t="s" r="A154" s="19">
        <v>157</v>
      </c>
      <c r="B154" s="13">
        <v>-122.34</v>
      </c>
      <c r="C154" s="14">
        <f>IFERROR(B154/B327, "NA")</f>
      </c>
      <c r="D154" s="15"/>
      <c r="E154" s="13">
        <v>0</v>
      </c>
      <c r="F154" s="14">
        <f>IFERROR(E154/E327, "NA")</f>
      </c>
      <c r="G154" s="15"/>
      <c r="H154" s="13">
        <v>-107.77</v>
      </c>
      <c r="I154" s="14">
        <f>IFERROR(H154/H327, "NA")</f>
      </c>
      <c r="J154" s="15"/>
      <c r="K154" s="13">
        <v>0</v>
      </c>
      <c r="L154" s="14">
        <f>IFERROR(K154/K327, "NA")</f>
      </c>
      <c r="M154" s="15"/>
      <c r="N154" s="13">
        <v>0</v>
      </c>
      <c r="O154" s="14">
        <f>IFERROR(N154/N327, "NA")</f>
      </c>
    </row>
    <row r="155" ht="16.5" customHeight="1">
      <c t="s" r="A155" s="19">
        <v>158</v>
      </c>
      <c r="B155" s="13">
        <v>-8.9100000000000001</v>
      </c>
      <c r="C155" s="14">
        <f>IFERROR(B155/B327, "NA")</f>
      </c>
      <c r="D155" s="15"/>
      <c r="E155" s="13">
        <v>0</v>
      </c>
      <c r="F155" s="14">
        <f>IFERROR(E155/E327, "NA")</f>
      </c>
      <c r="G155" s="15"/>
      <c r="H155" s="13">
        <v>-5.9400000000000004</v>
      </c>
      <c r="I155" s="14">
        <f>IFERROR(H155/H327, "NA")</f>
      </c>
      <c r="J155" s="15"/>
      <c r="K155" s="13">
        <v>0</v>
      </c>
      <c r="L155" s="14">
        <f>IFERROR(K155/K327, "NA")</f>
      </c>
      <c r="M155" s="15"/>
      <c r="N155" s="13">
        <v>0</v>
      </c>
      <c r="O155" s="14">
        <f>IFERROR(N155/N327, "NA")</f>
      </c>
    </row>
    <row r="156" ht="16.5" customHeight="1">
      <c t="s" r="A156" s="19">
        <v>159</v>
      </c>
      <c r="B156" s="13">
        <v>0</v>
      </c>
      <c r="C156" s="14">
        <f>IFERROR(B156/B327, "NA")</f>
      </c>
      <c r="D156" s="15"/>
      <c r="E156" s="13">
        <v>0</v>
      </c>
      <c r="F156" s="14">
        <f>IFERROR(E156/E327, "NA")</f>
      </c>
      <c r="G156" s="15"/>
      <c r="H156" s="13">
        <v>0</v>
      </c>
      <c r="I156" s="14">
        <f>IFERROR(H156/H327, "NA")</f>
      </c>
      <c r="J156" s="15"/>
      <c r="K156" s="13">
        <v>0</v>
      </c>
      <c r="L156" s="14">
        <f>IFERROR(K156/K327, "NA")</f>
      </c>
      <c r="M156" s="15"/>
      <c r="N156" s="13">
        <v>0</v>
      </c>
      <c r="O156" s="14">
        <f>IFERROR(N156/N327, "NA")</f>
      </c>
    </row>
    <row r="157" ht="16.5" customHeight="1">
      <c t="s" r="A157" s="20">
        <v>160</v>
      </c>
      <c r="B157" s="17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</c>
      <c r="C157" s="18">
        <f>IFERROR(B157/B327, "NA")</f>
      </c>
      <c r="D157" s="8"/>
      <c r="E157" s="17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</c>
      <c r="F157" s="18">
        <f>IFERROR(E157/E327, "NA")</f>
      </c>
      <c r="G157" s="8"/>
      <c r="H157" s="17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</c>
      <c r="I157" s="18">
        <f>IFERROR(H157/H327, "NA")</f>
      </c>
      <c r="J157" s="8"/>
      <c r="K157" s="17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</c>
      <c r="L157" s="18">
        <f>IFERROR(K157/K327, "NA")</f>
      </c>
      <c r="M157" s="8"/>
      <c r="N157" s="17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</c>
      <c r="O157" s="18">
        <f>IFERROR(N157/N327, "NA")</f>
      </c>
    </row>
    <row r="158" ht="16.5" customHeight="1">
      <c t="s" r="A158" s="7">
        <v>161</v>
      </c>
      <c r="B158" s="8"/>
      <c r="C158" s="9"/>
      <c r="D158" s="10"/>
      <c r="E158" s="8"/>
      <c r="F158" s="9"/>
      <c r="G158" s="10"/>
      <c r="H158" s="8"/>
      <c r="I158" s="9"/>
      <c r="J158" s="10"/>
      <c r="K158" s="8"/>
      <c r="L158" s="9"/>
      <c r="M158" s="10"/>
      <c r="N158" s="8"/>
      <c r="O158" s="9"/>
    </row>
    <row r="159" ht="16.5" customHeight="1">
      <c t="s" r="A159" s="11">
        <v>162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</row>
    <row r="160" ht="16.5" customHeight="1">
      <c t="s" r="A160" s="12">
        <v>163</v>
      </c>
      <c r="B160" s="13">
        <v>0</v>
      </c>
      <c r="C160" s="14">
        <f>IFERROR(B160/B327, "NA")</f>
      </c>
      <c r="D160" s="15"/>
      <c r="E160" s="13">
        <v>0</v>
      </c>
      <c r="F160" s="14">
        <f>IFERROR(E160/E327, "NA")</f>
      </c>
      <c r="G160" s="15"/>
      <c r="H160" s="13">
        <v>0</v>
      </c>
      <c r="I160" s="14">
        <f>IFERROR(H160/H327, "NA")</f>
      </c>
      <c r="J160" s="15"/>
      <c r="K160" s="13">
        <v>0</v>
      </c>
      <c r="L160" s="14">
        <f>IFERROR(K160/K327, "NA")</f>
      </c>
      <c r="M160" s="15"/>
      <c r="N160" s="13">
        <v>0</v>
      </c>
      <c r="O160" s="14">
        <f>IFERROR(N160/N327, "NA")</f>
      </c>
    </row>
    <row r="161" ht="16.5" customHeight="1">
      <c t="s" r="A161" s="12">
        <v>164</v>
      </c>
      <c r="B161" s="13">
        <v>0</v>
      </c>
      <c r="C161" s="14">
        <f>IFERROR(B161/B327, "NA")</f>
      </c>
      <c r="D161" s="15"/>
      <c r="E161" s="13">
        <v>0</v>
      </c>
      <c r="F161" s="14">
        <f>IFERROR(E161/E327, "NA")</f>
      </c>
      <c r="G161" s="15"/>
      <c r="H161" s="13">
        <v>0</v>
      </c>
      <c r="I161" s="14">
        <f>IFERROR(H161/H327, "NA")</f>
      </c>
      <c r="J161" s="15"/>
      <c r="K161" s="13">
        <v>0</v>
      </c>
      <c r="L161" s="14">
        <f>IFERROR(K161/K327, "NA")</f>
      </c>
      <c r="M161" s="15"/>
      <c r="N161" s="13">
        <v>0</v>
      </c>
      <c r="O161" s="14">
        <f>IFERROR(N161/N327, "NA")</f>
      </c>
    </row>
    <row r="162" ht="16.5" customHeight="1">
      <c t="s" r="A162" s="12">
        <v>165</v>
      </c>
      <c r="B162" s="13">
        <v>0</v>
      </c>
      <c r="C162" s="14">
        <f>IFERROR(B162/B327, "NA")</f>
      </c>
      <c r="D162" s="15"/>
      <c r="E162" s="13">
        <v>0</v>
      </c>
      <c r="F162" s="14">
        <f>IFERROR(E162/E327, "NA")</f>
      </c>
      <c r="G162" s="15"/>
      <c r="H162" s="13">
        <v>0</v>
      </c>
      <c r="I162" s="14">
        <f>IFERROR(H162/H327, "NA")</f>
      </c>
      <c r="J162" s="15"/>
      <c r="K162" s="13">
        <v>0</v>
      </c>
      <c r="L162" s="14">
        <f>IFERROR(K162/K327, "NA")</f>
      </c>
      <c r="M162" s="15"/>
      <c r="N162" s="13">
        <v>0</v>
      </c>
      <c r="O162" s="14">
        <f>IFERROR(N162/N327, "NA")</f>
      </c>
    </row>
    <row r="163" ht="16.5" customHeight="1">
      <c t="s" r="A163" s="12">
        <v>166</v>
      </c>
      <c r="B163" s="13">
        <v>0</v>
      </c>
      <c r="C163" s="14">
        <f>IFERROR(B163/B327, "NA")</f>
      </c>
      <c r="D163" s="15"/>
      <c r="E163" s="13">
        <v>0</v>
      </c>
      <c r="F163" s="14">
        <f>IFERROR(E163/E327, "NA")</f>
      </c>
      <c r="G163" s="15"/>
      <c r="H163" s="13">
        <v>0</v>
      </c>
      <c r="I163" s="14">
        <f>IFERROR(H163/H327, "NA")</f>
      </c>
      <c r="J163" s="15"/>
      <c r="K163" s="13">
        <v>0</v>
      </c>
      <c r="L163" s="14">
        <f>IFERROR(K163/K327, "NA")</f>
      </c>
      <c r="M163" s="15"/>
      <c r="N163" s="13">
        <v>0</v>
      </c>
      <c r="O163" s="14">
        <f>IFERROR(N163/N327, "NA")</f>
      </c>
    </row>
    <row r="164" ht="16.5" customHeight="1">
      <c t="s" r="A164" s="12">
        <v>167</v>
      </c>
      <c r="B164" s="13">
        <v>0</v>
      </c>
      <c r="C164" s="14">
        <f>IFERROR(B164/B327, "NA")</f>
      </c>
      <c r="D164" s="15"/>
      <c r="E164" s="13">
        <v>0</v>
      </c>
      <c r="F164" s="14">
        <f>IFERROR(E164/E327, "NA")</f>
      </c>
      <c r="G164" s="15"/>
      <c r="H164" s="13">
        <v>0</v>
      </c>
      <c r="I164" s="14">
        <f>IFERROR(H164/H327, "NA")</f>
      </c>
      <c r="J164" s="15"/>
      <c r="K164" s="13">
        <v>0</v>
      </c>
      <c r="L164" s="14">
        <f>IFERROR(K164/K327, "NA")</f>
      </c>
      <c r="M164" s="15"/>
      <c r="N164" s="13">
        <v>0</v>
      </c>
      <c r="O164" s="14">
        <f>IFERROR(N164/N327, "NA")</f>
      </c>
    </row>
    <row r="165" ht="16.5" customHeight="1">
      <c t="s" r="A165" s="12">
        <v>168</v>
      </c>
      <c r="B165" s="13">
        <v>162.19</v>
      </c>
      <c r="C165" s="14">
        <f>IFERROR(B165/B327, "NA")</f>
      </c>
      <c r="D165" s="15"/>
      <c r="E165" s="13">
        <v>0</v>
      </c>
      <c r="F165" s="14">
        <f>IFERROR(E165/E327, "NA")</f>
      </c>
      <c r="G165" s="15"/>
      <c r="H165" s="13">
        <v>0</v>
      </c>
      <c r="I165" s="14">
        <f>IFERROR(H165/H327, "NA")</f>
      </c>
      <c r="J165" s="15"/>
      <c r="K165" s="13">
        <v>0</v>
      </c>
      <c r="L165" s="14">
        <f>IFERROR(K165/K327, "NA")</f>
      </c>
      <c r="M165" s="15"/>
      <c r="N165" s="13">
        <v>0</v>
      </c>
      <c r="O165" s="14">
        <f>IFERROR(N165/N327, "NA")</f>
      </c>
    </row>
    <row r="166" ht="16.5" customHeight="1">
      <c t="s" r="A166" s="12">
        <v>169</v>
      </c>
      <c r="B166" s="13">
        <v>828.42999999999995</v>
      </c>
      <c r="C166" s="14">
        <f>IFERROR(B166/B327, "NA")</f>
      </c>
      <c r="D166" s="15"/>
      <c r="E166" s="13">
        <v>614.20000000000005</v>
      </c>
      <c r="F166" s="14">
        <f>IFERROR(E166/E327, "NA")</f>
      </c>
      <c r="G166" s="15"/>
      <c r="H166" s="13">
        <v>999.38</v>
      </c>
      <c r="I166" s="14">
        <f>IFERROR(H166/H327, "NA")</f>
      </c>
      <c r="J166" s="15"/>
      <c r="K166" s="13">
        <v>558.70000000000005</v>
      </c>
      <c r="L166" s="14">
        <f>IFERROR(K166/K327, "NA")</f>
      </c>
      <c r="M166" s="15"/>
      <c r="N166" s="13">
        <v>0</v>
      </c>
      <c r="O166" s="14">
        <f>IFERROR(N166/N327, "NA")</f>
      </c>
    </row>
    <row r="167" ht="16.5" customHeight="1">
      <c t="s" r="A167" s="12">
        <v>170</v>
      </c>
      <c r="B167" s="13">
        <v>678.08000000000004</v>
      </c>
      <c r="C167" s="14">
        <f>IFERROR(B167/B327, "NA")</f>
      </c>
      <c r="D167" s="15"/>
      <c r="E167" s="13">
        <v>403.54000000000002</v>
      </c>
      <c r="F167" s="14">
        <f>IFERROR(E167/E327, "NA")</f>
      </c>
      <c r="G167" s="15"/>
      <c r="H167" s="13">
        <v>1320.8399999999999</v>
      </c>
      <c r="I167" s="14">
        <f>IFERROR(H167/H327, "NA")</f>
      </c>
      <c r="J167" s="15"/>
      <c r="K167" s="13">
        <v>814.35000000000002</v>
      </c>
      <c r="L167" s="14">
        <f>IFERROR(K167/K327, "NA")</f>
      </c>
      <c r="M167" s="15"/>
      <c r="N167" s="13">
        <v>0</v>
      </c>
      <c r="O167" s="14">
        <f>IFERROR(N167/N327, "NA")</f>
      </c>
    </row>
    <row r="168" ht="16.5" customHeight="1">
      <c t="s" r="A168" s="12">
        <v>171</v>
      </c>
      <c r="B168" s="13">
        <v>730.39999999999998</v>
      </c>
      <c r="C168" s="14">
        <f>IFERROR(B168/B327, "NA")</f>
      </c>
      <c r="D168" s="15"/>
      <c r="E168" s="13">
        <v>700.97000000000003</v>
      </c>
      <c r="F168" s="14">
        <f>IFERROR(E168/E327, "NA")</f>
      </c>
      <c r="G168" s="15"/>
      <c r="H168" s="13">
        <v>1808.0999999999999</v>
      </c>
      <c r="I168" s="14">
        <f>IFERROR(H168/H327, "NA")</f>
      </c>
      <c r="J168" s="15"/>
      <c r="K168" s="13">
        <v>1022.35</v>
      </c>
      <c r="L168" s="14">
        <f>IFERROR(K168/K327, "NA")</f>
      </c>
      <c r="M168" s="15"/>
      <c r="N168" s="13">
        <v>0</v>
      </c>
      <c r="O168" s="14">
        <f>IFERROR(N168/N327, "NA")</f>
      </c>
    </row>
    <row r="169" ht="16.5" customHeight="1">
      <c t="s" r="A169" s="12">
        <v>172</v>
      </c>
      <c r="B169" s="13">
        <v>0</v>
      </c>
      <c r="C169" s="14">
        <f>IFERROR(B169/B327, "NA")</f>
      </c>
      <c r="D169" s="15"/>
      <c r="E169" s="13">
        <v>0</v>
      </c>
      <c r="F169" s="14">
        <f>IFERROR(E169/E327, "NA")</f>
      </c>
      <c r="G169" s="15"/>
      <c r="H169" s="13">
        <v>0</v>
      </c>
      <c r="I169" s="14">
        <f>IFERROR(H169/H327, "NA")</f>
      </c>
      <c r="J169" s="15"/>
      <c r="K169" s="13">
        <v>0</v>
      </c>
      <c r="L169" s="14">
        <f>IFERROR(K169/K327, "NA")</f>
      </c>
      <c r="M169" s="15"/>
      <c r="N169" s="13">
        <v>0</v>
      </c>
      <c r="O169" s="14">
        <f>IFERROR(N169/N327, "NA")</f>
      </c>
    </row>
    <row r="170" ht="16.5" customHeight="1">
      <c t="s" r="A170" s="12">
        <v>173</v>
      </c>
      <c r="B170" s="13">
        <v>5317.21</v>
      </c>
      <c r="C170" s="14">
        <f>IFERROR(B170/B327, "NA")</f>
      </c>
      <c r="D170" s="15"/>
      <c r="E170" s="13">
        <v>120.18000000000001</v>
      </c>
      <c r="F170" s="14">
        <f>IFERROR(E170/E327, "NA")</f>
      </c>
      <c r="G170" s="15"/>
      <c r="H170" s="13">
        <v>426.77999999999997</v>
      </c>
      <c r="I170" s="14">
        <f>IFERROR(H170/H327, "NA")</f>
      </c>
      <c r="J170" s="15"/>
      <c r="K170" s="13">
        <v>803.48000000000002</v>
      </c>
      <c r="L170" s="14">
        <f>IFERROR(K170/K327, "NA")</f>
      </c>
      <c r="M170" s="15"/>
      <c r="N170" s="13">
        <v>0</v>
      </c>
      <c r="O170" s="14">
        <f>IFERROR(N170/N327, "NA")</f>
      </c>
    </row>
    <row r="171" ht="16.5" customHeight="1">
      <c t="s" r="A171" s="12">
        <v>174</v>
      </c>
      <c r="B171" s="13">
        <v>0</v>
      </c>
      <c r="C171" s="14">
        <f>IFERROR(B171/B327, "NA")</f>
      </c>
      <c r="D171" s="15"/>
      <c r="E171" s="13">
        <v>570.05999999999995</v>
      </c>
      <c r="F171" s="14">
        <f>IFERROR(E171/E327, "NA")</f>
      </c>
      <c r="G171" s="15"/>
      <c r="H171" s="13">
        <v>0</v>
      </c>
      <c r="I171" s="14">
        <f>IFERROR(H171/H327, "NA")</f>
      </c>
      <c r="J171" s="15"/>
      <c r="K171" s="13">
        <v>2584.46</v>
      </c>
      <c r="L171" s="14">
        <f>IFERROR(K171/K327, "NA")</f>
      </c>
      <c r="M171" s="15"/>
      <c r="N171" s="13">
        <v>0</v>
      </c>
      <c r="O171" s="14">
        <f>IFERROR(N171/N327, "NA")</f>
      </c>
    </row>
    <row r="172" ht="16.5" customHeight="1">
      <c t="s" r="A172" s="12">
        <v>175</v>
      </c>
      <c r="B172" s="13">
        <v>0</v>
      </c>
      <c r="C172" s="14">
        <f>IFERROR(B172/B327, "NA")</f>
      </c>
      <c r="D172" s="15"/>
      <c r="E172" s="13">
        <v>0</v>
      </c>
      <c r="F172" s="14">
        <f>IFERROR(E172/E327, "NA")</f>
      </c>
      <c r="G172" s="15"/>
      <c r="H172" s="13">
        <v>0</v>
      </c>
      <c r="I172" s="14">
        <f>IFERROR(H172/H327, "NA")</f>
      </c>
      <c r="J172" s="15"/>
      <c r="K172" s="13">
        <v>0</v>
      </c>
      <c r="L172" s="14">
        <f>IFERROR(K172/K327, "NA")</f>
      </c>
      <c r="M172" s="15"/>
      <c r="N172" s="13">
        <v>0</v>
      </c>
      <c r="O172" s="14">
        <f>IFERROR(N172/N327, "NA")</f>
      </c>
    </row>
    <row r="173" ht="16.5" customHeight="1">
      <c t="s" r="A173" s="12">
        <v>176</v>
      </c>
      <c r="B173" s="13">
        <v>0</v>
      </c>
      <c r="C173" s="14">
        <f>IFERROR(B173/B327, "NA")</f>
      </c>
      <c r="D173" s="15"/>
      <c r="E173" s="13">
        <v>0</v>
      </c>
      <c r="F173" s="14">
        <f>IFERROR(E173/E327, "NA")</f>
      </c>
      <c r="G173" s="15"/>
      <c r="H173" s="13">
        <v>0</v>
      </c>
      <c r="I173" s="14">
        <f>IFERROR(H173/H327, "NA")</f>
      </c>
      <c r="J173" s="15"/>
      <c r="K173" s="13">
        <v>0</v>
      </c>
      <c r="L173" s="14">
        <f>IFERROR(K173/K327, "NA")</f>
      </c>
      <c r="M173" s="15"/>
      <c r="N173" s="13">
        <v>0</v>
      </c>
      <c r="O173" s="14">
        <f>IFERROR(N173/N327, "NA")</f>
      </c>
    </row>
    <row r="174" ht="16.5" customHeight="1">
      <c t="s" r="A174" s="12">
        <v>177</v>
      </c>
      <c r="B174" s="13">
        <v>0</v>
      </c>
      <c r="C174" s="14">
        <f>IFERROR(B174/B327, "NA")</f>
      </c>
      <c r="D174" s="15"/>
      <c r="E174" s="13">
        <v>0</v>
      </c>
      <c r="F174" s="14">
        <f>IFERROR(E174/E327, "NA")</f>
      </c>
      <c r="G174" s="15"/>
      <c r="H174" s="13">
        <v>0</v>
      </c>
      <c r="I174" s="14">
        <f>IFERROR(H174/H327, "NA")</f>
      </c>
      <c r="J174" s="15"/>
      <c r="K174" s="13">
        <v>0</v>
      </c>
      <c r="L174" s="14">
        <f>IFERROR(K174/K327, "NA")</f>
      </c>
      <c r="M174" s="15"/>
      <c r="N174" s="13">
        <v>0</v>
      </c>
      <c r="O174" s="14">
        <f>IFERROR(N174/N327, "NA")</f>
      </c>
    </row>
    <row r="175" ht="16.5" customHeight="1">
      <c t="s" r="A175" s="12">
        <v>178</v>
      </c>
      <c r="B175" s="13">
        <v>945.95000000000005</v>
      </c>
      <c r="C175" s="14">
        <f>IFERROR(B175/B327, "NA")</f>
      </c>
      <c r="D175" s="15"/>
      <c r="E175" s="13">
        <v>547.92999999999995</v>
      </c>
      <c r="F175" s="14">
        <f>IFERROR(E175/E327, "NA")</f>
      </c>
      <c r="G175" s="15"/>
      <c r="H175" s="13">
        <v>1869.8599999999999</v>
      </c>
      <c r="I175" s="14">
        <f>IFERROR(H175/H327, "NA")</f>
      </c>
      <c r="J175" s="15"/>
      <c r="K175" s="13">
        <v>1066.99</v>
      </c>
      <c r="L175" s="14">
        <f>IFERROR(K175/K327, "NA")</f>
      </c>
      <c r="M175" s="15"/>
      <c r="N175" s="13">
        <v>0</v>
      </c>
      <c r="O175" s="14">
        <f>IFERROR(N175/N327, "NA")</f>
      </c>
    </row>
    <row r="176" ht="16.5" customHeight="1">
      <c t="s" r="A176" s="12">
        <v>179</v>
      </c>
      <c r="B176" s="13">
        <v>626.86000000000001</v>
      </c>
      <c r="C176" s="14">
        <f>IFERROR(B176/B327, "NA")</f>
      </c>
      <c r="D176" s="15"/>
      <c r="E176" s="13">
        <v>452.56</v>
      </c>
      <c r="F176" s="14">
        <f>IFERROR(E176/E327, "NA")</f>
      </c>
      <c r="G176" s="15"/>
      <c r="H176" s="13">
        <v>1805.8199999999999</v>
      </c>
      <c r="I176" s="14">
        <f>IFERROR(H176/H327, "NA")</f>
      </c>
      <c r="J176" s="15"/>
      <c r="K176" s="13">
        <v>1288</v>
      </c>
      <c r="L176" s="14">
        <f>IFERROR(K176/K327, "NA")</f>
      </c>
      <c r="M176" s="15"/>
      <c r="N176" s="13">
        <v>0</v>
      </c>
      <c r="O176" s="14">
        <f>IFERROR(N176/N327, "NA")</f>
      </c>
    </row>
    <row r="177" ht="16.5" customHeight="1">
      <c t="s" r="A177" s="12">
        <v>180</v>
      </c>
      <c r="B177" s="13">
        <v>0</v>
      </c>
      <c r="C177" s="14">
        <f>IFERROR(B177/B327, "NA")</f>
      </c>
      <c r="D177" s="15"/>
      <c r="E177" s="13">
        <v>0</v>
      </c>
      <c r="F177" s="14">
        <f>IFERROR(E177/E327, "NA")</f>
      </c>
      <c r="G177" s="15"/>
      <c r="H177" s="13">
        <v>0</v>
      </c>
      <c r="I177" s="14">
        <f>IFERROR(H177/H327, "NA")</f>
      </c>
      <c r="J177" s="15"/>
      <c r="K177" s="13">
        <v>0</v>
      </c>
      <c r="L177" s="14">
        <f>IFERROR(K177/K327, "NA")</f>
      </c>
      <c r="M177" s="15"/>
      <c r="N177" s="13">
        <v>0</v>
      </c>
      <c r="O177" s="14">
        <f>IFERROR(N177/N327, "NA")</f>
      </c>
    </row>
    <row r="178" ht="16.5" customHeight="1">
      <c t="s" r="A178" s="12">
        <v>181</v>
      </c>
      <c r="B178" s="13">
        <v>-0.01</v>
      </c>
      <c r="C178" s="14">
        <f>IFERROR(B178/B327, "NA")</f>
      </c>
      <c r="D178" s="15"/>
      <c r="E178" s="13">
        <v>0</v>
      </c>
      <c r="F178" s="14">
        <f>IFERROR(E178/E327, "NA")</f>
      </c>
      <c r="G178" s="15"/>
      <c r="H178" s="13">
        <v>0</v>
      </c>
      <c r="I178" s="14">
        <f>IFERROR(H178/H327, "NA")</f>
      </c>
      <c r="J178" s="15"/>
      <c r="K178" s="13">
        <v>548</v>
      </c>
      <c r="L178" s="14">
        <f>IFERROR(K178/K327, "NA")</f>
      </c>
      <c r="M178" s="15"/>
      <c r="N178" s="13">
        <v>0</v>
      </c>
      <c r="O178" s="14">
        <f>IFERROR(N178/N327, "NA")</f>
      </c>
    </row>
    <row r="179" ht="16.5" customHeight="1">
      <c t="s" r="A179" s="12">
        <v>182</v>
      </c>
      <c r="B179" s="13">
        <v>2094.5700000000002</v>
      </c>
      <c r="C179" s="14">
        <f>IFERROR(B179/B327, "NA")</f>
      </c>
      <c r="D179" s="15"/>
      <c r="E179" s="13">
        <v>0</v>
      </c>
      <c r="F179" s="14">
        <f>IFERROR(E179/E327, "NA")</f>
      </c>
      <c r="G179" s="15"/>
      <c r="H179" s="13">
        <v>0</v>
      </c>
      <c r="I179" s="14">
        <f>IFERROR(H179/H327, "NA")</f>
      </c>
      <c r="J179" s="15"/>
      <c r="K179" s="13">
        <v>0</v>
      </c>
      <c r="L179" s="14">
        <f>IFERROR(K179/K327, "NA")</f>
      </c>
      <c r="M179" s="15"/>
      <c r="N179" s="13">
        <v>0</v>
      </c>
      <c r="O179" s="14">
        <f>IFERROR(N179/N327, "NA")</f>
      </c>
    </row>
    <row r="180" ht="16.5" customHeight="1">
      <c t="s" r="A180" s="12">
        <v>183</v>
      </c>
      <c r="B180" s="13">
        <v>329.60000000000002</v>
      </c>
      <c r="C180" s="14">
        <f>IFERROR(B180/B327, "NA")</f>
      </c>
      <c r="D180" s="15"/>
      <c r="E180" s="13">
        <v>0</v>
      </c>
      <c r="F180" s="14">
        <f>IFERROR(E180/E327, "NA")</f>
      </c>
      <c r="G180" s="15"/>
      <c r="H180" s="13">
        <v>0</v>
      </c>
      <c r="I180" s="14">
        <f>IFERROR(H180/H327, "NA")</f>
      </c>
      <c r="J180" s="15"/>
      <c r="K180" s="13">
        <v>199.80000000000001</v>
      </c>
      <c r="L180" s="14">
        <f>IFERROR(K180/K327, "NA")</f>
      </c>
      <c r="M180" s="15"/>
      <c r="N180" s="13">
        <v>2100</v>
      </c>
      <c r="O180" s="14">
        <f>IFERROR(N180/N327, "NA")</f>
      </c>
    </row>
    <row r="181" ht="16.5" customHeight="1">
      <c t="s" r="A181" s="12">
        <v>184</v>
      </c>
      <c r="B181" s="13">
        <v>0</v>
      </c>
      <c r="C181" s="14">
        <f>IFERROR(B181/B327, "NA")</f>
      </c>
      <c r="D181" s="15"/>
      <c r="E181" s="13">
        <v>0</v>
      </c>
      <c r="F181" s="14">
        <f>IFERROR(E181/E327, "NA")</f>
      </c>
      <c r="G181" s="15"/>
      <c r="H181" s="13">
        <v>0</v>
      </c>
      <c r="I181" s="14">
        <f>IFERROR(H181/H327, "NA")</f>
      </c>
      <c r="J181" s="15"/>
      <c r="K181" s="13">
        <v>0</v>
      </c>
      <c r="L181" s="14">
        <f>IFERROR(K181/K327, "NA")</f>
      </c>
      <c r="M181" s="15"/>
      <c r="N181" s="13">
        <v>0</v>
      </c>
      <c r="O181" s="14">
        <f>IFERROR(N181/N327, "NA")</f>
      </c>
    </row>
    <row r="182" ht="16.5" customHeight="1">
      <c t="s" r="A182" s="12">
        <v>185</v>
      </c>
      <c r="B182" s="13">
        <v>52.859999999999999</v>
      </c>
      <c r="C182" s="14">
        <f>IFERROR(B182/B327, "NA")</f>
      </c>
      <c r="D182" s="15"/>
      <c r="E182" s="13">
        <v>0</v>
      </c>
      <c r="F182" s="14">
        <f>IFERROR(E182/E327, "NA")</f>
      </c>
      <c r="G182" s="15"/>
      <c r="H182" s="13">
        <v>0</v>
      </c>
      <c r="I182" s="14">
        <f>IFERROR(H182/H327, "NA")</f>
      </c>
      <c r="J182" s="15"/>
      <c r="K182" s="13">
        <v>322.57999999999998</v>
      </c>
      <c r="L182" s="14">
        <f>IFERROR(K182/K327, "NA")</f>
      </c>
      <c r="M182" s="15"/>
      <c r="N182" s="13">
        <v>0</v>
      </c>
      <c r="O182" s="14">
        <f>IFERROR(N182/N327, "NA")</f>
      </c>
    </row>
    <row r="183" ht="16.5" customHeight="1">
      <c t="s" r="A183" s="12">
        <v>186</v>
      </c>
      <c r="B183" s="13">
        <v>0</v>
      </c>
      <c r="C183" s="14">
        <f>IFERROR(B183/B327, "NA")</f>
      </c>
      <c r="D183" s="15"/>
      <c r="E183" s="13">
        <v>0</v>
      </c>
      <c r="F183" s="14">
        <f>IFERROR(E183/E327, "NA")</f>
      </c>
      <c r="G183" s="15"/>
      <c r="H183" s="13">
        <v>0</v>
      </c>
      <c r="I183" s="14">
        <f>IFERROR(H183/H327, "NA")</f>
      </c>
      <c r="J183" s="15"/>
      <c r="K183" s="13">
        <v>0</v>
      </c>
      <c r="L183" s="14">
        <f>IFERROR(K183/K327, "NA")</f>
      </c>
      <c r="M183" s="15"/>
      <c r="N183" s="13">
        <v>0</v>
      </c>
      <c r="O183" s="14">
        <f>IFERROR(N183/N327, "NA")</f>
      </c>
    </row>
    <row r="184" ht="16.5" customHeight="1">
      <c t="s" r="A184" s="12">
        <v>187</v>
      </c>
      <c r="B184" s="13">
        <v>0</v>
      </c>
      <c r="C184" s="14">
        <f>IFERROR(B184/B327, "NA")</f>
      </c>
      <c r="D184" s="15"/>
      <c r="E184" s="13">
        <v>81.769999999999996</v>
      </c>
      <c r="F184" s="14">
        <f>IFERROR(E184/E327, "NA")</f>
      </c>
      <c r="G184" s="15"/>
      <c r="H184" s="13">
        <v>700</v>
      </c>
      <c r="I184" s="14">
        <f>IFERROR(H184/H327, "NA")</f>
      </c>
      <c r="J184" s="15"/>
      <c r="K184" s="13">
        <v>118.73</v>
      </c>
      <c r="L184" s="14">
        <f>IFERROR(K184/K327, "NA")</f>
      </c>
      <c r="M184" s="15"/>
      <c r="N184" s="13">
        <v>0</v>
      </c>
      <c r="O184" s="14">
        <f>IFERROR(N184/N327, "NA")</f>
      </c>
    </row>
    <row r="185" ht="16.5" customHeight="1">
      <c t="s" r="A185" s="12">
        <v>188</v>
      </c>
      <c r="B185" s="13">
        <v>0</v>
      </c>
      <c r="C185" s="14">
        <f>IFERROR(B185/B327, "NA")</f>
      </c>
      <c r="D185" s="15"/>
      <c r="E185" s="13">
        <v>0</v>
      </c>
      <c r="F185" s="14">
        <f>IFERROR(E185/E327, "NA")</f>
      </c>
      <c r="G185" s="15"/>
      <c r="H185" s="13">
        <v>0</v>
      </c>
      <c r="I185" s="14">
        <f>IFERROR(H185/H327, "NA")</f>
      </c>
      <c r="J185" s="15"/>
      <c r="K185" s="13">
        <v>0</v>
      </c>
      <c r="L185" s="14">
        <f>IFERROR(K185/K327, "NA")</f>
      </c>
      <c r="M185" s="15"/>
      <c r="N185" s="13">
        <v>0</v>
      </c>
      <c r="O185" s="14">
        <f>IFERROR(N185/N327, "NA")</f>
      </c>
    </row>
    <row r="186" ht="16.5" customHeight="1">
      <c t="s" r="A186" s="12">
        <v>189</v>
      </c>
      <c r="B186" s="13">
        <v>0</v>
      </c>
      <c r="C186" s="14">
        <f>IFERROR(B186/B327, "NA")</f>
      </c>
      <c r="D186" s="15"/>
      <c r="E186" s="13">
        <v>0</v>
      </c>
      <c r="F186" s="14">
        <f>IFERROR(E186/E327, "NA")</f>
      </c>
      <c r="G186" s="15"/>
      <c r="H186" s="13">
        <v>0</v>
      </c>
      <c r="I186" s="14">
        <f>IFERROR(H186/H327, "NA")</f>
      </c>
      <c r="J186" s="15"/>
      <c r="K186" s="13">
        <v>0</v>
      </c>
      <c r="L186" s="14">
        <f>IFERROR(K186/K327, "NA")</f>
      </c>
      <c r="M186" s="15"/>
      <c r="N186" s="13">
        <v>0</v>
      </c>
      <c r="O186" s="14">
        <f>IFERROR(N186/N327, "NA")</f>
      </c>
    </row>
    <row r="187" ht="16.5" customHeight="1">
      <c t="s" r="A187" s="12">
        <v>190</v>
      </c>
      <c r="B187" s="13">
        <v>677.15999999999997</v>
      </c>
      <c r="C187" s="14">
        <f>IFERROR(B187/B327, "NA")</f>
      </c>
      <c r="D187" s="15"/>
      <c r="E187" s="13">
        <v>822.41999999999996</v>
      </c>
      <c r="F187" s="14">
        <f>IFERROR(E187/E327, "NA")</f>
      </c>
      <c r="G187" s="15"/>
      <c r="H187" s="13">
        <v>0</v>
      </c>
      <c r="I187" s="14">
        <f>IFERROR(H187/H327, "NA")</f>
      </c>
      <c r="J187" s="15"/>
      <c r="K187" s="13">
        <v>0</v>
      </c>
      <c r="L187" s="14">
        <f>IFERROR(K187/K327, "NA")</f>
      </c>
      <c r="M187" s="15"/>
      <c r="N187" s="13">
        <v>0</v>
      </c>
      <c r="O187" s="14">
        <f>IFERROR(N187/N327, "NA")</f>
      </c>
    </row>
    <row r="188" ht="16.5" customHeight="1">
      <c t="s" r="A188" s="12">
        <v>191</v>
      </c>
      <c r="B188" s="13">
        <v>230.94999999999999</v>
      </c>
      <c r="C188" s="14">
        <f>IFERROR(B188/B327, "NA")</f>
      </c>
      <c r="D188" s="15"/>
      <c r="E188" s="13">
        <v>27.899999999999999</v>
      </c>
      <c r="F188" s="14">
        <f>IFERROR(E188/E327, "NA")</f>
      </c>
      <c r="G188" s="15"/>
      <c r="H188" s="13">
        <v>0</v>
      </c>
      <c r="I188" s="14">
        <f>IFERROR(H188/H327, "NA")</f>
      </c>
      <c r="J188" s="15"/>
      <c r="K188" s="13">
        <v>1287.6900000000001</v>
      </c>
      <c r="L188" s="14">
        <f>IFERROR(K188/K327, "NA")</f>
      </c>
      <c r="M188" s="15"/>
      <c r="N188" s="13">
        <v>0</v>
      </c>
      <c r="O188" s="14">
        <f>IFERROR(N188/N327, "NA")</f>
      </c>
    </row>
    <row r="189" ht="16.5" customHeight="1">
      <c t="s" r="A189" s="12">
        <v>192</v>
      </c>
      <c r="B189" s="13">
        <v>514.39999999999998</v>
      </c>
      <c r="C189" s="14">
        <f>IFERROR(B189/B327, "NA")</f>
      </c>
      <c r="D189" s="15"/>
      <c r="E189" s="13">
        <v>360</v>
      </c>
      <c r="F189" s="14">
        <f>IFERROR(E189/E327, "NA")</f>
      </c>
      <c r="G189" s="15"/>
      <c r="H189" s="13">
        <v>5843.3000000000002</v>
      </c>
      <c r="I189" s="14">
        <f>IFERROR(H189/H327, "NA")</f>
      </c>
      <c r="J189" s="15"/>
      <c r="K189" s="13">
        <v>2550.2199999999998</v>
      </c>
      <c r="L189" s="14">
        <f>IFERROR(K189/K327, "NA")</f>
      </c>
      <c r="M189" s="15"/>
      <c r="N189" s="13">
        <v>0</v>
      </c>
      <c r="O189" s="14">
        <f>IFERROR(N189/N327, "NA")</f>
      </c>
    </row>
    <row r="190" ht="16.5" customHeight="1">
      <c t="s" r="A190" s="12">
        <v>193</v>
      </c>
      <c r="B190" s="13">
        <v>0</v>
      </c>
      <c r="C190" s="14">
        <f>IFERROR(B190/B327, "NA")</f>
      </c>
      <c r="D190" s="15"/>
      <c r="E190" s="13">
        <v>0</v>
      </c>
      <c r="F190" s="14">
        <f>IFERROR(E190/E327, "NA")</f>
      </c>
      <c r="G190" s="15"/>
      <c r="H190" s="13">
        <v>0</v>
      </c>
      <c r="I190" s="14">
        <f>IFERROR(H190/H327, "NA")</f>
      </c>
      <c r="J190" s="15"/>
      <c r="K190" s="13">
        <v>0</v>
      </c>
      <c r="L190" s="14">
        <f>IFERROR(K190/K327, "NA")</f>
      </c>
      <c r="M190" s="15"/>
      <c r="N190" s="13">
        <v>0</v>
      </c>
      <c r="O190" s="14">
        <f>IFERROR(N190/N327, "NA")</f>
      </c>
    </row>
    <row r="191" ht="16.5" customHeight="1">
      <c t="s" r="A191" s="12">
        <v>194</v>
      </c>
      <c r="B191" s="13">
        <v>0</v>
      </c>
      <c r="C191" s="14">
        <f>IFERROR(B191/B327, "NA")</f>
      </c>
      <c r="D191" s="15"/>
      <c r="E191" s="13">
        <v>0</v>
      </c>
      <c r="F191" s="14">
        <f>IFERROR(E191/E327, "NA")</f>
      </c>
      <c r="G191" s="15"/>
      <c r="H191" s="13">
        <v>0</v>
      </c>
      <c r="I191" s="14">
        <f>IFERROR(H191/H327, "NA")</f>
      </c>
      <c r="J191" s="15"/>
      <c r="K191" s="13">
        <v>0</v>
      </c>
      <c r="L191" s="14">
        <f>IFERROR(K191/K327, "NA")</f>
      </c>
      <c r="M191" s="15"/>
      <c r="N191" s="13">
        <v>0</v>
      </c>
      <c r="O191" s="14">
        <f>IFERROR(N191/N327, "NA")</f>
      </c>
    </row>
    <row r="192" ht="16.5" customHeight="1">
      <c t="s" r="A192" s="12">
        <v>195</v>
      </c>
      <c r="B192" s="13">
        <v>0</v>
      </c>
      <c r="C192" s="14">
        <f>IFERROR(B192/B327, "NA")</f>
      </c>
      <c r="D192" s="15"/>
      <c r="E192" s="13">
        <v>462.5</v>
      </c>
      <c r="F192" s="14">
        <f>IFERROR(E192/E327, "NA")</f>
      </c>
      <c r="G192" s="15"/>
      <c r="H192" s="13">
        <v>3325.5599999999999</v>
      </c>
      <c r="I192" s="14">
        <f>IFERROR(H192/H327, "NA")</f>
      </c>
      <c r="J192" s="15"/>
      <c r="K192" s="13">
        <v>0</v>
      </c>
      <c r="L192" s="14">
        <f>IFERROR(K192/K327, "NA")</f>
      </c>
      <c r="M192" s="15"/>
      <c r="N192" s="13">
        <v>0</v>
      </c>
      <c r="O192" s="14">
        <f>IFERROR(N192/N327, "NA")</f>
      </c>
    </row>
    <row r="193" ht="16.5" customHeight="1">
      <c t="s" r="A193" s="12">
        <v>196</v>
      </c>
      <c r="B193" s="13">
        <v>0</v>
      </c>
      <c r="C193" s="14">
        <f>IFERROR(B193/B327, "NA")</f>
      </c>
      <c r="D193" s="15"/>
      <c r="E193" s="13">
        <v>0</v>
      </c>
      <c r="F193" s="14">
        <f>IFERROR(E193/E327, "NA")</f>
      </c>
      <c r="G193" s="15"/>
      <c r="H193" s="13">
        <v>0</v>
      </c>
      <c r="I193" s="14">
        <f>IFERROR(H193/H327, "NA")</f>
      </c>
      <c r="J193" s="15"/>
      <c r="K193" s="13">
        <v>0</v>
      </c>
      <c r="L193" s="14">
        <f>IFERROR(K193/K327, "NA")</f>
      </c>
      <c r="M193" s="15"/>
      <c r="N193" s="13">
        <v>0</v>
      </c>
      <c r="O193" s="14">
        <f>IFERROR(N193/N327, "NA")</f>
      </c>
    </row>
    <row r="194" ht="16.5" customHeight="1">
      <c t="s" r="A194" s="12">
        <v>197</v>
      </c>
      <c r="B194" s="13">
        <v>0</v>
      </c>
      <c r="C194" s="14">
        <f>IFERROR(B194/B327, "NA")</f>
      </c>
      <c r="D194" s="15"/>
      <c r="E194" s="13">
        <v>0</v>
      </c>
      <c r="F194" s="14">
        <f>IFERROR(E194/E327, "NA")</f>
      </c>
      <c r="G194" s="15"/>
      <c r="H194" s="13">
        <v>0</v>
      </c>
      <c r="I194" s="14">
        <f>IFERROR(H194/H327, "NA")</f>
      </c>
      <c r="J194" s="15"/>
      <c r="K194" s="13">
        <v>0</v>
      </c>
      <c r="L194" s="14">
        <f>IFERROR(K194/K327, "NA")</f>
      </c>
      <c r="M194" s="15"/>
      <c r="N194" s="13">
        <v>0</v>
      </c>
      <c r="O194" s="14">
        <f>IFERROR(N194/N327, "NA")</f>
      </c>
    </row>
    <row r="195" ht="16.5" customHeight="1">
      <c t="s" r="A195" s="12">
        <v>198</v>
      </c>
      <c r="B195" s="13">
        <v>0</v>
      </c>
      <c r="C195" s="14">
        <f>IFERROR(B195/B327, "NA")</f>
      </c>
      <c r="D195" s="15"/>
      <c r="E195" s="13">
        <v>310.80000000000001</v>
      </c>
      <c r="F195" s="14">
        <f>IFERROR(E195/E327, "NA")</f>
      </c>
      <c r="G195" s="15"/>
      <c r="H195" s="13">
        <v>0</v>
      </c>
      <c r="I195" s="14">
        <f>IFERROR(H195/H327, "NA")</f>
      </c>
      <c r="J195" s="15"/>
      <c r="K195" s="13">
        <v>0</v>
      </c>
      <c r="L195" s="14">
        <f>IFERROR(K195/K327, "NA")</f>
      </c>
      <c r="M195" s="15"/>
      <c r="N195" s="13">
        <v>0</v>
      </c>
      <c r="O195" s="14">
        <f>IFERROR(N195/N327, "NA")</f>
      </c>
    </row>
    <row r="196" ht="16.5" customHeight="1">
      <c t="s" r="A196" s="12">
        <v>199</v>
      </c>
      <c r="B196" s="13">
        <v>2650</v>
      </c>
      <c r="C196" s="14">
        <f>IFERROR(B196/B327, "NA")</f>
      </c>
      <c r="D196" s="15"/>
      <c r="E196" s="13">
        <v>5876.8100000000004</v>
      </c>
      <c r="F196" s="14">
        <f>IFERROR(E196/E327, "NA")</f>
      </c>
      <c r="G196" s="15"/>
      <c r="H196" s="13">
        <v>8750</v>
      </c>
      <c r="I196" s="14">
        <f>IFERROR(H196/H327, "NA")</f>
      </c>
      <c r="J196" s="15"/>
      <c r="K196" s="13">
        <v>9739.3600000000006</v>
      </c>
      <c r="L196" s="14">
        <f>IFERROR(K196/K327, "NA")</f>
      </c>
      <c r="M196" s="15"/>
      <c r="N196" s="13">
        <v>-2400</v>
      </c>
      <c r="O196" s="14">
        <f>IFERROR(N196/N327, "NA")</f>
      </c>
    </row>
    <row r="197" ht="16.5" customHeight="1">
      <c t="s" r="A197" s="12">
        <v>200</v>
      </c>
      <c r="B197" s="13">
        <v>0</v>
      </c>
      <c r="C197" s="14">
        <f>IFERROR(B197/B327, "NA")</f>
      </c>
      <c r="D197" s="15"/>
      <c r="E197" s="13">
        <v>0</v>
      </c>
      <c r="F197" s="14">
        <f>IFERROR(E197/E327, "NA")</f>
      </c>
      <c r="G197" s="15"/>
      <c r="H197" s="13">
        <v>0</v>
      </c>
      <c r="I197" s="14">
        <f>IFERROR(H197/H327, "NA")</f>
      </c>
      <c r="J197" s="15"/>
      <c r="K197" s="13">
        <v>0</v>
      </c>
      <c r="L197" s="14">
        <f>IFERROR(K197/K327, "NA")</f>
      </c>
      <c r="M197" s="15"/>
      <c r="N197" s="13">
        <v>0</v>
      </c>
      <c r="O197" s="14">
        <f>IFERROR(N197/N327, "NA")</f>
      </c>
    </row>
    <row r="198" ht="16.5" customHeight="1">
      <c t="s" r="A198" s="12">
        <v>201</v>
      </c>
      <c r="B198" s="13">
        <v>0</v>
      </c>
      <c r="C198" s="14">
        <f>IFERROR(B198/B327, "NA")</f>
      </c>
      <c r="D198" s="15"/>
      <c r="E198" s="13">
        <v>0</v>
      </c>
      <c r="F198" s="14">
        <f>IFERROR(E198/E327, "NA")</f>
      </c>
      <c r="G198" s="15"/>
      <c r="H198" s="13">
        <v>0</v>
      </c>
      <c r="I198" s="14">
        <f>IFERROR(H198/H327, "NA")</f>
      </c>
      <c r="J198" s="15"/>
      <c r="K198" s="13">
        <v>0</v>
      </c>
      <c r="L198" s="14">
        <f>IFERROR(K198/K327, "NA")</f>
      </c>
      <c r="M198" s="15"/>
      <c r="N198" s="13">
        <v>0</v>
      </c>
      <c r="O198" s="14">
        <f>IFERROR(N198/N327, "NA")</f>
      </c>
    </row>
    <row r="199" ht="16.5" customHeight="1">
      <c t="s" r="A199" s="12">
        <v>202</v>
      </c>
      <c r="B199" s="13">
        <v>0</v>
      </c>
      <c r="C199" s="14">
        <f>IFERROR(B199/B327, "NA")</f>
      </c>
      <c r="D199" s="15"/>
      <c r="E199" s="13">
        <v>0</v>
      </c>
      <c r="F199" s="14">
        <f>IFERROR(E199/E327, "NA")</f>
      </c>
      <c r="G199" s="15"/>
      <c r="H199" s="13">
        <v>0</v>
      </c>
      <c r="I199" s="14">
        <f>IFERROR(H199/H327, "NA")</f>
      </c>
      <c r="J199" s="15"/>
      <c r="K199" s="13">
        <v>0</v>
      </c>
      <c r="L199" s="14">
        <f>IFERROR(K199/K327, "NA")</f>
      </c>
      <c r="M199" s="15"/>
      <c r="N199" s="13">
        <v>0</v>
      </c>
      <c r="O199" s="14">
        <f>IFERROR(N199/N327, "NA")</f>
      </c>
    </row>
    <row r="200" ht="16.5" customHeight="1">
      <c t="s" r="A200" s="12">
        <v>203</v>
      </c>
      <c r="B200" s="13">
        <v>0</v>
      </c>
      <c r="C200" s="14">
        <f>IFERROR(B200/B327, "NA")</f>
      </c>
      <c r="D200" s="15"/>
      <c r="E200" s="13">
        <v>0</v>
      </c>
      <c r="F200" s="14">
        <f>IFERROR(E200/E327, "NA")</f>
      </c>
      <c r="G200" s="15"/>
      <c r="H200" s="13">
        <v>0</v>
      </c>
      <c r="I200" s="14">
        <f>IFERROR(H200/H327, "NA")</f>
      </c>
      <c r="J200" s="15"/>
      <c r="K200" s="13">
        <v>0</v>
      </c>
      <c r="L200" s="14">
        <f>IFERROR(K200/K327, "NA")</f>
      </c>
      <c r="M200" s="15"/>
      <c r="N200" s="13">
        <v>0</v>
      </c>
      <c r="O200" s="14">
        <f>IFERROR(N200/N327, "NA")</f>
      </c>
    </row>
    <row r="201" ht="16.5" customHeight="1">
      <c t="s" r="A201" s="12">
        <v>204</v>
      </c>
      <c r="B201" s="13">
        <v>0</v>
      </c>
      <c r="C201" s="14">
        <f>IFERROR(B201/B327, "NA")</f>
      </c>
      <c r="D201" s="15"/>
      <c r="E201" s="13">
        <v>0</v>
      </c>
      <c r="F201" s="14">
        <f>IFERROR(E201/E327, "NA")</f>
      </c>
      <c r="G201" s="15"/>
      <c r="H201" s="13">
        <v>0</v>
      </c>
      <c r="I201" s="14">
        <f>IFERROR(H201/H327, "NA")</f>
      </c>
      <c r="J201" s="15"/>
      <c r="K201" s="13">
        <v>0</v>
      </c>
      <c r="L201" s="14">
        <f>IFERROR(K201/K327, "NA")</f>
      </c>
      <c r="M201" s="15"/>
      <c r="N201" s="13">
        <v>0</v>
      </c>
      <c r="O201" s="14">
        <f>IFERROR(N201/N327, "NA")</f>
      </c>
    </row>
    <row r="202" ht="16.5" customHeight="1">
      <c t="s" r="A202" s="12">
        <v>205</v>
      </c>
      <c r="B202" s="13">
        <v>0</v>
      </c>
      <c r="C202" s="14">
        <f>IFERROR(B202/B327, "NA")</f>
      </c>
      <c r="D202" s="15"/>
      <c r="E202" s="13">
        <v>0</v>
      </c>
      <c r="F202" s="14">
        <f>IFERROR(E202/E327, "NA")</f>
      </c>
      <c r="G202" s="15"/>
      <c r="H202" s="13">
        <v>0</v>
      </c>
      <c r="I202" s="14">
        <f>IFERROR(H202/H327, "NA")</f>
      </c>
      <c r="J202" s="15"/>
      <c r="K202" s="13">
        <v>0</v>
      </c>
      <c r="L202" s="14">
        <f>IFERROR(K202/K327, "NA")</f>
      </c>
      <c r="M202" s="15"/>
      <c r="N202" s="13">
        <v>0</v>
      </c>
      <c r="O202" s="14">
        <f>IFERROR(N202/N327, "NA")</f>
      </c>
    </row>
    <row r="203" ht="16.5" customHeight="1">
      <c t="s" r="A203" s="12">
        <v>206</v>
      </c>
      <c r="B203" s="13">
        <v>0</v>
      </c>
      <c r="C203" s="14">
        <f>IFERROR(B203/B327, "NA")</f>
      </c>
      <c r="D203" s="15"/>
      <c r="E203" s="13">
        <v>0</v>
      </c>
      <c r="F203" s="14">
        <f>IFERROR(E203/E327, "NA")</f>
      </c>
      <c r="G203" s="15"/>
      <c r="H203" s="13">
        <v>0</v>
      </c>
      <c r="I203" s="14">
        <f>IFERROR(H203/H327, "NA")</f>
      </c>
      <c r="J203" s="15"/>
      <c r="K203" s="13">
        <v>0</v>
      </c>
      <c r="L203" s="14">
        <f>IFERROR(K203/K327, "NA")</f>
      </c>
      <c r="M203" s="15"/>
      <c r="N203" s="13">
        <v>0</v>
      </c>
      <c r="O203" s="14">
        <f>IFERROR(N203/N327, "NA")</f>
      </c>
    </row>
    <row r="204" ht="16.5" customHeight="1">
      <c t="s" r="A204" s="12">
        <v>207</v>
      </c>
      <c r="B204" s="13">
        <v>0</v>
      </c>
      <c r="C204" s="14">
        <f>IFERROR(B204/B327, "NA")</f>
      </c>
      <c r="D204" s="15"/>
      <c r="E204" s="13">
        <v>0</v>
      </c>
      <c r="F204" s="14">
        <f>IFERROR(E204/E327, "NA")</f>
      </c>
      <c r="G204" s="15"/>
      <c r="H204" s="13">
        <v>0</v>
      </c>
      <c r="I204" s="14">
        <f>IFERROR(H204/H327, "NA")</f>
      </c>
      <c r="J204" s="15"/>
      <c r="K204" s="13">
        <v>0</v>
      </c>
      <c r="L204" s="14">
        <f>IFERROR(K204/K327, "NA")</f>
      </c>
      <c r="M204" s="15"/>
      <c r="N204" s="13">
        <v>0</v>
      </c>
      <c r="O204" s="14">
        <f>IFERROR(N204/N327, "NA")</f>
      </c>
    </row>
    <row r="205" ht="16.5" customHeight="1">
      <c t="s" r="A205" s="12">
        <v>208</v>
      </c>
      <c r="B205" s="13">
        <v>0</v>
      </c>
      <c r="C205" s="14">
        <f>IFERROR(B205/B327, "NA")</f>
      </c>
      <c r="D205" s="15"/>
      <c r="E205" s="13">
        <v>0</v>
      </c>
      <c r="F205" s="14">
        <f>IFERROR(E205/E327, "NA")</f>
      </c>
      <c r="G205" s="15"/>
      <c r="H205" s="13">
        <v>0</v>
      </c>
      <c r="I205" s="14">
        <f>IFERROR(H205/H327, "NA")</f>
      </c>
      <c r="J205" s="15"/>
      <c r="K205" s="13">
        <v>0</v>
      </c>
      <c r="L205" s="14">
        <f>IFERROR(K205/K327, "NA")</f>
      </c>
      <c r="M205" s="15"/>
      <c r="N205" s="13">
        <v>0</v>
      </c>
      <c r="O205" s="14">
        <f>IFERROR(N205/N327, "NA")</f>
      </c>
    </row>
    <row r="206" ht="16.5" customHeight="1">
      <c t="s" r="A206" s="12">
        <v>209</v>
      </c>
      <c r="B206" s="13">
        <v>0</v>
      </c>
      <c r="C206" s="14">
        <f>IFERROR(B206/B327, "NA")</f>
      </c>
      <c r="D206" s="15"/>
      <c r="E206" s="13">
        <v>0</v>
      </c>
      <c r="F206" s="14">
        <f>IFERROR(E206/E327, "NA")</f>
      </c>
      <c r="G206" s="15"/>
      <c r="H206" s="13">
        <v>0</v>
      </c>
      <c r="I206" s="14">
        <f>IFERROR(H206/H327, "NA")</f>
      </c>
      <c r="J206" s="15"/>
      <c r="K206" s="13">
        <v>0</v>
      </c>
      <c r="L206" s="14">
        <f>IFERROR(K206/K327, "NA")</f>
      </c>
      <c r="M206" s="15"/>
      <c r="N206" s="13">
        <v>0</v>
      </c>
      <c r="O206" s="14">
        <f>IFERROR(N206/N327, "NA")</f>
      </c>
    </row>
    <row r="207" ht="16.5" customHeight="1">
      <c t="s" r="A207" s="12">
        <v>210</v>
      </c>
      <c r="B207" s="13">
        <v>0</v>
      </c>
      <c r="C207" s="14">
        <f>IFERROR(B207/B327, "NA")</f>
      </c>
      <c r="D207" s="15"/>
      <c r="E207" s="13">
        <v>0</v>
      </c>
      <c r="F207" s="14">
        <f>IFERROR(E207/E327, "NA")</f>
      </c>
      <c r="G207" s="15"/>
      <c r="H207" s="13">
        <v>0</v>
      </c>
      <c r="I207" s="14">
        <f>IFERROR(H207/H327, "NA")</f>
      </c>
      <c r="J207" s="15"/>
      <c r="K207" s="13">
        <v>0</v>
      </c>
      <c r="L207" s="14">
        <f>IFERROR(K207/K327, "NA")</f>
      </c>
      <c r="M207" s="15"/>
      <c r="N207" s="13">
        <v>0</v>
      </c>
      <c r="O207" s="14">
        <f>IFERROR(N207/N327, "NA")</f>
      </c>
    </row>
    <row r="208" ht="16.5" customHeight="1">
      <c t="s" r="A208" s="12">
        <v>211</v>
      </c>
      <c r="B208" s="13">
        <v>0</v>
      </c>
      <c r="C208" s="14">
        <f>IFERROR(B208/B327, "NA")</f>
      </c>
      <c r="D208" s="15"/>
      <c r="E208" s="13">
        <v>0</v>
      </c>
      <c r="F208" s="14">
        <f>IFERROR(E208/E327, "NA")</f>
      </c>
      <c r="G208" s="15"/>
      <c r="H208" s="13">
        <v>0</v>
      </c>
      <c r="I208" s="14">
        <f>IFERROR(H208/H327, "NA")</f>
      </c>
      <c r="J208" s="15"/>
      <c r="K208" s="13">
        <v>0</v>
      </c>
      <c r="L208" s="14">
        <f>IFERROR(K208/K327, "NA")</f>
      </c>
      <c r="M208" s="15"/>
      <c r="N208" s="13">
        <v>0</v>
      </c>
      <c r="O208" s="14">
        <f>IFERROR(N208/N327, "NA")</f>
      </c>
    </row>
    <row r="209" ht="16.5" customHeight="1">
      <c t="s" r="A209" s="16">
        <v>212</v>
      </c>
      <c r="B209" s="17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</c>
      <c r="C209" s="18">
        <f>IFERROR(B209/B327, "NA")</f>
      </c>
      <c r="D209" s="8"/>
      <c r="E209" s="17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</c>
      <c r="F209" s="18">
        <f>IFERROR(E209/E327, "NA")</f>
      </c>
      <c r="G209" s="8"/>
      <c r="H209" s="17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</c>
      <c r="I209" s="18">
        <f>IFERROR(H209/H327, "NA")</f>
      </c>
      <c r="J209" s="8"/>
      <c r="K209" s="17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</c>
      <c r="L209" s="18">
        <f>IFERROR(K209/K327, "NA")</f>
      </c>
      <c r="M209" s="8"/>
      <c r="N209" s="17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</c>
      <c r="O209" s="18">
        <f>IFERROR(N209/N327, "NA")</f>
      </c>
    </row>
    <row r="210" ht="16.5" customHeight="1">
      <c t="s" r="A210" s="19">
        <v>213</v>
      </c>
      <c r="B210" s="13">
        <v>0</v>
      </c>
      <c r="C210" s="14">
        <f>IFERROR(B210/B327, "NA")</f>
      </c>
      <c r="D210" s="15"/>
      <c r="E210" s="13">
        <v>0</v>
      </c>
      <c r="F210" s="14">
        <f>IFERROR(E210/E327, "NA")</f>
      </c>
      <c r="G210" s="15"/>
      <c r="H210" s="13">
        <v>0</v>
      </c>
      <c r="I210" s="14">
        <f>IFERROR(H210/H327, "NA")</f>
      </c>
      <c r="J210" s="15"/>
      <c r="K210" s="13">
        <v>0</v>
      </c>
      <c r="L210" s="14">
        <f>IFERROR(K210/K327, "NA")</f>
      </c>
      <c r="M210" s="15"/>
      <c r="N210" s="13">
        <v>0</v>
      </c>
      <c r="O210" s="14">
        <f>IFERROR(N210/N327, "NA")</f>
      </c>
    </row>
    <row r="211" ht="16.5" customHeight="1">
      <c t="s" r="A211" s="20">
        <v>214</v>
      </c>
      <c r="B211" s="17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</c>
      <c r="C211" s="18">
        <f>IFERROR(B211/B327, "NA")</f>
      </c>
      <c r="D211" s="8"/>
      <c r="E211" s="17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</c>
      <c r="F211" s="18">
        <f>IFERROR(E211/E327, "NA")</f>
      </c>
      <c r="G211" s="8"/>
      <c r="H211" s="17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</c>
      <c r="I211" s="18">
        <f>IFERROR(H211/H327, "NA")</f>
      </c>
      <c r="J211" s="8"/>
      <c r="K211" s="17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</c>
      <c r="L211" s="18">
        <f>IFERROR(K211/K327, "NA")</f>
      </c>
      <c r="M211" s="8"/>
      <c r="N211" s="17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</c>
      <c r="O211" s="18">
        <f>IFERROR(N211/N327, "NA")</f>
      </c>
    </row>
    <row r="212" ht="16.5" customHeight="1">
      <c t="s" r="A212" s="7">
        <v>215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</row>
    <row r="213" ht="16.5" customHeight="1">
      <c t="s" r="A213" s="11">
        <v>216</v>
      </c>
      <c r="B213" s="8"/>
      <c r="C213" s="9"/>
      <c r="D213" s="10"/>
      <c r="E213" s="8"/>
      <c r="F213" s="9"/>
      <c r="G213" s="10"/>
      <c r="H213" s="8"/>
      <c r="I213" s="9"/>
      <c r="J213" s="10"/>
      <c r="K213" s="8"/>
      <c r="L213" s="9"/>
      <c r="M213" s="10"/>
      <c r="N213" s="8"/>
      <c r="O213" s="9"/>
    </row>
    <row r="214" ht="16.5" customHeight="1">
      <c t="s" r="A214" s="12">
        <v>217</v>
      </c>
      <c r="B214" s="13">
        <v>0</v>
      </c>
      <c r="C214" s="14">
        <f>IFERROR(B214/B327, "NA")</f>
      </c>
      <c r="D214" s="15"/>
      <c r="E214" s="13">
        <v>0</v>
      </c>
      <c r="F214" s="14">
        <f>IFERROR(E214/E327, "NA")</f>
      </c>
      <c r="G214" s="15"/>
      <c r="H214" s="13">
        <v>0</v>
      </c>
      <c r="I214" s="14">
        <f>IFERROR(H214/H327, "NA")</f>
      </c>
      <c r="J214" s="15"/>
      <c r="K214" s="13">
        <v>0</v>
      </c>
      <c r="L214" s="14">
        <f>IFERROR(K214/K327, "NA")</f>
      </c>
      <c r="M214" s="15"/>
      <c r="N214" s="13">
        <v>0</v>
      </c>
      <c r="O214" s="14">
        <f>IFERROR(N214/N327, "NA")</f>
      </c>
    </row>
    <row r="215" ht="16.5" customHeight="1">
      <c t="s" r="A215" s="12">
        <v>218</v>
      </c>
      <c r="B215" s="13">
        <v>434.77999999999997</v>
      </c>
      <c r="C215" s="14">
        <f>IFERROR(B215/B327, "NA")</f>
      </c>
      <c r="D215" s="15"/>
      <c r="E215" s="13">
        <v>3383.5500000000002</v>
      </c>
      <c r="F215" s="14">
        <f>IFERROR(E215/E327, "NA")</f>
      </c>
      <c r="G215" s="15"/>
      <c r="H215" s="13">
        <v>2812.73</v>
      </c>
      <c r="I215" s="14">
        <f>IFERROR(H215/H327, "NA")</f>
      </c>
      <c r="J215" s="15"/>
      <c r="K215" s="13">
        <v>3199.96</v>
      </c>
      <c r="L215" s="14">
        <f>IFERROR(K215/K327, "NA")</f>
      </c>
      <c r="M215" s="15"/>
      <c r="N215" s="13">
        <v>2738.6500000000001</v>
      </c>
      <c r="O215" s="14">
        <f>IFERROR(N215/N327, "NA")</f>
      </c>
    </row>
    <row r="216" ht="16.5" customHeight="1">
      <c t="s" r="A216" s="12">
        <v>219</v>
      </c>
      <c r="B216" s="13">
        <v>0</v>
      </c>
      <c r="C216" s="14">
        <f>IFERROR(B216/B327, "NA")</f>
      </c>
      <c r="D216" s="15"/>
      <c r="E216" s="13">
        <v>16.850000000000001</v>
      </c>
      <c r="F216" s="14">
        <f>IFERROR(E216/E327, "NA")</f>
      </c>
      <c r="G216" s="15"/>
      <c r="H216" s="13">
        <v>45</v>
      </c>
      <c r="I216" s="14">
        <f>IFERROR(H216/H327, "NA")</f>
      </c>
      <c r="J216" s="15"/>
      <c r="K216" s="13">
        <v>13.85</v>
      </c>
      <c r="L216" s="14">
        <f>IFERROR(K216/K327, "NA")</f>
      </c>
      <c r="M216" s="15"/>
      <c r="N216" s="13">
        <v>0</v>
      </c>
      <c r="O216" s="14">
        <f>IFERROR(N216/N327, "NA")</f>
      </c>
    </row>
    <row r="217" ht="16.5" customHeight="1">
      <c t="s" r="A217" s="12">
        <v>220</v>
      </c>
      <c r="B217" s="13">
        <v>730.91999999999996</v>
      </c>
      <c r="C217" s="14">
        <f>IFERROR(B217/B327, "NA")</f>
      </c>
      <c r="D217" s="15"/>
      <c r="E217" s="13">
        <v>696.63</v>
      </c>
      <c r="F217" s="14">
        <f>IFERROR(E217/E327, "NA")</f>
      </c>
      <c r="G217" s="15"/>
      <c r="H217" s="13">
        <v>5102.4399999999996</v>
      </c>
      <c r="I217" s="14">
        <f>IFERROR(H217/H327, "NA")</f>
      </c>
      <c r="J217" s="15"/>
      <c r="K217" s="13">
        <v>1532.28</v>
      </c>
      <c r="L217" s="14">
        <f>IFERROR(K217/K327, "NA")</f>
      </c>
      <c r="M217" s="15"/>
      <c r="N217" s="13">
        <v>358.32999999999998</v>
      </c>
      <c r="O217" s="14">
        <f>IFERROR(N217/N327, "NA")</f>
      </c>
    </row>
    <row r="218" ht="16.5" customHeight="1">
      <c t="s" r="A218" s="12">
        <v>221</v>
      </c>
      <c r="B218" s="13">
        <v>154</v>
      </c>
      <c r="C218" s="14">
        <f>IFERROR(B218/B327, "NA")</f>
      </c>
      <c r="D218" s="15"/>
      <c r="E218" s="13">
        <v>0</v>
      </c>
      <c r="F218" s="14">
        <f>IFERROR(E218/E327, "NA")</f>
      </c>
      <c r="G218" s="15"/>
      <c r="H218" s="13">
        <v>0</v>
      </c>
      <c r="I218" s="14">
        <f>IFERROR(H218/H327, "NA")</f>
      </c>
      <c r="J218" s="15"/>
      <c r="K218" s="13">
        <v>0</v>
      </c>
      <c r="L218" s="14">
        <f>IFERROR(K218/K327, "NA")</f>
      </c>
      <c r="M218" s="15"/>
      <c r="N218" s="13">
        <v>0</v>
      </c>
      <c r="O218" s="14">
        <f>IFERROR(N218/N327, "NA")</f>
      </c>
    </row>
    <row r="219" ht="16.5" customHeight="1">
      <c t="s" r="A219" s="12">
        <v>222</v>
      </c>
      <c r="B219" s="13">
        <v>0</v>
      </c>
      <c r="C219" s="14">
        <f>IFERROR(B219/B327, "NA")</f>
      </c>
      <c r="D219" s="15"/>
      <c r="E219" s="13">
        <v>0</v>
      </c>
      <c r="F219" s="14">
        <f>IFERROR(E219/E327, "NA")</f>
      </c>
      <c r="G219" s="15"/>
      <c r="H219" s="13">
        <v>0</v>
      </c>
      <c r="I219" s="14">
        <f>IFERROR(H219/H327, "NA")</f>
      </c>
      <c r="J219" s="15"/>
      <c r="K219" s="13">
        <v>0</v>
      </c>
      <c r="L219" s="14">
        <f>IFERROR(K219/K327, "NA")</f>
      </c>
      <c r="M219" s="15"/>
      <c r="N219" s="13">
        <v>0</v>
      </c>
      <c r="O219" s="14">
        <f>IFERROR(N219/N327, "NA")</f>
      </c>
    </row>
    <row r="220" ht="16.5" customHeight="1">
      <c t="s" r="A220" s="12">
        <v>223</v>
      </c>
      <c r="B220" s="13">
        <v>28.48</v>
      </c>
      <c r="C220" s="14">
        <f>IFERROR(B220/B327, "NA")</f>
      </c>
      <c r="D220" s="15"/>
      <c r="E220" s="13">
        <v>160.37</v>
      </c>
      <c r="F220" s="14">
        <f>IFERROR(E220/E327, "NA")</f>
      </c>
      <c r="G220" s="15"/>
      <c r="H220" s="13">
        <v>375.81999999999999</v>
      </c>
      <c r="I220" s="14">
        <f>IFERROR(H220/H327, "NA")</f>
      </c>
      <c r="J220" s="15"/>
      <c r="K220" s="13">
        <v>126.23</v>
      </c>
      <c r="L220" s="14">
        <f>IFERROR(K220/K327, "NA")</f>
      </c>
      <c r="M220" s="15"/>
      <c r="N220" s="13">
        <v>0</v>
      </c>
      <c r="O220" s="14">
        <f>IFERROR(N220/N327, "NA")</f>
      </c>
    </row>
    <row r="221" ht="16.5" customHeight="1">
      <c t="s" r="A221" s="12">
        <v>224</v>
      </c>
      <c r="B221" s="13">
        <v>0</v>
      </c>
      <c r="C221" s="14">
        <f>IFERROR(B221/B327, "NA")</f>
      </c>
      <c r="D221" s="15"/>
      <c r="E221" s="13">
        <v>0</v>
      </c>
      <c r="F221" s="14">
        <f>IFERROR(E221/E327, "NA")</f>
      </c>
      <c r="G221" s="15"/>
      <c r="H221" s="13">
        <v>0</v>
      </c>
      <c r="I221" s="14">
        <f>IFERROR(H221/H327, "NA")</f>
      </c>
      <c r="J221" s="15"/>
      <c r="K221" s="13">
        <v>0</v>
      </c>
      <c r="L221" s="14">
        <f>IFERROR(K221/K327, "NA")</f>
      </c>
      <c r="M221" s="15"/>
      <c r="N221" s="13">
        <v>0</v>
      </c>
      <c r="O221" s="14">
        <f>IFERROR(N221/N327, "NA")</f>
      </c>
    </row>
    <row r="222" ht="16.5" customHeight="1">
      <c t="s" r="A222" s="12">
        <v>225</v>
      </c>
      <c r="B222" s="13">
        <v>0</v>
      </c>
      <c r="C222" s="14">
        <f>IFERROR(B222/B327, "NA")</f>
      </c>
      <c r="D222" s="15"/>
      <c r="E222" s="13">
        <v>0</v>
      </c>
      <c r="F222" s="14">
        <f>IFERROR(E222/E327, "NA")</f>
      </c>
      <c r="G222" s="15"/>
      <c r="H222" s="13">
        <v>7.3200000000000003</v>
      </c>
      <c r="I222" s="14">
        <f>IFERROR(H222/H327, "NA")</f>
      </c>
      <c r="J222" s="15"/>
      <c r="K222" s="13">
        <v>15.19</v>
      </c>
      <c r="L222" s="14">
        <f>IFERROR(K222/K327, "NA")</f>
      </c>
      <c r="M222" s="15"/>
      <c r="N222" s="13">
        <v>0</v>
      </c>
      <c r="O222" s="14">
        <f>IFERROR(N222/N327, "NA")</f>
      </c>
    </row>
    <row r="223" ht="16.5" customHeight="1">
      <c t="s" r="A223" s="12">
        <v>226</v>
      </c>
      <c r="B223" s="13">
        <v>307.70999999999998</v>
      </c>
      <c r="C223" s="14">
        <f>IFERROR(B223/B327, "NA")</f>
      </c>
      <c r="D223" s="15"/>
      <c r="E223" s="13">
        <v>0</v>
      </c>
      <c r="F223" s="14">
        <f>IFERROR(E223/E327, "NA")</f>
      </c>
      <c r="G223" s="15"/>
      <c r="H223" s="13">
        <v>0</v>
      </c>
      <c r="I223" s="14">
        <f>IFERROR(H223/H327, "NA")</f>
      </c>
      <c r="J223" s="15"/>
      <c r="K223" s="13">
        <v>25.219999999999999</v>
      </c>
      <c r="L223" s="14">
        <f>IFERROR(K223/K327, "NA")</f>
      </c>
      <c r="M223" s="15"/>
      <c r="N223" s="13">
        <v>0</v>
      </c>
      <c r="O223" s="14">
        <f>IFERROR(N223/N327, "NA")</f>
      </c>
    </row>
    <row r="224" ht="16.5" customHeight="1">
      <c t="s" r="A224" s="12">
        <v>227</v>
      </c>
      <c r="B224" s="13">
        <v>0</v>
      </c>
      <c r="C224" s="14">
        <f>IFERROR(B224/B327, "NA")</f>
      </c>
      <c r="D224" s="15"/>
      <c r="E224" s="13">
        <v>0</v>
      </c>
      <c r="F224" s="14">
        <f>IFERROR(E224/E327, "NA")</f>
      </c>
      <c r="G224" s="15"/>
      <c r="H224" s="13">
        <v>0</v>
      </c>
      <c r="I224" s="14">
        <f>IFERROR(H224/H327, "NA")</f>
      </c>
      <c r="J224" s="15"/>
      <c r="K224" s="13">
        <v>0</v>
      </c>
      <c r="L224" s="14">
        <f>IFERROR(K224/K327, "NA")</f>
      </c>
      <c r="M224" s="15"/>
      <c r="N224" s="13">
        <v>0</v>
      </c>
      <c r="O224" s="14">
        <f>IFERROR(N224/N327, "NA")</f>
      </c>
    </row>
    <row r="225" ht="16.5" customHeight="1">
      <c t="s" r="A225" s="12">
        <v>228</v>
      </c>
      <c r="B225" s="13">
        <v>0</v>
      </c>
      <c r="C225" s="14">
        <f>IFERROR(B225/B327, "NA")</f>
      </c>
      <c r="D225" s="15"/>
      <c r="E225" s="13">
        <v>0</v>
      </c>
      <c r="F225" s="14">
        <f>IFERROR(E225/E327, "NA")</f>
      </c>
      <c r="G225" s="15"/>
      <c r="H225" s="13">
        <v>0</v>
      </c>
      <c r="I225" s="14">
        <f>IFERROR(H225/H327, "NA")</f>
      </c>
      <c r="J225" s="15"/>
      <c r="K225" s="13">
        <v>0</v>
      </c>
      <c r="L225" s="14">
        <f>IFERROR(K225/K327, "NA")</f>
      </c>
      <c r="M225" s="15"/>
      <c r="N225" s="13">
        <v>0</v>
      </c>
      <c r="O225" s="14">
        <f>IFERROR(N225/N327, "NA")</f>
      </c>
    </row>
    <row r="226" ht="16.5" customHeight="1">
      <c t="s" r="A226" s="12">
        <v>229</v>
      </c>
      <c r="B226" s="13">
        <v>-0.83999999999999997</v>
      </c>
      <c r="C226" s="14">
        <f>IFERROR(B226/B327, "NA")</f>
      </c>
      <c r="D226" s="15"/>
      <c r="E226" s="13">
        <v>-109.45</v>
      </c>
      <c r="F226" s="14">
        <f>IFERROR(E226/E327, "NA")</f>
      </c>
      <c r="G226" s="15"/>
      <c r="H226" s="13">
        <v>127.42</v>
      </c>
      <c r="I226" s="14">
        <f>IFERROR(H226/H327, "NA")</f>
      </c>
      <c r="J226" s="15"/>
      <c r="K226" s="13">
        <v>-2.5800000000000001</v>
      </c>
      <c r="L226" s="14">
        <f>IFERROR(K226/K327, "NA")</f>
      </c>
      <c r="M226" s="15"/>
      <c r="N226" s="13">
        <v>73.620000000000005</v>
      </c>
      <c r="O226" s="14">
        <f>IFERROR(N226/N327, "NA")</f>
      </c>
    </row>
    <row r="227" ht="16.5" customHeight="1">
      <c t="s" r="A227" s="12">
        <v>230</v>
      </c>
      <c r="B227" s="13">
        <v>0</v>
      </c>
      <c r="C227" s="14">
        <f>IFERROR(B227/B327, "NA")</f>
      </c>
      <c r="D227" s="15"/>
      <c r="E227" s="13">
        <v>0</v>
      </c>
      <c r="F227" s="14">
        <f>IFERROR(E227/E327, "NA")</f>
      </c>
      <c r="G227" s="15"/>
      <c r="H227" s="13">
        <v>0</v>
      </c>
      <c r="I227" s="14">
        <f>IFERROR(H227/H327, "NA")</f>
      </c>
      <c r="J227" s="15"/>
      <c r="K227" s="13">
        <v>501.69999999999999</v>
      </c>
      <c r="L227" s="14">
        <f>IFERROR(K227/K327, "NA")</f>
      </c>
      <c r="M227" s="15"/>
      <c r="N227" s="13">
        <v>0</v>
      </c>
      <c r="O227" s="14">
        <f>IFERROR(N227/N327, "NA")</f>
      </c>
    </row>
    <row r="228" ht="16.5" customHeight="1">
      <c t="s" r="A228" s="12">
        <v>231</v>
      </c>
      <c r="B228" s="13">
        <v>0</v>
      </c>
      <c r="C228" s="14">
        <f>IFERROR(B228/B327, "NA")</f>
      </c>
      <c r="D228" s="15"/>
      <c r="E228" s="13">
        <v>0</v>
      </c>
      <c r="F228" s="14">
        <f>IFERROR(E228/E327, "NA")</f>
      </c>
      <c r="G228" s="15"/>
      <c r="H228" s="13">
        <v>0</v>
      </c>
      <c r="I228" s="14">
        <f>IFERROR(H228/H327, "NA")</f>
      </c>
      <c r="J228" s="15"/>
      <c r="K228" s="13">
        <v>666</v>
      </c>
      <c r="L228" s="14">
        <f>IFERROR(K228/K327, "NA")</f>
      </c>
      <c r="M228" s="15"/>
      <c r="N228" s="13">
        <v>0</v>
      </c>
      <c r="O228" s="14">
        <f>IFERROR(N228/N327, "NA")</f>
      </c>
    </row>
    <row r="229" ht="16.5" customHeight="1">
      <c t="s" r="A229" s="12">
        <v>232</v>
      </c>
      <c r="B229" s="13">
        <v>0</v>
      </c>
      <c r="C229" s="14">
        <f>IFERROR(B229/B327, "NA")</f>
      </c>
      <c r="D229" s="15"/>
      <c r="E229" s="13">
        <v>0</v>
      </c>
      <c r="F229" s="14">
        <f>IFERROR(E229/E327, "NA")</f>
      </c>
      <c r="G229" s="15"/>
      <c r="H229" s="13">
        <v>0</v>
      </c>
      <c r="I229" s="14">
        <f>IFERROR(H229/H327, "NA")</f>
      </c>
      <c r="J229" s="15"/>
      <c r="K229" s="13">
        <v>0</v>
      </c>
      <c r="L229" s="14">
        <f>IFERROR(K229/K327, "NA")</f>
      </c>
      <c r="M229" s="15"/>
      <c r="N229" s="13">
        <v>0</v>
      </c>
      <c r="O229" s="14">
        <f>IFERROR(N229/N327, "NA")</f>
      </c>
    </row>
    <row r="230" ht="16.5" customHeight="1">
      <c t="s" r="A230" s="12">
        <v>233</v>
      </c>
      <c r="B230" s="13">
        <v>800</v>
      </c>
      <c r="C230" s="14">
        <f>IFERROR(B230/B327, "NA")</f>
      </c>
      <c r="D230" s="15"/>
      <c r="E230" s="13">
        <v>0</v>
      </c>
      <c r="F230" s="14">
        <f>IFERROR(E230/E327, "NA")</f>
      </c>
      <c r="G230" s="15"/>
      <c r="H230" s="13">
        <v>0</v>
      </c>
      <c r="I230" s="14">
        <f>IFERROR(H230/H327, "NA")</f>
      </c>
      <c r="J230" s="15"/>
      <c r="K230" s="13">
        <v>0</v>
      </c>
      <c r="L230" s="14">
        <f>IFERROR(K230/K327, "NA")</f>
      </c>
      <c r="M230" s="15"/>
      <c r="N230" s="13">
        <v>0</v>
      </c>
      <c r="O230" s="14">
        <f>IFERROR(N230/N327, "NA")</f>
      </c>
    </row>
    <row r="231" ht="16.5" customHeight="1">
      <c t="s" r="A231" s="12">
        <v>234</v>
      </c>
      <c r="B231" s="13">
        <v>0</v>
      </c>
      <c r="C231" s="14">
        <f>IFERROR(B231/B327, "NA")</f>
      </c>
      <c r="D231" s="15"/>
      <c r="E231" s="13">
        <v>0</v>
      </c>
      <c r="F231" s="14">
        <f>IFERROR(E231/E327, "NA")</f>
      </c>
      <c r="G231" s="15"/>
      <c r="H231" s="13">
        <v>0</v>
      </c>
      <c r="I231" s="14">
        <f>IFERROR(H231/H327, "NA")</f>
      </c>
      <c r="J231" s="15"/>
      <c r="K231" s="13">
        <v>0</v>
      </c>
      <c r="L231" s="14">
        <f>IFERROR(K231/K327, "NA")</f>
      </c>
      <c r="M231" s="15"/>
      <c r="N231" s="13">
        <v>0</v>
      </c>
      <c r="O231" s="14">
        <f>IFERROR(N231/N327, "NA")</f>
      </c>
    </row>
    <row r="232" ht="16.5" customHeight="1">
      <c t="s" r="A232" s="12">
        <v>235</v>
      </c>
      <c r="B232" s="13">
        <v>0</v>
      </c>
      <c r="C232" s="14">
        <f>IFERROR(B232/B327, "NA")</f>
      </c>
      <c r="D232" s="15"/>
      <c r="E232" s="13">
        <v>0</v>
      </c>
      <c r="F232" s="14">
        <f>IFERROR(E232/E327, "NA")</f>
      </c>
      <c r="G232" s="15"/>
      <c r="H232" s="13">
        <v>0</v>
      </c>
      <c r="I232" s="14">
        <f>IFERROR(H232/H327, "NA")</f>
      </c>
      <c r="J232" s="15"/>
      <c r="K232" s="13">
        <v>0</v>
      </c>
      <c r="L232" s="14">
        <f>IFERROR(K232/K327, "NA")</f>
      </c>
      <c r="M232" s="15"/>
      <c r="N232" s="13">
        <v>0</v>
      </c>
      <c r="O232" s="14">
        <f>IFERROR(N232/N327, "NA")</f>
      </c>
    </row>
    <row r="233" ht="16.5" customHeight="1">
      <c t="s" r="A233" s="12">
        <v>236</v>
      </c>
      <c r="B233" s="13">
        <v>0</v>
      </c>
      <c r="C233" s="14">
        <f>IFERROR(B233/B327, "NA")</f>
      </c>
      <c r="D233" s="15"/>
      <c r="E233" s="13">
        <v>0</v>
      </c>
      <c r="F233" s="14">
        <f>IFERROR(E233/E327, "NA")</f>
      </c>
      <c r="G233" s="15"/>
      <c r="H233" s="13">
        <v>0</v>
      </c>
      <c r="I233" s="14">
        <f>IFERROR(H233/H327, "NA")</f>
      </c>
      <c r="J233" s="15"/>
      <c r="K233" s="13">
        <v>0</v>
      </c>
      <c r="L233" s="14">
        <f>IFERROR(K233/K327, "NA")</f>
      </c>
      <c r="M233" s="15"/>
      <c r="N233" s="13">
        <v>0</v>
      </c>
      <c r="O233" s="14">
        <f>IFERROR(N233/N327, "NA")</f>
      </c>
    </row>
    <row r="234" ht="16.5" customHeight="1">
      <c t="s" r="A234" s="12">
        <v>237</v>
      </c>
      <c r="B234" s="13">
        <v>0</v>
      </c>
      <c r="C234" s="14">
        <f>IFERROR(B234/B327, "NA")</f>
      </c>
      <c r="D234" s="15"/>
      <c r="E234" s="13">
        <v>0</v>
      </c>
      <c r="F234" s="14">
        <f>IFERROR(E234/E327, "NA")</f>
      </c>
      <c r="G234" s="15"/>
      <c r="H234" s="13">
        <v>0</v>
      </c>
      <c r="I234" s="14">
        <f>IFERROR(H234/H327, "NA")</f>
      </c>
      <c r="J234" s="15"/>
      <c r="K234" s="13">
        <v>31.870000000000001</v>
      </c>
      <c r="L234" s="14">
        <f>IFERROR(K234/K327, "NA")</f>
      </c>
      <c r="M234" s="15"/>
      <c r="N234" s="13">
        <v>0</v>
      </c>
      <c r="O234" s="14">
        <f>IFERROR(N234/N327, "NA")</f>
      </c>
    </row>
    <row r="235" ht="16.5" customHeight="1">
      <c t="s" r="A235" s="12">
        <v>238</v>
      </c>
      <c r="B235" s="13">
        <v>0</v>
      </c>
      <c r="C235" s="14">
        <f>IFERROR(B235/B327, "NA")</f>
      </c>
      <c r="D235" s="15"/>
      <c r="E235" s="13">
        <v>0</v>
      </c>
      <c r="F235" s="14">
        <f>IFERROR(E235/E327, "NA")</f>
      </c>
      <c r="G235" s="15"/>
      <c r="H235" s="13">
        <v>125.72</v>
      </c>
      <c r="I235" s="14">
        <f>IFERROR(H235/H327, "NA")</f>
      </c>
      <c r="J235" s="15"/>
      <c r="K235" s="13">
        <v>124.78</v>
      </c>
      <c r="L235" s="14">
        <f>IFERROR(K235/K327, "NA")</f>
      </c>
      <c r="M235" s="15"/>
      <c r="N235" s="13">
        <v>120.31</v>
      </c>
      <c r="O235" s="14">
        <f>IFERROR(N235/N327, "NA")</f>
      </c>
    </row>
    <row r="236" ht="16.5" customHeight="1">
      <c t="s" r="A236" s="12">
        <v>239</v>
      </c>
      <c r="B236" s="13">
        <v>0</v>
      </c>
      <c r="C236" s="14">
        <f>IFERROR(B236/B327, "NA")</f>
      </c>
      <c r="D236" s="15"/>
      <c r="E236" s="13">
        <v>0</v>
      </c>
      <c r="F236" s="14">
        <f>IFERROR(E236/E327, "NA")</f>
      </c>
      <c r="G236" s="15"/>
      <c r="H236" s="13">
        <v>0</v>
      </c>
      <c r="I236" s="14">
        <f>IFERROR(H236/H327, "NA")</f>
      </c>
      <c r="J236" s="15"/>
      <c r="K236" s="13">
        <v>0</v>
      </c>
      <c r="L236" s="14">
        <f>IFERROR(K236/K327, "NA")</f>
      </c>
      <c r="M236" s="15"/>
      <c r="N236" s="13">
        <v>0</v>
      </c>
      <c r="O236" s="14">
        <f>IFERROR(N236/N327, "NA")</f>
      </c>
    </row>
    <row r="237" ht="16.5" customHeight="1">
      <c t="s" r="A237" s="12">
        <v>240</v>
      </c>
      <c r="B237" s="13">
        <v>0</v>
      </c>
      <c r="C237" s="14">
        <f>IFERROR(B237/B327, "NA")</f>
      </c>
      <c r="D237" s="15"/>
      <c r="E237" s="13">
        <v>0</v>
      </c>
      <c r="F237" s="14">
        <f>IFERROR(E237/E327, "NA")</f>
      </c>
      <c r="G237" s="15"/>
      <c r="H237" s="13">
        <v>0</v>
      </c>
      <c r="I237" s="14">
        <f>IFERROR(H237/H327, "NA")</f>
      </c>
      <c r="J237" s="15"/>
      <c r="K237" s="13">
        <v>0</v>
      </c>
      <c r="L237" s="14">
        <f>IFERROR(K237/K327, "NA")</f>
      </c>
      <c r="M237" s="15"/>
      <c r="N237" s="13">
        <v>0</v>
      </c>
      <c r="O237" s="14">
        <f>IFERROR(N237/N327, "NA")</f>
      </c>
    </row>
    <row r="238" ht="16.5" customHeight="1">
      <c t="s" r="A238" s="12">
        <v>241</v>
      </c>
      <c r="B238" s="13">
        <v>0</v>
      </c>
      <c r="C238" s="14">
        <f>IFERROR(B238/B327, "NA")</f>
      </c>
      <c r="D238" s="15"/>
      <c r="E238" s="13">
        <v>0</v>
      </c>
      <c r="F238" s="14">
        <f>IFERROR(E238/E327, "NA")</f>
      </c>
      <c r="G238" s="15"/>
      <c r="H238" s="13">
        <v>0</v>
      </c>
      <c r="I238" s="14">
        <f>IFERROR(H238/H327, "NA")</f>
      </c>
      <c r="J238" s="15"/>
      <c r="K238" s="13">
        <v>0</v>
      </c>
      <c r="L238" s="14">
        <f>IFERROR(K238/K327, "NA")</f>
      </c>
      <c r="M238" s="15"/>
      <c r="N238" s="13">
        <v>0</v>
      </c>
      <c r="O238" s="14">
        <f>IFERROR(N238/N327, "NA")</f>
      </c>
    </row>
    <row r="239" ht="16.5" customHeight="1">
      <c t="s" r="A239" s="12">
        <v>242</v>
      </c>
      <c r="B239" s="13">
        <v>0</v>
      </c>
      <c r="C239" s="14">
        <f>IFERROR(B239/B327, "NA")</f>
      </c>
      <c r="D239" s="15"/>
      <c r="E239" s="13">
        <v>0</v>
      </c>
      <c r="F239" s="14">
        <f>IFERROR(E239/E327, "NA")</f>
      </c>
      <c r="G239" s="15"/>
      <c r="H239" s="13">
        <v>0</v>
      </c>
      <c r="I239" s="14">
        <f>IFERROR(H239/H327, "NA")</f>
      </c>
      <c r="J239" s="15"/>
      <c r="K239" s="13">
        <v>0</v>
      </c>
      <c r="L239" s="14">
        <f>IFERROR(K239/K327, "NA")</f>
      </c>
      <c r="M239" s="15"/>
      <c r="N239" s="13">
        <v>0</v>
      </c>
      <c r="O239" s="14">
        <f>IFERROR(N239/N327, "NA")</f>
      </c>
    </row>
    <row r="240" ht="16.5" customHeight="1">
      <c t="s" r="A240" s="12">
        <v>243</v>
      </c>
      <c r="B240" s="13">
        <v>0</v>
      </c>
      <c r="C240" s="14">
        <f>IFERROR(B240/B327, "NA")</f>
      </c>
      <c r="D240" s="15"/>
      <c r="E240" s="13">
        <v>0</v>
      </c>
      <c r="F240" s="14">
        <f>IFERROR(E240/E327, "NA")</f>
      </c>
      <c r="G240" s="15"/>
      <c r="H240" s="13">
        <v>0</v>
      </c>
      <c r="I240" s="14">
        <f>IFERROR(H240/H327, "NA")</f>
      </c>
      <c r="J240" s="15"/>
      <c r="K240" s="13">
        <v>0</v>
      </c>
      <c r="L240" s="14">
        <f>IFERROR(K240/K327, "NA")</f>
      </c>
      <c r="M240" s="15"/>
      <c r="N240" s="13">
        <v>0</v>
      </c>
      <c r="O240" s="14">
        <f>IFERROR(N240/N327, "NA")</f>
      </c>
    </row>
    <row r="241" ht="16.5" customHeight="1">
      <c t="s" r="A241" s="16">
        <v>244</v>
      </c>
      <c r="B241" s="17">
        <f>IFERROR(B214+B215+B216+B217+B218+B219+B220+B221+B222+B223+B224+B225+B226+B227+B228+B229+B230+B231+B232+B233+B234+B235+B236+B237+B238+B239+B240, "NA")</f>
      </c>
      <c r="C241" s="18">
        <f>IFERROR(B241/B327, "NA")</f>
      </c>
      <c r="D241" s="8"/>
      <c r="E241" s="17">
        <f>IFERROR(E214+E215+E216+E217+E218+E219+E220+E221+E222+E223+E224+E225+E226+E227+E228+E229+E230+E231+E232+E233+E234+E235+E236+E237+E238+E239+E240, "NA")</f>
      </c>
      <c r="F241" s="18">
        <f>IFERROR(E241/E327, "NA")</f>
      </c>
      <c r="G241" s="8"/>
      <c r="H241" s="17">
        <f>IFERROR(H214+H215+H216+H217+H218+H219+H220+H221+H222+H223+H224+H225+H226+H227+H228+H229+H230+H231+H232+H233+H234+H235+H236+H237+H238+H239+H240, "NA")</f>
      </c>
      <c r="I241" s="18">
        <f>IFERROR(H241/H327, "NA")</f>
      </c>
      <c r="J241" s="8"/>
      <c r="K241" s="17">
        <f>IFERROR(K214+K215+K216+K217+K218+K219+K220+K221+K222+K223+K224+K225+K226+K227+K228+K229+K230+K231+K232+K233+K234+K235+K236+K237+K238+K239+K240, "NA")</f>
      </c>
      <c r="L241" s="18">
        <f>IFERROR(K241/K327, "NA")</f>
      </c>
      <c r="M241" s="8"/>
      <c r="N241" s="17">
        <f>IFERROR(N214+N215+N216+N217+N218+N219+N220+N221+N222+N223+N224+N225+N226+N227+N228+N229+N230+N231+N232+N233+N234+N235+N236+N237+N238+N239+N240, "NA")</f>
      </c>
      <c r="O241" s="18">
        <f>IFERROR(N241/N327, "NA")</f>
      </c>
    </row>
    <row r="242" ht="16.5" customHeight="1">
      <c t="s" r="A242" s="11">
        <v>245</v>
      </c>
      <c r="B242" s="8"/>
      <c r="C242" s="9"/>
      <c r="D242" s="10"/>
      <c r="E242" s="8"/>
      <c r="F242" s="9"/>
      <c r="G242" s="10"/>
      <c r="H242" s="8"/>
      <c r="I242" s="9"/>
      <c r="J242" s="10"/>
      <c r="K242" s="8"/>
      <c r="L242" s="9"/>
      <c r="M242" s="10"/>
      <c r="N242" s="8"/>
      <c r="O242" s="9"/>
    </row>
    <row r="243" ht="16.5" customHeight="1">
      <c t="s" r="A243" s="12">
        <v>246</v>
      </c>
      <c r="B243" s="13">
        <v>0</v>
      </c>
      <c r="C243" s="14">
        <f>IFERROR(B243/B327, "NA")</f>
      </c>
      <c r="D243" s="15"/>
      <c r="E243" s="13">
        <v>0</v>
      </c>
      <c r="F243" s="14">
        <f>IFERROR(E243/E327, "NA")</f>
      </c>
      <c r="G243" s="15"/>
      <c r="H243" s="13">
        <v>0</v>
      </c>
      <c r="I243" s="14">
        <f>IFERROR(H243/H327, "NA")</f>
      </c>
      <c r="J243" s="15"/>
      <c r="K243" s="13">
        <v>0</v>
      </c>
      <c r="L243" s="14">
        <f>IFERROR(K243/K327, "NA")</f>
      </c>
      <c r="M243" s="15"/>
      <c r="N243" s="13">
        <v>0</v>
      </c>
      <c r="O243" s="14">
        <f>IFERROR(N243/N327, "NA")</f>
      </c>
    </row>
    <row r="244" ht="16.5" customHeight="1">
      <c t="s" r="A244" s="12">
        <v>247</v>
      </c>
      <c r="B244" s="13">
        <v>0</v>
      </c>
      <c r="C244" s="14">
        <f>IFERROR(B244/B327, "NA")</f>
      </c>
      <c r="D244" s="15"/>
      <c r="E244" s="13">
        <v>0</v>
      </c>
      <c r="F244" s="14">
        <f>IFERROR(E244/E327, "NA")</f>
      </c>
      <c r="G244" s="15"/>
      <c r="H244" s="13">
        <v>50</v>
      </c>
      <c r="I244" s="14">
        <f>IFERROR(H244/H327, "NA")</f>
      </c>
      <c r="J244" s="15"/>
      <c r="K244" s="13">
        <v>50</v>
      </c>
      <c r="L244" s="14">
        <f>IFERROR(K244/K327, "NA")</f>
      </c>
      <c r="M244" s="15"/>
      <c r="N244" s="13">
        <v>0</v>
      </c>
      <c r="O244" s="14">
        <f>IFERROR(N244/N327, "NA")</f>
      </c>
    </row>
    <row r="245" ht="16.5" customHeight="1">
      <c t="s" r="A245" s="12">
        <v>248</v>
      </c>
      <c r="B245" s="13">
        <v>0</v>
      </c>
      <c r="C245" s="14">
        <f>IFERROR(B245/B327, "NA")</f>
      </c>
      <c r="D245" s="15"/>
      <c r="E245" s="13">
        <v>0</v>
      </c>
      <c r="F245" s="14">
        <f>IFERROR(E245/E327, "NA")</f>
      </c>
      <c r="G245" s="15"/>
      <c r="H245" s="13">
        <v>2773.7800000000002</v>
      </c>
      <c r="I245" s="14">
        <f>IFERROR(H245/H327, "NA")</f>
      </c>
      <c r="J245" s="15"/>
      <c r="K245" s="13">
        <v>160.50999999999999</v>
      </c>
      <c r="L245" s="14">
        <f>IFERROR(K245/K327, "NA")</f>
      </c>
      <c r="M245" s="15"/>
      <c r="N245" s="13">
        <v>0</v>
      </c>
      <c r="O245" s="14">
        <f>IFERROR(N245/N327, "NA")</f>
      </c>
    </row>
    <row r="246" ht="16.5" customHeight="1">
      <c t="s" r="A246" s="12">
        <v>249</v>
      </c>
      <c r="B246" s="13">
        <v>0</v>
      </c>
      <c r="C246" s="14">
        <f>IFERROR(B246/B327, "NA")</f>
      </c>
      <c r="D246" s="15"/>
      <c r="E246" s="13">
        <v>0</v>
      </c>
      <c r="F246" s="14">
        <f>IFERROR(E246/E327, "NA")</f>
      </c>
      <c r="G246" s="15"/>
      <c r="H246" s="13">
        <v>0</v>
      </c>
      <c r="I246" s="14">
        <f>IFERROR(H246/H327, "NA")</f>
      </c>
      <c r="J246" s="15"/>
      <c r="K246" s="13">
        <v>0</v>
      </c>
      <c r="L246" s="14">
        <f>IFERROR(K246/K327, "NA")</f>
      </c>
      <c r="M246" s="15"/>
      <c r="N246" s="13">
        <v>0</v>
      </c>
      <c r="O246" s="14">
        <f>IFERROR(N246/N327, "NA")</f>
      </c>
    </row>
    <row r="247" ht="16.5" customHeight="1">
      <c t="s" r="A247" s="12">
        <v>250</v>
      </c>
      <c r="B247" s="13">
        <v>8042.3100000000004</v>
      </c>
      <c r="C247" s="14">
        <f>IFERROR(B247/B327, "NA")</f>
      </c>
      <c r="D247" s="15"/>
      <c r="E247" s="13">
        <v>0</v>
      </c>
      <c r="F247" s="14">
        <f>IFERROR(E247/E327, "NA")</f>
      </c>
      <c r="G247" s="15"/>
      <c r="H247" s="13">
        <v>0</v>
      </c>
      <c r="I247" s="14">
        <f>IFERROR(H247/H327, "NA")</f>
      </c>
      <c r="J247" s="15"/>
      <c r="K247" s="13">
        <v>0</v>
      </c>
      <c r="L247" s="14">
        <f>IFERROR(K247/K327, "NA")</f>
      </c>
      <c r="M247" s="15"/>
      <c r="N247" s="13">
        <v>0</v>
      </c>
      <c r="O247" s="14">
        <f>IFERROR(N247/N327, "NA")</f>
      </c>
    </row>
    <row r="248" ht="16.5" customHeight="1">
      <c t="s" r="A248" s="12">
        <v>251</v>
      </c>
      <c r="B248" s="13">
        <v>562.89999999999998</v>
      </c>
      <c r="C248" s="14">
        <f>IFERROR(B248/B327, "NA")</f>
      </c>
      <c r="D248" s="15"/>
      <c r="E248" s="13">
        <v>0</v>
      </c>
      <c r="F248" s="14">
        <f>IFERROR(E248/E327, "NA")</f>
      </c>
      <c r="G248" s="15"/>
      <c r="H248" s="13">
        <v>0</v>
      </c>
      <c r="I248" s="14">
        <f>IFERROR(H248/H327, "NA")</f>
      </c>
      <c r="J248" s="15"/>
      <c r="K248" s="13">
        <v>0</v>
      </c>
      <c r="L248" s="14">
        <f>IFERROR(K248/K327, "NA")</f>
      </c>
      <c r="M248" s="15"/>
      <c r="N248" s="13">
        <v>0</v>
      </c>
      <c r="O248" s="14">
        <f>IFERROR(N248/N327, "NA")</f>
      </c>
    </row>
    <row r="249" ht="16.5" customHeight="1">
      <c t="s" r="A249" s="12">
        <v>252</v>
      </c>
      <c r="B249" s="13">
        <v>3173.4099999999999</v>
      </c>
      <c r="C249" s="14">
        <f>IFERROR(B249/B327, "NA")</f>
      </c>
      <c r="D249" s="15"/>
      <c r="E249" s="13">
        <v>0</v>
      </c>
      <c r="F249" s="14">
        <f>IFERROR(E249/E327, "NA")</f>
      </c>
      <c r="G249" s="15"/>
      <c r="H249" s="13">
        <v>0</v>
      </c>
      <c r="I249" s="14">
        <f>IFERROR(H249/H327, "NA")</f>
      </c>
      <c r="J249" s="15"/>
      <c r="K249" s="13">
        <v>0</v>
      </c>
      <c r="L249" s="14">
        <f>IFERROR(K249/K327, "NA")</f>
      </c>
      <c r="M249" s="15"/>
      <c r="N249" s="13">
        <v>0</v>
      </c>
      <c r="O249" s="14">
        <f>IFERROR(N249/N327, "NA")</f>
      </c>
    </row>
    <row r="250" ht="16.5" customHeight="1">
      <c t="s" r="A250" s="12">
        <v>253</v>
      </c>
      <c r="B250" s="13">
        <v>0</v>
      </c>
      <c r="C250" s="14">
        <f>IFERROR(B250/B327, "NA")</f>
      </c>
      <c r="D250" s="15"/>
      <c r="E250" s="13">
        <v>0</v>
      </c>
      <c r="F250" s="14">
        <f>IFERROR(E250/E327, "NA")</f>
      </c>
      <c r="G250" s="15"/>
      <c r="H250" s="13">
        <v>0</v>
      </c>
      <c r="I250" s="14">
        <f>IFERROR(H250/H327, "NA")</f>
      </c>
      <c r="J250" s="15"/>
      <c r="K250" s="13">
        <v>2110.0500000000002</v>
      </c>
      <c r="L250" s="14">
        <f>IFERROR(K250/K327, "NA")</f>
      </c>
      <c r="M250" s="15"/>
      <c r="N250" s="13">
        <v>0</v>
      </c>
      <c r="O250" s="14">
        <f>IFERROR(N250/N327, "NA")</f>
      </c>
    </row>
    <row r="251" ht="16.5" customHeight="1">
      <c t="s" r="A251" s="12">
        <v>254</v>
      </c>
      <c r="B251" s="13">
        <v>0</v>
      </c>
      <c r="C251" s="14">
        <f>IFERROR(B251/B327, "NA")</f>
      </c>
      <c r="D251" s="15"/>
      <c r="E251" s="13">
        <v>0</v>
      </c>
      <c r="F251" s="14">
        <f>IFERROR(E251/E327, "NA")</f>
      </c>
      <c r="G251" s="15"/>
      <c r="H251" s="13">
        <v>0</v>
      </c>
      <c r="I251" s="14">
        <f>IFERROR(H251/H327, "NA")</f>
      </c>
      <c r="J251" s="15"/>
      <c r="K251" s="13">
        <v>0</v>
      </c>
      <c r="L251" s="14">
        <f>IFERROR(K251/K327, "NA")</f>
      </c>
      <c r="M251" s="15"/>
      <c r="N251" s="13">
        <v>0</v>
      </c>
      <c r="O251" s="14">
        <f>IFERROR(N251/N327, "NA")</f>
      </c>
    </row>
    <row r="252" ht="16.5" customHeight="1">
      <c t="s" r="A252" s="16">
        <v>255</v>
      </c>
      <c r="B252" s="17">
        <f>IFERROR(B243+B244+B245+B246+B247+B248+B249+B250+B251, "NA")</f>
      </c>
      <c r="C252" s="18">
        <f>IFERROR(B252/B327, "NA")</f>
      </c>
      <c r="D252" s="8"/>
      <c r="E252" s="17">
        <f>IFERROR(E243+E244+E245+E246+E247+E248+E249+E250+E251, "NA")</f>
      </c>
      <c r="F252" s="18">
        <f>IFERROR(E252/E327, "NA")</f>
      </c>
      <c r="G252" s="8"/>
      <c r="H252" s="17">
        <f>IFERROR(H243+H244+H245+H246+H247+H248+H249+H250+H251, "NA")</f>
      </c>
      <c r="I252" s="18">
        <f>IFERROR(H252/H327, "NA")</f>
      </c>
      <c r="J252" s="8"/>
      <c r="K252" s="17">
        <f>IFERROR(K243+K244+K245+K246+K247+K248+K249+K250+K251, "NA")</f>
      </c>
      <c r="L252" s="18">
        <f>IFERROR(K252/K327, "NA")</f>
      </c>
      <c r="M252" s="8"/>
      <c r="N252" s="17">
        <f>IFERROR(N243+N244+N245+N246+N247+N248+N249+N250+N251, "NA")</f>
      </c>
      <c r="O252" s="18">
        <f>IFERROR(N252/N327, "NA")</f>
      </c>
    </row>
    <row r="253" ht="16.5" customHeight="1">
      <c t="s" r="A253" s="11">
        <v>256</v>
      </c>
      <c r="B253" s="8"/>
      <c r="C253" s="9"/>
      <c r="D253" s="10"/>
      <c r="E253" s="8"/>
      <c r="F253" s="9"/>
      <c r="G253" s="10"/>
      <c r="H253" s="8"/>
      <c r="I253" s="9"/>
      <c r="J253" s="10"/>
      <c r="K253" s="8"/>
      <c r="L253" s="9"/>
      <c r="M253" s="10"/>
      <c r="N253" s="8"/>
      <c r="O253" s="9"/>
    </row>
    <row r="254" ht="16.5" customHeight="1">
      <c t="s" r="A254" s="12">
        <v>257</v>
      </c>
      <c r="B254" s="13">
        <v>0</v>
      </c>
      <c r="C254" s="14">
        <f>IFERROR(B254/B327, "NA")</f>
      </c>
      <c r="D254" s="15"/>
      <c r="E254" s="13">
        <v>0</v>
      </c>
      <c r="F254" s="14">
        <f>IFERROR(E254/E327, "NA")</f>
      </c>
      <c r="G254" s="15"/>
      <c r="H254" s="13">
        <v>0</v>
      </c>
      <c r="I254" s="14">
        <f>IFERROR(H254/H327, "NA")</f>
      </c>
      <c r="J254" s="15"/>
      <c r="K254" s="13">
        <v>0</v>
      </c>
      <c r="L254" s="14">
        <f>IFERROR(K254/K327, "NA")</f>
      </c>
      <c r="M254" s="15"/>
      <c r="N254" s="13">
        <v>0</v>
      </c>
      <c r="O254" s="14">
        <f>IFERROR(N254/N327, "NA")</f>
      </c>
    </row>
    <row r="255" ht="16.5" customHeight="1">
      <c t="s" r="A255" s="12">
        <v>258</v>
      </c>
      <c r="B255" s="13">
        <v>0</v>
      </c>
      <c r="C255" s="14">
        <f>IFERROR(B255/B327, "NA")</f>
      </c>
      <c r="D255" s="15"/>
      <c r="E255" s="13">
        <v>0</v>
      </c>
      <c r="F255" s="14">
        <f>IFERROR(E255/E327, "NA")</f>
      </c>
      <c r="G255" s="15"/>
      <c r="H255" s="13">
        <v>0</v>
      </c>
      <c r="I255" s="14">
        <f>IFERROR(H255/H327, "NA")</f>
      </c>
      <c r="J255" s="15"/>
      <c r="K255" s="13">
        <v>0</v>
      </c>
      <c r="L255" s="14">
        <f>IFERROR(K255/K327, "NA")</f>
      </c>
      <c r="M255" s="15"/>
      <c r="N255" s="13">
        <v>0</v>
      </c>
      <c r="O255" s="14">
        <f>IFERROR(N255/N327, "NA")</f>
      </c>
    </row>
    <row r="256" ht="16.5" customHeight="1">
      <c t="s" r="A256" s="12">
        <v>259</v>
      </c>
      <c r="B256" s="13">
        <v>0</v>
      </c>
      <c r="C256" s="14">
        <f>IFERROR(B256/B327, "NA")</f>
      </c>
      <c r="D256" s="15"/>
      <c r="E256" s="13">
        <v>0</v>
      </c>
      <c r="F256" s="14">
        <f>IFERROR(E256/E327, "NA")</f>
      </c>
      <c r="G256" s="15"/>
      <c r="H256" s="13">
        <v>0</v>
      </c>
      <c r="I256" s="14">
        <f>IFERROR(H256/H327, "NA")</f>
      </c>
      <c r="J256" s="15"/>
      <c r="K256" s="13">
        <v>0</v>
      </c>
      <c r="L256" s="14">
        <f>IFERROR(K256/K327, "NA")</f>
      </c>
      <c r="M256" s="15"/>
      <c r="N256" s="13">
        <v>0</v>
      </c>
      <c r="O256" s="14">
        <f>IFERROR(N256/N327, "NA")</f>
      </c>
    </row>
    <row r="257" ht="16.5" customHeight="1">
      <c t="s" r="A257" s="12">
        <v>260</v>
      </c>
      <c r="B257" s="13">
        <v>0</v>
      </c>
      <c r="C257" s="14">
        <f>IFERROR(B257/B327, "NA")</f>
      </c>
      <c r="D257" s="15"/>
      <c r="E257" s="13">
        <v>0</v>
      </c>
      <c r="F257" s="14">
        <f>IFERROR(E257/E327, "NA")</f>
      </c>
      <c r="G257" s="15"/>
      <c r="H257" s="13">
        <v>0</v>
      </c>
      <c r="I257" s="14">
        <f>IFERROR(H257/H327, "NA")</f>
      </c>
      <c r="J257" s="15"/>
      <c r="K257" s="13">
        <v>0</v>
      </c>
      <c r="L257" s="14">
        <f>IFERROR(K257/K327, "NA")</f>
      </c>
      <c r="M257" s="15"/>
      <c r="N257" s="13">
        <v>0</v>
      </c>
      <c r="O257" s="14">
        <f>IFERROR(N257/N327, "NA")</f>
      </c>
    </row>
    <row r="258" ht="16.5" customHeight="1">
      <c t="s" r="A258" s="12">
        <v>261</v>
      </c>
      <c r="B258" s="13">
        <v>0</v>
      </c>
      <c r="C258" s="14">
        <f>IFERROR(B258/B327, "NA")</f>
      </c>
      <c r="D258" s="15"/>
      <c r="E258" s="13">
        <v>0</v>
      </c>
      <c r="F258" s="14">
        <f>IFERROR(E258/E327, "NA")</f>
      </c>
      <c r="G258" s="15"/>
      <c r="H258" s="13">
        <v>0</v>
      </c>
      <c r="I258" s="14">
        <f>IFERROR(H258/H327, "NA")</f>
      </c>
      <c r="J258" s="15"/>
      <c r="K258" s="13">
        <v>0</v>
      </c>
      <c r="L258" s="14">
        <f>IFERROR(K258/K327, "NA")</f>
      </c>
      <c r="M258" s="15"/>
      <c r="N258" s="13">
        <v>0</v>
      </c>
      <c r="O258" s="14">
        <f>IFERROR(N258/N327, "NA")</f>
      </c>
    </row>
    <row r="259" ht="16.5" customHeight="1">
      <c t="s" r="A259" s="12">
        <v>262</v>
      </c>
      <c r="B259" s="13">
        <v>0</v>
      </c>
      <c r="C259" s="14">
        <f>IFERROR(B259/B327, "NA")</f>
      </c>
      <c r="D259" s="15"/>
      <c r="E259" s="13">
        <v>0</v>
      </c>
      <c r="F259" s="14">
        <f>IFERROR(E259/E327, "NA")</f>
      </c>
      <c r="G259" s="15"/>
      <c r="H259" s="13">
        <v>0</v>
      </c>
      <c r="I259" s="14">
        <f>IFERROR(H259/H327, "NA")</f>
      </c>
      <c r="J259" s="15"/>
      <c r="K259" s="13">
        <v>0</v>
      </c>
      <c r="L259" s="14">
        <f>IFERROR(K259/K327, "NA")</f>
      </c>
      <c r="M259" s="15"/>
      <c r="N259" s="13">
        <v>0</v>
      </c>
      <c r="O259" s="14">
        <f>IFERROR(N259/N327, "NA")</f>
      </c>
    </row>
    <row r="260" ht="16.5" customHeight="1">
      <c t="s" r="A260" s="12">
        <v>263</v>
      </c>
      <c r="B260" s="13">
        <v>0</v>
      </c>
      <c r="C260" s="14">
        <f>IFERROR(B260/B327, "NA")</f>
      </c>
      <c r="D260" s="15"/>
      <c r="E260" s="13">
        <v>0</v>
      </c>
      <c r="F260" s="14">
        <f>IFERROR(E260/E327, "NA")</f>
      </c>
      <c r="G260" s="15"/>
      <c r="H260" s="13">
        <v>0</v>
      </c>
      <c r="I260" s="14">
        <f>IFERROR(H260/H327, "NA")</f>
      </c>
      <c r="J260" s="15"/>
      <c r="K260" s="13">
        <v>0</v>
      </c>
      <c r="L260" s="14">
        <f>IFERROR(K260/K327, "NA")</f>
      </c>
      <c r="M260" s="15"/>
      <c r="N260" s="13">
        <v>0</v>
      </c>
      <c r="O260" s="14">
        <f>IFERROR(N260/N327, "NA")</f>
      </c>
    </row>
    <row r="261" ht="16.5" customHeight="1">
      <c t="s" r="A261" s="12">
        <v>264</v>
      </c>
      <c r="B261" s="13">
        <v>0</v>
      </c>
      <c r="C261" s="14">
        <f>IFERROR(B261/B327, "NA")</f>
      </c>
      <c r="D261" s="15"/>
      <c r="E261" s="13">
        <v>0</v>
      </c>
      <c r="F261" s="14">
        <f>IFERROR(E261/E327, "NA")</f>
      </c>
      <c r="G261" s="15"/>
      <c r="H261" s="13">
        <v>0</v>
      </c>
      <c r="I261" s="14">
        <f>IFERROR(H261/H327, "NA")</f>
      </c>
      <c r="J261" s="15"/>
      <c r="K261" s="13">
        <v>0</v>
      </c>
      <c r="L261" s="14">
        <f>IFERROR(K261/K327, "NA")</f>
      </c>
      <c r="M261" s="15"/>
      <c r="N261" s="13">
        <v>0</v>
      </c>
      <c r="O261" s="14">
        <f>IFERROR(N261/N327, "NA")</f>
      </c>
    </row>
    <row r="262" ht="16.5" customHeight="1">
      <c t="s" r="A262" s="12">
        <v>265</v>
      </c>
      <c r="B262" s="13">
        <v>0</v>
      </c>
      <c r="C262" s="14">
        <f>IFERROR(B262/B327, "NA")</f>
      </c>
      <c r="D262" s="15"/>
      <c r="E262" s="13">
        <v>0</v>
      </c>
      <c r="F262" s="14">
        <f>IFERROR(E262/E327, "NA")</f>
      </c>
      <c r="G262" s="15"/>
      <c r="H262" s="13">
        <v>0</v>
      </c>
      <c r="I262" s="14">
        <f>IFERROR(H262/H327, "NA")</f>
      </c>
      <c r="J262" s="15"/>
      <c r="K262" s="13">
        <v>0</v>
      </c>
      <c r="L262" s="14">
        <f>IFERROR(K262/K327, "NA")</f>
      </c>
      <c r="M262" s="15"/>
      <c r="N262" s="13">
        <v>0</v>
      </c>
      <c r="O262" s="14">
        <f>IFERROR(N262/N327, "NA")</f>
      </c>
    </row>
    <row r="263" ht="16.5" customHeight="1">
      <c t="s" r="A263" s="16">
        <v>266</v>
      </c>
      <c r="B263" s="17">
        <f>IFERROR(B254+B255+B256+B257+B258+B259+B260+B261+B262, "NA")</f>
      </c>
      <c r="C263" s="18">
        <f>IFERROR(B263/B327, "NA")</f>
      </c>
      <c r="D263" s="8"/>
      <c r="E263" s="17">
        <f>IFERROR(E254+E255+E256+E257+E258+E259+E260+E261+E262, "NA")</f>
      </c>
      <c r="F263" s="18">
        <f>IFERROR(E263/E327, "NA")</f>
      </c>
      <c r="G263" s="8"/>
      <c r="H263" s="17">
        <f>IFERROR(H254+H255+H256+H257+H258+H259+H260+H261+H262, "NA")</f>
      </c>
      <c r="I263" s="18">
        <f>IFERROR(H263/H327, "NA")</f>
      </c>
      <c r="J263" s="8"/>
      <c r="K263" s="17">
        <f>IFERROR(K254+K255+K256+K257+K258+K259+K260+K261+K262, "NA")</f>
      </c>
      <c r="L263" s="18">
        <f>IFERROR(K263/K327, "NA")</f>
      </c>
      <c r="M263" s="8"/>
      <c r="N263" s="17">
        <f>IFERROR(N254+N255+N256+N257+N258+N259+N260+N261+N262, "NA")</f>
      </c>
      <c r="O263" s="18">
        <f>IFERROR(N263/N327, "NA")</f>
      </c>
    </row>
    <row r="264" ht="16.5" customHeight="1">
      <c t="s" r="A264" s="11">
        <v>267</v>
      </c>
      <c r="B264" s="8"/>
      <c r="C264" s="9"/>
      <c r="D264" s="10"/>
      <c r="E264" s="8"/>
      <c r="F264" s="9"/>
      <c r="G264" s="10"/>
      <c r="H264" s="8"/>
      <c r="I264" s="9"/>
      <c r="J264" s="10"/>
      <c r="K264" s="8"/>
      <c r="L264" s="9"/>
      <c r="M264" s="10"/>
      <c r="N264" s="8"/>
      <c r="O264" s="9"/>
    </row>
    <row r="265" ht="16.5" customHeight="1">
      <c t="s" r="A265" s="12">
        <v>268</v>
      </c>
      <c r="B265" s="13">
        <v>0</v>
      </c>
      <c r="C265" s="14">
        <f>IFERROR(B265/B327, "NA")</f>
      </c>
      <c r="D265" s="15"/>
      <c r="E265" s="13">
        <v>0</v>
      </c>
      <c r="F265" s="14">
        <f>IFERROR(E265/E327, "NA")</f>
      </c>
      <c r="G265" s="15"/>
      <c r="H265" s="13">
        <v>0</v>
      </c>
      <c r="I265" s="14">
        <f>IFERROR(H265/H327, "NA")</f>
      </c>
      <c r="J265" s="15"/>
      <c r="K265" s="13">
        <v>0</v>
      </c>
      <c r="L265" s="14">
        <f>IFERROR(K265/K327, "NA")</f>
      </c>
      <c r="M265" s="15"/>
      <c r="N265" s="13">
        <v>0</v>
      </c>
      <c r="O265" s="14">
        <f>IFERROR(N265/N327, "NA")</f>
      </c>
    </row>
    <row r="266" ht="16.5" customHeight="1">
      <c t="s" r="A266" s="12">
        <v>269</v>
      </c>
      <c r="B266" s="13">
        <v>0</v>
      </c>
      <c r="C266" s="14">
        <f>IFERROR(B266/B327, "NA")</f>
      </c>
      <c r="D266" s="15"/>
      <c r="E266" s="13">
        <v>0</v>
      </c>
      <c r="F266" s="14">
        <f>IFERROR(E266/E327, "NA")</f>
      </c>
      <c r="G266" s="15"/>
      <c r="H266" s="13">
        <v>0</v>
      </c>
      <c r="I266" s="14">
        <f>IFERROR(H266/H327, "NA")</f>
      </c>
      <c r="J266" s="15"/>
      <c r="K266" s="13">
        <v>0</v>
      </c>
      <c r="L266" s="14">
        <f>IFERROR(K266/K327, "NA")</f>
      </c>
      <c r="M266" s="15"/>
      <c r="N266" s="13">
        <v>0</v>
      </c>
      <c r="O266" s="14">
        <f>IFERROR(N266/N327, "NA")</f>
      </c>
    </row>
    <row r="267" ht="16.5" customHeight="1">
      <c t="s" r="A267" s="12">
        <v>270</v>
      </c>
      <c r="B267" s="13">
        <v>0</v>
      </c>
      <c r="C267" s="14">
        <f>IFERROR(B267/B327, "NA")</f>
      </c>
      <c r="D267" s="15"/>
      <c r="E267" s="13">
        <v>0</v>
      </c>
      <c r="F267" s="14">
        <f>IFERROR(E267/E327, "NA")</f>
      </c>
      <c r="G267" s="15"/>
      <c r="H267" s="13">
        <v>0</v>
      </c>
      <c r="I267" s="14">
        <f>IFERROR(H267/H327, "NA")</f>
      </c>
      <c r="J267" s="15"/>
      <c r="K267" s="13">
        <v>0</v>
      </c>
      <c r="L267" s="14">
        <f>IFERROR(K267/K327, "NA")</f>
      </c>
      <c r="M267" s="15"/>
      <c r="N267" s="13">
        <v>0</v>
      </c>
      <c r="O267" s="14">
        <f>IFERROR(N267/N327, "NA")</f>
      </c>
    </row>
    <row r="268" ht="16.5" customHeight="1">
      <c t="s" r="A268" s="12">
        <v>271</v>
      </c>
      <c r="B268" s="13">
        <v>0</v>
      </c>
      <c r="C268" s="14">
        <f>IFERROR(B268/B327, "NA")</f>
      </c>
      <c r="D268" s="15"/>
      <c r="E268" s="13">
        <v>0</v>
      </c>
      <c r="F268" s="14">
        <f>IFERROR(E268/E327, "NA")</f>
      </c>
      <c r="G268" s="15"/>
      <c r="H268" s="13">
        <v>0</v>
      </c>
      <c r="I268" s="14">
        <f>IFERROR(H268/H327, "NA")</f>
      </c>
      <c r="J268" s="15"/>
      <c r="K268" s="13">
        <v>0</v>
      </c>
      <c r="L268" s="14">
        <f>IFERROR(K268/K327, "NA")</f>
      </c>
      <c r="M268" s="15"/>
      <c r="N268" s="13">
        <v>0</v>
      </c>
      <c r="O268" s="14">
        <f>IFERROR(N268/N327, "NA")</f>
      </c>
    </row>
    <row r="269" ht="16.5" customHeight="1">
      <c t="s" r="A269" s="12">
        <v>272</v>
      </c>
      <c r="B269" s="13">
        <v>0</v>
      </c>
      <c r="C269" s="14">
        <f>IFERROR(B269/B327, "NA")</f>
      </c>
      <c r="D269" s="15"/>
      <c r="E269" s="13">
        <v>0</v>
      </c>
      <c r="F269" s="14">
        <f>IFERROR(E269/E327, "NA")</f>
      </c>
      <c r="G269" s="15"/>
      <c r="H269" s="13">
        <v>0</v>
      </c>
      <c r="I269" s="14">
        <f>IFERROR(H269/H327, "NA")</f>
      </c>
      <c r="J269" s="15"/>
      <c r="K269" s="13">
        <v>0</v>
      </c>
      <c r="L269" s="14">
        <f>IFERROR(K269/K327, "NA")</f>
      </c>
      <c r="M269" s="15"/>
      <c r="N269" s="13">
        <v>0</v>
      </c>
      <c r="O269" s="14">
        <f>IFERROR(N269/N327, "NA")</f>
      </c>
    </row>
    <row r="270" ht="16.5" customHeight="1">
      <c t="s" r="A270" s="12">
        <v>273</v>
      </c>
      <c r="B270" s="13">
        <v>0</v>
      </c>
      <c r="C270" s="14">
        <f>IFERROR(B270/B327, "NA")</f>
      </c>
      <c r="D270" s="15"/>
      <c r="E270" s="13">
        <v>0</v>
      </c>
      <c r="F270" s="14">
        <f>IFERROR(E270/E327, "NA")</f>
      </c>
      <c r="G270" s="15"/>
      <c r="H270" s="13">
        <v>0</v>
      </c>
      <c r="I270" s="14">
        <f>IFERROR(H270/H327, "NA")</f>
      </c>
      <c r="J270" s="15"/>
      <c r="K270" s="13">
        <v>0</v>
      </c>
      <c r="L270" s="14">
        <f>IFERROR(K270/K327, "NA")</f>
      </c>
      <c r="M270" s="15"/>
      <c r="N270" s="13">
        <v>0</v>
      </c>
      <c r="O270" s="14">
        <f>IFERROR(N270/N327, "NA")</f>
      </c>
    </row>
    <row r="271" ht="16.5" customHeight="1">
      <c t="s" r="A271" s="12">
        <v>274</v>
      </c>
      <c r="B271" s="13">
        <v>0</v>
      </c>
      <c r="C271" s="14">
        <f>IFERROR(B271/B327, "NA")</f>
      </c>
      <c r="D271" s="15"/>
      <c r="E271" s="13">
        <v>0</v>
      </c>
      <c r="F271" s="14">
        <f>IFERROR(E271/E327, "NA")</f>
      </c>
      <c r="G271" s="15"/>
      <c r="H271" s="13">
        <v>0</v>
      </c>
      <c r="I271" s="14">
        <f>IFERROR(H271/H327, "NA")</f>
      </c>
      <c r="J271" s="15"/>
      <c r="K271" s="13">
        <v>0</v>
      </c>
      <c r="L271" s="14">
        <f>IFERROR(K271/K327, "NA")</f>
      </c>
      <c r="M271" s="15"/>
      <c r="N271" s="13">
        <v>0</v>
      </c>
      <c r="O271" s="14">
        <f>IFERROR(N271/N327, "NA")</f>
      </c>
    </row>
    <row r="272" ht="16.5" customHeight="1">
      <c t="s" r="A272" s="12">
        <v>275</v>
      </c>
      <c r="B272" s="13">
        <v>0</v>
      </c>
      <c r="C272" s="14">
        <f>IFERROR(B272/B327, "NA")</f>
      </c>
      <c r="D272" s="15"/>
      <c r="E272" s="13">
        <v>0</v>
      </c>
      <c r="F272" s="14">
        <f>IFERROR(E272/E327, "NA")</f>
      </c>
      <c r="G272" s="15"/>
      <c r="H272" s="13">
        <v>0</v>
      </c>
      <c r="I272" s="14">
        <f>IFERROR(H272/H327, "NA")</f>
      </c>
      <c r="J272" s="15"/>
      <c r="K272" s="13">
        <v>0</v>
      </c>
      <c r="L272" s="14">
        <f>IFERROR(K272/K327, "NA")</f>
      </c>
      <c r="M272" s="15"/>
      <c r="N272" s="13">
        <v>0</v>
      </c>
      <c r="O272" s="14">
        <f>IFERROR(N272/N327, "NA")</f>
      </c>
    </row>
    <row r="273" ht="16.5" customHeight="1">
      <c t="s" r="A273" s="12">
        <v>276</v>
      </c>
      <c r="B273" s="13">
        <v>0</v>
      </c>
      <c r="C273" s="14">
        <f>IFERROR(B273/B327, "NA")</f>
      </c>
      <c r="D273" s="15"/>
      <c r="E273" s="13">
        <v>0</v>
      </c>
      <c r="F273" s="14">
        <f>IFERROR(E273/E327, "NA")</f>
      </c>
      <c r="G273" s="15"/>
      <c r="H273" s="13">
        <v>0</v>
      </c>
      <c r="I273" s="14">
        <f>IFERROR(H273/H327, "NA")</f>
      </c>
      <c r="J273" s="15"/>
      <c r="K273" s="13">
        <v>0</v>
      </c>
      <c r="L273" s="14">
        <f>IFERROR(K273/K327, "NA")</f>
      </c>
      <c r="M273" s="15"/>
      <c r="N273" s="13">
        <v>0</v>
      </c>
      <c r="O273" s="14">
        <f>IFERROR(N273/N327, "NA")</f>
      </c>
    </row>
    <row r="274" ht="16.5" customHeight="1">
      <c t="s" r="A274" s="12">
        <v>277</v>
      </c>
      <c r="B274" s="13">
        <v>0</v>
      </c>
      <c r="C274" s="14">
        <f>IFERROR(B274/B327, "NA")</f>
      </c>
      <c r="D274" s="15"/>
      <c r="E274" s="13">
        <v>0</v>
      </c>
      <c r="F274" s="14">
        <f>IFERROR(E274/E327, "NA")</f>
      </c>
      <c r="G274" s="15"/>
      <c r="H274" s="13">
        <v>0</v>
      </c>
      <c r="I274" s="14">
        <f>IFERROR(H274/H327, "NA")</f>
      </c>
      <c r="J274" s="15"/>
      <c r="K274" s="13">
        <v>0</v>
      </c>
      <c r="L274" s="14">
        <f>IFERROR(K274/K327, "NA")</f>
      </c>
      <c r="M274" s="15"/>
      <c r="N274" s="13">
        <v>0</v>
      </c>
      <c r="O274" s="14">
        <f>IFERROR(N274/N327, "NA")</f>
      </c>
    </row>
    <row r="275" ht="16.5" customHeight="1">
      <c t="s" r="A275" s="12">
        <v>278</v>
      </c>
      <c r="B275" s="13">
        <v>0</v>
      </c>
      <c r="C275" s="14">
        <f>IFERROR(B275/B327, "NA")</f>
      </c>
      <c r="D275" s="15"/>
      <c r="E275" s="13">
        <v>0</v>
      </c>
      <c r="F275" s="14">
        <f>IFERROR(E275/E327, "NA")</f>
      </c>
      <c r="G275" s="15"/>
      <c r="H275" s="13">
        <v>0</v>
      </c>
      <c r="I275" s="14">
        <f>IFERROR(H275/H327, "NA")</f>
      </c>
      <c r="J275" s="15"/>
      <c r="K275" s="13">
        <v>0</v>
      </c>
      <c r="L275" s="14">
        <f>IFERROR(K275/K327, "NA")</f>
      </c>
      <c r="M275" s="15"/>
      <c r="N275" s="13">
        <v>0</v>
      </c>
      <c r="O275" s="14">
        <f>IFERROR(N275/N327, "NA")</f>
      </c>
    </row>
    <row r="276" ht="16.5" customHeight="1">
      <c t="s" r="A276" s="12">
        <v>279</v>
      </c>
      <c r="B276" s="13">
        <v>0</v>
      </c>
      <c r="C276" s="14">
        <f>IFERROR(B276/B327, "NA")</f>
      </c>
      <c r="D276" s="15"/>
      <c r="E276" s="13">
        <v>0</v>
      </c>
      <c r="F276" s="14">
        <f>IFERROR(E276/E327, "NA")</f>
      </c>
      <c r="G276" s="15"/>
      <c r="H276" s="13">
        <v>0</v>
      </c>
      <c r="I276" s="14">
        <f>IFERROR(H276/H327, "NA")</f>
      </c>
      <c r="J276" s="15"/>
      <c r="K276" s="13">
        <v>0</v>
      </c>
      <c r="L276" s="14">
        <f>IFERROR(K276/K327, "NA")</f>
      </c>
      <c r="M276" s="15"/>
      <c r="N276" s="13">
        <v>0</v>
      </c>
      <c r="O276" s="14">
        <f>IFERROR(N276/N327, "NA")</f>
      </c>
    </row>
    <row r="277" ht="16.5" customHeight="1">
      <c t="s" r="A277" s="12">
        <v>280</v>
      </c>
      <c r="B277" s="13">
        <v>0</v>
      </c>
      <c r="C277" s="14">
        <f>IFERROR(B277/B327, "NA")</f>
      </c>
      <c r="D277" s="15"/>
      <c r="E277" s="13">
        <v>0</v>
      </c>
      <c r="F277" s="14">
        <f>IFERROR(E277/E327, "NA")</f>
      </c>
      <c r="G277" s="15"/>
      <c r="H277" s="13">
        <v>0</v>
      </c>
      <c r="I277" s="14">
        <f>IFERROR(H277/H327, "NA")</f>
      </c>
      <c r="J277" s="15"/>
      <c r="K277" s="13">
        <v>0</v>
      </c>
      <c r="L277" s="14">
        <f>IFERROR(K277/K327, "NA")</f>
      </c>
      <c r="M277" s="15"/>
      <c r="N277" s="13">
        <v>0</v>
      </c>
      <c r="O277" s="14">
        <f>IFERROR(N277/N327, "NA")</f>
      </c>
    </row>
    <row r="278" ht="16.5" customHeight="1">
      <c t="s" r="A278" s="12">
        <v>281</v>
      </c>
      <c r="B278" s="13">
        <v>-1713.9200000000001</v>
      </c>
      <c r="C278" s="14">
        <f>IFERROR(B278/B327, "NA")</f>
      </c>
      <c r="D278" s="15"/>
      <c r="E278" s="13">
        <v>-3104.6100000000001</v>
      </c>
      <c r="F278" s="14">
        <f>IFERROR(E278/E327, "NA")</f>
      </c>
      <c r="G278" s="15"/>
      <c r="H278" s="13">
        <v>-4929.5600000000004</v>
      </c>
      <c r="I278" s="14">
        <f>IFERROR(H278/H327, "NA")</f>
      </c>
      <c r="J278" s="15"/>
      <c r="K278" s="13">
        <v>-3930.9000000000001</v>
      </c>
      <c r="L278" s="14">
        <f>IFERROR(K278/K327, "NA")</f>
      </c>
      <c r="M278" s="15"/>
      <c r="N278" s="13">
        <v>-3119.4099999999999</v>
      </c>
      <c r="O278" s="14">
        <f>IFERROR(N278/N327, "NA")</f>
      </c>
    </row>
    <row r="279" ht="16.5" customHeight="1">
      <c t="s" r="A279" s="12">
        <v>282</v>
      </c>
      <c r="B279" s="13">
        <v>0</v>
      </c>
      <c r="C279" s="14">
        <f>IFERROR(B279/B327, "NA")</f>
      </c>
      <c r="D279" s="15"/>
      <c r="E279" s="13">
        <v>0</v>
      </c>
      <c r="F279" s="14">
        <f>IFERROR(E279/E327, "NA")</f>
      </c>
      <c r="G279" s="15"/>
      <c r="H279" s="13">
        <v>0</v>
      </c>
      <c r="I279" s="14">
        <f>IFERROR(H279/H327, "NA")</f>
      </c>
      <c r="J279" s="15"/>
      <c r="K279" s="13">
        <v>0</v>
      </c>
      <c r="L279" s="14">
        <f>IFERROR(K279/K327, "NA")</f>
      </c>
      <c r="M279" s="15"/>
      <c r="N279" s="13">
        <v>0</v>
      </c>
      <c r="O279" s="14">
        <f>IFERROR(N279/N327, "NA")</f>
      </c>
    </row>
    <row r="280" ht="16.5" customHeight="1">
      <c t="s" r="A280" s="12">
        <v>283</v>
      </c>
      <c r="B280" s="13">
        <v>0</v>
      </c>
      <c r="C280" s="14">
        <f>IFERROR(B280/B327, "NA")</f>
      </c>
      <c r="D280" s="15"/>
      <c r="E280" s="13">
        <v>0</v>
      </c>
      <c r="F280" s="14">
        <f>IFERROR(E280/E327, "NA")</f>
      </c>
      <c r="G280" s="15"/>
      <c r="H280" s="13">
        <v>0</v>
      </c>
      <c r="I280" s="14">
        <f>IFERROR(H280/H327, "NA")</f>
      </c>
      <c r="J280" s="15"/>
      <c r="K280" s="13">
        <v>0</v>
      </c>
      <c r="L280" s="14">
        <f>IFERROR(K280/K327, "NA")</f>
      </c>
      <c r="M280" s="15"/>
      <c r="N280" s="13">
        <v>0</v>
      </c>
      <c r="O280" s="14">
        <f>IFERROR(N280/N327, "NA")</f>
      </c>
    </row>
    <row r="281" ht="16.5" customHeight="1">
      <c t="s" r="A281" s="12">
        <v>284</v>
      </c>
      <c r="B281" s="13">
        <v>0</v>
      </c>
      <c r="C281" s="14">
        <f>IFERROR(B281/B327, "NA")</f>
      </c>
      <c r="D281" s="15"/>
      <c r="E281" s="13">
        <v>0</v>
      </c>
      <c r="F281" s="14">
        <f>IFERROR(E281/E327, "NA")</f>
      </c>
      <c r="G281" s="15"/>
      <c r="H281" s="13">
        <v>0</v>
      </c>
      <c r="I281" s="14">
        <f>IFERROR(H281/H327, "NA")</f>
      </c>
      <c r="J281" s="15"/>
      <c r="K281" s="13">
        <v>0</v>
      </c>
      <c r="L281" s="14">
        <f>IFERROR(K281/K327, "NA")</f>
      </c>
      <c r="M281" s="15"/>
      <c r="N281" s="13">
        <v>0</v>
      </c>
      <c r="O281" s="14">
        <f>IFERROR(N281/N327, "NA")</f>
      </c>
    </row>
    <row r="282" ht="16.5" customHeight="1">
      <c t="s" r="A282" s="12">
        <v>285</v>
      </c>
      <c r="B282" s="13">
        <v>0</v>
      </c>
      <c r="C282" s="14">
        <f>IFERROR(B282/B327, "NA")</f>
      </c>
      <c r="D282" s="15"/>
      <c r="E282" s="13">
        <v>0</v>
      </c>
      <c r="F282" s="14">
        <f>IFERROR(E282/E327, "NA")</f>
      </c>
      <c r="G282" s="15"/>
      <c r="H282" s="13">
        <v>0</v>
      </c>
      <c r="I282" s="14">
        <f>IFERROR(H282/H327, "NA")</f>
      </c>
      <c r="J282" s="15"/>
      <c r="K282" s="13">
        <v>0</v>
      </c>
      <c r="L282" s="14">
        <f>IFERROR(K282/K327, "NA")</f>
      </c>
      <c r="M282" s="15"/>
      <c r="N282" s="13">
        <v>0</v>
      </c>
      <c r="O282" s="14">
        <f>IFERROR(N282/N327, "NA")</f>
      </c>
    </row>
    <row r="283" ht="16.5" customHeight="1">
      <c t="s" r="A283" s="16">
        <v>286</v>
      </c>
      <c r="B283" s="17">
        <f>IFERROR(B265+B266+B267+B268+B269+B270+B271+B272+B273+B274+B275+B276+B277+B278+B279+B280+B281+B282, "NA")</f>
      </c>
      <c r="C283" s="18">
        <f>IFERROR(B283/B327, "NA")</f>
      </c>
      <c r="D283" s="8"/>
      <c r="E283" s="17">
        <f>IFERROR(E265+E266+E267+E268+E269+E270+E271+E272+E273+E274+E275+E276+E277+E278+E279+E280+E281+E282, "NA")</f>
      </c>
      <c r="F283" s="18">
        <f>IFERROR(E283/E327, "NA")</f>
      </c>
      <c r="G283" s="8"/>
      <c r="H283" s="17">
        <f>IFERROR(H265+H266+H267+H268+H269+H270+H271+H272+H273+H274+H275+H276+H277+H278+H279+H280+H281+H282, "NA")</f>
      </c>
      <c r="I283" s="18">
        <f>IFERROR(H283/H327, "NA")</f>
      </c>
      <c r="J283" s="8"/>
      <c r="K283" s="17">
        <f>IFERROR(K265+K266+K267+K268+K269+K270+K271+K272+K273+K274+K275+K276+K277+K278+K279+K280+K281+K282, "NA")</f>
      </c>
      <c r="L283" s="18">
        <f>IFERROR(K283/K327, "NA")</f>
      </c>
      <c r="M283" s="8"/>
      <c r="N283" s="17">
        <f>IFERROR(N265+N266+N267+N268+N269+N270+N271+N272+N273+N274+N275+N276+N277+N278+N279+N280+N281+N282, "NA")</f>
      </c>
      <c r="O283" s="18">
        <f>IFERROR(N283/N327, "NA")</f>
      </c>
    </row>
    <row r="284" ht="16.5" customHeight="1">
      <c t="s" r="A284" s="20">
        <v>287</v>
      </c>
      <c r="B284" s="17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</c>
      <c r="C284" s="18">
        <f>IFERROR(B284/B327, "NA")</f>
      </c>
      <c r="D284" s="8"/>
      <c r="E284" s="17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</c>
      <c r="F284" s="18">
        <f>IFERROR(E284/E327, "NA")</f>
      </c>
      <c r="G284" s="8"/>
      <c r="H284" s="17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</c>
      <c r="I284" s="18">
        <f>IFERROR(H284/H327, "NA")</f>
      </c>
      <c r="J284" s="8"/>
      <c r="K284" s="17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</c>
      <c r="L284" s="18">
        <f>IFERROR(K284/K327, "NA")</f>
      </c>
      <c r="M284" s="8"/>
      <c r="N284" s="17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</c>
      <c r="O284" s="18">
        <f>IFERROR(N284/N327, "NA")</f>
      </c>
    </row>
    <row r="285" ht="16.5" customHeight="1">
      <c t="s" r="A285" s="7">
        <v>288</v>
      </c>
      <c r="B285" s="8"/>
      <c r="C285" s="9"/>
      <c r="D285" s="10"/>
      <c r="E285" s="8"/>
      <c r="F285" s="9"/>
      <c r="G285" s="10"/>
      <c r="H285" s="8"/>
      <c r="I285" s="9"/>
      <c r="J285" s="10"/>
      <c r="K285" s="8"/>
      <c r="L285" s="9"/>
      <c r="M285" s="10"/>
      <c r="N285" s="8"/>
      <c r="O285" s="9"/>
    </row>
    <row r="286" ht="16.5" customHeight="1">
      <c t="s" r="A286" s="11">
        <v>289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</row>
    <row r="287" ht="16.5" customHeight="1">
      <c t="s" r="A287" s="12">
        <v>290</v>
      </c>
      <c r="B287" s="13">
        <v>0</v>
      </c>
      <c r="C287" s="14">
        <f>IFERROR(B287/B327, "NA")</f>
      </c>
      <c r="D287" s="15"/>
      <c r="E287" s="13">
        <v>0</v>
      </c>
      <c r="F287" s="14">
        <f>IFERROR(E287/E327, "NA")</f>
      </c>
      <c r="G287" s="15"/>
      <c r="H287" s="13">
        <v>0</v>
      </c>
      <c r="I287" s="14">
        <f>IFERROR(H287/H327, "NA")</f>
      </c>
      <c r="J287" s="15"/>
      <c r="K287" s="13">
        <v>0</v>
      </c>
      <c r="L287" s="14">
        <f>IFERROR(K287/K327, "NA")</f>
      </c>
      <c r="M287" s="15"/>
      <c r="N287" s="13">
        <v>0</v>
      </c>
      <c r="O287" s="14">
        <f>IFERROR(N287/N327, "NA")</f>
      </c>
    </row>
    <row r="288" ht="16.5" customHeight="1">
      <c t="s" r="A288" s="12">
        <v>291</v>
      </c>
      <c r="B288" s="13">
        <v>0</v>
      </c>
      <c r="C288" s="14">
        <f>IFERROR(B288/B327, "NA")</f>
      </c>
      <c r="D288" s="15"/>
      <c r="E288" s="13">
        <v>0</v>
      </c>
      <c r="F288" s="14">
        <f>IFERROR(E288/E327, "NA")</f>
      </c>
      <c r="G288" s="15"/>
      <c r="H288" s="13">
        <v>0</v>
      </c>
      <c r="I288" s="14">
        <f>IFERROR(H288/H327, "NA")</f>
      </c>
      <c r="J288" s="15"/>
      <c r="K288" s="13">
        <v>0</v>
      </c>
      <c r="L288" s="14">
        <f>IFERROR(K288/K327, "NA")</f>
      </c>
      <c r="M288" s="15"/>
      <c r="N288" s="13">
        <v>0</v>
      </c>
      <c r="O288" s="14">
        <f>IFERROR(N288/N327, "NA")</f>
      </c>
    </row>
    <row r="289" ht="16.5" customHeight="1">
      <c t="s" r="A289" s="12">
        <v>292</v>
      </c>
      <c r="B289" s="13">
        <v>0</v>
      </c>
      <c r="C289" s="14">
        <f>IFERROR(B289/B327, "NA")</f>
      </c>
      <c r="D289" s="15"/>
      <c r="E289" s="13">
        <v>0</v>
      </c>
      <c r="F289" s="14">
        <f>IFERROR(E289/E327, "NA")</f>
      </c>
      <c r="G289" s="15"/>
      <c r="H289" s="13">
        <v>0</v>
      </c>
      <c r="I289" s="14">
        <f>IFERROR(H289/H327, "NA")</f>
      </c>
      <c r="J289" s="15"/>
      <c r="K289" s="13">
        <v>0</v>
      </c>
      <c r="L289" s="14">
        <f>IFERROR(K289/K327, "NA")</f>
      </c>
      <c r="M289" s="15"/>
      <c r="N289" s="13">
        <v>0</v>
      </c>
      <c r="O289" s="14">
        <f>IFERROR(N289/N327, "NA")</f>
      </c>
    </row>
    <row r="290" ht="16.5" customHeight="1">
      <c t="s" r="A290" s="12">
        <v>293</v>
      </c>
      <c r="B290" s="13">
        <v>4594</v>
      </c>
      <c r="C290" s="14">
        <f>IFERROR(B290/B327, "NA")</f>
      </c>
      <c r="D290" s="15"/>
      <c r="E290" s="13">
        <v>4972.9700000000003</v>
      </c>
      <c r="F290" s="14">
        <f>IFERROR(E290/E327, "NA")</f>
      </c>
      <c r="G290" s="15"/>
      <c r="H290" s="13">
        <v>8050.1199999999999</v>
      </c>
      <c r="I290" s="14">
        <f>IFERROR(H290/H327, "NA")</f>
      </c>
      <c r="J290" s="15"/>
      <c r="K290" s="13">
        <v>6605</v>
      </c>
      <c r="L290" s="14">
        <f>IFERROR(K290/K327, "NA")</f>
      </c>
      <c r="M290" s="15"/>
      <c r="N290" s="13">
        <v>5148.3100000000004</v>
      </c>
      <c r="O290" s="14">
        <f>IFERROR(N290/N327, "NA")</f>
      </c>
    </row>
    <row r="291" ht="16.5" customHeight="1">
      <c t="s" r="A291" s="12">
        <v>294</v>
      </c>
      <c r="B291" s="13">
        <v>0</v>
      </c>
      <c r="C291" s="14">
        <f>IFERROR(B291/B327, "NA")</f>
      </c>
      <c r="D291" s="15"/>
      <c r="E291" s="13">
        <v>0</v>
      </c>
      <c r="F291" s="14">
        <f>IFERROR(E291/E327, "NA")</f>
      </c>
      <c r="G291" s="15"/>
      <c r="H291" s="13">
        <v>0</v>
      </c>
      <c r="I291" s="14">
        <f>IFERROR(H291/H327, "NA")</f>
      </c>
      <c r="J291" s="15"/>
      <c r="K291" s="13">
        <v>0</v>
      </c>
      <c r="L291" s="14">
        <f>IFERROR(K291/K327, "NA")</f>
      </c>
      <c r="M291" s="15"/>
      <c r="N291" s="13">
        <v>0</v>
      </c>
      <c r="O291" s="14">
        <f>IFERROR(N291/N327, "NA")</f>
      </c>
    </row>
    <row r="292" ht="16.5" customHeight="1">
      <c t="s" r="A292" s="12">
        <v>295</v>
      </c>
      <c r="B292" s="13">
        <v>0</v>
      </c>
      <c r="C292" s="14">
        <f>IFERROR(B292/B327, "NA")</f>
      </c>
      <c r="D292" s="15"/>
      <c r="E292" s="13">
        <v>0</v>
      </c>
      <c r="F292" s="14">
        <f>IFERROR(E292/E327, "NA")</f>
      </c>
      <c r="G292" s="15"/>
      <c r="H292" s="13">
        <v>0</v>
      </c>
      <c r="I292" s="14">
        <f>IFERROR(H292/H327, "NA")</f>
      </c>
      <c r="J292" s="15"/>
      <c r="K292" s="13">
        <v>0</v>
      </c>
      <c r="L292" s="14">
        <f>IFERROR(K292/K327, "NA")</f>
      </c>
      <c r="M292" s="15"/>
      <c r="N292" s="13">
        <v>0</v>
      </c>
      <c r="O292" s="14">
        <f>IFERROR(N292/N327, "NA")</f>
      </c>
    </row>
    <row r="293" ht="16.5" customHeight="1">
      <c t="s" r="A293" s="12">
        <v>296</v>
      </c>
      <c r="B293" s="13">
        <v>0</v>
      </c>
      <c r="C293" s="14">
        <f>IFERROR(B293/B327, "NA")</f>
      </c>
      <c r="D293" s="15"/>
      <c r="E293" s="13">
        <v>0</v>
      </c>
      <c r="F293" s="14">
        <f>IFERROR(E293/E327, "NA")</f>
      </c>
      <c r="G293" s="15"/>
      <c r="H293" s="13">
        <v>0</v>
      </c>
      <c r="I293" s="14">
        <f>IFERROR(H293/H327, "NA")</f>
      </c>
      <c r="J293" s="15"/>
      <c r="K293" s="13">
        <v>0</v>
      </c>
      <c r="L293" s="14">
        <f>IFERROR(K293/K327, "NA")</f>
      </c>
      <c r="M293" s="15"/>
      <c r="N293" s="13">
        <v>0</v>
      </c>
      <c r="O293" s="14">
        <f>IFERROR(N293/N327, "NA")</f>
      </c>
    </row>
    <row r="294" ht="16.5" customHeight="1">
      <c t="s" r="A294" s="12">
        <v>297</v>
      </c>
      <c r="B294" s="13">
        <v>0</v>
      </c>
      <c r="C294" s="14">
        <f>IFERROR(B294/B327, "NA")</f>
      </c>
      <c r="D294" s="15"/>
      <c r="E294" s="13">
        <v>1515.23</v>
      </c>
      <c r="F294" s="14">
        <f>IFERROR(E294/E327, "NA")</f>
      </c>
      <c r="G294" s="15"/>
      <c r="H294" s="13">
        <v>162</v>
      </c>
      <c r="I294" s="14">
        <f>IFERROR(H294/H327, "NA")</f>
      </c>
      <c r="J294" s="15"/>
      <c r="K294" s="13">
        <v>0</v>
      </c>
      <c r="L294" s="14">
        <f>IFERROR(K294/K327, "NA")</f>
      </c>
      <c r="M294" s="15"/>
      <c r="N294" s="13">
        <v>0</v>
      </c>
      <c r="O294" s="14">
        <f>IFERROR(N294/N327, "NA")</f>
      </c>
    </row>
    <row r="295" ht="16.5" customHeight="1">
      <c t="s" r="A295" s="12">
        <v>298</v>
      </c>
      <c r="B295" s="13">
        <v>0</v>
      </c>
      <c r="C295" s="14">
        <f>IFERROR(B295/B327, "NA")</f>
      </c>
      <c r="D295" s="15"/>
      <c r="E295" s="13">
        <v>0</v>
      </c>
      <c r="F295" s="14">
        <f>IFERROR(E295/E327, "NA")</f>
      </c>
      <c r="G295" s="15"/>
      <c r="H295" s="13">
        <v>0</v>
      </c>
      <c r="I295" s="14">
        <f>IFERROR(H295/H327, "NA")</f>
      </c>
      <c r="J295" s="15"/>
      <c r="K295" s="13">
        <v>0</v>
      </c>
      <c r="L295" s="14">
        <f>IFERROR(K295/K327, "NA")</f>
      </c>
      <c r="M295" s="15"/>
      <c r="N295" s="13">
        <v>0</v>
      </c>
      <c r="O295" s="14">
        <f>IFERROR(N295/N327, "NA")</f>
      </c>
    </row>
    <row r="296" ht="16.5" customHeight="1">
      <c t="s" r="A296" s="12">
        <v>299</v>
      </c>
      <c r="B296" s="13">
        <v>0</v>
      </c>
      <c r="C296" s="14">
        <f>IFERROR(B296/B327, "NA")</f>
      </c>
      <c r="D296" s="15"/>
      <c r="E296" s="13">
        <v>0</v>
      </c>
      <c r="F296" s="14">
        <f>IFERROR(E296/E327, "NA")</f>
      </c>
      <c r="G296" s="15"/>
      <c r="H296" s="13">
        <v>0</v>
      </c>
      <c r="I296" s="14">
        <f>IFERROR(H296/H327, "NA")</f>
      </c>
      <c r="J296" s="15"/>
      <c r="K296" s="13">
        <v>0</v>
      </c>
      <c r="L296" s="14">
        <f>IFERROR(K296/K327, "NA")</f>
      </c>
      <c r="M296" s="15"/>
      <c r="N296" s="13">
        <v>0</v>
      </c>
      <c r="O296" s="14">
        <f>IFERROR(N296/N327, "NA")</f>
      </c>
    </row>
    <row r="297" ht="16.5" customHeight="1">
      <c t="s" r="A297" s="12">
        <v>300</v>
      </c>
      <c r="B297" s="13">
        <v>0</v>
      </c>
      <c r="C297" s="14">
        <f>IFERROR(B297/B327, "NA")</f>
      </c>
      <c r="D297" s="15"/>
      <c r="E297" s="13">
        <v>0</v>
      </c>
      <c r="F297" s="14">
        <f>IFERROR(E297/E327, "NA")</f>
      </c>
      <c r="G297" s="15"/>
      <c r="H297" s="13">
        <v>0</v>
      </c>
      <c r="I297" s="14">
        <f>IFERROR(H297/H327, "NA")</f>
      </c>
      <c r="J297" s="15"/>
      <c r="K297" s="13">
        <v>0</v>
      </c>
      <c r="L297" s="14">
        <f>IFERROR(K297/K327, "NA")</f>
      </c>
      <c r="M297" s="15"/>
      <c r="N297" s="13">
        <v>0</v>
      </c>
      <c r="O297" s="14">
        <f>IFERROR(N297/N327, "NA")</f>
      </c>
    </row>
    <row r="298" ht="16.5" customHeight="1">
      <c t="s" r="A298" s="12">
        <v>301</v>
      </c>
      <c r="B298" s="13">
        <v>0</v>
      </c>
      <c r="C298" s="14">
        <f>IFERROR(B298/B327, "NA")</f>
      </c>
      <c r="D298" s="15"/>
      <c r="E298" s="13">
        <v>0</v>
      </c>
      <c r="F298" s="14">
        <f>IFERROR(E298/E327, "NA")</f>
      </c>
      <c r="G298" s="15"/>
      <c r="H298" s="13">
        <v>0</v>
      </c>
      <c r="I298" s="14">
        <f>IFERROR(H298/H327, "NA")</f>
      </c>
      <c r="J298" s="15"/>
      <c r="K298" s="13">
        <v>0</v>
      </c>
      <c r="L298" s="14">
        <f>IFERROR(K298/K327, "NA")</f>
      </c>
      <c r="M298" s="15"/>
      <c r="N298" s="13">
        <v>0</v>
      </c>
      <c r="O298" s="14">
        <f>IFERROR(N298/N327, "NA")</f>
      </c>
    </row>
    <row r="299" ht="16.5" customHeight="1">
      <c t="s" r="A299" s="12">
        <v>302</v>
      </c>
      <c r="B299" s="13">
        <v>0</v>
      </c>
      <c r="C299" s="14">
        <f>IFERROR(B299/B327, "NA")</f>
      </c>
      <c r="D299" s="15"/>
      <c r="E299" s="13">
        <v>0</v>
      </c>
      <c r="F299" s="14">
        <f>IFERROR(E299/E327, "NA")</f>
      </c>
      <c r="G299" s="15"/>
      <c r="H299" s="13">
        <v>0</v>
      </c>
      <c r="I299" s="14">
        <f>IFERROR(H299/H327, "NA")</f>
      </c>
      <c r="J299" s="15"/>
      <c r="K299" s="13">
        <v>0</v>
      </c>
      <c r="L299" s="14">
        <f>IFERROR(K299/K327, "NA")</f>
      </c>
      <c r="M299" s="15"/>
      <c r="N299" s="13">
        <v>0</v>
      </c>
      <c r="O299" s="14">
        <f>IFERROR(N299/N327, "NA")</f>
      </c>
    </row>
    <row r="300" ht="16.5" customHeight="1">
      <c t="s" r="A300" s="12">
        <v>303</v>
      </c>
      <c r="B300" s="13">
        <v>0</v>
      </c>
      <c r="C300" s="14">
        <f>IFERROR(B300/B327, "NA")</f>
      </c>
      <c r="D300" s="15"/>
      <c r="E300" s="13">
        <v>0</v>
      </c>
      <c r="F300" s="14">
        <f>IFERROR(E300/E327, "NA")</f>
      </c>
      <c r="G300" s="15"/>
      <c r="H300" s="13">
        <v>0</v>
      </c>
      <c r="I300" s="14">
        <f>IFERROR(H300/H327, "NA")</f>
      </c>
      <c r="J300" s="15"/>
      <c r="K300" s="13">
        <v>0</v>
      </c>
      <c r="L300" s="14">
        <f>IFERROR(K300/K327, "NA")</f>
      </c>
      <c r="M300" s="15"/>
      <c r="N300" s="13">
        <v>0</v>
      </c>
      <c r="O300" s="14">
        <f>IFERROR(N300/N327, "NA")</f>
      </c>
    </row>
    <row r="301" ht="16.5" customHeight="1">
      <c t="s" r="A301" s="12">
        <v>304</v>
      </c>
      <c r="B301" s="13">
        <v>0</v>
      </c>
      <c r="C301" s="14">
        <f>IFERROR(B301/B327, "NA")</f>
      </c>
      <c r="D301" s="15"/>
      <c r="E301" s="13">
        <v>0</v>
      </c>
      <c r="F301" s="14">
        <f>IFERROR(E301/E327, "NA")</f>
      </c>
      <c r="G301" s="15"/>
      <c r="H301" s="13">
        <v>0</v>
      </c>
      <c r="I301" s="14">
        <f>IFERROR(H301/H327, "NA")</f>
      </c>
      <c r="J301" s="15"/>
      <c r="K301" s="13">
        <v>0</v>
      </c>
      <c r="L301" s="14">
        <f>IFERROR(K301/K327, "NA")</f>
      </c>
      <c r="M301" s="15"/>
      <c r="N301" s="13">
        <v>0</v>
      </c>
      <c r="O301" s="14">
        <f>IFERROR(N301/N327, "NA")</f>
      </c>
    </row>
    <row r="302" ht="16.5" customHeight="1">
      <c t="s" r="A302" s="12">
        <v>305</v>
      </c>
      <c r="B302" s="13">
        <v>0</v>
      </c>
      <c r="C302" s="14">
        <f>IFERROR(B302/B327, "NA")</f>
      </c>
      <c r="D302" s="15"/>
      <c r="E302" s="13">
        <v>0</v>
      </c>
      <c r="F302" s="14">
        <f>IFERROR(E302/E327, "NA")</f>
      </c>
      <c r="G302" s="15"/>
      <c r="H302" s="13">
        <v>0</v>
      </c>
      <c r="I302" s="14">
        <f>IFERROR(H302/H327, "NA")</f>
      </c>
      <c r="J302" s="15"/>
      <c r="K302" s="13">
        <v>0</v>
      </c>
      <c r="L302" s="14">
        <f>IFERROR(K302/K327, "NA")</f>
      </c>
      <c r="M302" s="15"/>
      <c r="N302" s="13">
        <v>0</v>
      </c>
      <c r="O302" s="14">
        <f>IFERROR(N302/N327, "NA")</f>
      </c>
    </row>
    <row r="303" ht="16.5" customHeight="1">
      <c t="s" r="A303" s="12">
        <v>306</v>
      </c>
      <c r="B303" s="13">
        <v>0</v>
      </c>
      <c r="C303" s="14">
        <f>IFERROR(B303/B327, "NA")</f>
      </c>
      <c r="D303" s="15"/>
      <c r="E303" s="13">
        <v>0</v>
      </c>
      <c r="F303" s="14">
        <f>IFERROR(E303/E327, "NA")</f>
      </c>
      <c r="G303" s="15"/>
      <c r="H303" s="13">
        <v>0</v>
      </c>
      <c r="I303" s="14">
        <f>IFERROR(H303/H327, "NA")</f>
      </c>
      <c r="J303" s="15"/>
      <c r="K303" s="13">
        <v>0</v>
      </c>
      <c r="L303" s="14">
        <f>IFERROR(K303/K327, "NA")</f>
      </c>
      <c r="M303" s="15"/>
      <c r="N303" s="13">
        <v>0</v>
      </c>
      <c r="O303" s="14">
        <f>IFERROR(N303/N327, "NA")</f>
      </c>
    </row>
    <row r="304" ht="16.5" customHeight="1">
      <c t="s" r="A304" s="12">
        <v>307</v>
      </c>
      <c r="B304" s="13">
        <v>0</v>
      </c>
      <c r="C304" s="14">
        <f>IFERROR(B304/B327, "NA")</f>
      </c>
      <c r="D304" s="15"/>
      <c r="E304" s="13">
        <v>0</v>
      </c>
      <c r="F304" s="14">
        <f>IFERROR(E304/E327, "NA")</f>
      </c>
      <c r="G304" s="15"/>
      <c r="H304" s="13">
        <v>0</v>
      </c>
      <c r="I304" s="14">
        <f>IFERROR(H304/H327, "NA")</f>
      </c>
      <c r="J304" s="15"/>
      <c r="K304" s="13">
        <v>0</v>
      </c>
      <c r="L304" s="14">
        <f>IFERROR(K304/K327, "NA")</f>
      </c>
      <c r="M304" s="15"/>
      <c r="N304" s="13">
        <v>0</v>
      </c>
      <c r="O304" s="14">
        <f>IFERROR(N304/N327, "NA")</f>
      </c>
    </row>
    <row r="305" ht="16.5" customHeight="1">
      <c t="s" r="A305" s="12">
        <v>308</v>
      </c>
      <c r="B305" s="13">
        <v>0</v>
      </c>
      <c r="C305" s="14">
        <f>IFERROR(B305/B327, "NA")</f>
      </c>
      <c r="D305" s="15"/>
      <c r="E305" s="13">
        <v>0</v>
      </c>
      <c r="F305" s="14">
        <f>IFERROR(E305/E327, "NA")</f>
      </c>
      <c r="G305" s="15"/>
      <c r="H305" s="13">
        <v>0</v>
      </c>
      <c r="I305" s="14">
        <f>IFERROR(H305/H327, "NA")</f>
      </c>
      <c r="J305" s="15"/>
      <c r="K305" s="13">
        <v>0</v>
      </c>
      <c r="L305" s="14">
        <f>IFERROR(K305/K327, "NA")</f>
      </c>
      <c r="M305" s="15"/>
      <c r="N305" s="13">
        <v>0</v>
      </c>
      <c r="O305" s="14">
        <f>IFERROR(N305/N327, "NA")</f>
      </c>
    </row>
    <row r="306" ht="16.5" customHeight="1">
      <c t="s" r="A306" s="12">
        <v>309</v>
      </c>
      <c r="B306" s="13">
        <v>0</v>
      </c>
      <c r="C306" s="14">
        <f>IFERROR(B306/B327, "NA")</f>
      </c>
      <c r="D306" s="15"/>
      <c r="E306" s="13">
        <v>0</v>
      </c>
      <c r="F306" s="14">
        <f>IFERROR(E306/E327, "NA")</f>
      </c>
      <c r="G306" s="15"/>
      <c r="H306" s="13">
        <v>0</v>
      </c>
      <c r="I306" s="14">
        <f>IFERROR(H306/H327, "NA")</f>
      </c>
      <c r="J306" s="15"/>
      <c r="K306" s="13">
        <v>0</v>
      </c>
      <c r="L306" s="14">
        <f>IFERROR(K306/K327, "NA")</f>
      </c>
      <c r="M306" s="15"/>
      <c r="N306" s="13">
        <v>0</v>
      </c>
      <c r="O306" s="14">
        <f>IFERROR(N306/N327, "NA")</f>
      </c>
    </row>
    <row r="307" ht="16.5" customHeight="1">
      <c t="s" r="A307" s="12">
        <v>310</v>
      </c>
      <c r="B307" s="13">
        <v>0</v>
      </c>
      <c r="C307" s="14">
        <f>IFERROR(B307/B327, "NA")</f>
      </c>
      <c r="D307" s="15"/>
      <c r="E307" s="13">
        <v>0</v>
      </c>
      <c r="F307" s="14">
        <f>IFERROR(E307/E327, "NA")</f>
      </c>
      <c r="G307" s="15"/>
      <c r="H307" s="13">
        <v>0</v>
      </c>
      <c r="I307" s="14">
        <f>IFERROR(H307/H327, "NA")</f>
      </c>
      <c r="J307" s="15"/>
      <c r="K307" s="13">
        <v>0</v>
      </c>
      <c r="L307" s="14">
        <f>IFERROR(K307/K327, "NA")</f>
      </c>
      <c r="M307" s="15"/>
      <c r="N307" s="13">
        <v>0</v>
      </c>
      <c r="O307" s="14">
        <f>IFERROR(N307/N327, "NA")</f>
      </c>
    </row>
    <row r="308" ht="16.5" customHeight="1">
      <c t="s" r="A308" s="12">
        <v>311</v>
      </c>
      <c r="B308" s="13">
        <v>0</v>
      </c>
      <c r="C308" s="14">
        <f>IFERROR(B308/B327, "NA")</f>
      </c>
      <c r="D308" s="15"/>
      <c r="E308" s="13">
        <v>0</v>
      </c>
      <c r="F308" s="14">
        <f>IFERROR(E308/E327, "NA")</f>
      </c>
      <c r="G308" s="15"/>
      <c r="H308" s="13">
        <v>0</v>
      </c>
      <c r="I308" s="14">
        <f>IFERROR(H308/H327, "NA")</f>
      </c>
      <c r="J308" s="15"/>
      <c r="K308" s="13">
        <v>0</v>
      </c>
      <c r="L308" s="14">
        <f>IFERROR(K308/K327, "NA")</f>
      </c>
      <c r="M308" s="15"/>
      <c r="N308" s="13">
        <v>0</v>
      </c>
      <c r="O308" s="14">
        <f>IFERROR(N308/N327, "NA")</f>
      </c>
    </row>
    <row r="309" ht="16.5" customHeight="1">
      <c t="s" r="A309" s="12">
        <v>312</v>
      </c>
      <c r="B309" s="13">
        <v>0</v>
      </c>
      <c r="C309" s="14">
        <f>IFERROR(B309/B327, "NA")</f>
      </c>
      <c r="D309" s="15"/>
      <c r="E309" s="13">
        <v>0</v>
      </c>
      <c r="F309" s="14">
        <f>IFERROR(E309/E327, "NA")</f>
      </c>
      <c r="G309" s="15"/>
      <c r="H309" s="13">
        <v>0</v>
      </c>
      <c r="I309" s="14">
        <f>IFERROR(H309/H327, "NA")</f>
      </c>
      <c r="J309" s="15"/>
      <c r="K309" s="13">
        <v>0</v>
      </c>
      <c r="L309" s="14">
        <f>IFERROR(K309/K327, "NA")</f>
      </c>
      <c r="M309" s="15"/>
      <c r="N309" s="13">
        <v>0</v>
      </c>
      <c r="O309" s="14">
        <f>IFERROR(N309/N327, "NA")</f>
      </c>
    </row>
    <row r="310" ht="16.5" customHeight="1">
      <c t="s" r="A310" s="12">
        <v>313</v>
      </c>
      <c r="B310" s="13">
        <v>0</v>
      </c>
      <c r="C310" s="14">
        <f>IFERROR(B310/B327, "NA")</f>
      </c>
      <c r="D310" s="15"/>
      <c r="E310" s="13">
        <v>0</v>
      </c>
      <c r="F310" s="14">
        <f>IFERROR(E310/E327, "NA")</f>
      </c>
      <c r="G310" s="15"/>
      <c r="H310" s="13">
        <v>0</v>
      </c>
      <c r="I310" s="14">
        <f>IFERROR(H310/H327, "NA")</f>
      </c>
      <c r="J310" s="15"/>
      <c r="K310" s="13">
        <v>0</v>
      </c>
      <c r="L310" s="14">
        <f>IFERROR(K310/K327, "NA")</f>
      </c>
      <c r="M310" s="15"/>
      <c r="N310" s="13">
        <v>0</v>
      </c>
      <c r="O310" s="14">
        <f>IFERROR(N310/N327, "NA")</f>
      </c>
    </row>
    <row r="311" ht="16.5" customHeight="1">
      <c t="s" r="A311" s="12">
        <v>314</v>
      </c>
      <c r="B311" s="13">
        <v>0</v>
      </c>
      <c r="C311" s="14">
        <f>IFERROR(B311/B327, "NA")</f>
      </c>
      <c r="D311" s="15"/>
      <c r="E311" s="13">
        <v>0</v>
      </c>
      <c r="F311" s="14">
        <f>IFERROR(E311/E327, "NA")</f>
      </c>
      <c r="G311" s="15"/>
      <c r="H311" s="13">
        <v>0</v>
      </c>
      <c r="I311" s="14">
        <f>IFERROR(H311/H327, "NA")</f>
      </c>
      <c r="J311" s="15"/>
      <c r="K311" s="13">
        <v>0</v>
      </c>
      <c r="L311" s="14">
        <f>IFERROR(K311/K327, "NA")</f>
      </c>
      <c r="M311" s="15"/>
      <c r="N311" s="13">
        <v>0</v>
      </c>
      <c r="O311" s="14">
        <f>IFERROR(N311/N327, "NA")</f>
      </c>
    </row>
    <row r="312" ht="16.5" customHeight="1">
      <c t="s" r="A312" s="12">
        <v>315</v>
      </c>
      <c r="B312" s="13">
        <v>0</v>
      </c>
      <c r="C312" s="14">
        <f>IFERROR(B312/B327, "NA")</f>
      </c>
      <c r="D312" s="15"/>
      <c r="E312" s="13">
        <v>0</v>
      </c>
      <c r="F312" s="14">
        <f>IFERROR(E312/E327, "NA")</f>
      </c>
      <c r="G312" s="15"/>
      <c r="H312" s="13">
        <v>0</v>
      </c>
      <c r="I312" s="14">
        <f>IFERROR(H312/H327, "NA")</f>
      </c>
      <c r="J312" s="15"/>
      <c r="K312" s="13">
        <v>0</v>
      </c>
      <c r="L312" s="14">
        <f>IFERROR(K312/K327, "NA")</f>
      </c>
      <c r="M312" s="15"/>
      <c r="N312" s="13">
        <v>0</v>
      </c>
      <c r="O312" s="14">
        <f>IFERROR(N312/N327, "NA")</f>
      </c>
    </row>
    <row r="313" ht="16.5" customHeight="1">
      <c t="s" r="A313" s="12">
        <v>316</v>
      </c>
      <c r="B313" s="13">
        <v>0</v>
      </c>
      <c r="C313" s="14">
        <f>IFERROR(B313/B327, "NA")</f>
      </c>
      <c r="D313" s="15"/>
      <c r="E313" s="13">
        <v>0</v>
      </c>
      <c r="F313" s="14">
        <f>IFERROR(E313/E327, "NA")</f>
      </c>
      <c r="G313" s="15"/>
      <c r="H313" s="13">
        <v>0</v>
      </c>
      <c r="I313" s="14">
        <f>IFERROR(H313/H327, "NA")</f>
      </c>
      <c r="J313" s="15"/>
      <c r="K313" s="13">
        <v>0</v>
      </c>
      <c r="L313" s="14">
        <f>IFERROR(K313/K327, "NA")</f>
      </c>
      <c r="M313" s="15"/>
      <c r="N313" s="13">
        <v>0</v>
      </c>
      <c r="O313" s="14">
        <f>IFERROR(N313/N327, "NA")</f>
      </c>
    </row>
    <row r="314" ht="16.5" customHeight="1">
      <c t="s" r="A314" s="16">
        <v>317</v>
      </c>
      <c r="B314" s="17">
        <f>IFERROR(B287+B288+B289+B290+B291+B292+B293+B294+B295+B296+B297+B298+B299+B300+B301+B302+B303+B304+B305+B306+B307+B308+B309+B310+B311+B312+B313, "NA")</f>
      </c>
      <c r="C314" s="18">
        <f>IFERROR(B314/B327, "NA")</f>
      </c>
      <c r="D314" s="8"/>
      <c r="E314" s="17">
        <f>IFERROR(E287+E288+E289+E290+E291+E292+E293+E294+E295+E296+E297+E298+E299+E300+E301+E302+E303+E304+E305+E306+E307+E308+E309+E310+E311+E312+E313, "NA")</f>
      </c>
      <c r="F314" s="18">
        <f>IFERROR(E314/E327, "NA")</f>
      </c>
      <c r="G314" s="8"/>
      <c r="H314" s="17">
        <f>IFERROR(H287+H288+H289+H290+H291+H292+H293+H294+H295+H296+H297+H298+H299+H300+H301+H302+H303+H304+H305+H306+H307+H308+H309+H310+H311+H312+H313, "NA")</f>
      </c>
      <c r="I314" s="18">
        <f>IFERROR(H314/H327, "NA")</f>
      </c>
      <c r="J314" s="8"/>
      <c r="K314" s="17">
        <f>IFERROR(K287+K288+K289+K290+K291+K292+K293+K294+K295+K296+K297+K298+K299+K300+K301+K302+K303+K304+K305+K306+K307+K308+K309+K310+K311+K312+K313, "NA")</f>
      </c>
      <c r="L314" s="18">
        <f>IFERROR(K314/K327, "NA")</f>
      </c>
      <c r="M314" s="8"/>
      <c r="N314" s="17">
        <f>IFERROR(N287+N288+N289+N290+N291+N292+N293+N294+N295+N296+N297+N298+N299+N300+N301+N302+N303+N304+N305+N306+N307+N308+N309+N310+N311+N312+N313, "NA")</f>
      </c>
      <c r="O314" s="18">
        <f>IFERROR(N314/N327, "NA")</f>
      </c>
    </row>
    <row r="315" ht="16.5" customHeight="1">
      <c t="s" r="A315" s="11">
        <v>318</v>
      </c>
      <c r="B315" s="8"/>
      <c r="C315" s="9"/>
      <c r="D315" s="10"/>
      <c r="E315" s="8"/>
      <c r="F315" s="9"/>
      <c r="G315" s="10"/>
      <c r="H315" s="8"/>
      <c r="I315" s="9"/>
      <c r="J315" s="10"/>
      <c r="K315" s="8"/>
      <c r="L315" s="9"/>
      <c r="M315" s="10"/>
      <c r="N315" s="8"/>
      <c r="O315" s="9"/>
    </row>
    <row r="316" ht="16.5" customHeight="1">
      <c t="s" r="A316" s="12">
        <v>319</v>
      </c>
      <c r="B316" s="13">
        <v>0</v>
      </c>
      <c r="C316" s="14">
        <f>IFERROR(B316/B327, "NA")</f>
      </c>
      <c r="D316" s="15"/>
      <c r="E316" s="13">
        <v>0</v>
      </c>
      <c r="F316" s="14">
        <f>IFERROR(E316/E327, "NA")</f>
      </c>
      <c r="G316" s="15"/>
      <c r="H316" s="13">
        <v>0</v>
      </c>
      <c r="I316" s="14">
        <f>IFERROR(H316/H327, "NA")</f>
      </c>
      <c r="J316" s="15"/>
      <c r="K316" s="13">
        <v>0</v>
      </c>
      <c r="L316" s="14">
        <f>IFERROR(K316/K327, "NA")</f>
      </c>
      <c r="M316" s="15"/>
      <c r="N316" s="13">
        <v>0</v>
      </c>
      <c r="O316" s="14">
        <f>IFERROR(N316/N327, "NA")</f>
      </c>
    </row>
    <row r="317" ht="16.5" customHeight="1">
      <c t="s" r="A317" s="12">
        <v>320</v>
      </c>
      <c r="B317" s="13">
        <v>0</v>
      </c>
      <c r="C317" s="14">
        <f>IFERROR(B317/B327, "NA")</f>
      </c>
      <c r="D317" s="15"/>
      <c r="E317" s="13">
        <v>0</v>
      </c>
      <c r="F317" s="14">
        <f>IFERROR(E317/E327, "NA")</f>
      </c>
      <c r="G317" s="15"/>
      <c r="H317" s="13">
        <v>0</v>
      </c>
      <c r="I317" s="14">
        <f>IFERROR(H317/H327, "NA")</f>
      </c>
      <c r="J317" s="15"/>
      <c r="K317" s="13">
        <v>0</v>
      </c>
      <c r="L317" s="14">
        <f>IFERROR(K317/K327, "NA")</f>
      </c>
      <c r="M317" s="15"/>
      <c r="N317" s="13">
        <v>0</v>
      </c>
      <c r="O317" s="14">
        <f>IFERROR(N317/N327, "NA")</f>
      </c>
    </row>
    <row r="318" ht="16.5" customHeight="1">
      <c t="s" r="A318" s="12">
        <v>321</v>
      </c>
      <c r="B318" s="13">
        <v>0</v>
      </c>
      <c r="C318" s="14">
        <f>IFERROR(B318/B327, "NA")</f>
      </c>
      <c r="D318" s="15"/>
      <c r="E318" s="13">
        <v>0</v>
      </c>
      <c r="F318" s="14">
        <f>IFERROR(E318/E327, "NA")</f>
      </c>
      <c r="G318" s="15"/>
      <c r="H318" s="13">
        <v>0</v>
      </c>
      <c r="I318" s="14">
        <f>IFERROR(H318/H327, "NA")</f>
      </c>
      <c r="J318" s="15"/>
      <c r="K318" s="13">
        <v>0</v>
      </c>
      <c r="L318" s="14">
        <f>IFERROR(K318/K327, "NA")</f>
      </c>
      <c r="M318" s="15"/>
      <c r="N318" s="13">
        <v>0</v>
      </c>
      <c r="O318" s="14">
        <f>IFERROR(N318/N327, "NA")</f>
      </c>
    </row>
    <row r="319" ht="16.5" customHeight="1">
      <c t="s" r="A319" s="12">
        <v>322</v>
      </c>
      <c r="B319" s="13">
        <v>0</v>
      </c>
      <c r="C319" s="14">
        <f>IFERROR(B319/B327, "NA")</f>
      </c>
      <c r="D319" s="15"/>
      <c r="E319" s="13">
        <v>0</v>
      </c>
      <c r="F319" s="14">
        <f>IFERROR(E319/E327, "NA")</f>
      </c>
      <c r="G319" s="15"/>
      <c r="H319" s="13">
        <v>0</v>
      </c>
      <c r="I319" s="14">
        <f>IFERROR(H319/H327, "NA")</f>
      </c>
      <c r="J319" s="15"/>
      <c r="K319" s="13">
        <v>0</v>
      </c>
      <c r="L319" s="14">
        <f>IFERROR(K319/K327, "NA")</f>
      </c>
      <c r="M319" s="15"/>
      <c r="N319" s="13">
        <v>0</v>
      </c>
      <c r="O319" s="14">
        <f>IFERROR(N319/N327, "NA")</f>
      </c>
    </row>
    <row r="320" ht="16.5" customHeight="1">
      <c t="s" r="A320" s="12">
        <v>323</v>
      </c>
      <c r="B320" s="13">
        <v>0</v>
      </c>
      <c r="C320" s="14">
        <f>IFERROR(B320/B327, "NA")</f>
      </c>
      <c r="D320" s="15"/>
      <c r="E320" s="13">
        <v>0</v>
      </c>
      <c r="F320" s="14">
        <f>IFERROR(E320/E327, "NA")</f>
      </c>
      <c r="G320" s="15"/>
      <c r="H320" s="13">
        <v>0</v>
      </c>
      <c r="I320" s="14">
        <f>IFERROR(H320/H327, "NA")</f>
      </c>
      <c r="J320" s="15"/>
      <c r="K320" s="13">
        <v>0</v>
      </c>
      <c r="L320" s="14">
        <f>IFERROR(K320/K327, "NA")</f>
      </c>
      <c r="M320" s="15"/>
      <c r="N320" s="13">
        <v>0</v>
      </c>
      <c r="O320" s="14">
        <f>IFERROR(N320/N327, "NA")</f>
      </c>
    </row>
    <row r="321" ht="16.5" customHeight="1">
      <c t="s" r="A321" s="12">
        <v>324</v>
      </c>
      <c r="B321" s="13">
        <v>0</v>
      </c>
      <c r="C321" s="14">
        <f>IFERROR(B321/B327, "NA")</f>
      </c>
      <c r="D321" s="15"/>
      <c r="E321" s="13">
        <v>0</v>
      </c>
      <c r="F321" s="14">
        <f>IFERROR(E321/E327, "NA")</f>
      </c>
      <c r="G321" s="15"/>
      <c r="H321" s="13">
        <v>0</v>
      </c>
      <c r="I321" s="14">
        <f>IFERROR(H321/H327, "NA")</f>
      </c>
      <c r="J321" s="15"/>
      <c r="K321" s="13">
        <v>0</v>
      </c>
      <c r="L321" s="14">
        <f>IFERROR(K321/K327, "NA")</f>
      </c>
      <c r="M321" s="15"/>
      <c r="N321" s="13">
        <v>0</v>
      </c>
      <c r="O321" s="14">
        <f>IFERROR(N321/N327, "NA")</f>
      </c>
    </row>
    <row r="322" ht="16.5" customHeight="1">
      <c t="s" r="A322" s="12">
        <v>325</v>
      </c>
      <c r="B322" s="13">
        <v>0</v>
      </c>
      <c r="C322" s="14">
        <f>IFERROR(B322/B327, "NA")</f>
      </c>
      <c r="D322" s="15"/>
      <c r="E322" s="13">
        <v>0</v>
      </c>
      <c r="F322" s="14">
        <f>IFERROR(E322/E327, "NA")</f>
      </c>
      <c r="G322" s="15"/>
      <c r="H322" s="13">
        <v>0</v>
      </c>
      <c r="I322" s="14">
        <f>IFERROR(H322/H327, "NA")</f>
      </c>
      <c r="J322" s="15"/>
      <c r="K322" s="13">
        <v>0</v>
      </c>
      <c r="L322" s="14">
        <f>IFERROR(K322/K327, "NA")</f>
      </c>
      <c r="M322" s="15"/>
      <c r="N322" s="13">
        <v>0</v>
      </c>
      <c r="O322" s="14">
        <f>IFERROR(N322/N327, "NA")</f>
      </c>
    </row>
    <row r="323" ht="16.5" customHeight="1">
      <c t="s" r="A323" s="12">
        <v>326</v>
      </c>
      <c r="B323" s="13">
        <v>0</v>
      </c>
      <c r="C323" s="14">
        <f>IFERROR(B323/B327, "NA")</f>
      </c>
      <c r="D323" s="15"/>
      <c r="E323" s="13">
        <v>0</v>
      </c>
      <c r="F323" s="14">
        <f>IFERROR(E323/E327, "NA")</f>
      </c>
      <c r="G323" s="15"/>
      <c r="H323" s="13">
        <v>0</v>
      </c>
      <c r="I323" s="14">
        <f>IFERROR(H323/H327, "NA")</f>
      </c>
      <c r="J323" s="15"/>
      <c r="K323" s="13">
        <v>0</v>
      </c>
      <c r="L323" s="14">
        <f>IFERROR(K323/K327, "NA")</f>
      </c>
      <c r="M323" s="15"/>
      <c r="N323" s="13">
        <v>0</v>
      </c>
      <c r="O323" s="14">
        <f>IFERROR(N323/N327, "NA")</f>
      </c>
    </row>
    <row r="324" ht="16.5" customHeight="1">
      <c t="s" r="A324" s="16">
        <v>327</v>
      </c>
      <c r="B324" s="17">
        <f>IFERROR(B316+B317+B318+B319+B320+B321+B322+B323, "NA")</f>
      </c>
      <c r="C324" s="18">
        <f>IFERROR(B324/B327, "NA")</f>
      </c>
      <c r="D324" s="8"/>
      <c r="E324" s="17">
        <f>IFERROR(E316+E317+E318+E319+E320+E321+E322+E323, "NA")</f>
      </c>
      <c r="F324" s="18">
        <f>IFERROR(E324/E327, "NA")</f>
      </c>
      <c r="G324" s="8"/>
      <c r="H324" s="17">
        <f>IFERROR(H316+H317+H318+H319+H320+H321+H322+H323, "NA")</f>
      </c>
      <c r="I324" s="18">
        <f>IFERROR(H324/H327, "NA")</f>
      </c>
      <c r="J324" s="8"/>
      <c r="K324" s="17">
        <f>IFERROR(K316+K317+K318+K319+K320+K321+K322+K323, "NA")</f>
      </c>
      <c r="L324" s="18">
        <f>IFERROR(K324/K327, "NA")</f>
      </c>
      <c r="M324" s="8"/>
      <c r="N324" s="17">
        <f>IFERROR(N316+N317+N318+N319+N320+N321+N322+N323, "NA")</f>
      </c>
      <c r="O324" s="18">
        <f>IFERROR(N324/N327, "NA")</f>
      </c>
    </row>
    <row r="325" ht="16.5" customHeight="1">
      <c t="s" r="A325" s="20">
        <v>328</v>
      </c>
      <c r="B325" s="17">
        <f>IFERROR(B287+B288+B289+B290+B291+B292+B293+B294+B295+B296+B297+B298+B299+B300+B301+B302+B303+B304+B305+B306+B307+B308+B309+B310+B311+B312+B313+B316+B317+B318+B319+B320+B321+B322+B323, "NA")</f>
      </c>
      <c r="C325" s="18">
        <f>IFERROR(B325/B327, "NA")</f>
      </c>
      <c r="D325" s="8"/>
      <c r="E325" s="17">
        <f>IFERROR(E287+E288+E289+E290+E291+E292+E293+E294+E295+E296+E297+E298+E299+E300+E301+E302+E303+E304+E305+E306+E307+E308+E309+E310+E311+E312+E313+E316+E317+E318+E319+E320+E321+E322+E323, "NA")</f>
      </c>
      <c r="F325" s="18">
        <f>IFERROR(E325/E327, "NA")</f>
      </c>
      <c r="G325" s="8"/>
      <c r="H325" s="17">
        <f>IFERROR(H287+H288+H289+H290+H291+H292+H293+H294+H295+H296+H297+H298+H299+H300+H301+H302+H303+H304+H305+H306+H307+H308+H309+H310+H311+H312+H313+H316+H317+H318+H319+H320+H321+H322+H323, "NA")</f>
      </c>
      <c r="I325" s="18">
        <f>IFERROR(H325/H327, "NA")</f>
      </c>
      <c r="J325" s="8"/>
      <c r="K325" s="17">
        <f>IFERROR(K287+K288+K289+K290+K291+K292+K293+K294+K295+K296+K297+K298+K299+K300+K301+K302+K303+K304+K305+K306+K307+K308+K309+K310+K311+K312+K313+K316+K317+K318+K319+K320+K321+K322+K323, "NA")</f>
      </c>
      <c r="L325" s="18">
        <f>IFERROR(K325/K327, "NA")</f>
      </c>
      <c r="M325" s="8"/>
      <c r="N325" s="17">
        <f>IFERROR(N287+N288+N289+N290+N291+N292+N293+N294+N295+N296+N297+N298+N299+N300+N301+N302+N303+N304+N305+N306+N307+N308+N309+N310+N311+N312+N313+N316+N317+N318+N319+N320+N321+N322+N323, "NA")</f>
      </c>
      <c r="O325" s="18">
        <f>IFERROR(N325/N327, "NA")</f>
      </c>
    </row>
    <row r="326" ht="16.5" customHeight="1">
      <c t="s" r="A326" s="20">
        <v>329</v>
      </c>
      <c r="B326" s="17">
        <f>IFERROR(+B52-B157-B211-B284-B325, "NA")</f>
      </c>
      <c r="C326" s="18">
        <f>IFERROR(B326/B327, "NA")</f>
      </c>
      <c r="D326" s="8"/>
      <c r="E326" s="17">
        <f>IFERROR(+E52-E157-E211-E284-E325, "NA")</f>
      </c>
      <c r="F326" s="18">
        <f>IFERROR(E326/E327, "NA")</f>
      </c>
      <c r="G326" s="8"/>
      <c r="H326" s="17">
        <f>IFERROR(+H52-H157-H211-H284-H325, "NA")</f>
      </c>
      <c r="I326" s="18">
        <f>IFERROR(H326/H327, "NA")</f>
      </c>
      <c r="J326" s="8"/>
      <c r="K326" s="17">
        <f>IFERROR(+K52-K157-K211-K284-K325, "NA")</f>
      </c>
      <c r="L326" s="18">
        <f>IFERROR(K326/K327, "NA")</f>
      </c>
      <c r="M326" s="8"/>
      <c r="N326" s="17">
        <f>IFERROR(+N52-N157-N211-N284-N325, "NA")</f>
      </c>
      <c r="O326" s="18">
        <f>IFERROR(N326/N327, "NA")</f>
      </c>
    </row>
    <row r="327" hidden="1">
      <c t="s" r="A327" s="24">
        <v>55</v>
      </c>
      <c r="B327" s="13">
        <v>49573</v>
      </c>
      <c r="C327" s="25"/>
      <c r="D327" s="15"/>
      <c r="E327" s="13">
        <v>84397</v>
      </c>
      <c r="F327" s="25"/>
      <c r="G327" s="15"/>
      <c r="H327" s="13">
        <v>145999.85999999999</v>
      </c>
      <c r="I327" s="25"/>
      <c r="J327" s="15"/>
      <c r="K327" s="13">
        <v>117364.75</v>
      </c>
      <c r="L327" s="25"/>
      <c r="M327" s="15"/>
      <c r="N327" s="13">
        <v>92871.850000000006</v>
      </c>
      <c r="O327" s="25"/>
    </row>
    <row r="328"/>
    <row r="329"/>
    <row r="330">
      <c t="s" r="A330" s="26">
        <v>330</v>
      </c>
    </row>
    <row r="331">
      <c t="s" r="A331" s="26">
        <v>331</v>
      </c>
    </row>
    <row r="332">
      <c t="s" r="A332" s="26">
        <v>332</v>
      </c>
    </row>
  </sheetData>
  <mergeCells count="13">
    <mergeCell ref="A1:O1"/>
    <mergeCell ref="A2:O2"/>
    <mergeCell ref="A3:O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</mergeCells>
  <ignoredErrors>
    <ignoredError sqref="A1:O332" numberStoredAsText="1"/>
  </ignoredErrors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</row>
    <row r="3">
      <c t="s" r="A3" s="3">
        <v>336</v>
      </c>
      <c t="s" r="B3" s="3">
        <v>336</v>
      </c>
      <c t="s" r="C3" s="3">
        <v>336</v>
      </c>
      <c t="s" r="D3" s="3">
        <v>336</v>
      </c>
      <c t="s" r="E3" s="3">
        <v>336</v>
      </c>
      <c t="s" r="F3" s="3">
        <v>336</v>
      </c>
      <c t="s" r="G3" s="3">
        <v>336</v>
      </c>
      <c t="s" r="H3" s="3">
        <v>336</v>
      </c>
      <c t="s" r="I3" s="3">
        <v>336</v>
      </c>
      <c t="s" r="J3" s="3">
        <v>336</v>
      </c>
      <c t="s" r="K3" s="3">
        <v>336</v>
      </c>
      <c t="s" r="L3" s="3">
        <v>336</v>
      </c>
      <c t="s" r="M3" s="3">
        <v>336</v>
      </c>
      <c t="s" r="N3" s="3">
        <v>336</v>
      </c>
      <c t="s" r="O3" s="3">
        <v>336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8</v>
      </c>
      <c t="s" r="O5" s="6">
        <v>3</v>
      </c>
    </row>
    <row r="6" ht="16.5" customHeight="1">
      <c t="s" r="A6" s="7">
        <v>9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</row>
    <row r="7" ht="16.5" customHeight="1">
      <c t="s" r="A7" s="11">
        <v>10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</row>
    <row r="8" ht="16.5" customHeight="1">
      <c t="s" r="A8" s="12">
        <v>11</v>
      </c>
      <c r="B8" s="13">
        <v>131464</v>
      </c>
      <c r="C8" s="14">
        <f>IFERROR(B8/B327, "NA")</f>
      </c>
      <c r="D8" s="15"/>
      <c r="E8" s="13">
        <v>358935.5</v>
      </c>
      <c r="F8" s="14">
        <f>IFERROR(E8/E327, "NA")</f>
      </c>
      <c r="G8" s="15"/>
      <c r="H8" s="13">
        <v>357343.04999999999</v>
      </c>
      <c r="I8" s="14">
        <f>IFERROR(H8/H327, "NA")</f>
      </c>
      <c r="J8" s="15"/>
      <c r="K8" s="13">
        <v>366806</v>
      </c>
      <c r="L8" s="14">
        <f>IFERROR(K8/K327, "NA")</f>
      </c>
      <c r="M8" s="15"/>
      <c r="N8" s="13">
        <v>347332.5</v>
      </c>
      <c r="O8" s="14">
        <f>IFERROR(N8/N327, "NA")</f>
      </c>
    </row>
    <row r="9" ht="16.5" customHeight="1">
      <c t="s" r="A9" s="12">
        <v>12</v>
      </c>
      <c r="B9" s="13">
        <v>0</v>
      </c>
      <c r="C9" s="14">
        <f>IFERROR(B9/B327, "NA")</f>
      </c>
      <c r="D9" s="15"/>
      <c r="E9" s="13">
        <v>0</v>
      </c>
      <c r="F9" s="14">
        <f>IFERROR(E9/E327, "NA")</f>
      </c>
      <c r="G9" s="15"/>
      <c r="H9" s="13">
        <v>0</v>
      </c>
      <c r="I9" s="14">
        <f>IFERROR(H9/H327, "NA")</f>
      </c>
      <c r="J9" s="15"/>
      <c r="K9" s="13">
        <v>0</v>
      </c>
      <c r="L9" s="14">
        <f>IFERROR(K9/K327, "NA")</f>
      </c>
      <c r="M9" s="15"/>
      <c r="N9" s="13">
        <v>0</v>
      </c>
      <c r="O9" s="14">
        <f>IFERROR(N9/N327, "NA")</f>
      </c>
    </row>
    <row r="10" ht="16.5" customHeight="1">
      <c t="s" r="A10" s="16">
        <v>13</v>
      </c>
      <c r="B10" s="17">
        <f>IFERROR(B8+B9, "NA")</f>
      </c>
      <c r="C10" s="18">
        <f>IFERROR(B10/B327, "NA")</f>
      </c>
      <c r="D10" s="8"/>
      <c r="E10" s="17">
        <f>IFERROR(E8+E9, "NA")</f>
      </c>
      <c r="F10" s="18">
        <f>IFERROR(E10/E327, "NA")</f>
      </c>
      <c r="G10" s="8"/>
      <c r="H10" s="17">
        <f>IFERROR(H8+H9, "NA")</f>
      </c>
      <c r="I10" s="18">
        <f>IFERROR(H10/H327, "NA")</f>
      </c>
      <c r="J10" s="8"/>
      <c r="K10" s="17">
        <f>IFERROR(K8+K9, "NA")</f>
      </c>
      <c r="L10" s="18">
        <f>IFERROR(K10/K327, "NA")</f>
      </c>
      <c r="M10" s="8"/>
      <c r="N10" s="17">
        <f>IFERROR(N8+N9, "NA")</f>
      </c>
      <c r="O10" s="18">
        <f>IFERROR(N10/N327, "NA")</f>
      </c>
    </row>
    <row r="11" ht="16.5" customHeight="1">
      <c t="s" r="A11" s="19">
        <v>14</v>
      </c>
      <c r="B11" s="13">
        <v>10241</v>
      </c>
      <c r="C11" s="14">
        <f>IFERROR(B11/B327, "NA")</f>
      </c>
      <c r="D11" s="15"/>
      <c r="E11" s="13">
        <v>27572</v>
      </c>
      <c r="F11" s="14">
        <f>IFERROR(E11/E327, "NA")</f>
      </c>
      <c r="G11" s="15"/>
      <c r="H11" s="13">
        <v>27526</v>
      </c>
      <c r="I11" s="14">
        <f>IFERROR(H11/H327, "NA")</f>
      </c>
      <c r="J11" s="15"/>
      <c r="K11" s="13">
        <v>27764.5</v>
      </c>
      <c r="L11" s="14">
        <f>IFERROR(K11/K327, "NA")</f>
      </c>
      <c r="M11" s="15"/>
      <c r="N11" s="13">
        <v>24535</v>
      </c>
      <c r="O11" s="14">
        <f>IFERROR(N11/N327, "NA")</f>
      </c>
    </row>
    <row r="12" ht="16.5" customHeight="1">
      <c t="s" r="A12" s="11">
        <v>15</v>
      </c>
      <c r="B12" s="8"/>
      <c r="C12" s="9"/>
      <c r="D12" s="10"/>
      <c r="E12" s="8"/>
      <c r="F12" s="9"/>
      <c r="G12" s="10"/>
      <c r="H12" s="8"/>
      <c r="I12" s="9"/>
      <c r="J12" s="10"/>
      <c r="K12" s="8"/>
      <c r="L12" s="9"/>
      <c r="M12" s="10"/>
      <c r="N12" s="8"/>
      <c r="O12" s="9"/>
    </row>
    <row r="13" ht="16.5" customHeight="1">
      <c t="s" r="A13" s="12">
        <v>16</v>
      </c>
      <c r="B13" s="13">
        <v>0</v>
      </c>
      <c r="C13" s="14">
        <f>IFERROR(B13/B327, "NA")</f>
      </c>
      <c r="D13" s="15"/>
      <c r="E13" s="13">
        <v>0</v>
      </c>
      <c r="F13" s="14">
        <f>IFERROR(E13/E327, "NA")</f>
      </c>
      <c r="G13" s="15"/>
      <c r="H13" s="13">
        <v>0</v>
      </c>
      <c r="I13" s="14">
        <f>IFERROR(H13/H327, "NA")</f>
      </c>
      <c r="J13" s="15"/>
      <c r="K13" s="13">
        <v>0</v>
      </c>
      <c r="L13" s="14">
        <f>IFERROR(K13/K327, "NA")</f>
      </c>
      <c r="M13" s="15"/>
      <c r="N13" s="13">
        <v>0</v>
      </c>
      <c r="O13" s="14">
        <f>IFERROR(N13/N327, "NA")</f>
      </c>
    </row>
    <row r="14" ht="16.5" customHeight="1">
      <c t="s" r="A14" s="12">
        <v>17</v>
      </c>
      <c r="B14" s="13">
        <v>36030</v>
      </c>
      <c r="C14" s="14">
        <f>IFERROR(B14/B327, "NA")</f>
      </c>
      <c r="D14" s="15"/>
      <c r="E14" s="13">
        <v>109117</v>
      </c>
      <c r="F14" s="14">
        <f>IFERROR(E14/E327, "NA")</f>
      </c>
      <c r="G14" s="15"/>
      <c r="H14" s="13">
        <v>110815</v>
      </c>
      <c r="I14" s="14">
        <f>IFERROR(H14/H327, "NA")</f>
      </c>
      <c r="J14" s="15"/>
      <c r="K14" s="13">
        <v>114207</v>
      </c>
      <c r="L14" s="14">
        <f>IFERROR(K14/K327, "NA")</f>
      </c>
      <c r="M14" s="15"/>
      <c r="N14" s="13">
        <v>114427</v>
      </c>
      <c r="O14" s="14">
        <f>IFERROR(N14/N327, "NA")</f>
      </c>
    </row>
    <row r="15" ht="16.5" customHeight="1">
      <c t="s" r="A15" s="12">
        <v>18</v>
      </c>
      <c r="B15" s="13">
        <v>591</v>
      </c>
      <c r="C15" s="14">
        <f>IFERROR(B15/B327, "NA")</f>
      </c>
      <c r="D15" s="15"/>
      <c r="E15" s="13">
        <v>2640</v>
      </c>
      <c r="F15" s="14">
        <f>IFERROR(E15/E327, "NA")</f>
      </c>
      <c r="G15" s="15"/>
      <c r="H15" s="13">
        <v>2032</v>
      </c>
      <c r="I15" s="14">
        <f>IFERROR(H15/H327, "NA")</f>
      </c>
      <c r="J15" s="15"/>
      <c r="K15" s="13">
        <v>2581</v>
      </c>
      <c r="L15" s="14">
        <f>IFERROR(K15/K327, "NA")</f>
      </c>
      <c r="M15" s="15"/>
      <c r="N15" s="13">
        <v>2591</v>
      </c>
      <c r="O15" s="14">
        <f>IFERROR(N15/N327, "NA")</f>
      </c>
    </row>
    <row r="16" ht="16.5" customHeight="1">
      <c t="s" r="A16" s="12">
        <v>19</v>
      </c>
      <c r="B16" s="13">
        <v>7040</v>
      </c>
      <c r="C16" s="14">
        <f>IFERROR(B16/B327, "NA")</f>
      </c>
      <c r="D16" s="15"/>
      <c r="E16" s="13">
        <v>27153</v>
      </c>
      <c r="F16" s="14">
        <f>IFERROR(E16/E327, "NA")</f>
      </c>
      <c r="G16" s="15"/>
      <c r="H16" s="13">
        <v>27235</v>
      </c>
      <c r="I16" s="14">
        <f>IFERROR(H16/H327, "NA")</f>
      </c>
      <c r="J16" s="15"/>
      <c r="K16" s="13">
        <v>23655</v>
      </c>
      <c r="L16" s="14">
        <f>IFERROR(K16/K327, "NA")</f>
      </c>
      <c r="M16" s="15"/>
      <c r="N16" s="13">
        <v>18170</v>
      </c>
      <c r="O16" s="14">
        <f>IFERROR(N16/N327, "NA")</f>
      </c>
    </row>
    <row r="17" ht="16.5" customHeight="1">
      <c t="s" r="A17" s="12">
        <v>20</v>
      </c>
      <c r="B17" s="13">
        <v>4895</v>
      </c>
      <c r="C17" s="14">
        <f>IFERROR(B17/B327, "NA")</f>
      </c>
      <c r="D17" s="15"/>
      <c r="E17" s="13">
        <v>15075</v>
      </c>
      <c r="F17" s="14">
        <f>IFERROR(E17/E327, "NA")</f>
      </c>
      <c r="G17" s="15"/>
      <c r="H17" s="13">
        <v>14402</v>
      </c>
      <c r="I17" s="14">
        <f>IFERROR(H17/H327, "NA")</f>
      </c>
      <c r="J17" s="15"/>
      <c r="K17" s="13">
        <v>16784</v>
      </c>
      <c r="L17" s="14">
        <f>IFERROR(K17/K327, "NA")</f>
      </c>
      <c r="M17" s="15"/>
      <c r="N17" s="13">
        <v>13945</v>
      </c>
      <c r="O17" s="14">
        <f>IFERROR(N17/N327, "NA")</f>
      </c>
    </row>
    <row r="18" ht="16.5" customHeight="1">
      <c t="s" r="A18" s="12">
        <v>21</v>
      </c>
      <c r="B18" s="13">
        <v>0</v>
      </c>
      <c r="C18" s="14">
        <f>IFERROR(B18/B327, "NA")</f>
      </c>
      <c r="D18" s="15"/>
      <c r="E18" s="13">
        <v>0</v>
      </c>
      <c r="F18" s="14">
        <f>IFERROR(E18/E327, "NA")</f>
      </c>
      <c r="G18" s="15"/>
      <c r="H18" s="13">
        <v>0</v>
      </c>
      <c r="I18" s="14">
        <f>IFERROR(H18/H327, "NA")</f>
      </c>
      <c r="J18" s="15"/>
      <c r="K18" s="13">
        <v>0</v>
      </c>
      <c r="L18" s="14">
        <f>IFERROR(K18/K327, "NA")</f>
      </c>
      <c r="M18" s="15"/>
      <c r="N18" s="13">
        <v>0</v>
      </c>
      <c r="O18" s="14">
        <f>IFERROR(N18/N327, "NA")</f>
      </c>
    </row>
    <row r="19" ht="16.5" customHeight="1">
      <c t="s" r="A19" s="16">
        <v>22</v>
      </c>
      <c r="B19" s="17">
        <f>IFERROR(B13+B14+B15+B16+B17+B18, "NA")</f>
      </c>
      <c r="C19" s="18">
        <f>IFERROR(B19/B327, "NA")</f>
      </c>
      <c r="D19" s="8"/>
      <c r="E19" s="17">
        <f>IFERROR(E13+E14+E15+E16+E17+E18, "NA")</f>
      </c>
      <c r="F19" s="18">
        <f>IFERROR(E19/E327, "NA")</f>
      </c>
      <c r="G19" s="8"/>
      <c r="H19" s="17">
        <f>IFERROR(H13+H14+H15+H16+H17+H18, "NA")</f>
      </c>
      <c r="I19" s="18">
        <f>IFERROR(H19/H327, "NA")</f>
      </c>
      <c r="J19" s="8"/>
      <c r="K19" s="17">
        <f>IFERROR(K13+K14+K15+K16+K17+K18, "NA")</f>
      </c>
      <c r="L19" s="18">
        <f>IFERROR(K19/K327, "NA")</f>
      </c>
      <c r="M19" s="8"/>
      <c r="N19" s="17">
        <f>IFERROR(N13+N14+N15+N16+N17+N18, "NA")</f>
      </c>
      <c r="O19" s="18">
        <f>IFERROR(N19/N327, "NA")</f>
      </c>
    </row>
    <row r="20" ht="16.5" customHeight="1">
      <c t="s" r="A20" s="11">
        <v>23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</row>
    <row r="21" ht="16.5" customHeight="1">
      <c t="s" r="A21" s="12">
        <v>24</v>
      </c>
      <c r="B21" s="13">
        <v>0</v>
      </c>
      <c r="C21" s="14">
        <f>IFERROR(B21/B327, "NA")</f>
      </c>
      <c r="D21" s="15"/>
      <c r="E21" s="13">
        <v>0</v>
      </c>
      <c r="F21" s="14">
        <f>IFERROR(E21/E327, "NA")</f>
      </c>
      <c r="G21" s="15"/>
      <c r="H21" s="13">
        <v>0</v>
      </c>
      <c r="I21" s="14">
        <f>IFERROR(H21/H327, "NA")</f>
      </c>
      <c r="J21" s="15"/>
      <c r="K21" s="13">
        <v>0</v>
      </c>
      <c r="L21" s="14">
        <f>IFERROR(K21/K327, "NA")</f>
      </c>
      <c r="M21" s="15"/>
      <c r="N21" s="13">
        <v>0</v>
      </c>
      <c r="O21" s="14">
        <f>IFERROR(N21/N327, "NA")</f>
      </c>
    </row>
    <row r="22" ht="16.5" customHeight="1">
      <c t="s" r="A22" s="12">
        <v>25</v>
      </c>
      <c r="B22" s="13">
        <v>0</v>
      </c>
      <c r="C22" s="14">
        <f>IFERROR(B22/B327, "NA")</f>
      </c>
      <c r="D22" s="15"/>
      <c r="E22" s="13">
        <v>0</v>
      </c>
      <c r="F22" s="14">
        <f>IFERROR(E22/E327, "NA")</f>
      </c>
      <c r="G22" s="15"/>
      <c r="H22" s="13">
        <v>0</v>
      </c>
      <c r="I22" s="14">
        <f>IFERROR(H22/H327, "NA")</f>
      </c>
      <c r="J22" s="15"/>
      <c r="K22" s="13">
        <v>655</v>
      </c>
      <c r="L22" s="14">
        <f>IFERROR(K22/K327, "NA")</f>
      </c>
      <c r="M22" s="15"/>
      <c r="N22" s="13">
        <v>1450.71</v>
      </c>
      <c r="O22" s="14">
        <f>IFERROR(N22/N327, "NA")</f>
      </c>
    </row>
    <row r="23" ht="16.5" customHeight="1">
      <c t="s" r="A23" s="12">
        <v>26</v>
      </c>
      <c r="B23" s="13">
        <v>0</v>
      </c>
      <c r="C23" s="14">
        <f>IFERROR(B23/B327, "NA")</f>
      </c>
      <c r="D23" s="15"/>
      <c r="E23" s="13">
        <v>0</v>
      </c>
      <c r="F23" s="14">
        <f>IFERROR(E23/E327, "NA")</f>
      </c>
      <c r="G23" s="15"/>
      <c r="H23" s="13">
        <v>2106.6599999999999</v>
      </c>
      <c r="I23" s="14">
        <f>IFERROR(H23/H327, "NA")</f>
      </c>
      <c r="J23" s="15"/>
      <c r="K23" s="13">
        <v>-1484.3800000000001</v>
      </c>
      <c r="L23" s="14">
        <f>IFERROR(K23/K327, "NA")</f>
      </c>
      <c r="M23" s="15"/>
      <c r="N23" s="13">
        <v>64</v>
      </c>
      <c r="O23" s="14">
        <f>IFERROR(N23/N327, "NA")</f>
      </c>
    </row>
    <row r="24" ht="16.5" customHeight="1">
      <c t="s" r="A24" s="12">
        <v>27</v>
      </c>
      <c r="B24" s="13">
        <v>0</v>
      </c>
      <c r="C24" s="14">
        <f>IFERROR(B24/B327, "NA")</f>
      </c>
      <c r="D24" s="15"/>
      <c r="E24" s="13">
        <v>0</v>
      </c>
      <c r="F24" s="14">
        <f>IFERROR(E24/E327, "NA")</f>
      </c>
      <c r="G24" s="15"/>
      <c r="H24" s="13">
        <v>0</v>
      </c>
      <c r="I24" s="14">
        <f>IFERROR(H24/H327, "NA")</f>
      </c>
      <c r="J24" s="15"/>
      <c r="K24" s="13">
        <v>0</v>
      </c>
      <c r="L24" s="14">
        <f>IFERROR(K24/K327, "NA")</f>
      </c>
      <c r="M24" s="15"/>
      <c r="N24" s="13">
        <v>0</v>
      </c>
      <c r="O24" s="14">
        <f>IFERROR(N24/N327, "NA")</f>
      </c>
    </row>
    <row r="25" ht="16.5" customHeight="1">
      <c t="s" r="A25" s="12">
        <v>28</v>
      </c>
      <c r="B25" s="13">
        <v>0</v>
      </c>
      <c r="C25" s="14">
        <f>IFERROR(B25/B327, "NA")</f>
      </c>
      <c r="D25" s="15"/>
      <c r="E25" s="13">
        <v>0</v>
      </c>
      <c r="F25" s="14">
        <f>IFERROR(E25/E327, "NA")</f>
      </c>
      <c r="G25" s="15"/>
      <c r="H25" s="13">
        <v>0</v>
      </c>
      <c r="I25" s="14">
        <f>IFERROR(H25/H327, "NA")</f>
      </c>
      <c r="J25" s="15"/>
      <c r="K25" s="13">
        <v>0</v>
      </c>
      <c r="L25" s="14">
        <f>IFERROR(K25/K327, "NA")</f>
      </c>
      <c r="M25" s="15"/>
      <c r="N25" s="13">
        <v>0</v>
      </c>
      <c r="O25" s="14">
        <f>IFERROR(N25/N327, "NA")</f>
      </c>
    </row>
    <row r="26" ht="16.5" customHeight="1">
      <c t="s" r="A26" s="12">
        <v>29</v>
      </c>
      <c r="B26" s="13">
        <v>0</v>
      </c>
      <c r="C26" s="14">
        <f>IFERROR(B26/B327, "NA")</f>
      </c>
      <c r="D26" s="15"/>
      <c r="E26" s="13">
        <v>0</v>
      </c>
      <c r="F26" s="14">
        <f>IFERROR(E26/E327, "NA")</f>
      </c>
      <c r="G26" s="15"/>
      <c r="H26" s="13">
        <v>0</v>
      </c>
      <c r="I26" s="14">
        <f>IFERROR(H26/H327, "NA")</f>
      </c>
      <c r="J26" s="15"/>
      <c r="K26" s="13">
        <v>0</v>
      </c>
      <c r="L26" s="14">
        <f>IFERROR(K26/K327, "NA")</f>
      </c>
      <c r="M26" s="15"/>
      <c r="N26" s="13">
        <v>0</v>
      </c>
      <c r="O26" s="14">
        <f>IFERROR(N26/N327, "NA")</f>
      </c>
    </row>
    <row r="27" ht="16.5" customHeight="1">
      <c t="s" r="A27" s="12">
        <v>30</v>
      </c>
      <c r="B27" s="13">
        <v>0</v>
      </c>
      <c r="C27" s="14">
        <f>IFERROR(B27/B327, "NA")</f>
      </c>
      <c r="D27" s="15"/>
      <c r="E27" s="13">
        <v>0</v>
      </c>
      <c r="F27" s="14">
        <f>IFERROR(E27/E327, "NA")</f>
      </c>
      <c r="G27" s="15"/>
      <c r="H27" s="13">
        <v>0</v>
      </c>
      <c r="I27" s="14">
        <f>IFERROR(H27/H327, "NA")</f>
      </c>
      <c r="J27" s="15"/>
      <c r="K27" s="13">
        <v>0</v>
      </c>
      <c r="L27" s="14">
        <f>IFERROR(K27/K327, "NA")</f>
      </c>
      <c r="M27" s="15"/>
      <c r="N27" s="13">
        <v>0</v>
      </c>
      <c r="O27" s="14">
        <f>IFERROR(N27/N327, "NA")</f>
      </c>
    </row>
    <row r="28" ht="16.5" customHeight="1">
      <c t="s" r="A28" s="12">
        <v>31</v>
      </c>
      <c r="B28" s="13">
        <v>0</v>
      </c>
      <c r="C28" s="14">
        <f>IFERROR(B28/B327, "NA")</f>
      </c>
      <c r="D28" s="15"/>
      <c r="E28" s="13">
        <v>0</v>
      </c>
      <c r="F28" s="14">
        <f>IFERROR(E28/E327, "NA")</f>
      </c>
      <c r="G28" s="15"/>
      <c r="H28" s="13">
        <v>0</v>
      </c>
      <c r="I28" s="14">
        <f>IFERROR(H28/H327, "NA")</f>
      </c>
      <c r="J28" s="15"/>
      <c r="K28" s="13">
        <v>0</v>
      </c>
      <c r="L28" s="14">
        <f>IFERROR(K28/K327, "NA")</f>
      </c>
      <c r="M28" s="15"/>
      <c r="N28" s="13">
        <v>0</v>
      </c>
      <c r="O28" s="14">
        <f>IFERROR(N28/N327, "NA")</f>
      </c>
    </row>
    <row r="29" ht="16.5" customHeight="1">
      <c t="s" r="A29" s="12">
        <v>32</v>
      </c>
      <c r="B29" s="13">
        <v>0</v>
      </c>
      <c r="C29" s="14">
        <f>IFERROR(B29/B327, "NA")</f>
      </c>
      <c r="D29" s="15"/>
      <c r="E29" s="13">
        <v>0</v>
      </c>
      <c r="F29" s="14">
        <f>IFERROR(E29/E327, "NA")</f>
      </c>
      <c r="G29" s="15"/>
      <c r="H29" s="13">
        <v>0</v>
      </c>
      <c r="I29" s="14">
        <f>IFERROR(H29/H327, "NA")</f>
      </c>
      <c r="J29" s="15"/>
      <c r="K29" s="13">
        <v>0</v>
      </c>
      <c r="L29" s="14">
        <f>IFERROR(K29/K327, "NA")</f>
      </c>
      <c r="M29" s="15"/>
      <c r="N29" s="13">
        <v>0</v>
      </c>
      <c r="O29" s="14">
        <f>IFERROR(N29/N327, "NA")</f>
      </c>
    </row>
    <row r="30" ht="16.5" customHeight="1">
      <c t="s" r="A30" s="16">
        <v>33</v>
      </c>
      <c r="B30" s="17">
        <f>IFERROR(B21+B22+B23+B24+B25+B26+B27+B28+B29, "NA")</f>
      </c>
      <c r="C30" s="18">
        <f>IFERROR(B30/B327, "NA")</f>
      </c>
      <c r="D30" s="8"/>
      <c r="E30" s="17">
        <f>IFERROR(E21+E22+E23+E24+E25+E26+E27+E28+E29, "NA")</f>
      </c>
      <c r="F30" s="18">
        <f>IFERROR(E30/E327, "NA")</f>
      </c>
      <c r="G30" s="8"/>
      <c r="H30" s="17">
        <f>IFERROR(H21+H22+H23+H24+H25+H26+H27+H28+H29, "NA")</f>
      </c>
      <c r="I30" s="18">
        <f>IFERROR(H30/H327, "NA")</f>
      </c>
      <c r="J30" s="8"/>
      <c r="K30" s="17">
        <f>IFERROR(K21+K22+K23+K24+K25+K26+K27+K28+K29, "NA")</f>
      </c>
      <c r="L30" s="18">
        <f>IFERROR(K30/K327, "NA")</f>
      </c>
      <c r="M30" s="8"/>
      <c r="N30" s="17">
        <f>IFERROR(N21+N22+N23+N24+N25+N26+N27+N28+N29, "NA")</f>
      </c>
      <c r="O30" s="18">
        <f>IFERROR(N30/N327, "NA")</f>
      </c>
    </row>
    <row r="31" ht="16.5" customHeight="1">
      <c t="s" r="A31" s="11">
        <v>34</v>
      </c>
      <c r="B31" s="8"/>
      <c r="C31" s="9"/>
      <c r="D31" s="10"/>
      <c r="E31" s="8"/>
      <c r="F31" s="9"/>
      <c r="G31" s="10"/>
      <c r="H31" s="8"/>
      <c r="I31" s="9"/>
      <c r="J31" s="10"/>
      <c r="K31" s="8"/>
      <c r="L31" s="9"/>
      <c r="M31" s="10"/>
      <c r="N31" s="8"/>
      <c r="O31" s="9"/>
    </row>
    <row r="32" ht="16.5" customHeight="1">
      <c t="s" r="A32" s="12">
        <v>35</v>
      </c>
      <c r="B32" s="13">
        <v>0</v>
      </c>
      <c r="C32" s="14">
        <f>IFERROR(B32/B327, "NA")</f>
      </c>
      <c r="D32" s="15"/>
      <c r="E32" s="13">
        <v>0</v>
      </c>
      <c r="F32" s="14">
        <f>IFERROR(E32/E327, "NA")</f>
      </c>
      <c r="G32" s="15"/>
      <c r="H32" s="13">
        <v>0</v>
      </c>
      <c r="I32" s="14">
        <f>IFERROR(H32/H327, "NA")</f>
      </c>
      <c r="J32" s="15"/>
      <c r="K32" s="13">
        <v>0</v>
      </c>
      <c r="L32" s="14">
        <f>IFERROR(K32/K327, "NA")</f>
      </c>
      <c r="M32" s="15"/>
      <c r="N32" s="13">
        <v>0</v>
      </c>
      <c r="O32" s="14">
        <f>IFERROR(N32/N327, "NA")</f>
      </c>
    </row>
    <row r="33" ht="16.5" customHeight="1">
      <c t="s" r="A33" s="12">
        <v>36</v>
      </c>
      <c r="B33" s="13">
        <v>0</v>
      </c>
      <c r="C33" s="14">
        <f>IFERROR(B33/B327, "NA")</f>
      </c>
      <c r="D33" s="15"/>
      <c r="E33" s="13">
        <v>0</v>
      </c>
      <c r="F33" s="14">
        <f>IFERROR(E33/E327, "NA")</f>
      </c>
      <c r="G33" s="15"/>
      <c r="H33" s="13">
        <v>0</v>
      </c>
      <c r="I33" s="14">
        <f>IFERROR(H33/H327, "NA")</f>
      </c>
      <c r="J33" s="15"/>
      <c r="K33" s="13">
        <v>0</v>
      </c>
      <c r="L33" s="14">
        <f>IFERROR(K33/K327, "NA")</f>
      </c>
      <c r="M33" s="15"/>
      <c r="N33" s="13">
        <v>0</v>
      </c>
      <c r="O33" s="14">
        <f>IFERROR(N33/N327, "NA")</f>
      </c>
    </row>
    <row r="34" ht="16.5" customHeight="1">
      <c t="s" r="A34" s="12">
        <v>37</v>
      </c>
      <c r="B34" s="13">
        <v>0</v>
      </c>
      <c r="C34" s="14">
        <f>IFERROR(B34/B327, "NA")</f>
      </c>
      <c r="D34" s="15"/>
      <c r="E34" s="13">
        <v>0</v>
      </c>
      <c r="F34" s="14">
        <f>IFERROR(E34/E327, "NA")</f>
      </c>
      <c r="G34" s="15"/>
      <c r="H34" s="13">
        <v>0</v>
      </c>
      <c r="I34" s="14">
        <f>IFERROR(H34/H327, "NA")</f>
      </c>
      <c r="J34" s="15"/>
      <c r="K34" s="13">
        <v>0</v>
      </c>
      <c r="L34" s="14">
        <f>IFERROR(K34/K327, "NA")</f>
      </c>
      <c r="M34" s="15"/>
      <c r="N34" s="13">
        <v>0</v>
      </c>
      <c r="O34" s="14">
        <f>IFERROR(N34/N327, "NA")</f>
      </c>
    </row>
    <row r="35" ht="16.5" customHeight="1">
      <c t="s" r="A35" s="12">
        <v>38</v>
      </c>
      <c r="B35" s="13">
        <v>0</v>
      </c>
      <c r="C35" s="14">
        <f>IFERROR(B35/B327, "NA")</f>
      </c>
      <c r="D35" s="15"/>
      <c r="E35" s="13">
        <v>0</v>
      </c>
      <c r="F35" s="14">
        <f>IFERROR(E35/E327, "NA")</f>
      </c>
      <c r="G35" s="15"/>
      <c r="H35" s="13">
        <v>0</v>
      </c>
      <c r="I35" s="14">
        <f>IFERROR(H35/H327, "NA")</f>
      </c>
      <c r="J35" s="15"/>
      <c r="K35" s="13">
        <v>0</v>
      </c>
      <c r="L35" s="14">
        <f>IFERROR(K35/K327, "NA")</f>
      </c>
      <c r="M35" s="15"/>
      <c r="N35" s="13">
        <v>0</v>
      </c>
      <c r="O35" s="14">
        <f>IFERROR(N35/N327, "NA")</f>
      </c>
    </row>
    <row r="36" ht="16.5" customHeight="1">
      <c t="s" r="A36" s="12">
        <v>39</v>
      </c>
      <c r="B36" s="13">
        <v>0</v>
      </c>
      <c r="C36" s="14">
        <f>IFERROR(B36/B327, "NA")</f>
      </c>
      <c r="D36" s="15"/>
      <c r="E36" s="13">
        <v>0</v>
      </c>
      <c r="F36" s="14">
        <f>IFERROR(E36/E327, "NA")</f>
      </c>
      <c r="G36" s="15"/>
      <c r="H36" s="13">
        <v>0</v>
      </c>
      <c r="I36" s="14">
        <f>IFERROR(H36/H327, "NA")</f>
      </c>
      <c r="J36" s="15"/>
      <c r="K36" s="13">
        <v>0</v>
      </c>
      <c r="L36" s="14">
        <f>IFERROR(K36/K327, "NA")</f>
      </c>
      <c r="M36" s="15"/>
      <c r="N36" s="13">
        <v>0</v>
      </c>
      <c r="O36" s="14">
        <f>IFERROR(N36/N327, "NA")</f>
      </c>
    </row>
    <row r="37" ht="16.5" customHeight="1">
      <c t="s" r="A37" s="16">
        <v>40</v>
      </c>
      <c r="B37" s="17">
        <f>IFERROR(B32+B33+B34+B35+B36, "NA")</f>
      </c>
      <c r="C37" s="18">
        <f>IFERROR(B37/B327, "NA")</f>
      </c>
      <c r="D37" s="8"/>
      <c r="E37" s="17">
        <f>IFERROR(E32+E33+E34+E35+E36, "NA")</f>
      </c>
      <c r="F37" s="18">
        <f>IFERROR(E37/E327, "NA")</f>
      </c>
      <c r="G37" s="8"/>
      <c r="H37" s="17">
        <f>IFERROR(H32+H33+H34+H35+H36, "NA")</f>
      </c>
      <c r="I37" s="18">
        <f>IFERROR(H37/H327, "NA")</f>
      </c>
      <c r="J37" s="8"/>
      <c r="K37" s="17">
        <f>IFERROR(K32+K33+K34+K35+K36, "NA")</f>
      </c>
      <c r="L37" s="18">
        <f>IFERROR(K37/K327, "NA")</f>
      </c>
      <c r="M37" s="8"/>
      <c r="N37" s="17">
        <f>IFERROR(N32+N33+N34+N35+N36, "NA")</f>
      </c>
      <c r="O37" s="18">
        <f>IFERROR(N37/N327, "NA")</f>
      </c>
    </row>
    <row r="38" ht="16.5" customHeight="1">
      <c t="s" r="A38" s="11">
        <v>41</v>
      </c>
      <c r="B38" s="8"/>
      <c r="C38" s="9"/>
      <c r="D38" s="10"/>
      <c r="E38" s="8"/>
      <c r="F38" s="9"/>
      <c r="G38" s="10"/>
      <c r="H38" s="8"/>
      <c r="I38" s="9"/>
      <c r="J38" s="10"/>
      <c r="K38" s="8"/>
      <c r="L38" s="9"/>
      <c r="M38" s="10"/>
      <c r="N38" s="8"/>
      <c r="O38" s="9"/>
    </row>
    <row r="39" ht="16.5" customHeight="1">
      <c t="s" r="A39" s="12">
        <v>42</v>
      </c>
      <c r="B39" s="13">
        <v>0</v>
      </c>
      <c r="C39" s="14">
        <f>IFERROR(B39/B327, "NA")</f>
      </c>
      <c r="D39" s="15"/>
      <c r="E39" s="13">
        <v>0</v>
      </c>
      <c r="F39" s="14">
        <f>IFERROR(E39/E327, "NA")</f>
      </c>
      <c r="G39" s="15"/>
      <c r="H39" s="13">
        <v>0</v>
      </c>
      <c r="I39" s="14">
        <f>IFERROR(H39/H327, "NA")</f>
      </c>
      <c r="J39" s="15"/>
      <c r="K39" s="13">
        <v>0</v>
      </c>
      <c r="L39" s="14">
        <f>IFERROR(K39/K327, "NA")</f>
      </c>
      <c r="M39" s="15"/>
      <c r="N39" s="13">
        <v>0</v>
      </c>
      <c r="O39" s="14">
        <f>IFERROR(N39/N327, "NA")</f>
      </c>
    </row>
    <row r="40" ht="16.5" customHeight="1">
      <c t="s" r="A40" s="12">
        <v>43</v>
      </c>
      <c r="B40" s="13">
        <v>0</v>
      </c>
      <c r="C40" s="14">
        <f>IFERROR(B40/B327, "NA")</f>
      </c>
      <c r="D40" s="15"/>
      <c r="E40" s="13">
        <v>-213.5</v>
      </c>
      <c r="F40" s="14">
        <f>IFERROR(E40/E327, "NA")</f>
      </c>
      <c r="G40" s="15"/>
      <c r="H40" s="13">
        <v>-135.25</v>
      </c>
      <c r="I40" s="14">
        <f>IFERROR(H40/H327, "NA")</f>
      </c>
      <c r="J40" s="15"/>
      <c r="K40" s="13">
        <v>-248</v>
      </c>
      <c r="L40" s="14">
        <f>IFERROR(K40/K327, "NA")</f>
      </c>
      <c r="M40" s="15"/>
      <c r="N40" s="13">
        <v>-191.25</v>
      </c>
      <c r="O40" s="14">
        <f>IFERROR(N40/N327, "NA")</f>
      </c>
    </row>
    <row r="41" ht="16.5" customHeight="1">
      <c t="s" r="A41" s="12">
        <v>44</v>
      </c>
      <c r="B41" s="13">
        <v>-694</v>
      </c>
      <c r="C41" s="14">
        <f>IFERROR(B41/B327, "NA")</f>
      </c>
      <c r="D41" s="15"/>
      <c r="E41" s="13">
        <v>-2365</v>
      </c>
      <c r="F41" s="14">
        <f>IFERROR(E41/E327, "NA")</f>
      </c>
      <c r="G41" s="15"/>
      <c r="H41" s="13">
        <v>-2280</v>
      </c>
      <c r="I41" s="14">
        <f>IFERROR(H41/H327, "NA")</f>
      </c>
      <c r="J41" s="15"/>
      <c r="K41" s="13">
        <v>-2098.5</v>
      </c>
      <c r="L41" s="14">
        <f>IFERROR(K41/K327, "NA")</f>
      </c>
      <c r="M41" s="15"/>
      <c r="N41" s="13">
        <v>-2226.5</v>
      </c>
      <c r="O41" s="14">
        <f>IFERROR(N41/N327, "NA")</f>
      </c>
    </row>
    <row r="42" ht="16.5" customHeight="1">
      <c t="s" r="A42" s="12">
        <v>45</v>
      </c>
      <c r="B42" s="13">
        <v>-1197</v>
      </c>
      <c r="C42" s="14">
        <f>IFERROR(B42/B327, "NA")</f>
      </c>
      <c r="D42" s="15"/>
      <c r="E42" s="13">
        <v>-2219</v>
      </c>
      <c r="F42" s="14">
        <f>IFERROR(E42/E327, "NA")</f>
      </c>
      <c r="G42" s="15"/>
      <c r="H42" s="13">
        <v>-2080</v>
      </c>
      <c r="I42" s="14">
        <f>IFERROR(H42/H327, "NA")</f>
      </c>
      <c r="J42" s="15"/>
      <c r="K42" s="13">
        <v>-3291</v>
      </c>
      <c r="L42" s="14">
        <f>IFERROR(K42/K327, "NA")</f>
      </c>
      <c r="M42" s="15"/>
      <c r="N42" s="13">
        <v>-2696</v>
      </c>
      <c r="O42" s="14">
        <f>IFERROR(N42/N327, "NA")</f>
      </c>
    </row>
    <row r="43" ht="16.5" customHeight="1">
      <c t="s" r="A43" s="12">
        <v>46</v>
      </c>
      <c r="B43" s="13">
        <v>-740</v>
      </c>
      <c r="C43" s="14">
        <f>IFERROR(B43/B327, "NA")</f>
      </c>
      <c r="D43" s="15"/>
      <c r="E43" s="13">
        <v>-1622</v>
      </c>
      <c r="F43" s="14">
        <f>IFERROR(E43/E327, "NA")</f>
      </c>
      <c r="G43" s="15"/>
      <c r="H43" s="13">
        <v>-3031</v>
      </c>
      <c r="I43" s="14">
        <f>IFERROR(H43/H327, "NA")</f>
      </c>
      <c r="J43" s="15"/>
      <c r="K43" s="13">
        <v>-2772</v>
      </c>
      <c r="L43" s="14">
        <f>IFERROR(K43/K327, "NA")</f>
      </c>
      <c r="M43" s="15"/>
      <c r="N43" s="13">
        <v>-2441</v>
      </c>
      <c r="O43" s="14">
        <f>IFERROR(N43/N327, "NA")</f>
      </c>
    </row>
    <row r="44" ht="16.5" customHeight="1">
      <c t="s" r="A44" s="12">
        <v>47</v>
      </c>
      <c r="B44" s="13">
        <v>0</v>
      </c>
      <c r="C44" s="14">
        <f>IFERROR(B44/B327, "NA")</f>
      </c>
      <c r="D44" s="15"/>
      <c r="E44" s="13">
        <v>0</v>
      </c>
      <c r="F44" s="14">
        <f>IFERROR(E44/E327, "NA")</f>
      </c>
      <c r="G44" s="15"/>
      <c r="H44" s="13">
        <v>0</v>
      </c>
      <c r="I44" s="14">
        <f>IFERROR(H44/H327, "NA")</f>
      </c>
      <c r="J44" s="15"/>
      <c r="K44" s="13">
        <v>0</v>
      </c>
      <c r="L44" s="14">
        <f>IFERROR(K44/K327, "NA")</f>
      </c>
      <c r="M44" s="15"/>
      <c r="N44" s="13">
        <v>-191.19999999999999</v>
      </c>
      <c r="O44" s="14">
        <f>IFERROR(N44/N327, "NA")</f>
      </c>
    </row>
    <row r="45" ht="16.5" customHeight="1">
      <c t="s" r="A45" s="12">
        <v>48</v>
      </c>
      <c r="B45" s="13">
        <v>0</v>
      </c>
      <c r="C45" s="14">
        <f>IFERROR(B45/B327, "NA")</f>
      </c>
      <c r="D45" s="15"/>
      <c r="E45" s="13">
        <v>0</v>
      </c>
      <c r="F45" s="14">
        <f>IFERROR(E45/E327, "NA")</f>
      </c>
      <c r="G45" s="15"/>
      <c r="H45" s="13">
        <v>0</v>
      </c>
      <c r="I45" s="14">
        <f>IFERROR(H45/H327, "NA")</f>
      </c>
      <c r="J45" s="15"/>
      <c r="K45" s="13">
        <v>0</v>
      </c>
      <c r="L45" s="14">
        <f>IFERROR(K45/K327, "NA")</f>
      </c>
      <c r="M45" s="15"/>
      <c r="N45" s="13">
        <v>0</v>
      </c>
      <c r="O45" s="14">
        <f>IFERROR(N45/N327, "NA")</f>
      </c>
    </row>
    <row r="46" ht="16.5" customHeight="1">
      <c t="s" r="A46" s="12">
        <v>49</v>
      </c>
      <c r="B46" s="13">
        <v>-56</v>
      </c>
      <c r="C46" s="14">
        <f>IFERROR(B46/B327, "NA")</f>
      </c>
      <c r="D46" s="15"/>
      <c r="E46" s="13">
        <v>-1119</v>
      </c>
      <c r="F46" s="14">
        <f>IFERROR(E46/E327, "NA")</f>
      </c>
      <c r="G46" s="15"/>
      <c r="H46" s="13">
        <v>-558</v>
      </c>
      <c r="I46" s="14">
        <f>IFERROR(H46/H327, "NA")</f>
      </c>
      <c r="J46" s="15"/>
      <c r="K46" s="13">
        <v>-102</v>
      </c>
      <c r="L46" s="14">
        <f>IFERROR(K46/K327, "NA")</f>
      </c>
      <c r="M46" s="15"/>
      <c r="N46" s="13">
        <v>-234</v>
      </c>
      <c r="O46" s="14">
        <f>IFERROR(N46/N327, "NA")</f>
      </c>
    </row>
    <row r="47" ht="16.5" customHeight="1">
      <c t="s" r="A47" s="12">
        <v>50</v>
      </c>
      <c r="B47" s="13">
        <v>-2061</v>
      </c>
      <c r="C47" s="14">
        <f>IFERROR(B47/B327, "NA")</f>
      </c>
      <c r="D47" s="15"/>
      <c r="E47" s="13">
        <v>-4411</v>
      </c>
      <c r="F47" s="14">
        <f>IFERROR(E47/E327, "NA")</f>
      </c>
      <c r="G47" s="15"/>
      <c r="H47" s="13">
        <v>-5743</v>
      </c>
      <c r="I47" s="14">
        <f>IFERROR(H47/H327, "NA")</f>
      </c>
      <c r="J47" s="15"/>
      <c r="K47" s="13">
        <v>-4817.5</v>
      </c>
      <c r="L47" s="14">
        <f>IFERROR(K47/K327, "NA")</f>
      </c>
      <c r="M47" s="15"/>
      <c r="N47" s="13">
        <v>-5806</v>
      </c>
      <c r="O47" s="14">
        <f>IFERROR(N47/N327, "NA")</f>
      </c>
    </row>
    <row r="48" ht="16.5" customHeight="1">
      <c t="s" r="A48" s="12">
        <v>51</v>
      </c>
      <c r="B48" s="13">
        <v>-358</v>
      </c>
      <c r="C48" s="14">
        <f>IFERROR(B48/B327, "NA")</f>
      </c>
      <c r="D48" s="15"/>
      <c r="E48" s="13">
        <v>-1891</v>
      </c>
      <c r="F48" s="14">
        <f>IFERROR(E48/E327, "NA")</f>
      </c>
      <c r="G48" s="15"/>
      <c r="H48" s="13">
        <v>-1736</v>
      </c>
      <c r="I48" s="14">
        <f>IFERROR(H48/H327, "NA")</f>
      </c>
      <c r="J48" s="15"/>
      <c r="K48" s="13">
        <v>-1733</v>
      </c>
      <c r="L48" s="14">
        <f>IFERROR(K48/K327, "NA")</f>
      </c>
      <c r="M48" s="15"/>
      <c r="N48" s="13">
        <v>-1469</v>
      </c>
      <c r="O48" s="14">
        <f>IFERROR(N48/N327, "NA")</f>
      </c>
    </row>
    <row r="49" ht="16.5" customHeight="1">
      <c t="s" r="A49" s="12">
        <v>52</v>
      </c>
      <c r="B49" s="13">
        <v>0</v>
      </c>
      <c r="C49" s="14">
        <f>IFERROR(B49/B327, "NA")</f>
      </c>
      <c r="D49" s="15"/>
      <c r="E49" s="13">
        <v>0</v>
      </c>
      <c r="F49" s="14">
        <f>IFERROR(E49/E327, "NA")</f>
      </c>
      <c r="G49" s="15"/>
      <c r="H49" s="13">
        <v>-100</v>
      </c>
      <c r="I49" s="14">
        <f>IFERROR(H49/H327, "NA")</f>
      </c>
      <c r="J49" s="15"/>
      <c r="K49" s="13">
        <v>0</v>
      </c>
      <c r="L49" s="14">
        <f>IFERROR(K49/K327, "NA")</f>
      </c>
      <c r="M49" s="15"/>
      <c r="N49" s="13">
        <v>0</v>
      </c>
      <c r="O49" s="14">
        <f>IFERROR(N49/N327, "NA")</f>
      </c>
    </row>
    <row r="50" ht="16.5" customHeight="1">
      <c t="s" r="A50" s="12">
        <v>53</v>
      </c>
      <c r="B50" s="13">
        <v>-71</v>
      </c>
      <c r="C50" s="14">
        <f>IFERROR(B50/B327, "NA")</f>
      </c>
      <c r="D50" s="15"/>
      <c r="E50" s="13">
        <v>0</v>
      </c>
      <c r="F50" s="14">
        <f>IFERROR(E50/E327, "NA")</f>
      </c>
      <c r="G50" s="15"/>
      <c r="H50" s="13">
        <v>0</v>
      </c>
      <c r="I50" s="14">
        <f>IFERROR(H50/H327, "NA")</f>
      </c>
      <c r="J50" s="15"/>
      <c r="K50" s="13">
        <v>-707</v>
      </c>
      <c r="L50" s="14">
        <f>IFERROR(K50/K327, "NA")</f>
      </c>
      <c r="M50" s="15"/>
      <c r="N50" s="13">
        <v>-805</v>
      </c>
      <c r="O50" s="14">
        <f>IFERROR(N50/N327, "NA")</f>
      </c>
    </row>
    <row r="51" ht="16.5" customHeight="1">
      <c t="s" r="A51" s="16">
        <v>54</v>
      </c>
      <c r="B51" s="17">
        <f>IFERROR(B39+B40+B41+B42+B43+B44+B45+B46+B47+B48+B49+B50, "NA")</f>
      </c>
      <c r="C51" s="18">
        <f>IFERROR(B51/B327, "NA")</f>
      </c>
      <c r="D51" s="8"/>
      <c r="E51" s="17">
        <f>IFERROR(E39+E40+E41+E42+E43+E44+E45+E46+E47+E48+E49+E50, "NA")</f>
      </c>
      <c r="F51" s="18">
        <f>IFERROR(E51/E327, "NA")</f>
      </c>
      <c r="G51" s="8"/>
      <c r="H51" s="17">
        <f>IFERROR(H39+H40+H41+H42+H43+H44+H45+H46+H47+H48+H49+H50, "NA")</f>
      </c>
      <c r="I51" s="18">
        <f>IFERROR(H51/H327, "NA")</f>
      </c>
      <c r="J51" s="8"/>
      <c r="K51" s="17">
        <f>IFERROR(K39+K40+K41+K42+K43+K44+K45+K46+K47+K48+K49+K50, "NA")</f>
      </c>
      <c r="L51" s="18">
        <f>IFERROR(K51/K327, "NA")</f>
      </c>
      <c r="M51" s="8"/>
      <c r="N51" s="17">
        <f>IFERROR(N39+N40+N41+N42+N43+N44+N45+N46+N47+N48+N49+N50, "NA")</f>
      </c>
      <c r="O51" s="18">
        <f>IFERROR(N51/N327, "NA")</f>
      </c>
    </row>
    <row r="52" ht="16.5" customHeight="1">
      <c t="s" r="A52" s="20">
        <v>55</v>
      </c>
      <c r="B52" s="17">
        <f>IFERROR(B8+B9+B11+B13+B14+B15+B16+B17+B18+B21+B22+B23+B24+B25+B26+B27+B28+B29+B32+B33+B34+B35+B36+B39+B40+B41+B42+B43+B44+B45+B46+B47+B48+B49+B50, "NA")</f>
      </c>
      <c r="C52" s="18">
        <f>IFERROR(B52/B327, "NA")</f>
      </c>
      <c r="D52" s="8"/>
      <c r="E52" s="17">
        <f>IFERROR(E8+E9+E11+E13+E14+E15+E16+E17+E18+E21+E22+E23+E24+E25+E26+E27+E28+E29+E32+E33+E34+E35+E36+E39+E40+E41+E42+E43+E44+E45+E46+E47+E48+E49+E50, "NA")</f>
      </c>
      <c r="F52" s="18">
        <f>IFERROR(E52/E327, "NA")</f>
      </c>
      <c r="G52" s="8"/>
      <c r="H52" s="17">
        <f>IFERROR(H8+H9+H11+H13+H14+H15+H16+H17+H18+H21+H22+H23+H24+H25+H26+H27+H28+H29+H32+H33+H34+H35+H36+H39+H40+H41+H42+H43+H44+H45+H46+H47+H48+H49+H50, "NA")</f>
      </c>
      <c r="I52" s="18">
        <f>IFERROR(H52/H327, "NA")</f>
      </c>
      <c r="J52" s="8"/>
      <c r="K52" s="17">
        <f>IFERROR(K8+K9+K11+K13+K14+K15+K16+K17+K18+K21+K22+K23+K24+K25+K26+K27+K28+K29+K32+K33+K34+K35+K36+K39+K40+K41+K42+K43+K44+K45+K46+K47+K48+K49+K50, "NA")</f>
      </c>
      <c r="L52" s="18">
        <f>IFERROR(K52/K327, "NA")</f>
      </c>
      <c r="M52" s="8"/>
      <c r="N52" s="17">
        <f>IFERROR(N8+N9+N11+N13+N14+N15+N16+N17+N18+N21+N22+N23+N24+N25+N26+N27+N28+N29+N32+N33+N34+N35+N36+N39+N40+N41+N42+N43+N44+N45+N46+N47+N48+N49+N50, "NA")</f>
      </c>
      <c r="O52" s="18">
        <f>IFERROR(N52/N327, "NA")</f>
      </c>
    </row>
    <row r="53" ht="16.5" customHeight="1">
      <c t="s" r="A53" s="7">
        <v>56</v>
      </c>
      <c r="B53" s="8"/>
      <c r="C53" s="9"/>
      <c r="D53" s="10"/>
      <c r="E53" s="8"/>
      <c r="F53" s="9"/>
      <c r="G53" s="10"/>
      <c r="H53" s="8"/>
      <c r="I53" s="9"/>
      <c r="J53" s="10"/>
      <c r="K53" s="8"/>
      <c r="L53" s="9"/>
      <c r="M53" s="10"/>
      <c r="N53" s="8"/>
      <c r="O53" s="9"/>
    </row>
    <row r="54" ht="16.5" customHeight="1">
      <c t="s" r="A54" s="11">
        <v>57</v>
      </c>
      <c r="B54" s="8"/>
      <c r="C54" s="9"/>
      <c r="D54" s="10"/>
      <c r="E54" s="8"/>
      <c r="F54" s="9"/>
      <c r="G54" s="10"/>
      <c r="H54" s="8"/>
      <c r="I54" s="9"/>
      <c r="J54" s="10"/>
      <c r="K54" s="8"/>
      <c r="L54" s="9"/>
      <c r="M54" s="10"/>
      <c r="N54" s="8"/>
      <c r="O54" s="9"/>
    </row>
    <row r="55" ht="16.5" customHeight="1">
      <c t="s" r="A55" s="12">
        <v>58</v>
      </c>
      <c r="B55" s="13">
        <v>0</v>
      </c>
      <c r="C55" s="14">
        <f>IFERROR(B55/B327, "NA")</f>
      </c>
      <c r="D55" s="15"/>
      <c r="E55" s="13">
        <v>0</v>
      </c>
      <c r="F55" s="14">
        <f>IFERROR(E55/E327, "NA")</f>
      </c>
      <c r="G55" s="15"/>
      <c r="H55" s="13">
        <v>0</v>
      </c>
      <c r="I55" s="14">
        <f>IFERROR(H55/H327, "NA")</f>
      </c>
      <c r="J55" s="15"/>
      <c r="K55" s="13">
        <v>0</v>
      </c>
      <c r="L55" s="14">
        <f>IFERROR(K55/K327, "NA")</f>
      </c>
      <c r="M55" s="15"/>
      <c r="N55" s="13">
        <v>0</v>
      </c>
      <c r="O55" s="14">
        <f>IFERROR(N55/N327, "NA")</f>
      </c>
    </row>
    <row r="56" ht="16.5" customHeight="1">
      <c t="s" r="A56" s="12">
        <v>59</v>
      </c>
      <c r="B56" s="13">
        <v>-4536.9799999999996</v>
      </c>
      <c r="C56" s="14">
        <f>IFERROR(B56/B327, "NA")</f>
      </c>
      <c r="D56" s="15"/>
      <c r="E56" s="13">
        <v>14135.49</v>
      </c>
      <c r="F56" s="14">
        <f>IFERROR(E56/E327, "NA")</f>
      </c>
      <c r="G56" s="15"/>
      <c r="H56" s="13">
        <v>19168.849999999999</v>
      </c>
      <c r="I56" s="14">
        <f>IFERROR(H56/H327, "NA")</f>
      </c>
      <c r="J56" s="15"/>
      <c r="K56" s="13">
        <v>13062.030000000001</v>
      </c>
      <c r="L56" s="14">
        <f>IFERROR(K56/K327, "NA")</f>
      </c>
      <c r="M56" s="15"/>
      <c r="N56" s="13">
        <v>11551.379999999999</v>
      </c>
      <c r="O56" s="14">
        <f>IFERROR(N56/N327, "NA")</f>
      </c>
    </row>
    <row r="57" ht="16.5" customHeight="1">
      <c t="s" r="A57" s="12">
        <v>60</v>
      </c>
      <c r="B57" s="13">
        <v>-1146.9200000000001</v>
      </c>
      <c r="C57" s="14">
        <f>IFERROR(B57/B327, "NA")</f>
      </c>
      <c r="D57" s="15"/>
      <c r="E57" s="13">
        <v>1934.97</v>
      </c>
      <c r="F57" s="14">
        <f>IFERROR(E57/E327, "NA")</f>
      </c>
      <c r="G57" s="15"/>
      <c r="H57" s="13">
        <v>2297.6199999999999</v>
      </c>
      <c r="I57" s="14">
        <f>IFERROR(H57/H327, "NA")</f>
      </c>
      <c r="J57" s="15"/>
      <c r="K57" s="13">
        <v>1865.0799999999999</v>
      </c>
      <c r="L57" s="14">
        <f>IFERROR(K57/K327, "NA")</f>
      </c>
      <c r="M57" s="15"/>
      <c r="N57" s="13">
        <v>2121.54</v>
      </c>
      <c r="O57" s="14">
        <f>IFERROR(N57/N327, "NA")</f>
      </c>
    </row>
    <row r="58" ht="16.5" customHeight="1">
      <c t="s" r="A58" s="12">
        <v>61</v>
      </c>
      <c r="B58" s="13">
        <v>4204.7299999999996</v>
      </c>
      <c r="C58" s="14">
        <f>IFERROR(B58/B327, "NA")</f>
      </c>
      <c r="D58" s="15"/>
      <c r="E58" s="13">
        <v>21004.540000000001</v>
      </c>
      <c r="F58" s="14">
        <f>IFERROR(E58/E327, "NA")</f>
      </c>
      <c r="G58" s="15"/>
      <c r="H58" s="13">
        <v>19522.689999999999</v>
      </c>
      <c r="I58" s="14">
        <f>IFERROR(H58/H327, "NA")</f>
      </c>
      <c r="J58" s="15"/>
      <c r="K58" s="13">
        <v>22819.599999999999</v>
      </c>
      <c r="L58" s="14">
        <f>IFERROR(K58/K327, "NA")</f>
      </c>
      <c r="M58" s="15"/>
      <c r="N58" s="13">
        <v>21935.23</v>
      </c>
      <c r="O58" s="14">
        <f>IFERROR(N58/N327, "NA")</f>
      </c>
    </row>
    <row r="59" ht="16.5" customHeight="1">
      <c t="s" r="A59" s="12">
        <v>62</v>
      </c>
      <c r="B59" s="13">
        <v>-114.29000000000001</v>
      </c>
      <c r="C59" s="14">
        <f>IFERROR(B59/B327, "NA")</f>
      </c>
      <c r="D59" s="15"/>
      <c r="E59" s="13">
        <v>832.98000000000002</v>
      </c>
      <c r="F59" s="14">
        <f>IFERROR(E59/E327, "NA")</f>
      </c>
      <c r="G59" s="15"/>
      <c r="H59" s="13">
        <v>1584.9200000000001</v>
      </c>
      <c r="I59" s="14">
        <f>IFERROR(H59/H327, "NA")</f>
      </c>
      <c r="J59" s="15"/>
      <c r="K59" s="13">
        <v>1483.73</v>
      </c>
      <c r="L59" s="14">
        <f>IFERROR(K59/K327, "NA")</f>
      </c>
      <c r="M59" s="15"/>
      <c r="N59" s="13">
        <v>1093.05</v>
      </c>
      <c r="O59" s="14">
        <f>IFERROR(N59/N327, "NA")</f>
      </c>
    </row>
    <row r="60" ht="16.5" customHeight="1">
      <c t="s" r="A60" s="12">
        <v>63</v>
      </c>
      <c r="B60" s="13">
        <v>1282.72</v>
      </c>
      <c r="C60" s="14">
        <f>IFERROR(B60/B327, "NA")</f>
      </c>
      <c r="D60" s="15"/>
      <c r="E60" s="13">
        <v>34243.470000000001</v>
      </c>
      <c r="F60" s="14">
        <f>IFERROR(E60/E327, "NA")</f>
      </c>
      <c r="G60" s="15"/>
      <c r="H60" s="13">
        <v>26777.450000000001</v>
      </c>
      <c r="I60" s="14">
        <f>IFERROR(H60/H327, "NA")</f>
      </c>
      <c r="J60" s="15"/>
      <c r="K60" s="13">
        <v>32905.110000000001</v>
      </c>
      <c r="L60" s="14">
        <f>IFERROR(K60/K327, "NA")</f>
      </c>
      <c r="M60" s="15"/>
      <c r="N60" s="13">
        <v>39666.809999999998</v>
      </c>
      <c r="O60" s="14">
        <f>IFERROR(N60/N327, "NA")</f>
      </c>
    </row>
    <row r="61" ht="16.5" customHeight="1">
      <c t="s" r="A61" s="12">
        <v>64</v>
      </c>
      <c r="B61" s="13">
        <v>260.01999999999998</v>
      </c>
      <c r="C61" s="14">
        <f>IFERROR(B61/B327, "NA")</f>
      </c>
      <c r="D61" s="15"/>
      <c r="E61" s="13">
        <v>12284.559999999999</v>
      </c>
      <c r="F61" s="14">
        <f>IFERROR(E61/E327, "NA")</f>
      </c>
      <c r="G61" s="15"/>
      <c r="H61" s="13">
        <v>17372.540000000001</v>
      </c>
      <c r="I61" s="14">
        <f>IFERROR(H61/H327, "NA")</f>
      </c>
      <c r="J61" s="15"/>
      <c r="K61" s="13">
        <v>16195.219999999999</v>
      </c>
      <c r="L61" s="14">
        <f>IFERROR(K61/K327, "NA")</f>
      </c>
      <c r="M61" s="15"/>
      <c r="N61" s="13">
        <v>14204.780000000001</v>
      </c>
      <c r="O61" s="14">
        <f>IFERROR(N61/N327, "NA")</f>
      </c>
    </row>
    <row r="62" ht="16.5" customHeight="1">
      <c t="s" r="A62" s="12">
        <v>65</v>
      </c>
      <c r="B62" s="13">
        <v>403.79000000000002</v>
      </c>
      <c r="C62" s="14">
        <f>IFERROR(B62/B327, "NA")</f>
      </c>
      <c r="D62" s="15"/>
      <c r="E62" s="13">
        <v>86.469999999999999</v>
      </c>
      <c r="F62" s="14">
        <f>IFERROR(E62/E327, "NA")</f>
      </c>
      <c r="G62" s="15"/>
      <c r="H62" s="13">
        <v>505.74000000000001</v>
      </c>
      <c r="I62" s="14">
        <f>IFERROR(H62/H327, "NA")</f>
      </c>
      <c r="J62" s="15"/>
      <c r="K62" s="13">
        <v>145.13999999999999</v>
      </c>
      <c r="L62" s="14">
        <f>IFERROR(K62/K327, "NA")</f>
      </c>
      <c r="M62" s="15"/>
      <c r="N62" s="13">
        <v>59.899999999999999</v>
      </c>
      <c r="O62" s="14">
        <f>IFERROR(N62/N327, "NA")</f>
      </c>
    </row>
    <row r="63" ht="16.5" customHeight="1">
      <c t="s" r="A63" s="12">
        <v>66</v>
      </c>
      <c r="B63" s="13">
        <v>-2364.6999999999998</v>
      </c>
      <c r="C63" s="14">
        <f>IFERROR(B63/B327, "NA")</f>
      </c>
      <c r="D63" s="15"/>
      <c r="E63" s="13">
        <v>4882.3199999999997</v>
      </c>
      <c r="F63" s="14">
        <f>IFERROR(E63/E327, "NA")</f>
      </c>
      <c r="G63" s="15"/>
      <c r="H63" s="13">
        <v>4070.54</v>
      </c>
      <c r="I63" s="14">
        <f>IFERROR(H63/H327, "NA")</f>
      </c>
      <c r="J63" s="15"/>
      <c r="K63" s="13">
        <v>5014.8000000000002</v>
      </c>
      <c r="L63" s="14">
        <f>IFERROR(K63/K327, "NA")</f>
      </c>
      <c r="M63" s="15"/>
      <c r="N63" s="13">
        <v>6307.6899999999996</v>
      </c>
      <c r="O63" s="14">
        <f>IFERROR(N63/N327, "NA")</f>
      </c>
    </row>
    <row r="64" ht="16.5" customHeight="1">
      <c t="s" r="A64" s="12">
        <v>67</v>
      </c>
      <c r="B64" s="13">
        <v>0</v>
      </c>
      <c r="C64" s="14">
        <f>IFERROR(B64/B327, "NA")</f>
      </c>
      <c r="D64" s="15"/>
      <c r="E64" s="13">
        <v>0</v>
      </c>
      <c r="F64" s="14">
        <f>IFERROR(E64/E327, "NA")</f>
      </c>
      <c r="G64" s="15"/>
      <c r="H64" s="13">
        <v>0</v>
      </c>
      <c r="I64" s="14">
        <f>IFERROR(H64/H327, "NA")</f>
      </c>
      <c r="J64" s="15"/>
      <c r="K64" s="13">
        <v>0</v>
      </c>
      <c r="L64" s="14">
        <f>IFERROR(K64/K327, "NA")</f>
      </c>
      <c r="M64" s="15"/>
      <c r="N64" s="13">
        <v>0</v>
      </c>
      <c r="O64" s="14">
        <f>IFERROR(N64/N327, "NA")</f>
      </c>
    </row>
    <row r="65" ht="16.5" customHeight="1">
      <c t="s" r="A65" s="16">
        <v>68</v>
      </c>
      <c r="B65" s="17">
        <f>IFERROR(B55+B56+B57+B58+B59+B60+B61+B62+B63+B64, "NA")</f>
      </c>
      <c r="C65" s="18">
        <f>IFERROR(B65/B327, "NA")</f>
      </c>
      <c r="D65" s="8"/>
      <c r="E65" s="17">
        <f>IFERROR(E55+E56+E57+E58+E59+E60+E61+E62+E63+E64, "NA")</f>
      </c>
      <c r="F65" s="18">
        <f>IFERROR(E65/E327, "NA")</f>
      </c>
      <c r="G65" s="8"/>
      <c r="H65" s="17">
        <f>IFERROR(H55+H56+H57+H58+H59+H60+H61+H62+H63+H64, "NA")</f>
      </c>
      <c r="I65" s="18">
        <f>IFERROR(H65/H327, "NA")</f>
      </c>
      <c r="J65" s="8"/>
      <c r="K65" s="17">
        <f>IFERROR(K55+K56+K57+K58+K59+K60+K61+K62+K63+K64, "NA")</f>
      </c>
      <c r="L65" s="18">
        <f>IFERROR(K65/K327, "NA")</f>
      </c>
      <c r="M65" s="8"/>
      <c r="N65" s="17">
        <f>IFERROR(N55+N56+N57+N58+N59+N60+N61+N62+N63+N64, "NA")</f>
      </c>
      <c r="O65" s="18">
        <f>IFERROR(N65/N327, "NA")</f>
      </c>
    </row>
    <row r="66" ht="16.5" customHeight="1">
      <c t="s" r="A66" s="19">
        <v>69</v>
      </c>
      <c r="B66" s="13">
        <v>-1803.1400000000001</v>
      </c>
      <c r="C66" s="14">
        <f>IFERROR(B66/B327, "NA")</f>
      </c>
      <c r="D66" s="15"/>
      <c r="E66" s="13">
        <v>6374.6300000000001</v>
      </c>
      <c r="F66" s="14">
        <f>IFERROR(E66/E327, "NA")</f>
      </c>
      <c r="G66" s="15"/>
      <c r="H66" s="13">
        <v>5218.1999999999998</v>
      </c>
      <c r="I66" s="14">
        <f>IFERROR(H66/H327, "NA")</f>
      </c>
      <c r="J66" s="15"/>
      <c r="K66" s="13">
        <v>5975.6099999999997</v>
      </c>
      <c r="L66" s="14">
        <f>IFERROR(K66/K327, "NA")</f>
      </c>
      <c r="M66" s="15"/>
      <c r="N66" s="13">
        <v>6845.8599999999997</v>
      </c>
      <c r="O66" s="14">
        <f>IFERROR(N66/N327, "NA")</f>
      </c>
    </row>
    <row r="67" ht="16.5" customHeight="1">
      <c t="s" r="A67" s="11">
        <v>70</v>
      </c>
      <c r="B67" s="8"/>
      <c r="C67" s="9"/>
      <c r="D67" s="10"/>
      <c r="E67" s="8"/>
      <c r="F67" s="9"/>
      <c r="G67" s="10"/>
      <c r="H67" s="8"/>
      <c r="I67" s="9"/>
      <c r="J67" s="10"/>
      <c r="K67" s="8"/>
      <c r="L67" s="9"/>
      <c r="M67" s="10"/>
      <c r="N67" s="8"/>
      <c r="O67" s="9"/>
    </row>
    <row r="68" ht="16.5" customHeight="1">
      <c t="s" r="A68" s="12">
        <v>71</v>
      </c>
      <c r="B68" s="13">
        <v>0</v>
      </c>
      <c r="C68" s="14">
        <f>IFERROR(B68/B327, "NA")</f>
      </c>
      <c r="D68" s="15"/>
      <c r="E68" s="13">
        <v>0</v>
      </c>
      <c r="F68" s="14">
        <f>IFERROR(E68/E327, "NA")</f>
      </c>
      <c r="G68" s="15"/>
      <c r="H68" s="13">
        <v>0</v>
      </c>
      <c r="I68" s="14">
        <f>IFERROR(H68/H327, "NA")</f>
      </c>
      <c r="J68" s="15"/>
      <c r="K68" s="13">
        <v>0</v>
      </c>
      <c r="L68" s="14">
        <f>IFERROR(K68/K327, "NA")</f>
      </c>
      <c r="M68" s="15"/>
      <c r="N68" s="13">
        <v>0</v>
      </c>
      <c r="O68" s="14">
        <f>IFERROR(N68/N327, "NA")</f>
      </c>
    </row>
    <row r="69" ht="16.5" customHeight="1">
      <c t="s" r="A69" s="12">
        <v>72</v>
      </c>
      <c r="B69" s="13">
        <v>-261.38999999999999</v>
      </c>
      <c r="C69" s="14">
        <f>IFERROR(B69/B327, "NA")</f>
      </c>
      <c r="D69" s="15"/>
      <c r="E69" s="13">
        <v>432.31</v>
      </c>
      <c r="F69" s="14">
        <f>IFERROR(E69/E327, "NA")</f>
      </c>
      <c r="G69" s="15"/>
      <c r="H69" s="13">
        <v>383.75</v>
      </c>
      <c r="I69" s="14">
        <f>IFERROR(H69/H327, "NA")</f>
      </c>
      <c r="J69" s="15"/>
      <c r="K69" s="13">
        <v>264.31999999999999</v>
      </c>
      <c r="L69" s="14">
        <f>IFERROR(K69/K327, "NA")</f>
      </c>
      <c r="M69" s="15"/>
      <c r="N69" s="13">
        <v>835.60000000000002</v>
      </c>
      <c r="O69" s="14">
        <f>IFERROR(N69/N327, "NA")</f>
      </c>
    </row>
    <row r="70" ht="16.5" customHeight="1">
      <c t="s" r="A70" s="12">
        <v>73</v>
      </c>
      <c r="B70" s="13">
        <v>0</v>
      </c>
      <c r="C70" s="14">
        <f>IFERROR(B70/B327, "NA")</f>
      </c>
      <c r="D70" s="15"/>
      <c r="E70" s="13">
        <v>0</v>
      </c>
      <c r="F70" s="14">
        <f>IFERROR(E70/E327, "NA")</f>
      </c>
      <c r="G70" s="15"/>
      <c r="H70" s="13">
        <v>0</v>
      </c>
      <c r="I70" s="14">
        <f>IFERROR(H70/H327, "NA")</f>
      </c>
      <c r="J70" s="15"/>
      <c r="K70" s="13">
        <v>4078.8000000000002</v>
      </c>
      <c r="L70" s="14">
        <f>IFERROR(K70/K327, "NA")</f>
      </c>
      <c r="M70" s="15"/>
      <c r="N70" s="13">
        <v>0</v>
      </c>
      <c r="O70" s="14">
        <f>IFERROR(N70/N327, "NA")</f>
      </c>
    </row>
    <row r="71" ht="16.5" customHeight="1">
      <c t="s" r="A71" s="12">
        <v>74</v>
      </c>
      <c r="B71" s="13">
        <v>-4840.5900000000001</v>
      </c>
      <c r="C71" s="14">
        <f>IFERROR(B71/B327, "NA")</f>
      </c>
      <c r="D71" s="15"/>
      <c r="E71" s="13">
        <v>2675.0100000000002</v>
      </c>
      <c r="F71" s="14">
        <f>IFERROR(E71/E327, "NA")</f>
      </c>
      <c r="G71" s="15"/>
      <c r="H71" s="13">
        <v>13850.6</v>
      </c>
      <c r="I71" s="14">
        <f>IFERROR(H71/H327, "NA")</f>
      </c>
      <c r="J71" s="15"/>
      <c r="K71" s="13">
        <v>5826.1599999999999</v>
      </c>
      <c r="L71" s="14">
        <f>IFERROR(K71/K327, "NA")</f>
      </c>
      <c r="M71" s="15"/>
      <c r="N71" s="13">
        <v>8547.25</v>
      </c>
      <c r="O71" s="14">
        <f>IFERROR(N71/N327, "NA")</f>
      </c>
    </row>
    <row r="72" ht="16.5" customHeight="1">
      <c t="s" r="A72" s="12">
        <v>75</v>
      </c>
      <c r="B72" s="13">
        <v>0</v>
      </c>
      <c r="C72" s="14">
        <f>IFERROR(B72/B327, "NA")</f>
      </c>
      <c r="D72" s="15"/>
      <c r="E72" s="13">
        <v>0</v>
      </c>
      <c r="F72" s="14">
        <f>IFERROR(E72/E327, "NA")</f>
      </c>
      <c r="G72" s="15"/>
      <c r="H72" s="13">
        <v>0</v>
      </c>
      <c r="I72" s="14">
        <f>IFERROR(H72/H327, "NA")</f>
      </c>
      <c r="J72" s="15"/>
      <c r="K72" s="13">
        <v>0</v>
      </c>
      <c r="L72" s="14">
        <f>IFERROR(K72/K327, "NA")</f>
      </c>
      <c r="M72" s="15"/>
      <c r="N72" s="13">
        <v>0</v>
      </c>
      <c r="O72" s="14">
        <f>IFERROR(N72/N327, "NA")</f>
      </c>
    </row>
    <row r="73" ht="16.5" customHeight="1">
      <c t="s" r="A73" s="12">
        <v>76</v>
      </c>
      <c r="B73" s="13">
        <v>-11268.370000000001</v>
      </c>
      <c r="C73" s="14">
        <f>IFERROR(B73/B327, "NA")</f>
      </c>
      <c r="D73" s="15"/>
      <c r="E73" s="13">
        <v>13448.959999999999</v>
      </c>
      <c r="F73" s="14">
        <f>IFERROR(E73/E327, "NA")</f>
      </c>
      <c r="G73" s="15"/>
      <c r="H73" s="13">
        <v>7182.1199999999999</v>
      </c>
      <c r="I73" s="14">
        <f>IFERROR(H73/H327, "NA")</f>
      </c>
      <c r="J73" s="15"/>
      <c r="K73" s="13">
        <v>-3072.0599999999999</v>
      </c>
      <c r="L73" s="14">
        <f>IFERROR(K73/K327, "NA")</f>
      </c>
      <c r="M73" s="15"/>
      <c r="N73" s="13">
        <v>18766.98</v>
      </c>
      <c r="O73" s="14">
        <f>IFERROR(N73/N327, "NA")</f>
      </c>
    </row>
    <row r="74" ht="16.5" customHeight="1">
      <c t="s" r="A74" s="12">
        <v>77</v>
      </c>
      <c r="B74" s="13">
        <v>0</v>
      </c>
      <c r="C74" s="14">
        <f>IFERROR(B74/B327, "NA")</f>
      </c>
      <c r="D74" s="15"/>
      <c r="E74" s="13">
        <v>4073.3099999999999</v>
      </c>
      <c r="F74" s="14">
        <f>IFERROR(E74/E327, "NA")</f>
      </c>
      <c r="G74" s="15"/>
      <c r="H74" s="13">
        <v>3566.4000000000001</v>
      </c>
      <c r="I74" s="14">
        <f>IFERROR(H74/H327, "NA")</f>
      </c>
      <c r="J74" s="15"/>
      <c r="K74" s="13">
        <v>5240.5299999999997</v>
      </c>
      <c r="L74" s="14">
        <f>IFERROR(K74/K327, "NA")</f>
      </c>
      <c r="M74" s="15"/>
      <c r="N74" s="13">
        <v>5538.3400000000001</v>
      </c>
      <c r="O74" s="14">
        <f>IFERROR(N74/N327, "NA")</f>
      </c>
    </row>
    <row r="75" ht="16.5" customHeight="1">
      <c t="s" r="A75" s="12">
        <v>78</v>
      </c>
      <c r="B75" s="13">
        <v>-1706.78</v>
      </c>
      <c r="C75" s="14">
        <f>IFERROR(B75/B327, "NA")</f>
      </c>
      <c r="D75" s="15"/>
      <c r="E75" s="13">
        <v>2559.0300000000002</v>
      </c>
      <c r="F75" s="14">
        <f>IFERROR(E75/E327, "NA")</f>
      </c>
      <c r="G75" s="15"/>
      <c r="H75" s="13">
        <v>2707.0100000000002</v>
      </c>
      <c r="I75" s="14">
        <f>IFERROR(H75/H327, "NA")</f>
      </c>
      <c r="J75" s="15"/>
      <c r="K75" s="13">
        <v>2160.3000000000002</v>
      </c>
      <c r="L75" s="14">
        <f>IFERROR(K75/K327, "NA")</f>
      </c>
      <c r="M75" s="15"/>
      <c r="N75" s="13">
        <v>4819.3800000000001</v>
      </c>
      <c r="O75" s="14">
        <f>IFERROR(N75/N327, "NA")</f>
      </c>
    </row>
    <row r="76" ht="16.5" customHeight="1">
      <c t="s" r="A76" s="16">
        <v>79</v>
      </c>
      <c r="B76" s="17">
        <f>IFERROR(B68+B69+B70+B71+B72+B73+B74+B75, "NA")</f>
      </c>
      <c r="C76" s="18">
        <f>IFERROR(B76/B327, "NA")</f>
      </c>
      <c r="D76" s="8"/>
      <c r="E76" s="17">
        <f>IFERROR(E68+E69+E70+E71+E72+E73+E74+E75, "NA")</f>
      </c>
      <c r="F76" s="18">
        <f>IFERROR(E76/E327, "NA")</f>
      </c>
      <c r="G76" s="8"/>
      <c r="H76" s="17">
        <f>IFERROR(H68+H69+H70+H71+H72+H73+H74+H75, "NA")</f>
      </c>
      <c r="I76" s="18">
        <f>IFERROR(H76/H327, "NA")</f>
      </c>
      <c r="J76" s="8"/>
      <c r="K76" s="17">
        <f>IFERROR(K68+K69+K70+K71+K72+K73+K74+K75, "NA")</f>
      </c>
      <c r="L76" s="18">
        <f>IFERROR(K76/K327, "NA")</f>
      </c>
      <c r="M76" s="8"/>
      <c r="N76" s="17">
        <f>IFERROR(N68+N69+N70+N71+N72+N73+N74+N75, "NA")</f>
      </c>
      <c r="O76" s="18">
        <f>IFERROR(N76/N327, "NA")</f>
      </c>
    </row>
    <row r="77" ht="16.5" customHeight="1">
      <c t="s" r="A77" s="11">
        <v>80</v>
      </c>
      <c r="B77" s="8"/>
      <c r="C77" s="9"/>
      <c r="D77" s="10"/>
      <c r="E77" s="8"/>
      <c r="F77" s="9"/>
      <c r="G77" s="10"/>
      <c r="H77" s="8"/>
      <c r="I77" s="9"/>
      <c r="J77" s="10"/>
      <c r="K77" s="8"/>
      <c r="L77" s="9"/>
      <c r="M77" s="10"/>
      <c r="N77" s="8"/>
      <c r="O77" s="9"/>
    </row>
    <row r="78" ht="16.5" customHeight="1">
      <c t="s" r="A78" s="12">
        <v>81</v>
      </c>
      <c r="B78" s="13">
        <v>0</v>
      </c>
      <c r="C78" s="14">
        <f>IFERROR(B78/B327, "NA")</f>
      </c>
      <c r="D78" s="15"/>
      <c r="E78" s="13">
        <v>0</v>
      </c>
      <c r="F78" s="14">
        <f>IFERROR(E78/E327, "NA")</f>
      </c>
      <c r="G78" s="15"/>
      <c r="H78" s="13">
        <v>0</v>
      </c>
      <c r="I78" s="14">
        <f>IFERROR(H78/H327, "NA")</f>
      </c>
      <c r="J78" s="15"/>
      <c r="K78" s="13">
        <v>0</v>
      </c>
      <c r="L78" s="14">
        <f>IFERROR(K78/K327, "NA")</f>
      </c>
      <c r="M78" s="15"/>
      <c r="N78" s="13">
        <v>0</v>
      </c>
      <c r="O78" s="14">
        <f>IFERROR(N78/N327, "NA")</f>
      </c>
    </row>
    <row r="79" ht="16.5" customHeight="1">
      <c t="s" r="A79" s="12">
        <v>82</v>
      </c>
      <c r="B79" s="13">
        <v>0</v>
      </c>
      <c r="C79" s="14">
        <f>IFERROR(B79/B327, "NA")</f>
      </c>
      <c r="D79" s="15"/>
      <c r="E79" s="13">
        <v>0</v>
      </c>
      <c r="F79" s="14">
        <f>IFERROR(E79/E327, "NA")</f>
      </c>
      <c r="G79" s="15"/>
      <c r="H79" s="13">
        <v>0</v>
      </c>
      <c r="I79" s="14">
        <f>IFERROR(H79/H327, "NA")</f>
      </c>
      <c r="J79" s="15"/>
      <c r="K79" s="13">
        <v>0</v>
      </c>
      <c r="L79" s="14">
        <f>IFERROR(K79/K327, "NA")</f>
      </c>
      <c r="M79" s="15"/>
      <c r="N79" s="13">
        <v>0</v>
      </c>
      <c r="O79" s="14">
        <f>IFERROR(N79/N327, "NA")</f>
      </c>
    </row>
    <row r="80" ht="16.5" customHeight="1">
      <c t="s" r="A80" s="16">
        <v>83</v>
      </c>
      <c r="B80" s="17">
        <f>IFERROR(B78+B79, "NA")</f>
      </c>
      <c r="C80" s="18">
        <f>IFERROR(B80/B327, "NA")</f>
      </c>
      <c r="D80" s="8"/>
      <c r="E80" s="17">
        <f>IFERROR(E78+E79, "NA")</f>
      </c>
      <c r="F80" s="18">
        <f>IFERROR(E80/E327, "NA")</f>
      </c>
      <c r="G80" s="8"/>
      <c r="H80" s="17">
        <f>IFERROR(H78+H79, "NA")</f>
      </c>
      <c r="I80" s="18">
        <f>IFERROR(H80/H327, "NA")</f>
      </c>
      <c r="J80" s="8"/>
      <c r="K80" s="17">
        <f>IFERROR(K78+K79, "NA")</f>
      </c>
      <c r="L80" s="18">
        <f>IFERROR(K80/K327, "NA")</f>
      </c>
      <c r="M80" s="8"/>
      <c r="N80" s="17">
        <f>IFERROR(N78+N79, "NA")</f>
      </c>
      <c r="O80" s="18">
        <f>IFERROR(N80/N327, "NA")</f>
      </c>
    </row>
    <row r="81" ht="16.5" customHeight="1">
      <c t="s" r="A81" s="11">
        <v>84</v>
      </c>
      <c r="B81" s="8"/>
      <c r="C81" s="9"/>
      <c r="D81" s="10"/>
      <c r="E81" s="8"/>
      <c r="F81" s="9"/>
      <c r="G81" s="10"/>
      <c r="H81" s="8"/>
      <c r="I81" s="9"/>
      <c r="J81" s="10"/>
      <c r="K81" s="8"/>
      <c r="L81" s="9"/>
      <c r="M81" s="10"/>
      <c r="N81" s="8"/>
      <c r="O81" s="9"/>
    </row>
    <row r="82" ht="16.5" customHeight="1">
      <c t="s" r="A82" s="12">
        <v>85</v>
      </c>
      <c r="B82" s="13">
        <v>0</v>
      </c>
      <c r="C82" s="14">
        <f>IFERROR(B82/B327, "NA")</f>
      </c>
      <c r="D82" s="15"/>
      <c r="E82" s="13">
        <v>0</v>
      </c>
      <c r="F82" s="14">
        <f>IFERROR(E82/E327, "NA")</f>
      </c>
      <c r="G82" s="15"/>
      <c r="H82" s="13">
        <v>0</v>
      </c>
      <c r="I82" s="14">
        <f>IFERROR(H82/H327, "NA")</f>
      </c>
      <c r="J82" s="15"/>
      <c r="K82" s="13">
        <v>0</v>
      </c>
      <c r="L82" s="14">
        <f>IFERROR(K82/K327, "NA")</f>
      </c>
      <c r="M82" s="15"/>
      <c r="N82" s="13">
        <v>0</v>
      </c>
      <c r="O82" s="14">
        <f>IFERROR(N82/N327, "NA")</f>
      </c>
    </row>
    <row r="83" ht="16.5" customHeight="1">
      <c t="s" r="A83" s="21">
        <v>86</v>
      </c>
      <c r="B83" s="8"/>
      <c r="C83" s="9"/>
      <c r="D83" s="10"/>
      <c r="E83" s="8"/>
      <c r="F83" s="9"/>
      <c r="G83" s="10"/>
      <c r="H83" s="8"/>
      <c r="I83" s="9"/>
      <c r="J83" s="10"/>
      <c r="K83" s="8"/>
      <c r="L83" s="9"/>
      <c r="M83" s="10"/>
      <c r="N83" s="8"/>
      <c r="O83" s="9"/>
    </row>
    <row r="84" ht="16.5" customHeight="1">
      <c t="s" r="A84" s="22">
        <v>87</v>
      </c>
      <c r="B84" s="13">
        <v>0</v>
      </c>
      <c r="C84" s="14">
        <f>IFERROR(B84/B327, "NA")</f>
      </c>
      <c r="D84" s="15"/>
      <c r="E84" s="13">
        <v>0</v>
      </c>
      <c r="F84" s="14">
        <f>IFERROR(E84/E327, "NA")</f>
      </c>
      <c r="G84" s="15"/>
      <c r="H84" s="13">
        <v>0</v>
      </c>
      <c r="I84" s="14">
        <f>IFERROR(H84/H327, "NA")</f>
      </c>
      <c r="J84" s="15"/>
      <c r="K84" s="13">
        <v>0</v>
      </c>
      <c r="L84" s="14">
        <f>IFERROR(K84/K327, "NA")</f>
      </c>
      <c r="M84" s="15"/>
      <c r="N84" s="13">
        <v>0</v>
      </c>
      <c r="O84" s="14">
        <f>IFERROR(N84/N327, "NA")</f>
      </c>
    </row>
    <row r="85" ht="16.5" customHeight="1">
      <c t="s" r="A85" s="22">
        <v>88</v>
      </c>
      <c r="B85" s="13">
        <v>2154.5999999999999</v>
      </c>
      <c r="C85" s="14">
        <f>IFERROR(B85/B327, "NA")</f>
      </c>
      <c r="D85" s="15"/>
      <c r="E85" s="13">
        <v>13720.389999999999</v>
      </c>
      <c r="F85" s="14">
        <f>IFERROR(E85/E327, "NA")</f>
      </c>
      <c r="G85" s="15"/>
      <c r="H85" s="13">
        <v>9937.8799999999992</v>
      </c>
      <c r="I85" s="14">
        <f>IFERROR(H85/H327, "NA")</f>
      </c>
      <c r="J85" s="15"/>
      <c r="K85" s="13">
        <v>14445.309999999999</v>
      </c>
      <c r="L85" s="14">
        <f>IFERROR(K85/K327, "NA")</f>
      </c>
      <c r="M85" s="15"/>
      <c r="N85" s="13">
        <v>15948.57</v>
      </c>
      <c r="O85" s="14">
        <f>IFERROR(N85/N327, "NA")</f>
      </c>
    </row>
    <row r="86" ht="16.5" customHeight="1">
      <c t="s" r="A86" s="22">
        <v>89</v>
      </c>
      <c r="B86" s="13">
        <v>2517.5500000000002</v>
      </c>
      <c r="C86" s="14">
        <f>IFERROR(B86/B327, "NA")</f>
      </c>
      <c r="D86" s="15"/>
      <c r="E86" s="13">
        <v>8064.9799999999996</v>
      </c>
      <c r="F86" s="14">
        <f>IFERROR(E86/E327, "NA")</f>
      </c>
      <c r="G86" s="15"/>
      <c r="H86" s="13">
        <v>8118.1000000000004</v>
      </c>
      <c r="I86" s="14">
        <f>IFERROR(H86/H327, "NA")</f>
      </c>
      <c r="J86" s="15"/>
      <c r="K86" s="13">
        <v>7582.1700000000001</v>
      </c>
      <c r="L86" s="14">
        <f>IFERROR(K86/K327, "NA")</f>
      </c>
      <c r="M86" s="15"/>
      <c r="N86" s="13">
        <v>7448.0600000000004</v>
      </c>
      <c r="O86" s="14">
        <f>IFERROR(N86/N327, "NA")</f>
      </c>
    </row>
    <row r="87" ht="16.5" customHeight="1">
      <c t="s" r="A87" s="22">
        <v>90</v>
      </c>
      <c r="B87" s="13">
        <v>5551.6199999999999</v>
      </c>
      <c r="C87" s="14">
        <f>IFERROR(B87/B327, "NA")</f>
      </c>
      <c r="D87" s="15"/>
      <c r="E87" s="13">
        <v>1957.79</v>
      </c>
      <c r="F87" s="14">
        <f>IFERROR(E87/E327, "NA")</f>
      </c>
      <c r="G87" s="15"/>
      <c r="H87" s="13">
        <v>6774.25</v>
      </c>
      <c r="I87" s="14">
        <f>IFERROR(H87/H327, "NA")</f>
      </c>
      <c r="J87" s="15"/>
      <c r="K87" s="13">
        <v>1332.26</v>
      </c>
      <c r="L87" s="14">
        <f>IFERROR(K87/K327, "NA")</f>
      </c>
      <c r="M87" s="15"/>
      <c r="N87" s="13">
        <v>1300.1400000000001</v>
      </c>
      <c r="O87" s="14">
        <f>IFERROR(N87/N327, "NA")</f>
      </c>
    </row>
    <row r="88" ht="16.5" customHeight="1">
      <c t="s" r="A88" s="22">
        <v>91</v>
      </c>
      <c r="B88" s="13">
        <v>2928.71</v>
      </c>
      <c r="C88" s="14">
        <f>IFERROR(B88/B327, "NA")</f>
      </c>
      <c r="D88" s="15"/>
      <c r="E88" s="13">
        <v>6815.3599999999997</v>
      </c>
      <c r="F88" s="14">
        <f>IFERROR(E88/E327, "NA")</f>
      </c>
      <c r="G88" s="15"/>
      <c r="H88" s="13">
        <v>7241.7700000000004</v>
      </c>
      <c r="I88" s="14">
        <f>IFERROR(H88/H327, "NA")</f>
      </c>
      <c r="J88" s="15"/>
      <c r="K88" s="13">
        <v>7094.9300000000003</v>
      </c>
      <c r="L88" s="14">
        <f>IFERROR(K88/K327, "NA")</f>
      </c>
      <c r="M88" s="15"/>
      <c r="N88" s="13">
        <v>6522.3500000000004</v>
      </c>
      <c r="O88" s="14">
        <f>IFERROR(N88/N327, "NA")</f>
      </c>
    </row>
    <row r="89" ht="16.5" customHeight="1">
      <c t="s" r="A89" s="22">
        <v>92</v>
      </c>
      <c r="B89" s="13">
        <v>4611.7399999999998</v>
      </c>
      <c r="C89" s="14">
        <f>IFERROR(B89/B327, "NA")</f>
      </c>
      <c r="D89" s="15"/>
      <c r="E89" s="13">
        <v>12681.75</v>
      </c>
      <c r="F89" s="14">
        <f>IFERROR(E89/E327, "NA")</f>
      </c>
      <c r="G89" s="15"/>
      <c r="H89" s="13">
        <v>13074.66</v>
      </c>
      <c r="I89" s="14">
        <f>IFERROR(H89/H327, "NA")</f>
      </c>
      <c r="J89" s="15"/>
      <c r="K89" s="13">
        <v>12547.629999999999</v>
      </c>
      <c r="L89" s="14">
        <f>IFERROR(K89/K327, "NA")</f>
      </c>
      <c r="M89" s="15"/>
      <c r="N89" s="13">
        <v>11324.99</v>
      </c>
      <c r="O89" s="14">
        <f>IFERROR(N89/N327, "NA")</f>
      </c>
    </row>
    <row r="90" ht="16.5" customHeight="1">
      <c t="s" r="A90" s="22">
        <v>93</v>
      </c>
      <c r="B90" s="13">
        <v>154.69</v>
      </c>
      <c r="C90" s="14">
        <f>IFERROR(B90/B327, "NA")</f>
      </c>
      <c r="D90" s="15"/>
      <c r="E90" s="13">
        <v>864.13999999999999</v>
      </c>
      <c r="F90" s="14">
        <f>IFERROR(E90/E327, "NA")</f>
      </c>
      <c r="G90" s="15"/>
      <c r="H90" s="13">
        <v>1187.6700000000001</v>
      </c>
      <c r="I90" s="14">
        <f>IFERROR(H90/H327, "NA")</f>
      </c>
      <c r="J90" s="15"/>
      <c r="K90" s="13">
        <v>874.5</v>
      </c>
      <c r="L90" s="14">
        <f>IFERROR(K90/K327, "NA")</f>
      </c>
      <c r="M90" s="15"/>
      <c r="N90" s="13">
        <v>776.39999999999998</v>
      </c>
      <c r="O90" s="14">
        <f>IFERROR(N90/N327, "NA")</f>
      </c>
    </row>
    <row r="91" ht="16.5" customHeight="1">
      <c t="s" r="A91" s="22">
        <v>94</v>
      </c>
      <c r="B91" s="13">
        <v>0</v>
      </c>
      <c r="C91" s="14">
        <f>IFERROR(B91/B327, "NA")</f>
      </c>
      <c r="D91" s="15"/>
      <c r="E91" s="13">
        <v>0</v>
      </c>
      <c r="F91" s="14">
        <f>IFERROR(E91/E327, "NA")</f>
      </c>
      <c r="G91" s="15"/>
      <c r="H91" s="13">
        <v>0</v>
      </c>
      <c r="I91" s="14">
        <f>IFERROR(H91/H327, "NA")</f>
      </c>
      <c r="J91" s="15"/>
      <c r="K91" s="13">
        <v>0</v>
      </c>
      <c r="L91" s="14">
        <f>IFERROR(K91/K327, "NA")</f>
      </c>
      <c r="M91" s="15"/>
      <c r="N91" s="13">
        <v>0</v>
      </c>
      <c r="O91" s="14">
        <f>IFERROR(N91/N327, "NA")</f>
      </c>
    </row>
    <row r="92" ht="16.5" customHeight="1">
      <c t="s" r="A92" s="22">
        <v>95</v>
      </c>
      <c r="B92" s="13">
        <v>4106.5699999999997</v>
      </c>
      <c r="C92" s="14">
        <f>IFERROR(B92/B327, "NA")</f>
      </c>
      <c r="D92" s="15"/>
      <c r="E92" s="13">
        <v>7771.6499999999996</v>
      </c>
      <c r="F92" s="14">
        <f>IFERROR(E92/E327, "NA")</f>
      </c>
      <c r="G92" s="15"/>
      <c r="H92" s="13">
        <v>8247.5300000000007</v>
      </c>
      <c r="I92" s="14">
        <f>IFERROR(H92/H327, "NA")</f>
      </c>
      <c r="J92" s="15"/>
      <c r="K92" s="13">
        <v>8260.0499999999993</v>
      </c>
      <c r="L92" s="14">
        <f>IFERROR(K92/K327, "NA")</f>
      </c>
      <c r="M92" s="15"/>
      <c r="N92" s="13">
        <v>8320.8899999999994</v>
      </c>
      <c r="O92" s="14">
        <f>IFERROR(N92/N327, "NA")</f>
      </c>
    </row>
    <row r="93" ht="16.5" customHeight="1">
      <c t="s" r="A93" s="22">
        <v>96</v>
      </c>
      <c r="B93" s="13">
        <v>597.76999999999998</v>
      </c>
      <c r="C93" s="14">
        <f>IFERROR(B93/B327, "NA")</f>
      </c>
      <c r="D93" s="15"/>
      <c r="E93" s="13">
        <v>4107.6099999999997</v>
      </c>
      <c r="F93" s="14">
        <f>IFERROR(E93/E327, "NA")</f>
      </c>
      <c r="G93" s="15"/>
      <c r="H93" s="13">
        <v>3588.02</v>
      </c>
      <c r="I93" s="14">
        <f>IFERROR(H93/H327, "NA")</f>
      </c>
      <c r="J93" s="15"/>
      <c r="K93" s="13">
        <v>3385.5500000000002</v>
      </c>
      <c r="L93" s="14">
        <f>IFERROR(K93/K327, "NA")</f>
      </c>
      <c r="M93" s="15"/>
      <c r="N93" s="13">
        <v>3553.6300000000001</v>
      </c>
      <c r="O93" s="14">
        <f>IFERROR(N93/N327, "NA")</f>
      </c>
    </row>
    <row r="94" ht="16.5" customHeight="1">
      <c t="s" r="A94" s="22">
        <v>97</v>
      </c>
      <c r="B94" s="13">
        <v>0</v>
      </c>
      <c r="C94" s="14">
        <f>IFERROR(B94/B327, "NA")</f>
      </c>
      <c r="D94" s="15"/>
      <c r="E94" s="13">
        <v>0</v>
      </c>
      <c r="F94" s="14">
        <f>IFERROR(E94/E327, "NA")</f>
      </c>
      <c r="G94" s="15"/>
      <c r="H94" s="13">
        <v>0</v>
      </c>
      <c r="I94" s="14">
        <f>IFERROR(H94/H327, "NA")</f>
      </c>
      <c r="J94" s="15"/>
      <c r="K94" s="13">
        <v>0</v>
      </c>
      <c r="L94" s="14">
        <f>IFERROR(K94/K327, "NA")</f>
      </c>
      <c r="M94" s="15"/>
      <c r="N94" s="13">
        <v>0</v>
      </c>
      <c r="O94" s="14">
        <f>IFERROR(N94/N327, "NA")</f>
      </c>
    </row>
    <row r="95" ht="16.5" customHeight="1">
      <c t="s" r="A95" s="22">
        <v>98</v>
      </c>
      <c r="B95" s="13">
        <v>0</v>
      </c>
      <c r="C95" s="14">
        <f>IFERROR(B95/B327, "NA")</f>
      </c>
      <c r="D95" s="15"/>
      <c r="E95" s="13">
        <v>0</v>
      </c>
      <c r="F95" s="14">
        <f>IFERROR(E95/E327, "NA")</f>
      </c>
      <c r="G95" s="15"/>
      <c r="H95" s="13">
        <v>0</v>
      </c>
      <c r="I95" s="14">
        <f>IFERROR(H95/H327, "NA")</f>
      </c>
      <c r="J95" s="15"/>
      <c r="K95" s="13">
        <v>0</v>
      </c>
      <c r="L95" s="14">
        <f>IFERROR(K95/K327, "NA")</f>
      </c>
      <c r="M95" s="15"/>
      <c r="N95" s="13">
        <v>0</v>
      </c>
      <c r="O95" s="14">
        <f>IFERROR(N95/N327, "NA")</f>
      </c>
    </row>
    <row r="96" ht="16.5" customHeight="1">
      <c t="s" r="A96" s="22">
        <v>99</v>
      </c>
      <c r="B96" s="13">
        <v>0</v>
      </c>
      <c r="C96" s="14">
        <f>IFERROR(B96/B327, "NA")</f>
      </c>
      <c r="D96" s="15"/>
      <c r="E96" s="13">
        <v>0</v>
      </c>
      <c r="F96" s="14">
        <f>IFERROR(E96/E327, "NA")</f>
      </c>
      <c r="G96" s="15"/>
      <c r="H96" s="13">
        <v>0</v>
      </c>
      <c r="I96" s="14">
        <f>IFERROR(H96/H327, "NA")</f>
      </c>
      <c r="J96" s="15"/>
      <c r="K96" s="13">
        <v>0</v>
      </c>
      <c r="L96" s="14">
        <f>IFERROR(K96/K327, "NA")</f>
      </c>
      <c r="M96" s="15"/>
      <c r="N96" s="13">
        <v>0</v>
      </c>
      <c r="O96" s="14">
        <f>IFERROR(N96/N327, "NA")</f>
      </c>
    </row>
    <row r="97" ht="16.5" customHeight="1">
      <c t="s" r="A97" s="22">
        <v>100</v>
      </c>
      <c r="B97" s="13">
        <v>1916.4400000000001</v>
      </c>
      <c r="C97" s="14">
        <f>IFERROR(B97/B327, "NA")</f>
      </c>
      <c r="D97" s="15"/>
      <c r="E97" s="13">
        <v>4149.7299999999996</v>
      </c>
      <c r="F97" s="14">
        <f>IFERROR(E97/E327, "NA")</f>
      </c>
      <c r="G97" s="15"/>
      <c r="H97" s="13">
        <v>3988.7800000000002</v>
      </c>
      <c r="I97" s="14">
        <f>IFERROR(H97/H327, "NA")</f>
      </c>
      <c r="J97" s="15"/>
      <c r="K97" s="13">
        <v>4783.4399999999996</v>
      </c>
      <c r="L97" s="14">
        <f>IFERROR(K97/K327, "NA")</f>
      </c>
      <c r="M97" s="15"/>
      <c r="N97" s="13">
        <v>4622.1000000000004</v>
      </c>
      <c r="O97" s="14">
        <f>IFERROR(N97/N327, "NA")</f>
      </c>
    </row>
    <row r="98" ht="16.5" customHeight="1">
      <c t="s" r="A98" s="22">
        <v>101</v>
      </c>
      <c r="B98" s="13">
        <v>3365</v>
      </c>
      <c r="C98" s="14">
        <f>IFERROR(B98/B327, "NA")</f>
      </c>
      <c r="D98" s="15"/>
      <c r="E98" s="13">
        <v>3335</v>
      </c>
      <c r="F98" s="14">
        <f>IFERROR(E98/E327, "NA")</f>
      </c>
      <c r="G98" s="15"/>
      <c r="H98" s="13">
        <v>3292</v>
      </c>
      <c r="I98" s="14">
        <f>IFERROR(H98/H327, "NA")</f>
      </c>
      <c r="J98" s="15"/>
      <c r="K98" s="13">
        <v>4676</v>
      </c>
      <c r="L98" s="14">
        <f>IFERROR(K98/K327, "NA")</f>
      </c>
      <c r="M98" s="15"/>
      <c r="N98" s="13">
        <v>3619</v>
      </c>
      <c r="O98" s="14">
        <f>IFERROR(N98/N327, "NA")</f>
      </c>
    </row>
    <row r="99" ht="16.5" customHeight="1">
      <c t="s" r="A99" s="22">
        <v>102</v>
      </c>
      <c r="B99" s="13">
        <v>0</v>
      </c>
      <c r="C99" s="14">
        <f>IFERROR(B99/B327, "NA")</f>
      </c>
      <c r="D99" s="15"/>
      <c r="E99" s="13">
        <v>0</v>
      </c>
      <c r="F99" s="14">
        <f>IFERROR(E99/E327, "NA")</f>
      </c>
      <c r="G99" s="15"/>
      <c r="H99" s="13">
        <v>0</v>
      </c>
      <c r="I99" s="14">
        <f>IFERROR(H99/H327, "NA")</f>
      </c>
      <c r="J99" s="15"/>
      <c r="K99" s="13">
        <v>0</v>
      </c>
      <c r="L99" s="14">
        <f>IFERROR(K99/K327, "NA")</f>
      </c>
      <c r="M99" s="15"/>
      <c r="N99" s="13">
        <v>0</v>
      </c>
      <c r="O99" s="14">
        <f>IFERROR(N99/N327, "NA")</f>
      </c>
    </row>
    <row r="100" ht="16.5" customHeight="1">
      <c t="s" r="A100" s="22">
        <v>103</v>
      </c>
      <c r="B100" s="13">
        <v>0</v>
      </c>
      <c r="C100" s="14">
        <f>IFERROR(B100/B327, "NA")</f>
      </c>
      <c r="D100" s="15"/>
      <c r="E100" s="13">
        <v>0</v>
      </c>
      <c r="F100" s="14">
        <f>IFERROR(E100/E327, "NA")</f>
      </c>
      <c r="G100" s="15"/>
      <c r="H100" s="13">
        <v>0</v>
      </c>
      <c r="I100" s="14">
        <f>IFERROR(H100/H327, "NA")</f>
      </c>
      <c r="J100" s="15"/>
      <c r="K100" s="13">
        <v>0</v>
      </c>
      <c r="L100" s="14">
        <f>IFERROR(K100/K327, "NA")</f>
      </c>
      <c r="M100" s="15"/>
      <c r="N100" s="13">
        <v>0</v>
      </c>
      <c r="O100" s="14">
        <f>IFERROR(N100/N327, "NA")</f>
      </c>
    </row>
    <row r="101" ht="16.5" customHeight="1">
      <c t="s" r="A101" s="22">
        <v>104</v>
      </c>
      <c r="B101" s="13">
        <v>0</v>
      </c>
      <c r="C101" s="14">
        <f>IFERROR(B101/B327, "NA")</f>
      </c>
      <c r="D101" s="15"/>
      <c r="E101" s="13">
        <v>0</v>
      </c>
      <c r="F101" s="14">
        <f>IFERROR(E101/E327, "NA")</f>
      </c>
      <c r="G101" s="15"/>
      <c r="H101" s="13">
        <v>0</v>
      </c>
      <c r="I101" s="14">
        <f>IFERROR(H101/H327, "NA")</f>
      </c>
      <c r="J101" s="15"/>
      <c r="K101" s="13">
        <v>0</v>
      </c>
      <c r="L101" s="14">
        <f>IFERROR(K101/K327, "NA")</f>
      </c>
      <c r="M101" s="15"/>
      <c r="N101" s="13">
        <v>0</v>
      </c>
      <c r="O101" s="14">
        <f>IFERROR(N101/N327, "NA")</f>
      </c>
    </row>
    <row r="102" ht="16.5" customHeight="1">
      <c t="s" r="A102" s="22">
        <v>105</v>
      </c>
      <c r="B102" s="13">
        <v>0</v>
      </c>
      <c r="C102" s="14">
        <f>IFERROR(B102/B327, "NA")</f>
      </c>
      <c r="D102" s="15"/>
      <c r="E102" s="13">
        <v>0</v>
      </c>
      <c r="F102" s="14">
        <f>IFERROR(E102/E327, "NA")</f>
      </c>
      <c r="G102" s="15"/>
      <c r="H102" s="13">
        <v>0</v>
      </c>
      <c r="I102" s="14">
        <f>IFERROR(H102/H327, "NA")</f>
      </c>
      <c r="J102" s="15"/>
      <c r="K102" s="13">
        <v>0</v>
      </c>
      <c r="L102" s="14">
        <f>IFERROR(K102/K327, "NA")</f>
      </c>
      <c r="M102" s="15"/>
      <c r="N102" s="13">
        <v>0</v>
      </c>
      <c r="O102" s="14">
        <f>IFERROR(N102/N327, "NA")</f>
      </c>
    </row>
    <row r="103" ht="16.5" customHeight="1">
      <c t="s" r="A103" s="22">
        <v>106</v>
      </c>
      <c r="B103" s="13">
        <v>0</v>
      </c>
      <c r="C103" s="14">
        <f>IFERROR(B103/B327, "NA")</f>
      </c>
      <c r="D103" s="15"/>
      <c r="E103" s="13">
        <v>0</v>
      </c>
      <c r="F103" s="14">
        <f>IFERROR(E103/E327, "NA")</f>
      </c>
      <c r="G103" s="15"/>
      <c r="H103" s="13">
        <v>0</v>
      </c>
      <c r="I103" s="14">
        <f>IFERROR(H103/H327, "NA")</f>
      </c>
      <c r="J103" s="15"/>
      <c r="K103" s="13">
        <v>0</v>
      </c>
      <c r="L103" s="14">
        <f>IFERROR(K103/K327, "NA")</f>
      </c>
      <c r="M103" s="15"/>
      <c r="N103" s="13">
        <v>0</v>
      </c>
      <c r="O103" s="14">
        <f>IFERROR(N103/N327, "NA")</f>
      </c>
    </row>
    <row r="104" ht="16.5" customHeight="1">
      <c t="s" r="A104" s="22">
        <v>107</v>
      </c>
      <c r="B104" s="13">
        <v>0</v>
      </c>
      <c r="C104" s="14">
        <f>IFERROR(B104/B327, "NA")</f>
      </c>
      <c r="D104" s="15"/>
      <c r="E104" s="13">
        <v>0</v>
      </c>
      <c r="F104" s="14">
        <f>IFERROR(E104/E327, "NA")</f>
      </c>
      <c r="G104" s="15"/>
      <c r="H104" s="13">
        <v>0</v>
      </c>
      <c r="I104" s="14">
        <f>IFERROR(H104/H327, "NA")</f>
      </c>
      <c r="J104" s="15"/>
      <c r="K104" s="13">
        <v>0</v>
      </c>
      <c r="L104" s="14">
        <f>IFERROR(K104/K327, "NA")</f>
      </c>
      <c r="M104" s="15"/>
      <c r="N104" s="13">
        <v>0</v>
      </c>
      <c r="O104" s="14">
        <f>IFERROR(N104/N327, "NA")</f>
      </c>
    </row>
    <row r="105" ht="16.5" customHeight="1">
      <c t="s" r="A105" s="22">
        <v>108</v>
      </c>
      <c r="B105" s="13">
        <v>0</v>
      </c>
      <c r="C105" s="14">
        <f>IFERROR(B105/B327, "NA")</f>
      </c>
      <c r="D105" s="15"/>
      <c r="E105" s="13">
        <v>0</v>
      </c>
      <c r="F105" s="14">
        <f>IFERROR(E105/E327, "NA")</f>
      </c>
      <c r="G105" s="15"/>
      <c r="H105" s="13">
        <v>0</v>
      </c>
      <c r="I105" s="14">
        <f>IFERROR(H105/H327, "NA")</f>
      </c>
      <c r="J105" s="15"/>
      <c r="K105" s="13">
        <v>0</v>
      </c>
      <c r="L105" s="14">
        <f>IFERROR(K105/K327, "NA")</f>
      </c>
      <c r="M105" s="15"/>
      <c r="N105" s="13">
        <v>0</v>
      </c>
      <c r="O105" s="14">
        <f>IFERROR(N105/N327, "NA")</f>
      </c>
    </row>
    <row r="106" ht="16.5" customHeight="1">
      <c t="s" r="A106" s="22">
        <v>109</v>
      </c>
      <c r="B106" s="13">
        <v>0</v>
      </c>
      <c r="C106" s="14">
        <f>IFERROR(B106/B327, "NA")</f>
      </c>
      <c r="D106" s="15"/>
      <c r="E106" s="13">
        <v>0</v>
      </c>
      <c r="F106" s="14">
        <f>IFERROR(E106/E327, "NA")</f>
      </c>
      <c r="G106" s="15"/>
      <c r="H106" s="13">
        <v>0</v>
      </c>
      <c r="I106" s="14">
        <f>IFERROR(H106/H327, "NA")</f>
      </c>
      <c r="J106" s="15"/>
      <c r="K106" s="13">
        <v>0</v>
      </c>
      <c r="L106" s="14">
        <f>IFERROR(K106/K327, "NA")</f>
      </c>
      <c r="M106" s="15"/>
      <c r="N106" s="13">
        <v>0</v>
      </c>
      <c r="O106" s="14">
        <f>IFERROR(N106/N327, "NA")</f>
      </c>
    </row>
    <row r="107" ht="16.5" customHeight="1">
      <c t="s" r="A107" s="22">
        <v>110</v>
      </c>
      <c r="B107" s="13">
        <v>0</v>
      </c>
      <c r="C107" s="14">
        <f>IFERROR(B107/B327, "NA")</f>
      </c>
      <c r="D107" s="15"/>
      <c r="E107" s="13">
        <v>0</v>
      </c>
      <c r="F107" s="14">
        <f>IFERROR(E107/E327, "NA")</f>
      </c>
      <c r="G107" s="15"/>
      <c r="H107" s="13">
        <v>0</v>
      </c>
      <c r="I107" s="14">
        <f>IFERROR(H107/H327, "NA")</f>
      </c>
      <c r="J107" s="15"/>
      <c r="K107" s="13">
        <v>0</v>
      </c>
      <c r="L107" s="14">
        <f>IFERROR(K107/K327, "NA")</f>
      </c>
      <c r="M107" s="15"/>
      <c r="N107" s="13">
        <v>0</v>
      </c>
      <c r="O107" s="14">
        <f>IFERROR(N107/N327, "NA")</f>
      </c>
    </row>
    <row r="108" ht="16.5" customHeight="1">
      <c t="s" r="A108" s="22">
        <v>111</v>
      </c>
      <c r="B108" s="13">
        <v>0</v>
      </c>
      <c r="C108" s="14">
        <f>IFERROR(B108/B327, "NA")</f>
      </c>
      <c r="D108" s="15"/>
      <c r="E108" s="13">
        <v>0</v>
      </c>
      <c r="F108" s="14">
        <f>IFERROR(E108/E327, "NA")</f>
      </c>
      <c r="G108" s="15"/>
      <c r="H108" s="13">
        <v>0</v>
      </c>
      <c r="I108" s="14">
        <f>IFERROR(H108/H327, "NA")</f>
      </c>
      <c r="J108" s="15"/>
      <c r="K108" s="13">
        <v>0</v>
      </c>
      <c r="L108" s="14">
        <f>IFERROR(K108/K327, "NA")</f>
      </c>
      <c r="M108" s="15"/>
      <c r="N108" s="13">
        <v>0</v>
      </c>
      <c r="O108" s="14">
        <f>IFERROR(N108/N327, "NA")</f>
      </c>
    </row>
    <row r="109" ht="16.5" customHeight="1">
      <c t="s" r="A109" s="22">
        <v>112</v>
      </c>
      <c r="B109" s="13">
        <v>0</v>
      </c>
      <c r="C109" s="14">
        <f>IFERROR(B109/B327, "NA")</f>
      </c>
      <c r="D109" s="15"/>
      <c r="E109" s="13">
        <v>0</v>
      </c>
      <c r="F109" s="14">
        <f>IFERROR(E109/E327, "NA")</f>
      </c>
      <c r="G109" s="15"/>
      <c r="H109" s="13">
        <v>0</v>
      </c>
      <c r="I109" s="14">
        <f>IFERROR(H109/H327, "NA")</f>
      </c>
      <c r="J109" s="15"/>
      <c r="K109" s="13">
        <v>0</v>
      </c>
      <c r="L109" s="14">
        <f>IFERROR(K109/K327, "NA")</f>
      </c>
      <c r="M109" s="15"/>
      <c r="N109" s="13">
        <v>0</v>
      </c>
      <c r="O109" s="14">
        <f>IFERROR(N109/N327, "NA")</f>
      </c>
    </row>
    <row r="110" ht="16.5" customHeight="1">
      <c t="s" r="A110" s="22">
        <v>113</v>
      </c>
      <c r="B110" s="13">
        <v>506.75</v>
      </c>
      <c r="C110" s="14">
        <f>IFERROR(B110/B327, "NA")</f>
      </c>
      <c r="D110" s="15"/>
      <c r="E110" s="13">
        <v>2571.4899999999998</v>
      </c>
      <c r="F110" s="14">
        <f>IFERROR(E110/E327, "NA")</f>
      </c>
      <c r="G110" s="15"/>
      <c r="H110" s="13">
        <v>2532.1900000000001</v>
      </c>
      <c r="I110" s="14">
        <f>IFERROR(H110/H327, "NA")</f>
      </c>
      <c r="J110" s="15"/>
      <c r="K110" s="13">
        <v>2782.27</v>
      </c>
      <c r="L110" s="14">
        <f>IFERROR(K110/K327, "NA")</f>
      </c>
      <c r="M110" s="15"/>
      <c r="N110" s="13">
        <v>3637.79</v>
      </c>
      <c r="O110" s="14">
        <f>IFERROR(N110/N327, "NA")</f>
      </c>
    </row>
    <row r="111" ht="16.5" customHeight="1">
      <c t="s" r="A111" s="22">
        <v>114</v>
      </c>
      <c r="B111" s="13">
        <v>6725.4200000000001</v>
      </c>
      <c r="C111" s="14">
        <f>IFERROR(B111/B327, "NA")</f>
      </c>
      <c r="D111" s="15"/>
      <c r="E111" s="13">
        <v>0</v>
      </c>
      <c r="F111" s="14">
        <f>IFERROR(E111/E327, "NA")</f>
      </c>
      <c r="G111" s="15"/>
      <c r="H111" s="13">
        <v>5132.79</v>
      </c>
      <c r="I111" s="14">
        <f>IFERROR(H111/H327, "NA")</f>
      </c>
      <c r="J111" s="15"/>
      <c r="K111" s="13">
        <v>0</v>
      </c>
      <c r="L111" s="14">
        <f>IFERROR(K111/K327, "NA")</f>
      </c>
      <c r="M111" s="15"/>
      <c r="N111" s="13">
        <v>0</v>
      </c>
      <c r="O111" s="14">
        <f>IFERROR(N111/N327, "NA")</f>
      </c>
    </row>
    <row r="112" ht="16.5" customHeight="1">
      <c t="s" r="A112" s="22">
        <v>115</v>
      </c>
      <c r="B112" s="13">
        <v>669.22000000000003</v>
      </c>
      <c r="C112" s="14">
        <f>IFERROR(B112/B327, "NA")</f>
      </c>
      <c r="D112" s="15"/>
      <c r="E112" s="13">
        <v>1619.4100000000001</v>
      </c>
      <c r="F112" s="14">
        <f>IFERROR(E112/E327, "NA")</f>
      </c>
      <c r="G112" s="15"/>
      <c r="H112" s="13">
        <v>1609.5799999999999</v>
      </c>
      <c r="I112" s="14">
        <f>IFERROR(H112/H327, "NA")</f>
      </c>
      <c r="J112" s="15"/>
      <c r="K112" s="13">
        <v>1433.3599999999999</v>
      </c>
      <c r="L112" s="14">
        <f>IFERROR(K112/K327, "NA")</f>
      </c>
      <c r="M112" s="15"/>
      <c r="N112" s="13">
        <v>2415.1999999999998</v>
      </c>
      <c r="O112" s="14">
        <f>IFERROR(N112/N327, "NA")</f>
      </c>
    </row>
    <row r="113" ht="16.5" customHeight="1">
      <c t="s" r="A113" s="22">
        <v>116</v>
      </c>
      <c r="B113" s="13">
        <v>0</v>
      </c>
      <c r="C113" s="14">
        <f>IFERROR(B113/B327, "NA")</f>
      </c>
      <c r="D113" s="15"/>
      <c r="E113" s="13">
        <v>0</v>
      </c>
      <c r="F113" s="14">
        <f>IFERROR(E113/E327, "NA")</f>
      </c>
      <c r="G113" s="15"/>
      <c r="H113" s="13">
        <v>0</v>
      </c>
      <c r="I113" s="14">
        <f>IFERROR(H113/H327, "NA")</f>
      </c>
      <c r="J113" s="15"/>
      <c r="K113" s="13">
        <v>0</v>
      </c>
      <c r="L113" s="14">
        <f>IFERROR(K113/K327, "NA")</f>
      </c>
      <c r="M113" s="15"/>
      <c r="N113" s="13">
        <v>0</v>
      </c>
      <c r="O113" s="14">
        <f>IFERROR(N113/N327, "NA")</f>
      </c>
    </row>
    <row r="114" ht="16.5" customHeight="1">
      <c t="s" r="A114" s="22">
        <v>117</v>
      </c>
      <c r="B114" s="13">
        <v>55</v>
      </c>
      <c r="C114" s="14">
        <f>IFERROR(B114/B327, "NA")</f>
      </c>
      <c r="D114" s="15"/>
      <c r="E114" s="13">
        <v>38.5</v>
      </c>
      <c r="F114" s="14">
        <f>IFERROR(E114/E327, "NA")</f>
      </c>
      <c r="G114" s="15"/>
      <c r="H114" s="13">
        <v>489.22000000000003</v>
      </c>
      <c r="I114" s="14">
        <f>IFERROR(H114/H327, "NA")</f>
      </c>
      <c r="J114" s="15"/>
      <c r="K114" s="13">
        <v>1290.3599999999999</v>
      </c>
      <c r="L114" s="14">
        <f>IFERROR(K114/K327, "NA")</f>
      </c>
      <c r="M114" s="15"/>
      <c r="N114" s="13">
        <v>68.030000000000001</v>
      </c>
      <c r="O114" s="14">
        <f>IFERROR(N114/N327, "NA")</f>
      </c>
    </row>
    <row r="115" ht="16.5" customHeight="1">
      <c t="s" r="A115" s="22">
        <v>118</v>
      </c>
      <c r="B115" s="13">
        <v>0</v>
      </c>
      <c r="C115" s="14">
        <f>IFERROR(B115/B327, "NA")</f>
      </c>
      <c r="D115" s="15"/>
      <c r="E115" s="13">
        <v>0</v>
      </c>
      <c r="F115" s="14">
        <f>IFERROR(E115/E327, "NA")</f>
      </c>
      <c r="G115" s="15"/>
      <c r="H115" s="13">
        <v>0</v>
      </c>
      <c r="I115" s="14">
        <f>IFERROR(H115/H327, "NA")</f>
      </c>
      <c r="J115" s="15"/>
      <c r="K115" s="13">
        <v>0</v>
      </c>
      <c r="L115" s="14">
        <f>IFERROR(K115/K327, "NA")</f>
      </c>
      <c r="M115" s="15"/>
      <c r="N115" s="13">
        <v>0</v>
      </c>
      <c r="O115" s="14">
        <f>IFERROR(N115/N327, "NA")</f>
      </c>
    </row>
    <row r="116" ht="16.5" customHeight="1">
      <c t="s" r="A116" s="22">
        <v>119</v>
      </c>
      <c r="B116" s="13">
        <v>0</v>
      </c>
      <c r="C116" s="14">
        <f>IFERROR(B116/B327, "NA")</f>
      </c>
      <c r="D116" s="15"/>
      <c r="E116" s="13">
        <v>0</v>
      </c>
      <c r="F116" s="14">
        <f>IFERROR(E116/E327, "NA")</f>
      </c>
      <c r="G116" s="15"/>
      <c r="H116" s="13">
        <v>0</v>
      </c>
      <c r="I116" s="14">
        <f>IFERROR(H116/H327, "NA")</f>
      </c>
      <c r="J116" s="15"/>
      <c r="K116" s="13">
        <v>0</v>
      </c>
      <c r="L116" s="14">
        <f>IFERROR(K116/K327, "NA")</f>
      </c>
      <c r="M116" s="15"/>
      <c r="N116" s="13">
        <v>0</v>
      </c>
      <c r="O116" s="14">
        <f>IFERROR(N116/N327, "NA")</f>
      </c>
    </row>
    <row r="117" ht="16.5" customHeight="1">
      <c t="s" r="A117" s="22">
        <v>120</v>
      </c>
      <c r="B117" s="13">
        <v>0</v>
      </c>
      <c r="C117" s="14">
        <f>IFERROR(B117/B327, "NA")</f>
      </c>
      <c r="D117" s="15"/>
      <c r="E117" s="13">
        <v>0</v>
      </c>
      <c r="F117" s="14">
        <f>IFERROR(E117/E327, "NA")</f>
      </c>
      <c r="G117" s="15"/>
      <c r="H117" s="13">
        <v>0</v>
      </c>
      <c r="I117" s="14">
        <f>IFERROR(H117/H327, "NA")</f>
      </c>
      <c r="J117" s="15"/>
      <c r="K117" s="13">
        <v>0</v>
      </c>
      <c r="L117" s="14">
        <f>IFERROR(K117/K327, "NA")</f>
      </c>
      <c r="M117" s="15"/>
      <c r="N117" s="13">
        <v>0</v>
      </c>
      <c r="O117" s="14">
        <f>IFERROR(N117/N327, "NA")</f>
      </c>
    </row>
    <row r="118" ht="16.5" customHeight="1">
      <c t="s" r="A118" s="22">
        <v>121</v>
      </c>
      <c r="B118" s="13">
        <v>11044.690000000001</v>
      </c>
      <c r="C118" s="14">
        <f>IFERROR(B118/B327, "NA")</f>
      </c>
      <c r="D118" s="15"/>
      <c r="E118" s="13">
        <v>0</v>
      </c>
      <c r="F118" s="14">
        <f>IFERROR(E118/E327, "NA")</f>
      </c>
      <c r="G118" s="15"/>
      <c r="H118" s="13">
        <v>11890.85</v>
      </c>
      <c r="I118" s="14">
        <f>IFERROR(H118/H327, "NA")</f>
      </c>
      <c r="J118" s="15"/>
      <c r="K118" s="13">
        <v>0</v>
      </c>
      <c r="L118" s="14">
        <f>IFERROR(K118/K327, "NA")</f>
      </c>
      <c r="M118" s="15"/>
      <c r="N118" s="13">
        <v>0</v>
      </c>
      <c r="O118" s="14">
        <f>IFERROR(N118/N327, "NA")</f>
      </c>
    </row>
    <row r="119" ht="16.5" customHeight="1">
      <c t="s" r="A119" s="23">
        <v>122</v>
      </c>
      <c r="B119" s="17">
        <f>IFERROR(B84+B85+B86+B87+B88+B89+B90+B91+B92+B93+B94+B95+B96+B97+B98+B99+B100+B101+B102+B103+B104+B105+B106+B107+B108+B109+B110+B111+B112+B113+B114+B115+B116+B117+B118, "NA")</f>
      </c>
      <c r="C119" s="18">
        <f>IFERROR(B119/B327, "NA")</f>
      </c>
      <c r="D119" s="8"/>
      <c r="E119" s="17">
        <f>IFERROR(E84+E85+E86+E87+E88+E89+E90+E91+E92+E93+E94+E95+E96+E97+E98+E99+E100+E101+E102+E103+E104+E105+E106+E107+E108+E109+E110+E111+E112+E113+E114+E115+E116+E117+E118, "NA")</f>
      </c>
      <c r="F119" s="18">
        <f>IFERROR(E119/E327, "NA")</f>
      </c>
      <c r="G119" s="8"/>
      <c r="H119" s="17">
        <f>IFERROR(H84+H85+H86+H87+H88+H89+H90+H91+H92+H93+H94+H95+H96+H97+H98+H99+H100+H101+H102+H103+H104+H105+H106+H107+H108+H109+H110+H111+H112+H113+H114+H115+H116+H117+H118, "NA")</f>
      </c>
      <c r="I119" s="18">
        <f>IFERROR(H119/H327, "NA")</f>
      </c>
      <c r="J119" s="8"/>
      <c r="K119" s="17">
        <f>IFERROR(K84+K85+K86+K87+K88+K89+K90+K91+K92+K93+K94+K95+K96+K97+K98+K99+K100+K101+K102+K103+K104+K105+K106+K107+K108+K109+K110+K111+K112+K113+K114+K115+K116+K117+K118, "NA")</f>
      </c>
      <c r="L119" s="18">
        <f>IFERROR(K119/K327, "NA")</f>
      </c>
      <c r="M119" s="8"/>
      <c r="N119" s="17">
        <f>IFERROR(N84+N85+N86+N87+N88+N89+N90+N91+N92+N93+N94+N95+N96+N97+N98+N99+N100+N101+N102+N103+N104+N105+N106+N107+N108+N109+N110+N111+N112+N113+N114+N115+N116+N117+N118, "NA")</f>
      </c>
      <c r="O119" s="18">
        <f>IFERROR(N119/N327, "NA")</f>
      </c>
    </row>
    <row r="120" ht="16.5" customHeight="1">
      <c t="s" r="A120" s="16">
        <v>123</v>
      </c>
      <c r="B120" s="17">
        <f>IFERROR(B82+B84+B85+B86+B87+B88+B89+B90+B91+B92+B93+B94+B95+B96+B97+B98+B99+B100+B101+B102+B103+B104+B105+B106+B107+B108+B109+B110+B111+B112+B113+B114+B115+B116+B117+B118, "NA")</f>
      </c>
      <c r="C120" s="18">
        <f>IFERROR(B120/B327, "NA")</f>
      </c>
      <c r="D120" s="8"/>
      <c r="E120" s="17">
        <f>IFERROR(E82+E84+E85+E86+E87+E88+E89+E90+E91+E92+E93+E94+E95+E96+E97+E98+E99+E100+E101+E102+E103+E104+E105+E106+E107+E108+E109+E110+E111+E112+E113+E114+E115+E116+E117+E118, "NA")</f>
      </c>
      <c r="F120" s="18">
        <f>IFERROR(E120/E327, "NA")</f>
      </c>
      <c r="G120" s="8"/>
      <c r="H120" s="17">
        <f>IFERROR(H82+H84+H85+H86+H87+H88+H89+H90+H91+H92+H93+H94+H95+H96+H97+H98+H99+H100+H101+H102+H103+H104+H105+H106+H107+H108+H109+H110+H111+H112+H113+H114+H115+H116+H117+H118, "NA")</f>
      </c>
      <c r="I120" s="18">
        <f>IFERROR(H120/H327, "NA")</f>
      </c>
      <c r="J120" s="8"/>
      <c r="K120" s="17">
        <f>IFERROR(K82+K84+K85+K86+K87+K88+K89+K90+K91+K92+K93+K94+K95+K96+K97+K98+K99+K100+K101+K102+K103+K104+K105+K106+K107+K108+K109+K110+K111+K112+K113+K114+K115+K116+K117+K118, "NA")</f>
      </c>
      <c r="L120" s="18">
        <f>IFERROR(K120/K327, "NA")</f>
      </c>
      <c r="M120" s="8"/>
      <c r="N120" s="17">
        <f>IFERROR(N82+N84+N85+N86+N87+N88+N89+N90+N91+N92+N93+N94+N95+N96+N97+N98+N99+N100+N101+N102+N103+N104+N105+N106+N107+N108+N109+N110+N111+N112+N113+N114+N115+N116+N117+N118, "NA")</f>
      </c>
      <c r="O120" s="18">
        <f>IFERROR(N120/N327, "NA")</f>
      </c>
    </row>
    <row r="121" ht="16.5" customHeight="1">
      <c t="s" r="A121" s="11">
        <v>124</v>
      </c>
      <c r="B121" s="8"/>
      <c r="C121" s="9"/>
      <c r="D121" s="10"/>
      <c r="E121" s="8"/>
      <c r="F121" s="9"/>
      <c r="G121" s="10"/>
      <c r="H121" s="8"/>
      <c r="I121" s="9"/>
      <c r="J121" s="10"/>
      <c r="K121" s="8"/>
      <c r="L121" s="9"/>
      <c r="M121" s="10"/>
      <c r="N121" s="8"/>
      <c r="O121" s="9"/>
    </row>
    <row r="122" ht="16.5" customHeight="1">
      <c t="s" r="A122" s="12">
        <v>125</v>
      </c>
      <c r="B122" s="13">
        <v>0</v>
      </c>
      <c r="C122" s="14">
        <f>IFERROR(B122/B327, "NA")</f>
      </c>
      <c r="D122" s="15"/>
      <c r="E122" s="13">
        <v>0</v>
      </c>
      <c r="F122" s="14">
        <f>IFERROR(E122/E327, "NA")</f>
      </c>
      <c r="G122" s="15"/>
      <c r="H122" s="13">
        <v>0</v>
      </c>
      <c r="I122" s="14">
        <f>IFERROR(H122/H327, "NA")</f>
      </c>
      <c r="J122" s="15"/>
      <c r="K122" s="13">
        <v>0</v>
      </c>
      <c r="L122" s="14">
        <f>IFERROR(K122/K327, "NA")</f>
      </c>
      <c r="M122" s="15"/>
      <c r="N122" s="13">
        <v>0</v>
      </c>
      <c r="O122" s="14">
        <f>IFERROR(N122/N327, "NA")</f>
      </c>
    </row>
    <row r="123" ht="16.5" customHeight="1">
      <c t="s" r="A123" s="12">
        <v>126</v>
      </c>
      <c r="B123" s="13">
        <v>17307.709999999999</v>
      </c>
      <c r="C123" s="14">
        <f>IFERROR(B123/B327, "NA")</f>
      </c>
      <c r="D123" s="15"/>
      <c r="E123" s="13">
        <v>8653.8400000000001</v>
      </c>
      <c r="F123" s="14">
        <f>IFERROR(E123/E327, "NA")</f>
      </c>
      <c r="G123" s="15"/>
      <c r="H123" s="13">
        <v>8653.8799999999992</v>
      </c>
      <c r="I123" s="14">
        <f>IFERROR(H123/H327, "NA")</f>
      </c>
      <c r="J123" s="15"/>
      <c r="K123" s="13">
        <v>13730.77</v>
      </c>
      <c r="L123" s="14">
        <f>IFERROR(K123/K327, "NA")</f>
      </c>
      <c r="M123" s="15"/>
      <c r="N123" s="13">
        <v>-8653.8500000000004</v>
      </c>
      <c r="O123" s="14">
        <f>IFERROR(N123/N327, "NA")</f>
      </c>
    </row>
    <row r="124" ht="16.5" customHeight="1">
      <c t="s" r="A124" s="12">
        <v>127</v>
      </c>
      <c r="B124" s="13">
        <v>21538.48</v>
      </c>
      <c r="C124" s="14">
        <f>IFERROR(B124/B327, "NA")</f>
      </c>
      <c r="D124" s="15"/>
      <c r="E124" s="13">
        <v>28326.950000000001</v>
      </c>
      <c r="F124" s="14">
        <f>IFERROR(E124/E327, "NA")</f>
      </c>
      <c r="G124" s="15"/>
      <c r="H124" s="13">
        <v>10769.25</v>
      </c>
      <c r="I124" s="14">
        <f>IFERROR(H124/H327, "NA")</f>
      </c>
      <c r="J124" s="15"/>
      <c r="K124" s="13">
        <v>25153.880000000001</v>
      </c>
      <c r="L124" s="14">
        <f>IFERROR(K124/K327, "NA")</f>
      </c>
      <c r="M124" s="15"/>
      <c r="N124" s="13">
        <v>-10769.23</v>
      </c>
      <c r="O124" s="14">
        <f>IFERROR(N124/N327, "NA")</f>
      </c>
    </row>
    <row r="125" ht="30.75" customHeight="1">
      <c t="s" r="A125" s="12">
        <v>128</v>
      </c>
      <c r="B125" s="13">
        <v>0</v>
      </c>
      <c r="C125" s="14">
        <f>IFERROR(B125/B327, "NA")</f>
      </c>
      <c r="D125" s="15"/>
      <c r="E125" s="13">
        <v>0</v>
      </c>
      <c r="F125" s="14">
        <f>IFERROR(E125/E327, "NA")</f>
      </c>
      <c r="G125" s="15"/>
      <c r="H125" s="13">
        <v>0</v>
      </c>
      <c r="I125" s="14">
        <f>IFERROR(H125/H327, "NA")</f>
      </c>
      <c r="J125" s="15"/>
      <c r="K125" s="13">
        <v>0</v>
      </c>
      <c r="L125" s="14">
        <f>IFERROR(K125/K327, "NA")</f>
      </c>
      <c r="M125" s="15"/>
      <c r="N125" s="13">
        <v>0</v>
      </c>
      <c r="O125" s="14">
        <f>IFERROR(N125/N327, "NA")</f>
      </c>
    </row>
    <row r="126" ht="16.5" customHeight="1">
      <c t="s" r="A126" s="12">
        <v>129</v>
      </c>
      <c r="B126" s="13">
        <v>0</v>
      </c>
      <c r="C126" s="14">
        <f>IFERROR(B126/B327, "NA")</f>
      </c>
      <c r="D126" s="15"/>
      <c r="E126" s="13">
        <v>0</v>
      </c>
      <c r="F126" s="14">
        <f>IFERROR(E126/E327, "NA")</f>
      </c>
      <c r="G126" s="15"/>
      <c r="H126" s="13">
        <v>0</v>
      </c>
      <c r="I126" s="14">
        <f>IFERROR(H126/H327, "NA")</f>
      </c>
      <c r="J126" s="15"/>
      <c r="K126" s="13">
        <v>0</v>
      </c>
      <c r="L126" s="14">
        <f>IFERROR(K126/K327, "NA")</f>
      </c>
      <c r="M126" s="15"/>
      <c r="N126" s="13">
        <v>0</v>
      </c>
      <c r="O126" s="14">
        <f>IFERROR(N126/N327, "NA")</f>
      </c>
    </row>
    <row r="127" ht="16.5" customHeight="1">
      <c t="s" r="A127" s="12">
        <v>130</v>
      </c>
      <c r="B127" s="13">
        <v>0</v>
      </c>
      <c r="C127" s="14">
        <f>IFERROR(B127/B327, "NA")</f>
      </c>
      <c r="D127" s="15"/>
      <c r="E127" s="13">
        <v>0</v>
      </c>
      <c r="F127" s="14">
        <f>IFERROR(E127/E327, "NA")</f>
      </c>
      <c r="G127" s="15"/>
      <c r="H127" s="13">
        <v>0</v>
      </c>
      <c r="I127" s="14">
        <f>IFERROR(H127/H327, "NA")</f>
      </c>
      <c r="J127" s="15"/>
      <c r="K127" s="13">
        <v>0</v>
      </c>
      <c r="L127" s="14">
        <f>IFERROR(K127/K327, "NA")</f>
      </c>
      <c r="M127" s="15"/>
      <c r="N127" s="13">
        <v>0</v>
      </c>
      <c r="O127" s="14">
        <f>IFERROR(N127/N327, "NA")</f>
      </c>
    </row>
    <row r="128" ht="16.5" customHeight="1">
      <c t="s" r="A128" s="12">
        <v>131</v>
      </c>
      <c r="B128" s="13">
        <v>0</v>
      </c>
      <c r="C128" s="14">
        <f>IFERROR(B128/B327, "NA")</f>
      </c>
      <c r="D128" s="15"/>
      <c r="E128" s="13">
        <v>0</v>
      </c>
      <c r="F128" s="14">
        <f>IFERROR(E128/E327, "NA")</f>
      </c>
      <c r="G128" s="15"/>
      <c r="H128" s="13">
        <v>0</v>
      </c>
      <c r="I128" s="14">
        <f>IFERROR(H128/H327, "NA")</f>
      </c>
      <c r="J128" s="15"/>
      <c r="K128" s="13">
        <v>0</v>
      </c>
      <c r="L128" s="14">
        <f>IFERROR(K128/K327, "NA")</f>
      </c>
      <c r="M128" s="15"/>
      <c r="N128" s="13">
        <v>0</v>
      </c>
      <c r="O128" s="14">
        <f>IFERROR(N128/N327, "NA")</f>
      </c>
    </row>
    <row r="129" ht="16.5" customHeight="1">
      <c t="s" r="A129" s="12">
        <v>132</v>
      </c>
      <c r="B129" s="13">
        <v>0</v>
      </c>
      <c r="C129" s="14">
        <f>IFERROR(B129/B327, "NA")</f>
      </c>
      <c r="D129" s="15"/>
      <c r="E129" s="13">
        <v>0</v>
      </c>
      <c r="F129" s="14">
        <f>IFERROR(E129/E327, "NA")</f>
      </c>
      <c r="G129" s="15"/>
      <c r="H129" s="13">
        <v>0</v>
      </c>
      <c r="I129" s="14">
        <f>IFERROR(H129/H327, "NA")</f>
      </c>
      <c r="J129" s="15"/>
      <c r="K129" s="13">
        <v>0</v>
      </c>
      <c r="L129" s="14">
        <f>IFERROR(K129/K327, "NA")</f>
      </c>
      <c r="M129" s="15"/>
      <c r="N129" s="13">
        <v>0</v>
      </c>
      <c r="O129" s="14">
        <f>IFERROR(N129/N327, "NA")</f>
      </c>
    </row>
    <row r="130" ht="16.5" customHeight="1">
      <c t="s" r="A130" s="12">
        <v>133</v>
      </c>
      <c r="B130" s="13">
        <v>0</v>
      </c>
      <c r="C130" s="14">
        <f>IFERROR(B130/B327, "NA")</f>
      </c>
      <c r="D130" s="15"/>
      <c r="E130" s="13">
        <v>0</v>
      </c>
      <c r="F130" s="14">
        <f>IFERROR(E130/E327, "NA")</f>
      </c>
      <c r="G130" s="15"/>
      <c r="H130" s="13">
        <v>0</v>
      </c>
      <c r="I130" s="14">
        <f>IFERROR(H130/H327, "NA")</f>
      </c>
      <c r="J130" s="15"/>
      <c r="K130" s="13">
        <v>0</v>
      </c>
      <c r="L130" s="14">
        <f>IFERROR(K130/K327, "NA")</f>
      </c>
      <c r="M130" s="15"/>
      <c r="N130" s="13">
        <v>0</v>
      </c>
      <c r="O130" s="14">
        <f>IFERROR(N130/N327, "NA")</f>
      </c>
    </row>
    <row r="131" ht="16.5" customHeight="1">
      <c t="s" r="A131" s="12">
        <v>134</v>
      </c>
      <c r="B131" s="13">
        <v>0</v>
      </c>
      <c r="C131" s="14">
        <f>IFERROR(B131/B327, "NA")</f>
      </c>
      <c r="D131" s="15"/>
      <c r="E131" s="13">
        <v>0</v>
      </c>
      <c r="F131" s="14">
        <f>IFERROR(E131/E327, "NA")</f>
      </c>
      <c r="G131" s="15"/>
      <c r="H131" s="13">
        <v>0</v>
      </c>
      <c r="I131" s="14">
        <f>IFERROR(H131/H327, "NA")</f>
      </c>
      <c r="J131" s="15"/>
      <c r="K131" s="13">
        <v>0</v>
      </c>
      <c r="L131" s="14">
        <f>IFERROR(K131/K327, "NA")</f>
      </c>
      <c r="M131" s="15"/>
      <c r="N131" s="13">
        <v>0</v>
      </c>
      <c r="O131" s="14">
        <f>IFERROR(N131/N327, "NA")</f>
      </c>
    </row>
    <row r="132" ht="16.5" customHeight="1">
      <c t="s" r="A132" s="12">
        <v>135</v>
      </c>
      <c r="B132" s="13">
        <v>0</v>
      </c>
      <c r="C132" s="14">
        <f>IFERROR(B132/B327, "NA")</f>
      </c>
      <c r="D132" s="15"/>
      <c r="E132" s="13">
        <v>0</v>
      </c>
      <c r="F132" s="14">
        <f>IFERROR(E132/E327, "NA")</f>
      </c>
      <c r="G132" s="15"/>
      <c r="H132" s="13">
        <v>0</v>
      </c>
      <c r="I132" s="14">
        <f>IFERROR(H132/H327, "NA")</f>
      </c>
      <c r="J132" s="15"/>
      <c r="K132" s="13">
        <v>0</v>
      </c>
      <c r="L132" s="14">
        <f>IFERROR(K132/K327, "NA")</f>
      </c>
      <c r="M132" s="15"/>
      <c r="N132" s="13">
        <v>0</v>
      </c>
      <c r="O132" s="14">
        <f>IFERROR(N132/N327, "NA")</f>
      </c>
    </row>
    <row r="133" ht="16.5" customHeight="1">
      <c t="s" r="A133" s="12">
        <v>136</v>
      </c>
      <c r="B133" s="13">
        <v>0</v>
      </c>
      <c r="C133" s="14">
        <f>IFERROR(B133/B327, "NA")</f>
      </c>
      <c r="D133" s="15"/>
      <c r="E133" s="13">
        <v>0</v>
      </c>
      <c r="F133" s="14">
        <f>IFERROR(E133/E327, "NA")</f>
      </c>
      <c r="G133" s="15"/>
      <c r="H133" s="13">
        <v>0</v>
      </c>
      <c r="I133" s="14">
        <f>IFERROR(H133/H327, "NA")</f>
      </c>
      <c r="J133" s="15"/>
      <c r="K133" s="13">
        <v>0</v>
      </c>
      <c r="L133" s="14">
        <f>IFERROR(K133/K327, "NA")</f>
      </c>
      <c r="M133" s="15"/>
      <c r="N133" s="13">
        <v>0</v>
      </c>
      <c r="O133" s="14">
        <f>IFERROR(N133/N327, "NA")</f>
      </c>
    </row>
    <row r="134" ht="16.5" customHeight="1">
      <c t="s" r="A134" s="12">
        <v>137</v>
      </c>
      <c r="B134" s="13">
        <v>0</v>
      </c>
      <c r="C134" s="14">
        <f>IFERROR(B134/B327, "NA")</f>
      </c>
      <c r="D134" s="15"/>
      <c r="E134" s="13">
        <v>0</v>
      </c>
      <c r="F134" s="14">
        <f>IFERROR(E134/E327, "NA")</f>
      </c>
      <c r="G134" s="15"/>
      <c r="H134" s="13">
        <v>0</v>
      </c>
      <c r="I134" s="14">
        <f>IFERROR(H134/H327, "NA")</f>
      </c>
      <c r="J134" s="15"/>
      <c r="K134" s="13">
        <v>0</v>
      </c>
      <c r="L134" s="14">
        <f>IFERROR(K134/K327, "NA")</f>
      </c>
      <c r="M134" s="15"/>
      <c r="N134" s="13">
        <v>0</v>
      </c>
      <c r="O134" s="14">
        <f>IFERROR(N134/N327, "NA")</f>
      </c>
    </row>
    <row r="135" ht="16.5" customHeight="1">
      <c t="s" r="A135" s="12">
        <v>138</v>
      </c>
      <c r="B135" s="13">
        <v>0</v>
      </c>
      <c r="C135" s="14">
        <f>IFERROR(B135/B327, "NA")</f>
      </c>
      <c r="D135" s="15"/>
      <c r="E135" s="13">
        <v>0</v>
      </c>
      <c r="F135" s="14">
        <f>IFERROR(E135/E327, "NA")</f>
      </c>
      <c r="G135" s="15"/>
      <c r="H135" s="13">
        <v>0</v>
      </c>
      <c r="I135" s="14">
        <f>IFERROR(H135/H327, "NA")</f>
      </c>
      <c r="J135" s="15"/>
      <c r="K135" s="13">
        <v>0</v>
      </c>
      <c r="L135" s="14">
        <f>IFERROR(K135/K327, "NA")</f>
      </c>
      <c r="M135" s="15"/>
      <c r="N135" s="13">
        <v>0</v>
      </c>
      <c r="O135" s="14">
        <f>IFERROR(N135/N327, "NA")</f>
      </c>
    </row>
    <row r="136" ht="16.5" customHeight="1">
      <c t="s" r="A136" s="12">
        <v>139</v>
      </c>
      <c r="B136" s="13">
        <v>0</v>
      </c>
      <c r="C136" s="14">
        <f>IFERROR(B136/B327, "NA")</f>
      </c>
      <c r="D136" s="15"/>
      <c r="E136" s="13">
        <v>0</v>
      </c>
      <c r="F136" s="14">
        <f>IFERROR(E136/E327, "NA")</f>
      </c>
      <c r="G136" s="15"/>
      <c r="H136" s="13">
        <v>0</v>
      </c>
      <c r="I136" s="14">
        <f>IFERROR(H136/H327, "NA")</f>
      </c>
      <c r="J136" s="15"/>
      <c r="K136" s="13">
        <v>0</v>
      </c>
      <c r="L136" s="14">
        <f>IFERROR(K136/K327, "NA")</f>
      </c>
      <c r="M136" s="15"/>
      <c r="N136" s="13">
        <v>0</v>
      </c>
      <c r="O136" s="14">
        <f>IFERROR(N136/N327, "NA")</f>
      </c>
    </row>
    <row r="137" ht="16.5" customHeight="1">
      <c t="s" r="A137" s="12">
        <v>140</v>
      </c>
      <c r="B137" s="13">
        <v>0</v>
      </c>
      <c r="C137" s="14">
        <f>IFERROR(B137/B327, "NA")</f>
      </c>
      <c r="D137" s="15"/>
      <c r="E137" s="13">
        <v>0</v>
      </c>
      <c r="F137" s="14">
        <f>IFERROR(E137/E327, "NA")</f>
      </c>
      <c r="G137" s="15"/>
      <c r="H137" s="13">
        <v>0</v>
      </c>
      <c r="I137" s="14">
        <f>IFERROR(H137/H327, "NA")</f>
      </c>
      <c r="J137" s="15"/>
      <c r="K137" s="13">
        <v>0</v>
      </c>
      <c r="L137" s="14">
        <f>IFERROR(K137/K327, "NA")</f>
      </c>
      <c r="M137" s="15"/>
      <c r="N137" s="13">
        <v>0</v>
      </c>
      <c r="O137" s="14">
        <f>IFERROR(N137/N327, "NA")</f>
      </c>
    </row>
    <row r="138" ht="16.5" customHeight="1">
      <c t="s" r="A138" s="12">
        <v>141</v>
      </c>
      <c r="B138" s="13">
        <v>0</v>
      </c>
      <c r="C138" s="14">
        <f>IFERROR(B138/B327, "NA")</f>
      </c>
      <c r="D138" s="15"/>
      <c r="E138" s="13">
        <v>0</v>
      </c>
      <c r="F138" s="14">
        <f>IFERROR(E138/E327, "NA")</f>
      </c>
      <c r="G138" s="15"/>
      <c r="H138" s="13">
        <v>0</v>
      </c>
      <c r="I138" s="14">
        <f>IFERROR(H138/H327, "NA")</f>
      </c>
      <c r="J138" s="15"/>
      <c r="K138" s="13">
        <v>0</v>
      </c>
      <c r="L138" s="14">
        <f>IFERROR(K138/K327, "NA")</f>
      </c>
      <c r="M138" s="15"/>
      <c r="N138" s="13">
        <v>0</v>
      </c>
      <c r="O138" s="14">
        <f>IFERROR(N138/N327, "NA")</f>
      </c>
    </row>
    <row r="139" ht="16.5" customHeight="1">
      <c t="s" r="A139" s="12">
        <v>142</v>
      </c>
      <c r="B139" s="13">
        <v>19341.220000000001</v>
      </c>
      <c r="C139" s="14">
        <f>IFERROR(B139/B327, "NA")</f>
      </c>
      <c r="D139" s="15"/>
      <c r="E139" s="13">
        <v>19341.220000000001</v>
      </c>
      <c r="F139" s="14">
        <f>IFERROR(E139/E327, "NA")</f>
      </c>
      <c r="G139" s="15"/>
      <c r="H139" s="13">
        <v>19341.220000000001</v>
      </c>
      <c r="I139" s="14">
        <f>IFERROR(H139/H327, "NA")</f>
      </c>
      <c r="J139" s="15"/>
      <c r="K139" s="13">
        <v>19341.220000000001</v>
      </c>
      <c r="L139" s="14">
        <f>IFERROR(K139/K327, "NA")</f>
      </c>
      <c r="M139" s="15"/>
      <c r="N139" s="13">
        <v>19983.400000000001</v>
      </c>
      <c r="O139" s="14">
        <f>IFERROR(N139/N327, "NA")</f>
      </c>
    </row>
    <row r="140" ht="16.5" customHeight="1">
      <c t="s" r="A140" s="12">
        <v>143</v>
      </c>
      <c r="B140" s="13">
        <v>0</v>
      </c>
      <c r="C140" s="14">
        <f>IFERROR(B140/B327, "NA")</f>
      </c>
      <c r="D140" s="15"/>
      <c r="E140" s="13">
        <v>0</v>
      </c>
      <c r="F140" s="14">
        <f>IFERROR(E140/E327, "NA")</f>
      </c>
      <c r="G140" s="15"/>
      <c r="H140" s="13">
        <v>0</v>
      </c>
      <c r="I140" s="14">
        <f>IFERROR(H140/H327, "NA")</f>
      </c>
      <c r="J140" s="15"/>
      <c r="K140" s="13">
        <v>0</v>
      </c>
      <c r="L140" s="14">
        <f>IFERROR(K140/K327, "NA")</f>
      </c>
      <c r="M140" s="15"/>
      <c r="N140" s="13">
        <v>0</v>
      </c>
      <c r="O140" s="14">
        <f>IFERROR(N140/N327, "NA")</f>
      </c>
    </row>
    <row r="141" ht="16.5" customHeight="1">
      <c t="s" r="A141" s="12">
        <v>144</v>
      </c>
      <c r="B141" s="13">
        <v>21520.529999999999</v>
      </c>
      <c r="C141" s="14">
        <f>IFERROR(B141/B327, "NA")</f>
      </c>
      <c r="D141" s="15"/>
      <c r="E141" s="13">
        <v>20537.84</v>
      </c>
      <c r="F141" s="14">
        <f>IFERROR(E141/E327, "NA")</f>
      </c>
      <c r="G141" s="15"/>
      <c r="H141" s="13">
        <v>10566.440000000001</v>
      </c>
      <c r="I141" s="14">
        <f>IFERROR(H141/H327, "NA")</f>
      </c>
      <c r="J141" s="15"/>
      <c r="K141" s="13">
        <v>14085.440000000001</v>
      </c>
      <c r="L141" s="14">
        <f>IFERROR(K141/K327, "NA")</f>
      </c>
      <c r="M141" s="15"/>
      <c r="N141" s="13">
        <v>-10210.290000000001</v>
      </c>
      <c r="O141" s="14">
        <f>IFERROR(N141/N327, "NA")</f>
      </c>
    </row>
    <row r="142" ht="16.5" customHeight="1">
      <c t="s" r="A142" s="12">
        <v>145</v>
      </c>
      <c r="B142" s="13">
        <v>0</v>
      </c>
      <c r="C142" s="14">
        <f>IFERROR(B142/B327, "NA")</f>
      </c>
      <c r="D142" s="15"/>
      <c r="E142" s="13">
        <v>0</v>
      </c>
      <c r="F142" s="14">
        <f>IFERROR(E142/E327, "NA")</f>
      </c>
      <c r="G142" s="15"/>
      <c r="H142" s="13">
        <v>0</v>
      </c>
      <c r="I142" s="14">
        <f>IFERROR(H142/H327, "NA")</f>
      </c>
      <c r="J142" s="15"/>
      <c r="K142" s="13">
        <v>0</v>
      </c>
      <c r="L142" s="14">
        <f>IFERROR(K142/K327, "NA")</f>
      </c>
      <c r="M142" s="15"/>
      <c r="N142" s="13">
        <v>0</v>
      </c>
      <c r="O142" s="14">
        <f>IFERROR(N142/N327, "NA")</f>
      </c>
    </row>
    <row r="143" ht="16.5" customHeight="1">
      <c t="s" r="A143" s="16">
        <v>146</v>
      </c>
      <c r="B143" s="17">
        <f>IFERROR(B122+B123+B124+B125+B126+B127+B128+B129+B130+B131+B132+B133+B134+B135+B136+B137+B138+B139+B140+B141+B142, "NA")</f>
      </c>
      <c r="C143" s="18">
        <f>IFERROR(B143/B327, "NA")</f>
      </c>
      <c r="D143" s="8"/>
      <c r="E143" s="17">
        <f>IFERROR(E122+E123+E124+E125+E126+E127+E128+E129+E130+E131+E132+E133+E134+E135+E136+E137+E138+E139+E140+E141+E142, "NA")</f>
      </c>
      <c r="F143" s="18">
        <f>IFERROR(E143/E327, "NA")</f>
      </c>
      <c r="G143" s="8"/>
      <c r="H143" s="17">
        <f>IFERROR(H122+H123+H124+H125+H126+H127+H128+H129+H130+H131+H132+H133+H134+H135+H136+H137+H138+H139+H140+H141+H142, "NA")</f>
      </c>
      <c r="I143" s="18">
        <f>IFERROR(H143/H327, "NA")</f>
      </c>
      <c r="J143" s="8"/>
      <c r="K143" s="17">
        <f>IFERROR(K122+K123+K124+K125+K126+K127+K128+K129+K130+K131+K132+K133+K134+K135+K136+K137+K138+K139+K140+K141+K142, "NA")</f>
      </c>
      <c r="L143" s="18">
        <f>IFERROR(K143/K327, "NA")</f>
      </c>
      <c r="M143" s="8"/>
      <c r="N143" s="17">
        <f>IFERROR(N122+N123+N124+N125+N126+N127+N128+N129+N130+N131+N132+N133+N134+N135+N136+N137+N138+N139+N140+N141+N142, "NA")</f>
      </c>
      <c r="O143" s="18">
        <f>IFERROR(N143/N327, "NA")</f>
      </c>
    </row>
    <row r="144" ht="16.5" customHeight="1">
      <c t="s" r="A144" s="11">
        <v>147</v>
      </c>
      <c r="B144" s="8"/>
      <c r="C144" s="9"/>
      <c r="D144" s="10"/>
      <c r="E144" s="8"/>
      <c r="F144" s="9"/>
      <c r="G144" s="10"/>
      <c r="H144" s="8"/>
      <c r="I144" s="9"/>
      <c r="J144" s="10"/>
      <c r="K144" s="8"/>
      <c r="L144" s="9"/>
      <c r="M144" s="10"/>
      <c r="N144" s="8"/>
      <c r="O144" s="9"/>
    </row>
    <row r="145" ht="16.5" customHeight="1">
      <c t="s" r="A145" s="12">
        <v>148</v>
      </c>
      <c r="B145" s="13">
        <v>0</v>
      </c>
      <c r="C145" s="14">
        <f>IFERROR(B145/B327, "NA")</f>
      </c>
      <c r="D145" s="15"/>
      <c r="E145" s="13">
        <v>0</v>
      </c>
      <c r="F145" s="14">
        <f>IFERROR(E145/E327, "NA")</f>
      </c>
      <c r="G145" s="15"/>
      <c r="H145" s="13">
        <v>0</v>
      </c>
      <c r="I145" s="14">
        <f>IFERROR(H145/H327, "NA")</f>
      </c>
      <c r="J145" s="15"/>
      <c r="K145" s="13">
        <v>0</v>
      </c>
      <c r="L145" s="14">
        <f>IFERROR(K145/K327, "NA")</f>
      </c>
      <c r="M145" s="15"/>
      <c r="N145" s="13">
        <v>0</v>
      </c>
      <c r="O145" s="14">
        <f>IFERROR(N145/N327, "NA")</f>
      </c>
    </row>
    <row r="146" ht="16.5" customHeight="1">
      <c t="s" r="A146" s="12">
        <v>149</v>
      </c>
      <c r="B146" s="13">
        <v>25106.439999999999</v>
      </c>
      <c r="C146" s="14">
        <f>IFERROR(B146/B327, "NA")</f>
      </c>
      <c r="D146" s="15"/>
      <c r="E146" s="13">
        <v>18659.82</v>
      </c>
      <c r="F146" s="14">
        <f>IFERROR(E146/E327, "NA")</f>
      </c>
      <c r="G146" s="15"/>
      <c r="H146" s="13">
        <v>7282.8900000000003</v>
      </c>
      <c r="I146" s="14">
        <f>IFERROR(H146/H327, "NA")</f>
      </c>
      <c r="J146" s="15"/>
      <c r="K146" s="13">
        <v>18690.82</v>
      </c>
      <c r="L146" s="14">
        <f>IFERROR(K146/K327, "NA")</f>
      </c>
      <c r="M146" s="15"/>
      <c r="N146" s="13">
        <v>-17252.130000000001</v>
      </c>
      <c r="O146" s="14">
        <f>IFERROR(N146/N327, "NA")</f>
      </c>
    </row>
    <row r="147" ht="16.5" customHeight="1">
      <c t="s" r="A147" s="12">
        <v>150</v>
      </c>
      <c r="B147" s="13">
        <v>912.38</v>
      </c>
      <c r="C147" s="14">
        <f>IFERROR(B147/B327, "NA")</f>
      </c>
      <c r="D147" s="15"/>
      <c r="E147" s="13">
        <v>417</v>
      </c>
      <c r="F147" s="14">
        <f>IFERROR(E147/E327, "NA")</f>
      </c>
      <c r="G147" s="15"/>
      <c r="H147" s="13">
        <v>245.5</v>
      </c>
      <c r="I147" s="14">
        <f>IFERROR(H147/H327, "NA")</f>
      </c>
      <c r="J147" s="15"/>
      <c r="K147" s="13">
        <v>356.73000000000002</v>
      </c>
      <c r="L147" s="14">
        <f>IFERROR(K147/K327, "NA")</f>
      </c>
      <c r="M147" s="15"/>
      <c r="N147" s="13">
        <v>-685.44000000000005</v>
      </c>
      <c r="O147" s="14">
        <f>IFERROR(N147/N327, "NA")</f>
      </c>
    </row>
    <row r="148" ht="16.5" customHeight="1">
      <c t="s" r="A148" s="12">
        <v>151</v>
      </c>
      <c r="B148" s="13">
        <v>6313.6700000000001</v>
      </c>
      <c r="C148" s="14">
        <f>IFERROR(B148/B327, "NA")</f>
      </c>
      <c r="D148" s="15"/>
      <c r="E148" s="13">
        <v>0</v>
      </c>
      <c r="F148" s="14">
        <f>IFERROR(E148/E327, "NA")</f>
      </c>
      <c r="G148" s="15"/>
      <c r="H148" s="13">
        <v>5186.54</v>
      </c>
      <c r="I148" s="14">
        <f>IFERROR(H148/H327, "NA")</f>
      </c>
      <c r="J148" s="15"/>
      <c r="K148" s="13">
        <v>0</v>
      </c>
      <c r="L148" s="14">
        <f>IFERROR(K148/K327, "NA")</f>
      </c>
      <c r="M148" s="15"/>
      <c r="N148" s="13">
        <v>-4846.3900000000003</v>
      </c>
      <c r="O148" s="14">
        <f>IFERROR(N148/N327, "NA")</f>
      </c>
    </row>
    <row r="149" ht="16.5" customHeight="1">
      <c t="s" r="A149" s="12">
        <v>152</v>
      </c>
      <c r="B149" s="13">
        <v>4743.3000000000002</v>
      </c>
      <c r="C149" s="14">
        <f>IFERROR(B149/B327, "NA")</f>
      </c>
      <c r="D149" s="15"/>
      <c r="E149" s="13">
        <v>1294.1800000000001</v>
      </c>
      <c r="F149" s="14">
        <f>IFERROR(E149/E327, "NA")</f>
      </c>
      <c r="G149" s="15"/>
      <c r="H149" s="13">
        <v>2854.46</v>
      </c>
      <c r="I149" s="14">
        <f>IFERROR(H149/H327, "NA")</f>
      </c>
      <c r="J149" s="15"/>
      <c r="K149" s="13">
        <v>1294.24</v>
      </c>
      <c r="L149" s="14">
        <f>IFERROR(K149/K327, "NA")</f>
      </c>
      <c r="M149" s="15"/>
      <c r="N149" s="13">
        <v>-2480.6999999999998</v>
      </c>
      <c r="O149" s="14">
        <f>IFERROR(N149/N327, "NA")</f>
      </c>
    </row>
    <row r="150" ht="16.5" customHeight="1">
      <c t="s" r="A150" s="12">
        <v>153</v>
      </c>
      <c r="B150" s="13">
        <v>2045.2</v>
      </c>
      <c r="C150" s="14">
        <f>IFERROR(B150/B327, "NA")</f>
      </c>
      <c r="D150" s="15"/>
      <c r="E150" s="13">
        <v>2045.2</v>
      </c>
      <c r="F150" s="14">
        <f>IFERROR(E150/E327, "NA")</f>
      </c>
      <c r="G150" s="15"/>
      <c r="H150" s="13">
        <v>2045.2</v>
      </c>
      <c r="I150" s="14">
        <f>IFERROR(H150/H327, "NA")</f>
      </c>
      <c r="J150" s="15"/>
      <c r="K150" s="13">
        <v>2045.2</v>
      </c>
      <c r="L150" s="14">
        <f>IFERROR(K150/K327, "NA")</f>
      </c>
      <c r="M150" s="15"/>
      <c r="N150" s="13">
        <v>1998.23</v>
      </c>
      <c r="O150" s="14">
        <f>IFERROR(N150/N327, "NA")</f>
      </c>
    </row>
    <row r="151" ht="16.5" customHeight="1">
      <c t="s" r="A151" s="16">
        <v>154</v>
      </c>
      <c r="B151" s="17">
        <f>IFERROR(B145+B146+B147+B148+B149+B150, "NA")</f>
      </c>
      <c r="C151" s="18">
        <f>IFERROR(B151/B327, "NA")</f>
      </c>
      <c r="D151" s="8"/>
      <c r="E151" s="17">
        <f>IFERROR(E145+E146+E147+E148+E149+E150, "NA")</f>
      </c>
      <c r="F151" s="18">
        <f>IFERROR(E151/E327, "NA")</f>
      </c>
      <c r="G151" s="8"/>
      <c r="H151" s="17">
        <f>IFERROR(H145+H146+H147+H148+H149+H150, "NA")</f>
      </c>
      <c r="I151" s="18">
        <f>IFERROR(H151/H327, "NA")</f>
      </c>
      <c r="J151" s="8"/>
      <c r="K151" s="17">
        <f>IFERROR(K145+K146+K147+K148+K149+K150, "NA")</f>
      </c>
      <c r="L151" s="18">
        <f>IFERROR(K151/K327, "NA")</f>
      </c>
      <c r="M151" s="8"/>
      <c r="N151" s="17">
        <f>IFERROR(N145+N146+N147+N148+N149+N150, "NA")</f>
      </c>
      <c r="O151" s="18">
        <f>IFERROR(N151/N327, "NA")</f>
      </c>
    </row>
    <row r="152" ht="16.5" customHeight="1">
      <c t="s" r="A152" s="19">
        <v>155</v>
      </c>
      <c r="B152" s="13">
        <v>0</v>
      </c>
      <c r="C152" s="14">
        <f>IFERROR(B152/B327, "NA")</f>
      </c>
      <c r="D152" s="15"/>
      <c r="E152" s="13">
        <v>0</v>
      </c>
      <c r="F152" s="14">
        <f>IFERROR(E152/E327, "NA")</f>
      </c>
      <c r="G152" s="15"/>
      <c r="H152" s="13">
        <v>0</v>
      </c>
      <c r="I152" s="14">
        <f>IFERROR(H152/H327, "NA")</f>
      </c>
      <c r="J152" s="15"/>
      <c r="K152" s="13">
        <v>0</v>
      </c>
      <c r="L152" s="14">
        <f>IFERROR(K152/K327, "NA")</f>
      </c>
      <c r="M152" s="15"/>
      <c r="N152" s="13">
        <v>0</v>
      </c>
      <c r="O152" s="14">
        <f>IFERROR(N152/N327, "NA")</f>
      </c>
    </row>
    <row r="153" ht="16.5" customHeight="1">
      <c t="s" r="A153" s="19">
        <v>156</v>
      </c>
      <c r="B153" s="13">
        <v>-6342.5500000000002</v>
      </c>
      <c r="C153" s="14">
        <f>IFERROR(B153/B327, "NA")</f>
      </c>
      <c r="D153" s="15"/>
      <c r="E153" s="13">
        <v>0</v>
      </c>
      <c r="F153" s="14">
        <f>IFERROR(E153/E327, "NA")</f>
      </c>
      <c r="G153" s="15"/>
      <c r="H153" s="13">
        <v>-6892.3800000000001</v>
      </c>
      <c r="I153" s="14">
        <f>IFERROR(H153/H327, "NA")</f>
      </c>
      <c r="J153" s="15"/>
      <c r="K153" s="13">
        <v>19341.880000000001</v>
      </c>
      <c r="L153" s="14">
        <f>IFERROR(K153/K327, "NA")</f>
      </c>
      <c r="M153" s="15"/>
      <c r="N153" s="13">
        <v>0</v>
      </c>
      <c r="O153" s="14">
        <f>IFERROR(N153/N327, "NA")</f>
      </c>
    </row>
    <row r="154" ht="16.5" customHeight="1">
      <c t="s" r="A154" s="19">
        <v>157</v>
      </c>
      <c r="B154" s="13">
        <v>-781.58000000000004</v>
      </c>
      <c r="C154" s="14">
        <f>IFERROR(B154/B327, "NA")</f>
      </c>
      <c r="D154" s="15"/>
      <c r="E154" s="13">
        <v>0</v>
      </c>
      <c r="F154" s="14">
        <f>IFERROR(E154/E327, "NA")</f>
      </c>
      <c r="G154" s="15"/>
      <c r="H154" s="13">
        <v>-834</v>
      </c>
      <c r="I154" s="14">
        <f>IFERROR(H154/H327, "NA")</f>
      </c>
      <c r="J154" s="15"/>
      <c r="K154" s="13">
        <v>0</v>
      </c>
      <c r="L154" s="14">
        <f>IFERROR(K154/K327, "NA")</f>
      </c>
      <c r="M154" s="15"/>
      <c r="N154" s="13">
        <v>0</v>
      </c>
      <c r="O154" s="14">
        <f>IFERROR(N154/N327, "NA")</f>
      </c>
    </row>
    <row r="155" ht="16.5" customHeight="1">
      <c t="s" r="A155" s="19">
        <v>158</v>
      </c>
      <c r="B155" s="13">
        <v>-84.439999999999998</v>
      </c>
      <c r="C155" s="14">
        <f>IFERROR(B155/B327, "NA")</f>
      </c>
      <c r="D155" s="15"/>
      <c r="E155" s="13">
        <v>0</v>
      </c>
      <c r="F155" s="14">
        <f>IFERROR(E155/E327, "NA")</f>
      </c>
      <c r="G155" s="15"/>
      <c r="H155" s="13">
        <v>-96.319999999999993</v>
      </c>
      <c r="I155" s="14">
        <f>IFERROR(H155/H327, "NA")</f>
      </c>
      <c r="J155" s="15"/>
      <c r="K155" s="13">
        <v>0</v>
      </c>
      <c r="L155" s="14">
        <f>IFERROR(K155/K327, "NA")</f>
      </c>
      <c r="M155" s="15"/>
      <c r="N155" s="13">
        <v>0</v>
      </c>
      <c r="O155" s="14">
        <f>IFERROR(N155/N327, "NA")</f>
      </c>
    </row>
    <row r="156" ht="16.5" customHeight="1">
      <c t="s" r="A156" s="19">
        <v>159</v>
      </c>
      <c r="B156" s="13">
        <v>0</v>
      </c>
      <c r="C156" s="14">
        <f>IFERROR(B156/B327, "NA")</f>
      </c>
      <c r="D156" s="15"/>
      <c r="E156" s="13">
        <v>0</v>
      </c>
      <c r="F156" s="14">
        <f>IFERROR(E156/E327, "NA")</f>
      </c>
      <c r="G156" s="15"/>
      <c r="H156" s="13">
        <v>0</v>
      </c>
      <c r="I156" s="14">
        <f>IFERROR(H156/H327, "NA")</f>
      </c>
      <c r="J156" s="15"/>
      <c r="K156" s="13">
        <v>0</v>
      </c>
      <c r="L156" s="14">
        <f>IFERROR(K156/K327, "NA")</f>
      </c>
      <c r="M156" s="15"/>
      <c r="N156" s="13">
        <v>0</v>
      </c>
      <c r="O156" s="14">
        <f>IFERROR(N156/N327, "NA")</f>
      </c>
    </row>
    <row r="157" ht="16.5" customHeight="1">
      <c t="s" r="A157" s="20">
        <v>160</v>
      </c>
      <c r="B157" s="17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</c>
      <c r="C157" s="18">
        <f>IFERROR(B157/B327, "NA")</f>
      </c>
      <c r="D157" s="8"/>
      <c r="E157" s="17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</c>
      <c r="F157" s="18">
        <f>IFERROR(E157/E327, "NA")</f>
      </c>
      <c r="G157" s="8"/>
      <c r="H157" s="17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</c>
      <c r="I157" s="18">
        <f>IFERROR(H157/H327, "NA")</f>
      </c>
      <c r="J157" s="8"/>
      <c r="K157" s="17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</c>
      <c r="L157" s="18">
        <f>IFERROR(K157/K327, "NA")</f>
      </c>
      <c r="M157" s="8"/>
      <c r="N157" s="17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</c>
      <c r="O157" s="18">
        <f>IFERROR(N157/N327, "NA")</f>
      </c>
    </row>
    <row r="158" ht="16.5" customHeight="1">
      <c t="s" r="A158" s="7">
        <v>161</v>
      </c>
      <c r="B158" s="8"/>
      <c r="C158" s="9"/>
      <c r="D158" s="10"/>
      <c r="E158" s="8"/>
      <c r="F158" s="9"/>
      <c r="G158" s="10"/>
      <c r="H158" s="8"/>
      <c r="I158" s="9"/>
      <c r="J158" s="10"/>
      <c r="K158" s="8"/>
      <c r="L158" s="9"/>
      <c r="M158" s="10"/>
      <c r="N158" s="8"/>
      <c r="O158" s="9"/>
    </row>
    <row r="159" ht="16.5" customHeight="1">
      <c t="s" r="A159" s="11">
        <v>162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</row>
    <row r="160" ht="16.5" customHeight="1">
      <c t="s" r="A160" s="12">
        <v>163</v>
      </c>
      <c r="B160" s="13">
        <v>0</v>
      </c>
      <c r="C160" s="14">
        <f>IFERROR(B160/B327, "NA")</f>
      </c>
      <c r="D160" s="15"/>
      <c r="E160" s="13">
        <v>0</v>
      </c>
      <c r="F160" s="14">
        <f>IFERROR(E160/E327, "NA")</f>
      </c>
      <c r="G160" s="15"/>
      <c r="H160" s="13">
        <v>0</v>
      </c>
      <c r="I160" s="14">
        <f>IFERROR(H160/H327, "NA")</f>
      </c>
      <c r="J160" s="15"/>
      <c r="K160" s="13">
        <v>0</v>
      </c>
      <c r="L160" s="14">
        <f>IFERROR(K160/K327, "NA")</f>
      </c>
      <c r="M160" s="15"/>
      <c r="N160" s="13">
        <v>0</v>
      </c>
      <c r="O160" s="14">
        <f>IFERROR(N160/N327, "NA")</f>
      </c>
    </row>
    <row r="161" ht="16.5" customHeight="1">
      <c t="s" r="A161" s="12">
        <v>164</v>
      </c>
      <c r="B161" s="13">
        <v>0</v>
      </c>
      <c r="C161" s="14">
        <f>IFERROR(B161/B327, "NA")</f>
      </c>
      <c r="D161" s="15"/>
      <c r="E161" s="13">
        <v>0</v>
      </c>
      <c r="F161" s="14">
        <f>IFERROR(E161/E327, "NA")</f>
      </c>
      <c r="G161" s="15"/>
      <c r="H161" s="13">
        <v>0</v>
      </c>
      <c r="I161" s="14">
        <f>IFERROR(H161/H327, "NA")</f>
      </c>
      <c r="J161" s="15"/>
      <c r="K161" s="13">
        <v>0</v>
      </c>
      <c r="L161" s="14">
        <f>IFERROR(K161/K327, "NA")</f>
      </c>
      <c r="M161" s="15"/>
      <c r="N161" s="13">
        <v>0</v>
      </c>
      <c r="O161" s="14">
        <f>IFERROR(N161/N327, "NA")</f>
      </c>
    </row>
    <row r="162" ht="16.5" customHeight="1">
      <c t="s" r="A162" s="12">
        <v>165</v>
      </c>
      <c r="B162" s="13">
        <v>0</v>
      </c>
      <c r="C162" s="14">
        <f>IFERROR(B162/B327, "NA")</f>
      </c>
      <c r="D162" s="15"/>
      <c r="E162" s="13">
        <v>4885.8999999999996</v>
      </c>
      <c r="F162" s="14">
        <f>IFERROR(E162/E327, "NA")</f>
      </c>
      <c r="G162" s="15"/>
      <c r="H162" s="13">
        <v>228.44999999999999</v>
      </c>
      <c r="I162" s="14">
        <f>IFERROR(H162/H327, "NA")</f>
      </c>
      <c r="J162" s="15"/>
      <c r="K162" s="13">
        <v>21.690000000000001</v>
      </c>
      <c r="L162" s="14">
        <f>IFERROR(K162/K327, "NA")</f>
      </c>
      <c r="M162" s="15"/>
      <c r="N162" s="13">
        <v>0</v>
      </c>
      <c r="O162" s="14">
        <f>IFERROR(N162/N327, "NA")</f>
      </c>
    </row>
    <row r="163" ht="16.5" customHeight="1">
      <c t="s" r="A163" s="12">
        <v>166</v>
      </c>
      <c r="B163" s="13">
        <v>0</v>
      </c>
      <c r="C163" s="14">
        <f>IFERROR(B163/B327, "NA")</f>
      </c>
      <c r="D163" s="15"/>
      <c r="E163" s="13">
        <v>0</v>
      </c>
      <c r="F163" s="14">
        <f>IFERROR(E163/E327, "NA")</f>
      </c>
      <c r="G163" s="15"/>
      <c r="H163" s="13">
        <v>0</v>
      </c>
      <c r="I163" s="14">
        <f>IFERROR(H163/H327, "NA")</f>
      </c>
      <c r="J163" s="15"/>
      <c r="K163" s="13">
        <v>541.19000000000005</v>
      </c>
      <c r="L163" s="14">
        <f>IFERROR(K163/K327, "NA")</f>
      </c>
      <c r="M163" s="15"/>
      <c r="N163" s="13">
        <v>0</v>
      </c>
      <c r="O163" s="14">
        <f>IFERROR(N163/N327, "NA")</f>
      </c>
    </row>
    <row r="164" ht="16.5" customHeight="1">
      <c t="s" r="A164" s="12">
        <v>167</v>
      </c>
      <c r="B164" s="13">
        <v>0</v>
      </c>
      <c r="C164" s="14">
        <f>IFERROR(B164/B327, "NA")</f>
      </c>
      <c r="D164" s="15"/>
      <c r="E164" s="13">
        <v>0</v>
      </c>
      <c r="F164" s="14">
        <f>IFERROR(E164/E327, "NA")</f>
      </c>
      <c r="G164" s="15"/>
      <c r="H164" s="13">
        <v>0</v>
      </c>
      <c r="I164" s="14">
        <f>IFERROR(H164/H327, "NA")</f>
      </c>
      <c r="J164" s="15"/>
      <c r="K164" s="13">
        <v>0</v>
      </c>
      <c r="L164" s="14">
        <f>IFERROR(K164/K327, "NA")</f>
      </c>
      <c r="M164" s="15"/>
      <c r="N164" s="13">
        <v>0</v>
      </c>
      <c r="O164" s="14">
        <f>IFERROR(N164/N327, "NA")</f>
      </c>
    </row>
    <row r="165" ht="16.5" customHeight="1">
      <c t="s" r="A165" s="12">
        <v>168</v>
      </c>
      <c r="B165" s="13">
        <v>0</v>
      </c>
      <c r="C165" s="14">
        <f>IFERROR(B165/B327, "NA")</f>
      </c>
      <c r="D165" s="15"/>
      <c r="E165" s="13">
        <v>625.67999999999995</v>
      </c>
      <c r="F165" s="14">
        <f>IFERROR(E165/E327, "NA")</f>
      </c>
      <c r="G165" s="15"/>
      <c r="H165" s="13">
        <v>0</v>
      </c>
      <c r="I165" s="14">
        <f>IFERROR(H165/H327, "NA")</f>
      </c>
      <c r="J165" s="15"/>
      <c r="K165" s="13">
        <v>0</v>
      </c>
      <c r="L165" s="14">
        <f>IFERROR(K165/K327, "NA")</f>
      </c>
      <c r="M165" s="15"/>
      <c r="N165" s="13">
        <v>272.31999999999999</v>
      </c>
      <c r="O165" s="14">
        <f>IFERROR(N165/N327, "NA")</f>
      </c>
    </row>
    <row r="166" ht="16.5" customHeight="1">
      <c t="s" r="A166" s="12">
        <v>169</v>
      </c>
      <c r="B166" s="13">
        <v>-245.72</v>
      </c>
      <c r="C166" s="14">
        <f>IFERROR(B166/B327, "NA")</f>
      </c>
      <c r="D166" s="15"/>
      <c r="E166" s="13">
        <v>1245.3499999999999</v>
      </c>
      <c r="F166" s="14">
        <f>IFERROR(E166/E327, "NA")</f>
      </c>
      <c r="G166" s="15"/>
      <c r="H166" s="13">
        <v>1370.8800000000001</v>
      </c>
      <c r="I166" s="14">
        <f>IFERROR(H166/H327, "NA")</f>
      </c>
      <c r="J166" s="15"/>
      <c r="K166" s="13">
        <v>1429.1500000000001</v>
      </c>
      <c r="L166" s="14">
        <f>IFERROR(K166/K327, "NA")</f>
      </c>
      <c r="M166" s="15"/>
      <c r="N166" s="13">
        <v>3041.8000000000002</v>
      </c>
      <c r="O166" s="14">
        <f>IFERROR(N166/N327, "NA")</f>
      </c>
    </row>
    <row r="167" ht="16.5" customHeight="1">
      <c t="s" r="A167" s="12">
        <v>170</v>
      </c>
      <c r="B167" s="13">
        <v>-660.41999999999996</v>
      </c>
      <c r="C167" s="14">
        <f>IFERROR(B167/B327, "NA")</f>
      </c>
      <c r="D167" s="15"/>
      <c r="E167" s="13">
        <v>1017.51</v>
      </c>
      <c r="F167" s="14">
        <f>IFERROR(E167/E327, "NA")</f>
      </c>
      <c r="G167" s="15"/>
      <c r="H167" s="13">
        <v>1118.1199999999999</v>
      </c>
      <c r="I167" s="14">
        <f>IFERROR(H167/H327, "NA")</f>
      </c>
      <c r="J167" s="15"/>
      <c r="K167" s="13">
        <v>1122.6600000000001</v>
      </c>
      <c r="L167" s="14">
        <f>IFERROR(K167/K327, "NA")</f>
      </c>
      <c r="M167" s="15"/>
      <c r="N167" s="13">
        <v>1609.9100000000001</v>
      </c>
      <c r="O167" s="14">
        <f>IFERROR(N167/N327, "NA")</f>
      </c>
    </row>
    <row r="168" ht="16.5" customHeight="1">
      <c t="s" r="A168" s="12">
        <v>171</v>
      </c>
      <c r="B168" s="13">
        <v>-2133.1599999999999</v>
      </c>
      <c r="C168" s="14">
        <f>IFERROR(B168/B327, "NA")</f>
      </c>
      <c r="D168" s="15"/>
      <c r="E168" s="13">
        <v>4632.1700000000001</v>
      </c>
      <c r="F168" s="14">
        <f>IFERROR(E168/E327, "NA")</f>
      </c>
      <c r="G168" s="15"/>
      <c r="H168" s="13">
        <v>4310.5900000000001</v>
      </c>
      <c r="I168" s="14">
        <f>IFERROR(H168/H327, "NA")</f>
      </c>
      <c r="J168" s="15"/>
      <c r="K168" s="13">
        <v>4208.04</v>
      </c>
      <c r="L168" s="14">
        <f>IFERROR(K168/K327, "NA")</f>
      </c>
      <c r="M168" s="15"/>
      <c r="N168" s="13">
        <v>5126.5900000000001</v>
      </c>
      <c r="O168" s="14">
        <f>IFERROR(N168/N327, "NA")</f>
      </c>
    </row>
    <row r="169" ht="16.5" customHeight="1">
      <c t="s" r="A169" s="12">
        <v>172</v>
      </c>
      <c r="B169" s="13">
        <v>0</v>
      </c>
      <c r="C169" s="14">
        <f>IFERROR(B169/B327, "NA")</f>
      </c>
      <c r="D169" s="15"/>
      <c r="E169" s="13">
        <v>0</v>
      </c>
      <c r="F169" s="14">
        <f>IFERROR(E169/E327, "NA")</f>
      </c>
      <c r="G169" s="15"/>
      <c r="H169" s="13">
        <v>0</v>
      </c>
      <c r="I169" s="14">
        <f>IFERROR(H169/H327, "NA")</f>
      </c>
      <c r="J169" s="15"/>
      <c r="K169" s="13">
        <v>0</v>
      </c>
      <c r="L169" s="14">
        <f>IFERROR(K169/K327, "NA")</f>
      </c>
      <c r="M169" s="15"/>
      <c r="N169" s="13">
        <v>0</v>
      </c>
      <c r="O169" s="14">
        <f>IFERROR(N169/N327, "NA")</f>
      </c>
    </row>
    <row r="170" ht="16.5" customHeight="1">
      <c t="s" r="A170" s="12">
        <v>173</v>
      </c>
      <c r="B170" s="13">
        <v>-457.75</v>
      </c>
      <c r="C170" s="14">
        <f>IFERROR(B170/B327, "NA")</f>
      </c>
      <c r="D170" s="15"/>
      <c r="E170" s="13">
        <v>1067.76</v>
      </c>
      <c r="F170" s="14">
        <f>IFERROR(E170/E327, "NA")</f>
      </c>
      <c r="G170" s="15"/>
      <c r="H170" s="13">
        <v>577.37</v>
      </c>
      <c r="I170" s="14">
        <f>IFERROR(H170/H327, "NA")</f>
      </c>
      <c r="J170" s="15"/>
      <c r="K170" s="13">
        <v>1067.29</v>
      </c>
      <c r="L170" s="14">
        <f>IFERROR(K170/K327, "NA")</f>
      </c>
      <c r="M170" s="15"/>
      <c r="N170" s="13">
        <v>973.34000000000003</v>
      </c>
      <c r="O170" s="14">
        <f>IFERROR(N170/N327, "NA")</f>
      </c>
    </row>
    <row r="171" ht="16.5" customHeight="1">
      <c t="s" r="A171" s="12">
        <v>174</v>
      </c>
      <c r="B171" s="13">
        <v>0</v>
      </c>
      <c r="C171" s="14">
        <f>IFERROR(B171/B327, "NA")</f>
      </c>
      <c r="D171" s="15"/>
      <c r="E171" s="13">
        <v>30.350000000000001</v>
      </c>
      <c r="F171" s="14">
        <f>IFERROR(E171/E327, "NA")</f>
      </c>
      <c r="G171" s="15"/>
      <c r="H171" s="13">
        <v>160.44999999999999</v>
      </c>
      <c r="I171" s="14">
        <f>IFERROR(H171/H327, "NA")</f>
      </c>
      <c r="J171" s="15"/>
      <c r="K171" s="13">
        <v>7253.8999999999996</v>
      </c>
      <c r="L171" s="14">
        <f>IFERROR(K171/K327, "NA")</f>
      </c>
      <c r="M171" s="15"/>
      <c r="N171" s="13">
        <v>0</v>
      </c>
      <c r="O171" s="14">
        <f>IFERROR(N171/N327, "NA")</f>
      </c>
    </row>
    <row r="172" ht="16.5" customHeight="1">
      <c t="s" r="A172" s="12">
        <v>175</v>
      </c>
      <c r="B172" s="13">
        <v>0</v>
      </c>
      <c r="C172" s="14">
        <f>IFERROR(B172/B327, "NA")</f>
      </c>
      <c r="D172" s="15"/>
      <c r="E172" s="13">
        <v>0</v>
      </c>
      <c r="F172" s="14">
        <f>IFERROR(E172/E327, "NA")</f>
      </c>
      <c r="G172" s="15"/>
      <c r="H172" s="13">
        <v>0</v>
      </c>
      <c r="I172" s="14">
        <f>IFERROR(H172/H327, "NA")</f>
      </c>
      <c r="J172" s="15"/>
      <c r="K172" s="13">
        <v>0</v>
      </c>
      <c r="L172" s="14">
        <f>IFERROR(K172/K327, "NA")</f>
      </c>
      <c r="M172" s="15"/>
      <c r="N172" s="13">
        <v>0</v>
      </c>
      <c r="O172" s="14">
        <f>IFERROR(N172/N327, "NA")</f>
      </c>
    </row>
    <row r="173" ht="16.5" customHeight="1">
      <c t="s" r="A173" s="12">
        <v>176</v>
      </c>
      <c r="B173" s="13">
        <v>0</v>
      </c>
      <c r="C173" s="14">
        <f>IFERROR(B173/B327, "NA")</f>
      </c>
      <c r="D173" s="15"/>
      <c r="E173" s="13">
        <v>0</v>
      </c>
      <c r="F173" s="14">
        <f>IFERROR(E173/E327, "NA")</f>
      </c>
      <c r="G173" s="15"/>
      <c r="H173" s="13">
        <v>0</v>
      </c>
      <c r="I173" s="14">
        <f>IFERROR(H173/H327, "NA")</f>
      </c>
      <c r="J173" s="15"/>
      <c r="K173" s="13">
        <v>0</v>
      </c>
      <c r="L173" s="14">
        <f>IFERROR(K173/K327, "NA")</f>
      </c>
      <c r="M173" s="15"/>
      <c r="N173" s="13">
        <v>0</v>
      </c>
      <c r="O173" s="14">
        <f>IFERROR(N173/N327, "NA")</f>
      </c>
    </row>
    <row r="174" ht="16.5" customHeight="1">
      <c t="s" r="A174" s="12">
        <v>177</v>
      </c>
      <c r="B174" s="13">
        <v>0</v>
      </c>
      <c r="C174" s="14">
        <f>IFERROR(B174/B327, "NA")</f>
      </c>
      <c r="D174" s="15"/>
      <c r="E174" s="13">
        <v>0</v>
      </c>
      <c r="F174" s="14">
        <f>IFERROR(E174/E327, "NA")</f>
      </c>
      <c r="G174" s="15"/>
      <c r="H174" s="13">
        <v>0</v>
      </c>
      <c r="I174" s="14">
        <f>IFERROR(H174/H327, "NA")</f>
      </c>
      <c r="J174" s="15"/>
      <c r="K174" s="13">
        <v>0</v>
      </c>
      <c r="L174" s="14">
        <f>IFERROR(K174/K327, "NA")</f>
      </c>
      <c r="M174" s="15"/>
      <c r="N174" s="13">
        <v>0</v>
      </c>
      <c r="O174" s="14">
        <f>IFERROR(N174/N327, "NA")</f>
      </c>
    </row>
    <row r="175" ht="16.5" customHeight="1">
      <c t="s" r="A175" s="12">
        <v>178</v>
      </c>
      <c r="B175" s="13">
        <v>-777.67999999999995</v>
      </c>
      <c r="C175" s="14">
        <f>IFERROR(B175/B327, "NA")</f>
      </c>
      <c r="D175" s="15"/>
      <c r="E175" s="13">
        <v>1499.22</v>
      </c>
      <c r="F175" s="14">
        <f>IFERROR(E175/E327, "NA")</f>
      </c>
      <c r="G175" s="15"/>
      <c r="H175" s="13">
        <v>1741.0899999999999</v>
      </c>
      <c r="I175" s="14">
        <f>IFERROR(H175/H327, "NA")</f>
      </c>
      <c r="J175" s="15"/>
      <c r="K175" s="13">
        <v>1676.54</v>
      </c>
      <c r="L175" s="14">
        <f>IFERROR(K175/K327, "NA")</f>
      </c>
      <c r="M175" s="15"/>
      <c r="N175" s="13">
        <v>2325.7199999999998</v>
      </c>
      <c r="O175" s="14">
        <f>IFERROR(N175/N327, "NA")</f>
      </c>
    </row>
    <row r="176" ht="16.5" customHeight="1">
      <c t="s" r="A176" s="12">
        <v>179</v>
      </c>
      <c r="B176" s="13">
        <v>-773.88</v>
      </c>
      <c r="C176" s="14">
        <f>IFERROR(B176/B327, "NA")</f>
      </c>
      <c r="D176" s="15"/>
      <c r="E176" s="13">
        <v>5868.8000000000002</v>
      </c>
      <c r="F176" s="14">
        <f>IFERROR(E176/E327, "NA")</f>
      </c>
      <c r="G176" s="15"/>
      <c r="H176" s="13">
        <v>1145.5599999999999</v>
      </c>
      <c r="I176" s="14">
        <f>IFERROR(H176/H327, "NA")</f>
      </c>
      <c r="J176" s="15"/>
      <c r="K176" s="13">
        <v>739.46000000000004</v>
      </c>
      <c r="L176" s="14">
        <f>IFERROR(K176/K327, "NA")</f>
      </c>
      <c r="M176" s="15"/>
      <c r="N176" s="13">
        <v>2464.75</v>
      </c>
      <c r="O176" s="14">
        <f>IFERROR(N176/N327, "NA")</f>
      </c>
    </row>
    <row r="177" ht="16.5" customHeight="1">
      <c t="s" r="A177" s="12">
        <v>180</v>
      </c>
      <c r="B177" s="13">
        <v>1004.73</v>
      </c>
      <c r="C177" s="14">
        <f>IFERROR(B177/B327, "NA")</f>
      </c>
      <c r="D177" s="15"/>
      <c r="E177" s="13">
        <v>2667.71</v>
      </c>
      <c r="F177" s="14">
        <f>IFERROR(E177/E327, "NA")</f>
      </c>
      <c r="G177" s="15"/>
      <c r="H177" s="13">
        <v>2481.5500000000002</v>
      </c>
      <c r="I177" s="14">
        <f>IFERROR(H177/H327, "NA")</f>
      </c>
      <c r="J177" s="15"/>
      <c r="K177" s="13">
        <v>2614.2800000000002</v>
      </c>
      <c r="L177" s="14">
        <f>IFERROR(K177/K327, "NA")</f>
      </c>
      <c r="M177" s="15"/>
      <c r="N177" s="13">
        <v>2550.6300000000001</v>
      </c>
      <c r="O177" s="14">
        <f>IFERROR(N177/N327, "NA")</f>
      </c>
    </row>
    <row r="178" ht="16.5" customHeight="1">
      <c t="s" r="A178" s="12">
        <v>181</v>
      </c>
      <c r="B178" s="13">
        <v>-1403.3499999999999</v>
      </c>
      <c r="C178" s="14">
        <f>IFERROR(B178/B327, "NA")</f>
      </c>
      <c r="D178" s="15"/>
      <c r="E178" s="13">
        <v>94.400000000000006</v>
      </c>
      <c r="F178" s="14">
        <f>IFERROR(E178/E327, "NA")</f>
      </c>
      <c r="G178" s="15"/>
      <c r="H178" s="13">
        <v>-1476.6300000000001</v>
      </c>
      <c r="I178" s="14">
        <f>IFERROR(H178/H327, "NA")</f>
      </c>
      <c r="J178" s="15"/>
      <c r="K178" s="13">
        <v>0</v>
      </c>
      <c r="L178" s="14">
        <f>IFERROR(K178/K327, "NA")</f>
      </c>
      <c r="M178" s="15"/>
      <c r="N178" s="13">
        <v>0</v>
      </c>
      <c r="O178" s="14">
        <f>IFERROR(N178/N327, "NA")</f>
      </c>
    </row>
    <row r="179" ht="16.5" customHeight="1">
      <c t="s" r="A179" s="12">
        <v>182</v>
      </c>
      <c r="B179" s="13">
        <v>3924</v>
      </c>
      <c r="C179" s="14">
        <f>IFERROR(B179/B327, "NA")</f>
      </c>
      <c r="D179" s="15"/>
      <c r="E179" s="13">
        <v>0</v>
      </c>
      <c r="F179" s="14">
        <f>IFERROR(E179/E327, "NA")</f>
      </c>
      <c r="G179" s="15"/>
      <c r="H179" s="13">
        <v>0</v>
      </c>
      <c r="I179" s="14">
        <f>IFERROR(H179/H327, "NA")</f>
      </c>
      <c r="J179" s="15"/>
      <c r="K179" s="13">
        <v>0</v>
      </c>
      <c r="L179" s="14">
        <f>IFERROR(K179/K327, "NA")</f>
      </c>
      <c r="M179" s="15"/>
      <c r="N179" s="13">
        <v>0</v>
      </c>
      <c r="O179" s="14">
        <f>IFERROR(N179/N327, "NA")</f>
      </c>
    </row>
    <row r="180" ht="16.5" customHeight="1">
      <c t="s" r="A180" s="12">
        <v>183</v>
      </c>
      <c r="B180" s="13">
        <v>0</v>
      </c>
      <c r="C180" s="14">
        <f>IFERROR(B180/B327, "NA")</f>
      </c>
      <c r="D180" s="15"/>
      <c r="E180" s="13">
        <v>0</v>
      </c>
      <c r="F180" s="14">
        <f>IFERROR(E180/E327, "NA")</f>
      </c>
      <c r="G180" s="15"/>
      <c r="H180" s="13">
        <v>0</v>
      </c>
      <c r="I180" s="14">
        <f>IFERROR(H180/H327, "NA")</f>
      </c>
      <c r="J180" s="15"/>
      <c r="K180" s="13">
        <v>0</v>
      </c>
      <c r="L180" s="14">
        <f>IFERROR(K180/K327, "NA")</f>
      </c>
      <c r="M180" s="15"/>
      <c r="N180" s="13">
        <v>0</v>
      </c>
      <c r="O180" s="14">
        <f>IFERROR(N180/N327, "NA")</f>
      </c>
    </row>
    <row r="181" ht="16.5" customHeight="1">
      <c t="s" r="A181" s="12">
        <v>184</v>
      </c>
      <c r="B181" s="13">
        <v>0</v>
      </c>
      <c r="C181" s="14">
        <f>IFERROR(B181/B327, "NA")</f>
      </c>
      <c r="D181" s="15"/>
      <c r="E181" s="13">
        <v>0</v>
      </c>
      <c r="F181" s="14">
        <f>IFERROR(E181/E327, "NA")</f>
      </c>
      <c r="G181" s="15"/>
      <c r="H181" s="13">
        <v>0</v>
      </c>
      <c r="I181" s="14">
        <f>IFERROR(H181/H327, "NA")</f>
      </c>
      <c r="J181" s="15"/>
      <c r="K181" s="13">
        <v>0</v>
      </c>
      <c r="L181" s="14">
        <f>IFERROR(K181/K327, "NA")</f>
      </c>
      <c r="M181" s="15"/>
      <c r="N181" s="13">
        <v>0</v>
      </c>
      <c r="O181" s="14">
        <f>IFERROR(N181/N327, "NA")</f>
      </c>
    </row>
    <row r="182" ht="16.5" customHeight="1">
      <c t="s" r="A182" s="12">
        <v>185</v>
      </c>
      <c r="B182" s="13">
        <v>-52.859999999999999</v>
      </c>
      <c r="C182" s="14">
        <f>IFERROR(B182/B327, "NA")</f>
      </c>
      <c r="D182" s="15"/>
      <c r="E182" s="13">
        <v>0</v>
      </c>
      <c r="F182" s="14">
        <f>IFERROR(E182/E327, "NA")</f>
      </c>
      <c r="G182" s="15"/>
      <c r="H182" s="13">
        <v>0</v>
      </c>
      <c r="I182" s="14">
        <f>IFERROR(H182/H327, "NA")</f>
      </c>
      <c r="J182" s="15"/>
      <c r="K182" s="13">
        <v>188.02000000000001</v>
      </c>
      <c r="L182" s="14">
        <f>IFERROR(K182/K327, "NA")</f>
      </c>
      <c r="M182" s="15"/>
      <c r="N182" s="13">
        <v>142.86000000000001</v>
      </c>
      <c r="O182" s="14">
        <f>IFERROR(N182/N327, "NA")</f>
      </c>
    </row>
    <row r="183" ht="16.5" customHeight="1">
      <c t="s" r="A183" s="12">
        <v>186</v>
      </c>
      <c r="B183" s="13">
        <v>0</v>
      </c>
      <c r="C183" s="14">
        <f>IFERROR(B183/B327, "NA")</f>
      </c>
      <c r="D183" s="15"/>
      <c r="E183" s="13">
        <v>1638.75</v>
      </c>
      <c r="F183" s="14">
        <f>IFERROR(E183/E327, "NA")</f>
      </c>
      <c r="G183" s="15"/>
      <c r="H183" s="13">
        <v>1392.74</v>
      </c>
      <c r="I183" s="14">
        <f>IFERROR(H183/H327, "NA")</f>
      </c>
      <c r="J183" s="15"/>
      <c r="K183" s="13">
        <v>1536.8499999999999</v>
      </c>
      <c r="L183" s="14">
        <f>IFERROR(K183/K327, "NA")</f>
      </c>
      <c r="M183" s="15"/>
      <c r="N183" s="13">
        <v>1280.4300000000001</v>
      </c>
      <c r="O183" s="14">
        <f>IFERROR(N183/N327, "NA")</f>
      </c>
    </row>
    <row r="184" ht="16.5" customHeight="1">
      <c t="s" r="A184" s="12">
        <v>187</v>
      </c>
      <c r="B184" s="13">
        <v>-5.4800000000000004</v>
      </c>
      <c r="C184" s="14">
        <f>IFERROR(B184/B327, "NA")</f>
      </c>
      <c r="D184" s="15"/>
      <c r="E184" s="13">
        <v>1037.9300000000001</v>
      </c>
      <c r="F184" s="14">
        <f>IFERROR(E184/E327, "NA")</f>
      </c>
      <c r="G184" s="15"/>
      <c r="H184" s="13">
        <v>1265.05</v>
      </c>
      <c r="I184" s="14">
        <f>IFERROR(H184/H327, "NA")</f>
      </c>
      <c r="J184" s="15"/>
      <c r="K184" s="13">
        <v>502.72000000000003</v>
      </c>
      <c r="L184" s="14">
        <f>IFERROR(K184/K327, "NA")</f>
      </c>
      <c r="M184" s="15"/>
      <c r="N184" s="13">
        <v>-103</v>
      </c>
      <c r="O184" s="14">
        <f>IFERROR(N184/N327, "NA")</f>
      </c>
    </row>
    <row r="185" ht="16.5" customHeight="1">
      <c t="s" r="A185" s="12">
        <v>188</v>
      </c>
      <c r="B185" s="13">
        <v>0</v>
      </c>
      <c r="C185" s="14">
        <f>IFERROR(B185/B327, "NA")</f>
      </c>
      <c r="D185" s="15"/>
      <c r="E185" s="13">
        <v>0</v>
      </c>
      <c r="F185" s="14">
        <f>IFERROR(E185/E327, "NA")</f>
      </c>
      <c r="G185" s="15"/>
      <c r="H185" s="13">
        <v>0</v>
      </c>
      <c r="I185" s="14">
        <f>IFERROR(H185/H327, "NA")</f>
      </c>
      <c r="J185" s="15"/>
      <c r="K185" s="13">
        <v>0</v>
      </c>
      <c r="L185" s="14">
        <f>IFERROR(K185/K327, "NA")</f>
      </c>
      <c r="M185" s="15"/>
      <c r="N185" s="13">
        <v>0</v>
      </c>
      <c r="O185" s="14">
        <f>IFERROR(N185/N327, "NA")</f>
      </c>
    </row>
    <row r="186" ht="16.5" customHeight="1">
      <c t="s" r="A186" s="12">
        <v>189</v>
      </c>
      <c r="B186" s="13">
        <v>0</v>
      </c>
      <c r="C186" s="14">
        <f>IFERROR(B186/B327, "NA")</f>
      </c>
      <c r="D186" s="15"/>
      <c r="E186" s="13">
        <v>0</v>
      </c>
      <c r="F186" s="14">
        <f>IFERROR(E186/E327, "NA")</f>
      </c>
      <c r="G186" s="15"/>
      <c r="H186" s="13">
        <v>0</v>
      </c>
      <c r="I186" s="14">
        <f>IFERROR(H186/H327, "NA")</f>
      </c>
      <c r="J186" s="15"/>
      <c r="K186" s="13">
        <v>0</v>
      </c>
      <c r="L186" s="14">
        <f>IFERROR(K186/K327, "NA")</f>
      </c>
      <c r="M186" s="15"/>
      <c r="N186" s="13">
        <v>0</v>
      </c>
      <c r="O186" s="14">
        <f>IFERROR(N186/N327, "NA")</f>
      </c>
    </row>
    <row r="187" ht="16.5" customHeight="1">
      <c t="s" r="A187" s="12">
        <v>190</v>
      </c>
      <c r="B187" s="13">
        <v>0</v>
      </c>
      <c r="C187" s="14">
        <f>IFERROR(B187/B327, "NA")</f>
      </c>
      <c r="D187" s="15"/>
      <c r="E187" s="13">
        <v>0</v>
      </c>
      <c r="F187" s="14">
        <f>IFERROR(E187/E327, "NA")</f>
      </c>
      <c r="G187" s="15"/>
      <c r="H187" s="13">
        <v>0</v>
      </c>
      <c r="I187" s="14">
        <f>IFERROR(H187/H327, "NA")</f>
      </c>
      <c r="J187" s="15"/>
      <c r="K187" s="13">
        <v>0</v>
      </c>
      <c r="L187" s="14">
        <f>IFERROR(K187/K327, "NA")</f>
      </c>
      <c r="M187" s="15"/>
      <c r="N187" s="13">
        <v>0</v>
      </c>
      <c r="O187" s="14">
        <f>IFERROR(N187/N327, "NA")</f>
      </c>
    </row>
    <row r="188" ht="16.5" customHeight="1">
      <c t="s" r="A188" s="12">
        <v>191</v>
      </c>
      <c r="B188" s="13">
        <v>0</v>
      </c>
      <c r="C188" s="14">
        <f>IFERROR(B188/B327, "NA")</f>
      </c>
      <c r="D188" s="15"/>
      <c r="E188" s="13">
        <v>247.37</v>
      </c>
      <c r="F188" s="14">
        <f>IFERROR(E188/E327, "NA")</f>
      </c>
      <c r="G188" s="15"/>
      <c r="H188" s="13">
        <v>-7.5899999999999999</v>
      </c>
      <c r="I188" s="14">
        <f>IFERROR(H188/H327, "NA")</f>
      </c>
      <c r="J188" s="15"/>
      <c r="K188" s="13">
        <v>-188.05000000000001</v>
      </c>
      <c r="L188" s="14">
        <f>IFERROR(K188/K327, "NA")</f>
      </c>
      <c r="M188" s="15"/>
      <c r="N188" s="13">
        <v>1404.72</v>
      </c>
      <c r="O188" s="14">
        <f>IFERROR(N188/N327, "NA")</f>
      </c>
    </row>
    <row r="189" ht="16.5" customHeight="1">
      <c t="s" r="A189" s="12">
        <v>192</v>
      </c>
      <c r="B189" s="13">
        <v>-32.93</v>
      </c>
      <c r="C189" s="14">
        <f>IFERROR(B189/B327, "NA")</f>
      </c>
      <c r="D189" s="15"/>
      <c r="E189" s="13">
        <v>1117.6400000000001</v>
      </c>
      <c r="F189" s="14">
        <f>IFERROR(E189/E327, "NA")</f>
      </c>
      <c r="G189" s="15"/>
      <c r="H189" s="13">
        <v>3635.9299999999998</v>
      </c>
      <c r="I189" s="14">
        <f>IFERROR(H189/H327, "NA")</f>
      </c>
      <c r="J189" s="15"/>
      <c r="K189" s="13">
        <v>1108.3900000000001</v>
      </c>
      <c r="L189" s="14">
        <f>IFERROR(K189/K327, "NA")</f>
      </c>
      <c r="M189" s="15"/>
      <c r="N189" s="13">
        <v>958.47000000000003</v>
      </c>
      <c r="O189" s="14">
        <f>IFERROR(N189/N327, "NA")</f>
      </c>
    </row>
    <row r="190" ht="16.5" customHeight="1">
      <c t="s" r="A190" s="12">
        <v>193</v>
      </c>
      <c r="B190" s="13">
        <v>0</v>
      </c>
      <c r="C190" s="14">
        <f>IFERROR(B190/B327, "NA")</f>
      </c>
      <c r="D190" s="15"/>
      <c r="E190" s="13">
        <v>0</v>
      </c>
      <c r="F190" s="14">
        <f>IFERROR(E190/E327, "NA")</f>
      </c>
      <c r="G190" s="15"/>
      <c r="H190" s="13">
        <v>0</v>
      </c>
      <c r="I190" s="14">
        <f>IFERROR(H190/H327, "NA")</f>
      </c>
      <c r="J190" s="15"/>
      <c r="K190" s="13">
        <v>0</v>
      </c>
      <c r="L190" s="14">
        <f>IFERROR(K190/K327, "NA")</f>
      </c>
      <c r="M190" s="15"/>
      <c r="N190" s="13">
        <v>0</v>
      </c>
      <c r="O190" s="14">
        <f>IFERROR(N190/N327, "NA")</f>
      </c>
    </row>
    <row r="191" ht="16.5" customHeight="1">
      <c t="s" r="A191" s="12">
        <v>194</v>
      </c>
      <c r="B191" s="13">
        <v>0</v>
      </c>
      <c r="C191" s="14">
        <f>IFERROR(B191/B327, "NA")</f>
      </c>
      <c r="D191" s="15"/>
      <c r="E191" s="13">
        <v>0</v>
      </c>
      <c r="F191" s="14">
        <f>IFERROR(E191/E327, "NA")</f>
      </c>
      <c r="G191" s="15"/>
      <c r="H191" s="13">
        <v>0</v>
      </c>
      <c r="I191" s="14">
        <f>IFERROR(H191/H327, "NA")</f>
      </c>
      <c r="J191" s="15"/>
      <c r="K191" s="13">
        <v>0</v>
      </c>
      <c r="L191" s="14">
        <f>IFERROR(K191/K327, "NA")</f>
      </c>
      <c r="M191" s="15"/>
      <c r="N191" s="13">
        <v>0</v>
      </c>
      <c r="O191" s="14">
        <f>IFERROR(N191/N327, "NA")</f>
      </c>
    </row>
    <row r="192" ht="16.5" customHeight="1">
      <c t="s" r="A192" s="12">
        <v>195</v>
      </c>
      <c r="B192" s="13">
        <v>454.43000000000001</v>
      </c>
      <c r="C192" s="14">
        <f>IFERROR(B192/B327, "NA")</f>
      </c>
      <c r="D192" s="15"/>
      <c r="E192" s="13">
        <v>69.650000000000006</v>
      </c>
      <c r="F192" s="14">
        <f>IFERROR(E192/E327, "NA")</f>
      </c>
      <c r="G192" s="15"/>
      <c r="H192" s="13">
        <v>-3.6400000000000001</v>
      </c>
      <c r="I192" s="14">
        <f>IFERROR(H192/H327, "NA")</f>
      </c>
      <c r="J192" s="15"/>
      <c r="K192" s="13">
        <v>4294.54</v>
      </c>
      <c r="L192" s="14">
        <f>IFERROR(K192/K327, "NA")</f>
      </c>
      <c r="M192" s="15"/>
      <c r="N192" s="13">
        <v>23</v>
      </c>
      <c r="O192" s="14">
        <f>IFERROR(N192/N327, "NA")</f>
      </c>
    </row>
    <row r="193" ht="16.5" customHeight="1">
      <c t="s" r="A193" s="12">
        <v>196</v>
      </c>
      <c r="B193" s="13">
        <v>4561.1000000000004</v>
      </c>
      <c r="C193" s="14">
        <f>IFERROR(B193/B327, "NA")</f>
      </c>
      <c r="D193" s="15"/>
      <c r="E193" s="13">
        <v>4561.1000000000004</v>
      </c>
      <c r="F193" s="14">
        <f>IFERROR(E193/E327, "NA")</f>
      </c>
      <c r="G193" s="15"/>
      <c r="H193" s="13">
        <v>4561.1000000000004</v>
      </c>
      <c r="I193" s="14">
        <f>IFERROR(H193/H327, "NA")</f>
      </c>
      <c r="J193" s="15"/>
      <c r="K193" s="13">
        <v>4561.1000000000004</v>
      </c>
      <c r="L193" s="14">
        <f>IFERROR(K193/K327, "NA")</f>
      </c>
      <c r="M193" s="15"/>
      <c r="N193" s="13">
        <v>4561.1000000000004</v>
      </c>
      <c r="O193" s="14">
        <f>IFERROR(N193/N327, "NA")</f>
      </c>
    </row>
    <row r="194" ht="16.5" customHeight="1">
      <c t="s" r="A194" s="12">
        <v>197</v>
      </c>
      <c r="B194" s="13">
        <v>0</v>
      </c>
      <c r="C194" s="14">
        <f>IFERROR(B194/B327, "NA")</f>
      </c>
      <c r="D194" s="15"/>
      <c r="E194" s="13">
        <v>0</v>
      </c>
      <c r="F194" s="14">
        <f>IFERROR(E194/E327, "NA")</f>
      </c>
      <c r="G194" s="15"/>
      <c r="H194" s="13">
        <v>0</v>
      </c>
      <c r="I194" s="14">
        <f>IFERROR(H194/H327, "NA")</f>
      </c>
      <c r="J194" s="15"/>
      <c r="K194" s="13">
        <v>0</v>
      </c>
      <c r="L194" s="14">
        <f>IFERROR(K194/K327, "NA")</f>
      </c>
      <c r="M194" s="15"/>
      <c r="N194" s="13">
        <v>0</v>
      </c>
      <c r="O194" s="14">
        <f>IFERROR(N194/N327, "NA")</f>
      </c>
    </row>
    <row r="195" ht="16.5" customHeight="1">
      <c t="s" r="A195" s="12">
        <v>198</v>
      </c>
      <c r="B195" s="13">
        <v>0</v>
      </c>
      <c r="C195" s="14">
        <f>IFERROR(B195/B327, "NA")</f>
      </c>
      <c r="D195" s="15"/>
      <c r="E195" s="13">
        <v>0</v>
      </c>
      <c r="F195" s="14">
        <f>IFERROR(E195/E327, "NA")</f>
      </c>
      <c r="G195" s="15"/>
      <c r="H195" s="13">
        <v>0</v>
      </c>
      <c r="I195" s="14">
        <f>IFERROR(H195/H327, "NA")</f>
      </c>
      <c r="J195" s="15"/>
      <c r="K195" s="13">
        <v>1242.9300000000001</v>
      </c>
      <c r="L195" s="14">
        <f>IFERROR(K195/K327, "NA")</f>
      </c>
      <c r="M195" s="15"/>
      <c r="N195" s="13">
        <v>360</v>
      </c>
      <c r="O195" s="14">
        <f>IFERROR(N195/N327, "NA")</f>
      </c>
    </row>
    <row r="196" ht="16.5" customHeight="1">
      <c t="s" r="A196" s="12">
        <v>199</v>
      </c>
      <c r="B196" s="13">
        <v>9379</v>
      </c>
      <c r="C196" s="14">
        <f>IFERROR(B196/B327, "NA")</f>
      </c>
      <c r="D196" s="15"/>
      <c r="E196" s="13">
        <v>3746.75</v>
      </c>
      <c r="F196" s="14">
        <f>IFERROR(E196/E327, "NA")</f>
      </c>
      <c r="G196" s="15"/>
      <c r="H196" s="13">
        <v>8232.75</v>
      </c>
      <c r="I196" s="14">
        <f>IFERROR(H196/H327, "NA")</f>
      </c>
      <c r="J196" s="15"/>
      <c r="K196" s="13">
        <v>2812.1199999999999</v>
      </c>
      <c r="L196" s="14">
        <f>IFERROR(K196/K327, "NA")</f>
      </c>
      <c r="M196" s="15"/>
      <c r="N196" s="13">
        <v>5394.1000000000004</v>
      </c>
      <c r="O196" s="14">
        <f>IFERROR(N196/N327, "NA")</f>
      </c>
    </row>
    <row r="197" ht="16.5" customHeight="1">
      <c t="s" r="A197" s="12">
        <v>200</v>
      </c>
      <c r="B197" s="13">
        <v>0</v>
      </c>
      <c r="C197" s="14">
        <f>IFERROR(B197/B327, "NA")</f>
      </c>
      <c r="D197" s="15"/>
      <c r="E197" s="13">
        <v>0</v>
      </c>
      <c r="F197" s="14">
        <f>IFERROR(E197/E327, "NA")</f>
      </c>
      <c r="G197" s="15"/>
      <c r="H197" s="13">
        <v>0</v>
      </c>
      <c r="I197" s="14">
        <f>IFERROR(H197/H327, "NA")</f>
      </c>
      <c r="J197" s="15"/>
      <c r="K197" s="13">
        <v>0</v>
      </c>
      <c r="L197" s="14">
        <f>IFERROR(K197/K327, "NA")</f>
      </c>
      <c r="M197" s="15"/>
      <c r="N197" s="13">
        <v>0</v>
      </c>
      <c r="O197" s="14">
        <f>IFERROR(N197/N327, "NA")</f>
      </c>
    </row>
    <row r="198" ht="16.5" customHeight="1">
      <c t="s" r="A198" s="12">
        <v>201</v>
      </c>
      <c r="B198" s="13">
        <v>0</v>
      </c>
      <c r="C198" s="14">
        <f>IFERROR(B198/B327, "NA")</f>
      </c>
      <c r="D198" s="15"/>
      <c r="E198" s="13">
        <v>0</v>
      </c>
      <c r="F198" s="14">
        <f>IFERROR(E198/E327, "NA")</f>
      </c>
      <c r="G198" s="15"/>
      <c r="H198" s="13">
        <v>0</v>
      </c>
      <c r="I198" s="14">
        <f>IFERROR(H198/H327, "NA")</f>
      </c>
      <c r="J198" s="15"/>
      <c r="K198" s="13">
        <v>0</v>
      </c>
      <c r="L198" s="14">
        <f>IFERROR(K198/K327, "NA")</f>
      </c>
      <c r="M198" s="15"/>
      <c r="N198" s="13">
        <v>0</v>
      </c>
      <c r="O198" s="14">
        <f>IFERROR(N198/N327, "NA")</f>
      </c>
    </row>
    <row r="199" ht="16.5" customHeight="1">
      <c t="s" r="A199" s="12">
        <v>202</v>
      </c>
      <c r="B199" s="13">
        <v>0</v>
      </c>
      <c r="C199" s="14">
        <f>IFERROR(B199/B327, "NA")</f>
      </c>
      <c r="D199" s="15"/>
      <c r="E199" s="13">
        <v>0</v>
      </c>
      <c r="F199" s="14">
        <f>IFERROR(E199/E327, "NA")</f>
      </c>
      <c r="G199" s="15"/>
      <c r="H199" s="13">
        <v>0</v>
      </c>
      <c r="I199" s="14">
        <f>IFERROR(H199/H327, "NA")</f>
      </c>
      <c r="J199" s="15"/>
      <c r="K199" s="13">
        <v>0</v>
      </c>
      <c r="L199" s="14">
        <f>IFERROR(K199/K327, "NA")</f>
      </c>
      <c r="M199" s="15"/>
      <c r="N199" s="13">
        <v>0</v>
      </c>
      <c r="O199" s="14">
        <f>IFERROR(N199/N327, "NA")</f>
      </c>
    </row>
    <row r="200" ht="16.5" customHeight="1">
      <c t="s" r="A200" s="12">
        <v>203</v>
      </c>
      <c r="B200" s="13">
        <v>0</v>
      </c>
      <c r="C200" s="14">
        <f>IFERROR(B200/B327, "NA")</f>
      </c>
      <c r="D200" s="15"/>
      <c r="E200" s="13">
        <v>0</v>
      </c>
      <c r="F200" s="14">
        <f>IFERROR(E200/E327, "NA")</f>
      </c>
      <c r="G200" s="15"/>
      <c r="H200" s="13">
        <v>0</v>
      </c>
      <c r="I200" s="14">
        <f>IFERROR(H200/H327, "NA")</f>
      </c>
      <c r="J200" s="15"/>
      <c r="K200" s="13">
        <v>0</v>
      </c>
      <c r="L200" s="14">
        <f>IFERROR(K200/K327, "NA")</f>
      </c>
      <c r="M200" s="15"/>
      <c r="N200" s="13">
        <v>0</v>
      </c>
      <c r="O200" s="14">
        <f>IFERROR(N200/N327, "NA")</f>
      </c>
    </row>
    <row r="201" ht="16.5" customHeight="1">
      <c t="s" r="A201" s="12">
        <v>204</v>
      </c>
      <c r="B201" s="13">
        <v>0</v>
      </c>
      <c r="C201" s="14">
        <f>IFERROR(B201/B327, "NA")</f>
      </c>
      <c r="D201" s="15"/>
      <c r="E201" s="13">
        <v>0</v>
      </c>
      <c r="F201" s="14">
        <f>IFERROR(E201/E327, "NA")</f>
      </c>
      <c r="G201" s="15"/>
      <c r="H201" s="13">
        <v>1416.26</v>
      </c>
      <c r="I201" s="14">
        <f>IFERROR(H201/H327, "NA")</f>
      </c>
      <c r="J201" s="15"/>
      <c r="K201" s="13">
        <v>0</v>
      </c>
      <c r="L201" s="14">
        <f>IFERROR(K201/K327, "NA")</f>
      </c>
      <c r="M201" s="15"/>
      <c r="N201" s="13">
        <v>295.31</v>
      </c>
      <c r="O201" s="14">
        <f>IFERROR(N201/N327, "NA")</f>
      </c>
    </row>
    <row r="202" ht="16.5" customHeight="1">
      <c t="s" r="A202" s="12">
        <v>205</v>
      </c>
      <c r="B202" s="13">
        <v>0</v>
      </c>
      <c r="C202" s="14">
        <f>IFERROR(B202/B327, "NA")</f>
      </c>
      <c r="D202" s="15"/>
      <c r="E202" s="13">
        <v>0</v>
      </c>
      <c r="F202" s="14">
        <f>IFERROR(E202/E327, "NA")</f>
      </c>
      <c r="G202" s="15"/>
      <c r="H202" s="13">
        <v>0</v>
      </c>
      <c r="I202" s="14">
        <f>IFERROR(H202/H327, "NA")</f>
      </c>
      <c r="J202" s="15"/>
      <c r="K202" s="13">
        <v>0</v>
      </c>
      <c r="L202" s="14">
        <f>IFERROR(K202/K327, "NA")</f>
      </c>
      <c r="M202" s="15"/>
      <c r="N202" s="13">
        <v>0</v>
      </c>
      <c r="O202" s="14">
        <f>IFERROR(N202/N327, "NA")</f>
      </c>
    </row>
    <row r="203" ht="16.5" customHeight="1">
      <c t="s" r="A203" s="12">
        <v>206</v>
      </c>
      <c r="B203" s="13">
        <v>0</v>
      </c>
      <c r="C203" s="14">
        <f>IFERROR(B203/B327, "NA")</f>
      </c>
      <c r="D203" s="15"/>
      <c r="E203" s="13">
        <v>0</v>
      </c>
      <c r="F203" s="14">
        <f>IFERROR(E203/E327, "NA")</f>
      </c>
      <c r="G203" s="15"/>
      <c r="H203" s="13">
        <v>0</v>
      </c>
      <c r="I203" s="14">
        <f>IFERROR(H203/H327, "NA")</f>
      </c>
      <c r="J203" s="15"/>
      <c r="K203" s="13">
        <v>0</v>
      </c>
      <c r="L203" s="14">
        <f>IFERROR(K203/K327, "NA")</f>
      </c>
      <c r="M203" s="15"/>
      <c r="N203" s="13">
        <v>0</v>
      </c>
      <c r="O203" s="14">
        <f>IFERROR(N203/N327, "NA")</f>
      </c>
    </row>
    <row r="204" ht="16.5" customHeight="1">
      <c t="s" r="A204" s="12">
        <v>207</v>
      </c>
      <c r="B204" s="13">
        <v>0</v>
      </c>
      <c r="C204" s="14">
        <f>IFERROR(B204/B327, "NA")</f>
      </c>
      <c r="D204" s="15"/>
      <c r="E204" s="13">
        <v>0</v>
      </c>
      <c r="F204" s="14">
        <f>IFERROR(E204/E327, "NA")</f>
      </c>
      <c r="G204" s="15"/>
      <c r="H204" s="13">
        <v>0</v>
      </c>
      <c r="I204" s="14">
        <f>IFERROR(H204/H327, "NA")</f>
      </c>
      <c r="J204" s="15"/>
      <c r="K204" s="13">
        <v>0</v>
      </c>
      <c r="L204" s="14">
        <f>IFERROR(K204/K327, "NA")</f>
      </c>
      <c r="M204" s="15"/>
      <c r="N204" s="13">
        <v>0</v>
      </c>
      <c r="O204" s="14">
        <f>IFERROR(N204/N327, "NA")</f>
      </c>
    </row>
    <row r="205" ht="16.5" customHeight="1">
      <c t="s" r="A205" s="12">
        <v>208</v>
      </c>
      <c r="B205" s="13">
        <v>0</v>
      </c>
      <c r="C205" s="14">
        <f>IFERROR(B205/B327, "NA")</f>
      </c>
      <c r="D205" s="15"/>
      <c r="E205" s="13">
        <v>0</v>
      </c>
      <c r="F205" s="14">
        <f>IFERROR(E205/E327, "NA")</f>
      </c>
      <c r="G205" s="15"/>
      <c r="H205" s="13">
        <v>0</v>
      </c>
      <c r="I205" s="14">
        <f>IFERROR(H205/H327, "NA")</f>
      </c>
      <c r="J205" s="15"/>
      <c r="K205" s="13">
        <v>0</v>
      </c>
      <c r="L205" s="14">
        <f>IFERROR(K205/K327, "NA")</f>
      </c>
      <c r="M205" s="15"/>
      <c r="N205" s="13">
        <v>0</v>
      </c>
      <c r="O205" s="14">
        <f>IFERROR(N205/N327, "NA")</f>
      </c>
    </row>
    <row r="206" ht="16.5" customHeight="1">
      <c t="s" r="A206" s="12">
        <v>209</v>
      </c>
      <c r="B206" s="13">
        <v>0</v>
      </c>
      <c r="C206" s="14">
        <f>IFERROR(B206/B327, "NA")</f>
      </c>
      <c r="D206" s="15"/>
      <c r="E206" s="13">
        <v>0</v>
      </c>
      <c r="F206" s="14">
        <f>IFERROR(E206/E327, "NA")</f>
      </c>
      <c r="G206" s="15"/>
      <c r="H206" s="13">
        <v>0</v>
      </c>
      <c r="I206" s="14">
        <f>IFERROR(H206/H327, "NA")</f>
      </c>
      <c r="J206" s="15"/>
      <c r="K206" s="13">
        <v>0</v>
      </c>
      <c r="L206" s="14">
        <f>IFERROR(K206/K327, "NA")</f>
      </c>
      <c r="M206" s="15"/>
      <c r="N206" s="13">
        <v>0</v>
      </c>
      <c r="O206" s="14">
        <f>IFERROR(N206/N327, "NA")</f>
      </c>
    </row>
    <row r="207" ht="16.5" customHeight="1">
      <c t="s" r="A207" s="12">
        <v>210</v>
      </c>
      <c r="B207" s="13">
        <v>0</v>
      </c>
      <c r="C207" s="14">
        <f>IFERROR(B207/B327, "NA")</f>
      </c>
      <c r="D207" s="15"/>
      <c r="E207" s="13">
        <v>0</v>
      </c>
      <c r="F207" s="14">
        <f>IFERROR(E207/E327, "NA")</f>
      </c>
      <c r="G207" s="15"/>
      <c r="H207" s="13">
        <v>0</v>
      </c>
      <c r="I207" s="14">
        <f>IFERROR(H207/H327, "NA")</f>
      </c>
      <c r="J207" s="15"/>
      <c r="K207" s="13">
        <v>0</v>
      </c>
      <c r="L207" s="14">
        <f>IFERROR(K207/K327, "NA")</f>
      </c>
      <c r="M207" s="15"/>
      <c r="N207" s="13">
        <v>0</v>
      </c>
      <c r="O207" s="14">
        <f>IFERROR(N207/N327, "NA")</f>
      </c>
    </row>
    <row r="208" ht="16.5" customHeight="1">
      <c t="s" r="A208" s="12">
        <v>211</v>
      </c>
      <c r="B208" s="13">
        <v>0</v>
      </c>
      <c r="C208" s="14">
        <f>IFERROR(B208/B327, "NA")</f>
      </c>
      <c r="D208" s="15"/>
      <c r="E208" s="13">
        <v>0</v>
      </c>
      <c r="F208" s="14">
        <f>IFERROR(E208/E327, "NA")</f>
      </c>
      <c r="G208" s="15"/>
      <c r="H208" s="13">
        <v>0</v>
      </c>
      <c r="I208" s="14">
        <f>IFERROR(H208/H327, "NA")</f>
      </c>
      <c r="J208" s="15"/>
      <c r="K208" s="13">
        <v>0</v>
      </c>
      <c r="L208" s="14">
        <f>IFERROR(K208/K327, "NA")</f>
      </c>
      <c r="M208" s="15"/>
      <c r="N208" s="13">
        <v>0</v>
      </c>
      <c r="O208" s="14">
        <f>IFERROR(N208/N327, "NA")</f>
      </c>
    </row>
    <row r="209" ht="16.5" customHeight="1">
      <c t="s" r="A209" s="16">
        <v>212</v>
      </c>
      <c r="B209" s="17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</c>
      <c r="C209" s="18">
        <f>IFERROR(B209/B327, "NA")</f>
      </c>
      <c r="D209" s="8"/>
      <c r="E209" s="17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</c>
      <c r="F209" s="18">
        <f>IFERROR(E209/E327, "NA")</f>
      </c>
      <c r="G209" s="8"/>
      <c r="H209" s="17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</c>
      <c r="I209" s="18">
        <f>IFERROR(H209/H327, "NA")</f>
      </c>
      <c r="J209" s="8"/>
      <c r="K209" s="17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</c>
      <c r="L209" s="18">
        <f>IFERROR(K209/K327, "NA")</f>
      </c>
      <c r="M209" s="8"/>
      <c r="N209" s="17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</c>
      <c r="O209" s="18">
        <f>IFERROR(N209/N327, "NA")</f>
      </c>
    </row>
    <row r="210" ht="16.5" customHeight="1">
      <c t="s" r="A210" s="19">
        <v>213</v>
      </c>
      <c r="B210" s="13">
        <v>0</v>
      </c>
      <c r="C210" s="14">
        <f>IFERROR(B210/B327, "NA")</f>
      </c>
      <c r="D210" s="15"/>
      <c r="E210" s="13">
        <v>0</v>
      </c>
      <c r="F210" s="14">
        <f>IFERROR(E210/E327, "NA")</f>
      </c>
      <c r="G210" s="15"/>
      <c r="H210" s="13">
        <v>0</v>
      </c>
      <c r="I210" s="14">
        <f>IFERROR(H210/H327, "NA")</f>
      </c>
      <c r="J210" s="15"/>
      <c r="K210" s="13">
        <v>0</v>
      </c>
      <c r="L210" s="14">
        <f>IFERROR(K210/K327, "NA")</f>
      </c>
      <c r="M210" s="15"/>
      <c r="N210" s="13">
        <v>0</v>
      </c>
      <c r="O210" s="14">
        <f>IFERROR(N210/N327, "NA")</f>
      </c>
    </row>
    <row r="211" ht="16.5" customHeight="1">
      <c t="s" r="A211" s="20">
        <v>214</v>
      </c>
      <c r="B211" s="17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</c>
      <c r="C211" s="18">
        <f>IFERROR(B211/B327, "NA")</f>
      </c>
      <c r="D211" s="8"/>
      <c r="E211" s="17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</c>
      <c r="F211" s="18">
        <f>IFERROR(E211/E327, "NA")</f>
      </c>
      <c r="G211" s="8"/>
      <c r="H211" s="17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</c>
      <c r="I211" s="18">
        <f>IFERROR(H211/H327, "NA")</f>
      </c>
      <c r="J211" s="8"/>
      <c r="K211" s="17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</c>
      <c r="L211" s="18">
        <f>IFERROR(K211/K327, "NA")</f>
      </c>
      <c r="M211" s="8"/>
      <c r="N211" s="17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</c>
      <c r="O211" s="18">
        <f>IFERROR(N211/N327, "NA")</f>
      </c>
    </row>
    <row r="212" ht="16.5" customHeight="1">
      <c t="s" r="A212" s="7">
        <v>215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</row>
    <row r="213" ht="16.5" customHeight="1">
      <c t="s" r="A213" s="11">
        <v>216</v>
      </c>
      <c r="B213" s="8"/>
      <c r="C213" s="9"/>
      <c r="D213" s="10"/>
      <c r="E213" s="8"/>
      <c r="F213" s="9"/>
      <c r="G213" s="10"/>
      <c r="H213" s="8"/>
      <c r="I213" s="9"/>
      <c r="J213" s="10"/>
      <c r="K213" s="8"/>
      <c r="L213" s="9"/>
      <c r="M213" s="10"/>
      <c r="N213" s="8"/>
      <c r="O213" s="9"/>
    </row>
    <row r="214" ht="16.5" customHeight="1">
      <c t="s" r="A214" s="12">
        <v>217</v>
      </c>
      <c r="B214" s="13">
        <v>0</v>
      </c>
      <c r="C214" s="14">
        <f>IFERROR(B214/B327, "NA")</f>
      </c>
      <c r="D214" s="15"/>
      <c r="E214" s="13">
        <v>0</v>
      </c>
      <c r="F214" s="14">
        <f>IFERROR(E214/E327, "NA")</f>
      </c>
      <c r="G214" s="15"/>
      <c r="H214" s="13">
        <v>0</v>
      </c>
      <c r="I214" s="14">
        <f>IFERROR(H214/H327, "NA")</f>
      </c>
      <c r="J214" s="15"/>
      <c r="K214" s="13">
        <v>0</v>
      </c>
      <c r="L214" s="14">
        <f>IFERROR(K214/K327, "NA")</f>
      </c>
      <c r="M214" s="15"/>
      <c r="N214" s="13">
        <v>0</v>
      </c>
      <c r="O214" s="14">
        <f>IFERROR(N214/N327, "NA")</f>
      </c>
    </row>
    <row r="215" ht="16.5" customHeight="1">
      <c t="s" r="A215" s="12">
        <v>218</v>
      </c>
      <c r="B215" s="13">
        <v>2359.4899999999998</v>
      </c>
      <c r="C215" s="14">
        <f>IFERROR(B215/B327, "NA")</f>
      </c>
      <c r="D215" s="15"/>
      <c r="E215" s="13">
        <v>19540.759999999998</v>
      </c>
      <c r="F215" s="14">
        <f>IFERROR(E215/E327, "NA")</f>
      </c>
      <c r="G215" s="15"/>
      <c r="H215" s="13">
        <v>19996.509999999998</v>
      </c>
      <c r="I215" s="14">
        <f>IFERROR(H215/H327, "NA")</f>
      </c>
      <c r="J215" s="15"/>
      <c r="K215" s="13">
        <v>20938.509999999998</v>
      </c>
      <c r="L215" s="14">
        <f>IFERROR(K215/K327, "NA")</f>
      </c>
      <c r="M215" s="15"/>
      <c r="N215" s="13">
        <v>19513.369999999999</v>
      </c>
      <c r="O215" s="14">
        <f>IFERROR(N215/N327, "NA")</f>
      </c>
    </row>
    <row r="216" ht="16.5" customHeight="1">
      <c t="s" r="A216" s="12">
        <v>219</v>
      </c>
      <c r="B216" s="13">
        <v>0</v>
      </c>
      <c r="C216" s="14">
        <f>IFERROR(B216/B327, "NA")</f>
      </c>
      <c r="D216" s="15"/>
      <c r="E216" s="13">
        <v>135.58000000000001</v>
      </c>
      <c r="F216" s="14">
        <f>IFERROR(E216/E327, "NA")</f>
      </c>
      <c r="G216" s="15"/>
      <c r="H216" s="13">
        <v>193.94999999999999</v>
      </c>
      <c r="I216" s="14">
        <f>IFERROR(H216/H327, "NA")</f>
      </c>
      <c r="J216" s="15"/>
      <c r="K216" s="13">
        <v>271.95999999999998</v>
      </c>
      <c r="L216" s="14">
        <f>IFERROR(K216/K327, "NA")</f>
      </c>
      <c r="M216" s="15"/>
      <c r="N216" s="13">
        <v>59.329999999999998</v>
      </c>
      <c r="O216" s="14">
        <f>IFERROR(N216/N327, "NA")</f>
      </c>
    </row>
    <row r="217" ht="16.5" customHeight="1">
      <c t="s" r="A217" s="12">
        <v>220</v>
      </c>
      <c r="B217" s="13">
        <v>2798.0599999999999</v>
      </c>
      <c r="C217" s="14">
        <f>IFERROR(B217/B327, "NA")</f>
      </c>
      <c r="D217" s="15"/>
      <c r="E217" s="13">
        <v>3965.6900000000001</v>
      </c>
      <c r="F217" s="14">
        <f>IFERROR(E217/E327, "NA")</f>
      </c>
      <c r="G217" s="15"/>
      <c r="H217" s="13">
        <v>4265.3500000000004</v>
      </c>
      <c r="I217" s="14">
        <f>IFERROR(H217/H327, "NA")</f>
      </c>
      <c r="J217" s="15"/>
      <c r="K217" s="13">
        <v>6678.1599999999999</v>
      </c>
      <c r="L217" s="14">
        <f>IFERROR(K217/K327, "NA")</f>
      </c>
      <c r="M217" s="15"/>
      <c r="N217" s="13">
        <v>2121.5799999999999</v>
      </c>
      <c r="O217" s="14">
        <f>IFERROR(N217/N327, "NA")</f>
      </c>
    </row>
    <row r="218" ht="16.5" customHeight="1">
      <c t="s" r="A218" s="12">
        <v>221</v>
      </c>
      <c r="B218" s="13">
        <v>0</v>
      </c>
      <c r="C218" s="14">
        <f>IFERROR(B218/B327, "NA")</f>
      </c>
      <c r="D218" s="15"/>
      <c r="E218" s="13">
        <v>0</v>
      </c>
      <c r="F218" s="14">
        <f>IFERROR(E218/E327, "NA")</f>
      </c>
      <c r="G218" s="15"/>
      <c r="H218" s="13">
        <v>0</v>
      </c>
      <c r="I218" s="14">
        <f>IFERROR(H218/H327, "NA")</f>
      </c>
      <c r="J218" s="15"/>
      <c r="K218" s="13">
        <v>466.25</v>
      </c>
      <c r="L218" s="14">
        <f>IFERROR(K218/K327, "NA")</f>
      </c>
      <c r="M218" s="15"/>
      <c r="N218" s="13">
        <v>63.789999999999999</v>
      </c>
      <c r="O218" s="14">
        <f>IFERROR(N218/N327, "NA")</f>
      </c>
    </row>
    <row r="219" ht="16.5" customHeight="1">
      <c t="s" r="A219" s="12">
        <v>222</v>
      </c>
      <c r="B219" s="13">
        <v>2021.27</v>
      </c>
      <c r="C219" s="14">
        <f>IFERROR(B219/B327, "NA")</f>
      </c>
      <c r="D219" s="15"/>
      <c r="E219" s="13">
        <v>2110.1399999999999</v>
      </c>
      <c r="F219" s="14">
        <f>IFERROR(E219/E327, "NA")</f>
      </c>
      <c r="G219" s="15"/>
      <c r="H219" s="13">
        <v>2193.54</v>
      </c>
      <c r="I219" s="14">
        <f>IFERROR(H219/H327, "NA")</f>
      </c>
      <c r="J219" s="15"/>
      <c r="K219" s="13">
        <v>2084.6500000000001</v>
      </c>
      <c r="L219" s="14">
        <f>IFERROR(K219/K327, "NA")</f>
      </c>
      <c r="M219" s="15"/>
      <c r="N219" s="13">
        <v>1753.1700000000001</v>
      </c>
      <c r="O219" s="14">
        <f>IFERROR(N219/N327, "NA")</f>
      </c>
    </row>
    <row r="220" ht="16.5" customHeight="1">
      <c t="s" r="A220" s="12">
        <v>223</v>
      </c>
      <c r="B220" s="13">
        <v>0</v>
      </c>
      <c r="C220" s="14">
        <f>IFERROR(B220/B327, "NA")</f>
      </c>
      <c r="D220" s="15"/>
      <c r="E220" s="13">
        <v>-5794.5299999999997</v>
      </c>
      <c r="F220" s="14">
        <f>IFERROR(E220/E327, "NA")</f>
      </c>
      <c r="G220" s="15"/>
      <c r="H220" s="13">
        <v>152.19</v>
      </c>
      <c r="I220" s="14">
        <f>IFERROR(H220/H327, "NA")</f>
      </c>
      <c r="J220" s="15"/>
      <c r="K220" s="13">
        <v>-85.010000000000005</v>
      </c>
      <c r="L220" s="14">
        <f>IFERROR(K220/K327, "NA")</f>
      </c>
      <c r="M220" s="15"/>
      <c r="N220" s="13">
        <v>11.99</v>
      </c>
      <c r="O220" s="14">
        <f>IFERROR(N220/N327, "NA")</f>
      </c>
    </row>
    <row r="221" ht="16.5" customHeight="1">
      <c t="s" r="A221" s="12">
        <v>224</v>
      </c>
      <c r="B221" s="13">
        <v>612.5</v>
      </c>
      <c r="C221" s="14">
        <f>IFERROR(B221/B327, "NA")</f>
      </c>
      <c r="D221" s="15"/>
      <c r="E221" s="13">
        <v>0</v>
      </c>
      <c r="F221" s="14">
        <f>IFERROR(E221/E327, "NA")</f>
      </c>
      <c r="G221" s="15"/>
      <c r="H221" s="13">
        <v>0</v>
      </c>
      <c r="I221" s="14">
        <f>IFERROR(H221/H327, "NA")</f>
      </c>
      <c r="J221" s="15"/>
      <c r="K221" s="13">
        <v>0</v>
      </c>
      <c r="L221" s="14">
        <f>IFERROR(K221/K327, "NA")</f>
      </c>
      <c r="M221" s="15"/>
      <c r="N221" s="13">
        <v>0</v>
      </c>
      <c r="O221" s="14">
        <f>IFERROR(N221/N327, "NA")</f>
      </c>
    </row>
    <row r="222" ht="16.5" customHeight="1">
      <c t="s" r="A222" s="12">
        <v>225</v>
      </c>
      <c r="B222" s="13">
        <v>-17.100000000000001</v>
      </c>
      <c r="C222" s="14">
        <f>IFERROR(B222/B327, "NA")</f>
      </c>
      <c r="D222" s="15"/>
      <c r="E222" s="13">
        <v>0</v>
      </c>
      <c r="F222" s="14">
        <f>IFERROR(E222/E327, "NA")</f>
      </c>
      <c r="G222" s="15"/>
      <c r="H222" s="13">
        <v>312.86000000000001</v>
      </c>
      <c r="I222" s="14">
        <f>IFERROR(H222/H327, "NA")</f>
      </c>
      <c r="J222" s="15"/>
      <c r="K222" s="13">
        <v>4.71</v>
      </c>
      <c r="L222" s="14">
        <f>IFERROR(K222/K327, "NA")</f>
      </c>
      <c r="M222" s="15"/>
      <c r="N222" s="13">
        <v>0</v>
      </c>
      <c r="O222" s="14">
        <f>IFERROR(N222/N327, "NA")</f>
      </c>
    </row>
    <row r="223" ht="16.5" customHeight="1">
      <c t="s" r="A223" s="12">
        <v>226</v>
      </c>
      <c r="B223" s="13">
        <v>0</v>
      </c>
      <c r="C223" s="14">
        <f>IFERROR(B223/B327, "NA")</f>
      </c>
      <c r="D223" s="15"/>
      <c r="E223" s="13">
        <v>0</v>
      </c>
      <c r="F223" s="14">
        <f>IFERROR(E223/E327, "NA")</f>
      </c>
      <c r="G223" s="15"/>
      <c r="H223" s="13">
        <v>0</v>
      </c>
      <c r="I223" s="14">
        <f>IFERROR(H223/H327, "NA")</f>
      </c>
      <c r="J223" s="15"/>
      <c r="K223" s="13">
        <v>0</v>
      </c>
      <c r="L223" s="14">
        <f>IFERROR(K223/K327, "NA")</f>
      </c>
      <c r="M223" s="15"/>
      <c r="N223" s="13">
        <v>0</v>
      </c>
      <c r="O223" s="14">
        <f>IFERROR(N223/N327, "NA")</f>
      </c>
    </row>
    <row r="224" ht="16.5" customHeight="1">
      <c t="s" r="A224" s="12">
        <v>227</v>
      </c>
      <c r="B224" s="13">
        <v>0</v>
      </c>
      <c r="C224" s="14">
        <f>IFERROR(B224/B327, "NA")</f>
      </c>
      <c r="D224" s="15"/>
      <c r="E224" s="13">
        <v>0</v>
      </c>
      <c r="F224" s="14">
        <f>IFERROR(E224/E327, "NA")</f>
      </c>
      <c r="G224" s="15"/>
      <c r="H224" s="13">
        <v>0</v>
      </c>
      <c r="I224" s="14">
        <f>IFERROR(H224/H327, "NA")</f>
      </c>
      <c r="J224" s="15"/>
      <c r="K224" s="13">
        <v>149.41999999999999</v>
      </c>
      <c r="L224" s="14">
        <f>IFERROR(K224/K327, "NA")</f>
      </c>
      <c r="M224" s="15"/>
      <c r="N224" s="13">
        <v>0</v>
      </c>
      <c r="O224" s="14">
        <f>IFERROR(N224/N327, "NA")</f>
      </c>
    </row>
    <row r="225" ht="16.5" customHeight="1">
      <c t="s" r="A225" s="12">
        <v>228</v>
      </c>
      <c r="B225" s="13">
        <v>2812.5</v>
      </c>
      <c r="C225" s="14">
        <f>IFERROR(B225/B327, "NA")</f>
      </c>
      <c r="D225" s="15"/>
      <c r="E225" s="13">
        <v>0</v>
      </c>
      <c r="F225" s="14">
        <f>IFERROR(E225/E327, "NA")</f>
      </c>
      <c r="G225" s="15"/>
      <c r="H225" s="13">
        <v>0</v>
      </c>
      <c r="I225" s="14">
        <f>IFERROR(H225/H327, "NA")</f>
      </c>
      <c r="J225" s="15"/>
      <c r="K225" s="13">
        <v>0</v>
      </c>
      <c r="L225" s="14">
        <f>IFERROR(K225/K327, "NA")</f>
      </c>
      <c r="M225" s="15"/>
      <c r="N225" s="13">
        <v>0</v>
      </c>
      <c r="O225" s="14">
        <f>IFERROR(N225/N327, "NA")</f>
      </c>
    </row>
    <row r="226" ht="16.5" customHeight="1">
      <c t="s" r="A226" s="12">
        <v>229</v>
      </c>
      <c r="B226" s="13">
        <v>-12.58</v>
      </c>
      <c r="C226" s="14">
        <f>IFERROR(B226/B327, "NA")</f>
      </c>
      <c r="D226" s="15"/>
      <c r="E226" s="13">
        <v>-16.050000000000001</v>
      </c>
      <c r="F226" s="14">
        <f>IFERROR(E226/E327, "NA")</f>
      </c>
      <c r="G226" s="15"/>
      <c r="H226" s="13">
        <v>-94.430000000000007</v>
      </c>
      <c r="I226" s="14">
        <f>IFERROR(H226/H327, "NA")</f>
      </c>
      <c r="J226" s="15"/>
      <c r="K226" s="13">
        <v>79.069999999999993</v>
      </c>
      <c r="L226" s="14">
        <f>IFERROR(K226/K327, "NA")</f>
      </c>
      <c r="M226" s="15"/>
      <c r="N226" s="13">
        <v>-9.7200000000000006</v>
      </c>
      <c r="O226" s="14">
        <f>IFERROR(N226/N327, "NA")</f>
      </c>
    </row>
    <row r="227" ht="16.5" customHeight="1">
      <c t="s" r="A227" s="12">
        <v>230</v>
      </c>
      <c r="B227" s="13">
        <v>0</v>
      </c>
      <c r="C227" s="14">
        <f>IFERROR(B227/B327, "NA")</f>
      </c>
      <c r="D227" s="15"/>
      <c r="E227" s="13">
        <v>1841.3900000000001</v>
      </c>
      <c r="F227" s="14">
        <f>IFERROR(E227/E327, "NA")</f>
      </c>
      <c r="G227" s="15"/>
      <c r="H227" s="13">
        <v>0</v>
      </c>
      <c r="I227" s="14">
        <f>IFERROR(H227/H327, "NA")</f>
      </c>
      <c r="J227" s="15"/>
      <c r="K227" s="13">
        <v>0</v>
      </c>
      <c r="L227" s="14">
        <f>IFERROR(K227/K327, "NA")</f>
      </c>
      <c r="M227" s="15"/>
      <c r="N227" s="13">
        <v>0</v>
      </c>
      <c r="O227" s="14">
        <f>IFERROR(N227/N327, "NA")</f>
      </c>
    </row>
    <row r="228" ht="16.5" customHeight="1">
      <c t="s" r="A228" s="12">
        <v>231</v>
      </c>
      <c r="B228" s="13">
        <v>0</v>
      </c>
      <c r="C228" s="14">
        <f>IFERROR(B228/B327, "NA")</f>
      </c>
      <c r="D228" s="15"/>
      <c r="E228" s="13">
        <v>0</v>
      </c>
      <c r="F228" s="14">
        <f>IFERROR(E228/E327, "NA")</f>
      </c>
      <c r="G228" s="15"/>
      <c r="H228" s="13">
        <v>0</v>
      </c>
      <c r="I228" s="14">
        <f>IFERROR(H228/H327, "NA")</f>
      </c>
      <c r="J228" s="15"/>
      <c r="K228" s="13">
        <v>2000.1500000000001</v>
      </c>
      <c r="L228" s="14">
        <f>IFERROR(K228/K327, "NA")</f>
      </c>
      <c r="M228" s="15"/>
      <c r="N228" s="13">
        <v>0</v>
      </c>
      <c r="O228" s="14">
        <f>IFERROR(N228/N327, "NA")</f>
      </c>
    </row>
    <row r="229" ht="16.5" customHeight="1">
      <c t="s" r="A229" s="12">
        <v>232</v>
      </c>
      <c r="B229" s="13">
        <v>0</v>
      </c>
      <c r="C229" s="14">
        <f>IFERROR(B229/B327, "NA")</f>
      </c>
      <c r="D229" s="15"/>
      <c r="E229" s="13">
        <v>0</v>
      </c>
      <c r="F229" s="14">
        <f>IFERROR(E229/E327, "NA")</f>
      </c>
      <c r="G229" s="15"/>
      <c r="H229" s="13">
        <v>0</v>
      </c>
      <c r="I229" s="14">
        <f>IFERROR(H229/H327, "NA")</f>
      </c>
      <c r="J229" s="15"/>
      <c r="K229" s="13">
        <v>0</v>
      </c>
      <c r="L229" s="14">
        <f>IFERROR(K229/K327, "NA")</f>
      </c>
      <c r="M229" s="15"/>
      <c r="N229" s="13">
        <v>0</v>
      </c>
      <c r="O229" s="14">
        <f>IFERROR(N229/N327, "NA")</f>
      </c>
    </row>
    <row r="230" ht="16.5" customHeight="1">
      <c t="s" r="A230" s="12">
        <v>233</v>
      </c>
      <c r="B230" s="13">
        <v>2400</v>
      </c>
      <c r="C230" s="14">
        <f>IFERROR(B230/B327, "NA")</f>
      </c>
      <c r="D230" s="15"/>
      <c r="E230" s="13">
        <v>0</v>
      </c>
      <c r="F230" s="14">
        <f>IFERROR(E230/E327, "NA")</f>
      </c>
      <c r="G230" s="15"/>
      <c r="H230" s="13">
        <v>0</v>
      </c>
      <c r="I230" s="14">
        <f>IFERROR(H230/H327, "NA")</f>
      </c>
      <c r="J230" s="15"/>
      <c r="K230" s="13">
        <v>1048.5</v>
      </c>
      <c r="L230" s="14">
        <f>IFERROR(K230/K327, "NA")</f>
      </c>
      <c r="M230" s="15"/>
      <c r="N230" s="13">
        <v>0</v>
      </c>
      <c r="O230" s="14">
        <f>IFERROR(N230/N327, "NA")</f>
      </c>
    </row>
    <row r="231" ht="16.5" customHeight="1">
      <c t="s" r="A231" s="12">
        <v>234</v>
      </c>
      <c r="B231" s="13">
        <v>0</v>
      </c>
      <c r="C231" s="14">
        <f>IFERROR(B231/B327, "NA")</f>
      </c>
      <c r="D231" s="15"/>
      <c r="E231" s="13">
        <v>0</v>
      </c>
      <c r="F231" s="14">
        <f>IFERROR(E231/E327, "NA")</f>
      </c>
      <c r="G231" s="15"/>
      <c r="H231" s="13">
        <v>0</v>
      </c>
      <c r="I231" s="14">
        <f>IFERROR(H231/H327, "NA")</f>
      </c>
      <c r="J231" s="15"/>
      <c r="K231" s="13">
        <v>0</v>
      </c>
      <c r="L231" s="14">
        <f>IFERROR(K231/K327, "NA")</f>
      </c>
      <c r="M231" s="15"/>
      <c r="N231" s="13">
        <v>0</v>
      </c>
      <c r="O231" s="14">
        <f>IFERROR(N231/N327, "NA")</f>
      </c>
    </row>
    <row r="232" ht="16.5" customHeight="1">
      <c t="s" r="A232" s="12">
        <v>235</v>
      </c>
      <c r="B232" s="13">
        <v>0</v>
      </c>
      <c r="C232" s="14">
        <f>IFERROR(B232/B327, "NA")</f>
      </c>
      <c r="D232" s="15"/>
      <c r="E232" s="13">
        <v>0</v>
      </c>
      <c r="F232" s="14">
        <f>IFERROR(E232/E327, "NA")</f>
      </c>
      <c r="G232" s="15"/>
      <c r="H232" s="13">
        <v>0</v>
      </c>
      <c r="I232" s="14">
        <f>IFERROR(H232/H327, "NA")</f>
      </c>
      <c r="J232" s="15"/>
      <c r="K232" s="13">
        <v>0</v>
      </c>
      <c r="L232" s="14">
        <f>IFERROR(K232/K327, "NA")</f>
      </c>
      <c r="M232" s="15"/>
      <c r="N232" s="13">
        <v>0</v>
      </c>
      <c r="O232" s="14">
        <f>IFERROR(N232/N327, "NA")</f>
      </c>
    </row>
    <row r="233" ht="16.5" customHeight="1">
      <c t="s" r="A233" s="12">
        <v>236</v>
      </c>
      <c r="B233" s="13">
        <v>0</v>
      </c>
      <c r="C233" s="14">
        <f>IFERROR(B233/B327, "NA")</f>
      </c>
      <c r="D233" s="15"/>
      <c r="E233" s="13">
        <v>0</v>
      </c>
      <c r="F233" s="14">
        <f>IFERROR(E233/E327, "NA")</f>
      </c>
      <c r="G233" s="15"/>
      <c r="H233" s="13">
        <v>0</v>
      </c>
      <c r="I233" s="14">
        <f>IFERROR(H233/H327, "NA")</f>
      </c>
      <c r="J233" s="15"/>
      <c r="K233" s="13">
        <v>0</v>
      </c>
      <c r="L233" s="14">
        <f>IFERROR(K233/K327, "NA")</f>
      </c>
      <c r="M233" s="15"/>
      <c r="N233" s="13">
        <v>0</v>
      </c>
      <c r="O233" s="14">
        <f>IFERROR(N233/N327, "NA")</f>
      </c>
    </row>
    <row r="234" ht="16.5" customHeight="1">
      <c t="s" r="A234" s="12">
        <v>237</v>
      </c>
      <c r="B234" s="13">
        <v>30.620000000000001</v>
      </c>
      <c r="C234" s="14">
        <f>IFERROR(B234/B327, "NA")</f>
      </c>
      <c r="D234" s="15"/>
      <c r="E234" s="13">
        <v>155.72999999999999</v>
      </c>
      <c r="F234" s="14">
        <f>IFERROR(E234/E327, "NA")</f>
      </c>
      <c r="G234" s="15"/>
      <c r="H234" s="13">
        <v>246.03999999999999</v>
      </c>
      <c r="I234" s="14">
        <f>IFERROR(H234/H327, "NA")</f>
      </c>
      <c r="J234" s="15"/>
      <c r="K234" s="13">
        <v>103.76000000000001</v>
      </c>
      <c r="L234" s="14">
        <f>IFERROR(K234/K327, "NA")</f>
      </c>
      <c r="M234" s="15"/>
      <c r="N234" s="13">
        <v>9.9900000000000002</v>
      </c>
      <c r="O234" s="14">
        <f>IFERROR(N234/N327, "NA")</f>
      </c>
    </row>
    <row r="235" ht="16.5" customHeight="1">
      <c t="s" r="A235" s="12">
        <v>238</v>
      </c>
      <c r="B235" s="13">
        <v>15.470000000000001</v>
      </c>
      <c r="C235" s="14">
        <f>IFERROR(B235/B327, "NA")</f>
      </c>
      <c r="D235" s="15"/>
      <c r="E235" s="13">
        <v>0</v>
      </c>
      <c r="F235" s="14">
        <f>IFERROR(E235/E327, "NA")</f>
      </c>
      <c r="G235" s="15"/>
      <c r="H235" s="13">
        <v>21.800000000000001</v>
      </c>
      <c r="I235" s="14">
        <f>IFERROR(H235/H327, "NA")</f>
      </c>
      <c r="J235" s="15"/>
      <c r="K235" s="13">
        <v>154.13</v>
      </c>
      <c r="L235" s="14">
        <f>IFERROR(K235/K327, "NA")</f>
      </c>
      <c r="M235" s="15"/>
      <c r="N235" s="13">
        <v>166.97999999999999</v>
      </c>
      <c r="O235" s="14">
        <f>IFERROR(N235/N327, "NA")</f>
      </c>
    </row>
    <row r="236" ht="16.5" customHeight="1">
      <c t="s" r="A236" s="12">
        <v>239</v>
      </c>
      <c r="B236" s="13">
        <v>0</v>
      </c>
      <c r="C236" s="14">
        <f>IFERROR(B236/B327, "NA")</f>
      </c>
      <c r="D236" s="15"/>
      <c r="E236" s="13">
        <v>54028</v>
      </c>
      <c r="F236" s="14">
        <f>IFERROR(E236/E327, "NA")</f>
      </c>
      <c r="G236" s="15"/>
      <c r="H236" s="13">
        <v>0</v>
      </c>
      <c r="I236" s="14">
        <f>IFERROR(H236/H327, "NA")</f>
      </c>
      <c r="J236" s="15"/>
      <c r="K236" s="13">
        <v>0</v>
      </c>
      <c r="L236" s="14">
        <f>IFERROR(K236/K327, "NA")</f>
      </c>
      <c r="M236" s="15"/>
      <c r="N236" s="13">
        <v>0</v>
      </c>
      <c r="O236" s="14">
        <f>IFERROR(N236/N327, "NA")</f>
      </c>
    </row>
    <row r="237" ht="16.5" customHeight="1">
      <c t="s" r="A237" s="12">
        <v>240</v>
      </c>
      <c r="B237" s="13">
        <v>3311.6500000000001</v>
      </c>
      <c r="C237" s="14">
        <f>IFERROR(B237/B327, "NA")</f>
      </c>
      <c r="D237" s="15"/>
      <c r="E237" s="13">
        <v>0</v>
      </c>
      <c r="F237" s="14">
        <f>IFERROR(E237/E327, "NA")</f>
      </c>
      <c r="G237" s="15"/>
      <c r="H237" s="13">
        <v>0</v>
      </c>
      <c r="I237" s="14">
        <f>IFERROR(H237/H327, "NA")</f>
      </c>
      <c r="J237" s="15"/>
      <c r="K237" s="13">
        <v>0</v>
      </c>
      <c r="L237" s="14">
        <f>IFERROR(K237/K327, "NA")</f>
      </c>
      <c r="M237" s="15"/>
      <c r="N237" s="13">
        <v>0</v>
      </c>
      <c r="O237" s="14">
        <f>IFERROR(N237/N327, "NA")</f>
      </c>
    </row>
    <row r="238" ht="16.5" customHeight="1">
      <c t="s" r="A238" s="12">
        <v>241</v>
      </c>
      <c r="B238" s="13">
        <v>3613.3299999999999</v>
      </c>
      <c r="C238" s="14">
        <f>IFERROR(B238/B327, "NA")</f>
      </c>
      <c r="D238" s="15"/>
      <c r="E238" s="13">
        <v>56.700000000000003</v>
      </c>
      <c r="F238" s="14">
        <f>IFERROR(E238/E327, "NA")</f>
      </c>
      <c r="G238" s="15"/>
      <c r="H238" s="13">
        <v>211.09999999999999</v>
      </c>
      <c r="I238" s="14">
        <f>IFERROR(H238/H327, "NA")</f>
      </c>
      <c r="J238" s="15"/>
      <c r="K238" s="13">
        <v>135.34999999999999</v>
      </c>
      <c r="L238" s="14">
        <f>IFERROR(K238/K327, "NA")</f>
      </c>
      <c r="M238" s="15"/>
      <c r="N238" s="13">
        <v>21.399999999999999</v>
      </c>
      <c r="O238" s="14">
        <f>IFERROR(N238/N327, "NA")</f>
      </c>
    </row>
    <row r="239" ht="16.5" customHeight="1">
      <c t="s" r="A239" s="12">
        <v>242</v>
      </c>
      <c r="B239" s="13">
        <v>0</v>
      </c>
      <c r="C239" s="14">
        <f>IFERROR(B239/B327, "NA")</f>
      </c>
      <c r="D239" s="15"/>
      <c r="E239" s="13">
        <v>0</v>
      </c>
      <c r="F239" s="14">
        <f>IFERROR(E239/E327, "NA")</f>
      </c>
      <c r="G239" s="15"/>
      <c r="H239" s="13">
        <v>0</v>
      </c>
      <c r="I239" s="14">
        <f>IFERROR(H239/H327, "NA")</f>
      </c>
      <c r="J239" s="15"/>
      <c r="K239" s="13">
        <v>0</v>
      </c>
      <c r="L239" s="14">
        <f>IFERROR(K239/K327, "NA")</f>
      </c>
      <c r="M239" s="15"/>
      <c r="N239" s="13">
        <v>0</v>
      </c>
      <c r="O239" s="14">
        <f>IFERROR(N239/N327, "NA")</f>
      </c>
    </row>
    <row r="240" ht="16.5" customHeight="1">
      <c t="s" r="A240" s="12">
        <v>243</v>
      </c>
      <c r="B240" s="13">
        <v>0</v>
      </c>
      <c r="C240" s="14">
        <f>IFERROR(B240/B327, "NA")</f>
      </c>
      <c r="D240" s="15"/>
      <c r="E240" s="13">
        <v>0</v>
      </c>
      <c r="F240" s="14">
        <f>IFERROR(E240/E327, "NA")</f>
      </c>
      <c r="G240" s="15"/>
      <c r="H240" s="13">
        <v>0</v>
      </c>
      <c r="I240" s="14">
        <f>IFERROR(H240/H327, "NA")</f>
      </c>
      <c r="J240" s="15"/>
      <c r="K240" s="13">
        <v>0</v>
      </c>
      <c r="L240" s="14">
        <f>IFERROR(K240/K327, "NA")</f>
      </c>
      <c r="M240" s="15"/>
      <c r="N240" s="13">
        <v>0</v>
      </c>
      <c r="O240" s="14">
        <f>IFERROR(N240/N327, "NA")</f>
      </c>
    </row>
    <row r="241" ht="16.5" customHeight="1">
      <c t="s" r="A241" s="16">
        <v>244</v>
      </c>
      <c r="B241" s="17">
        <f>IFERROR(B214+B215+B216+B217+B218+B219+B220+B221+B222+B223+B224+B225+B226+B227+B228+B229+B230+B231+B232+B233+B234+B235+B236+B237+B238+B239+B240, "NA")</f>
      </c>
      <c r="C241" s="18">
        <f>IFERROR(B241/B327, "NA")</f>
      </c>
      <c r="D241" s="8"/>
      <c r="E241" s="17">
        <f>IFERROR(E214+E215+E216+E217+E218+E219+E220+E221+E222+E223+E224+E225+E226+E227+E228+E229+E230+E231+E232+E233+E234+E235+E236+E237+E238+E239+E240, "NA")</f>
      </c>
      <c r="F241" s="18">
        <f>IFERROR(E241/E327, "NA")</f>
      </c>
      <c r="G241" s="8"/>
      <c r="H241" s="17">
        <f>IFERROR(H214+H215+H216+H217+H218+H219+H220+H221+H222+H223+H224+H225+H226+H227+H228+H229+H230+H231+H232+H233+H234+H235+H236+H237+H238+H239+H240, "NA")</f>
      </c>
      <c r="I241" s="18">
        <f>IFERROR(H241/H327, "NA")</f>
      </c>
      <c r="J241" s="8"/>
      <c r="K241" s="17">
        <f>IFERROR(K214+K215+K216+K217+K218+K219+K220+K221+K222+K223+K224+K225+K226+K227+K228+K229+K230+K231+K232+K233+K234+K235+K236+K237+K238+K239+K240, "NA")</f>
      </c>
      <c r="L241" s="18">
        <f>IFERROR(K241/K327, "NA")</f>
      </c>
      <c r="M241" s="8"/>
      <c r="N241" s="17">
        <f>IFERROR(N214+N215+N216+N217+N218+N219+N220+N221+N222+N223+N224+N225+N226+N227+N228+N229+N230+N231+N232+N233+N234+N235+N236+N237+N238+N239+N240, "NA")</f>
      </c>
      <c r="O241" s="18">
        <f>IFERROR(N241/N327, "NA")</f>
      </c>
    </row>
    <row r="242" ht="16.5" customHeight="1">
      <c t="s" r="A242" s="11">
        <v>245</v>
      </c>
      <c r="B242" s="8"/>
      <c r="C242" s="9"/>
      <c r="D242" s="10"/>
      <c r="E242" s="8"/>
      <c r="F242" s="9"/>
      <c r="G242" s="10"/>
      <c r="H242" s="8"/>
      <c r="I242" s="9"/>
      <c r="J242" s="10"/>
      <c r="K242" s="8"/>
      <c r="L242" s="9"/>
      <c r="M242" s="10"/>
      <c r="N242" s="8"/>
      <c r="O242" s="9"/>
    </row>
    <row r="243" ht="16.5" customHeight="1">
      <c t="s" r="A243" s="12">
        <v>246</v>
      </c>
      <c r="B243" s="13">
        <v>0</v>
      </c>
      <c r="C243" s="14">
        <f>IFERROR(B243/B327, "NA")</f>
      </c>
      <c r="D243" s="15"/>
      <c r="E243" s="13">
        <v>0</v>
      </c>
      <c r="F243" s="14">
        <f>IFERROR(E243/E327, "NA")</f>
      </c>
      <c r="G243" s="15"/>
      <c r="H243" s="13">
        <v>0</v>
      </c>
      <c r="I243" s="14">
        <f>IFERROR(H243/H327, "NA")</f>
      </c>
      <c r="J243" s="15"/>
      <c r="K243" s="13">
        <v>0</v>
      </c>
      <c r="L243" s="14">
        <f>IFERROR(K243/K327, "NA")</f>
      </c>
      <c r="M243" s="15"/>
      <c r="N243" s="13">
        <v>0</v>
      </c>
      <c r="O243" s="14">
        <f>IFERROR(N243/N327, "NA")</f>
      </c>
    </row>
    <row r="244" ht="16.5" customHeight="1">
      <c t="s" r="A244" s="12">
        <v>247</v>
      </c>
      <c r="B244" s="13">
        <v>-77.930000000000007</v>
      </c>
      <c r="C244" s="14">
        <f>IFERROR(B244/B327, "NA")</f>
      </c>
      <c r="D244" s="15"/>
      <c r="E244" s="13">
        <v>0</v>
      </c>
      <c r="F244" s="14">
        <f>IFERROR(E244/E327, "NA")</f>
      </c>
      <c r="G244" s="15"/>
      <c r="H244" s="13">
        <v>800</v>
      </c>
      <c r="I244" s="14">
        <f>IFERROR(H244/H327, "NA")</f>
      </c>
      <c r="J244" s="15"/>
      <c r="K244" s="13">
        <v>200</v>
      </c>
      <c r="L244" s="14">
        <f>IFERROR(K244/K327, "NA")</f>
      </c>
      <c r="M244" s="15"/>
      <c r="N244" s="13">
        <v>0</v>
      </c>
      <c r="O244" s="14">
        <f>IFERROR(N244/N327, "NA")</f>
      </c>
    </row>
    <row r="245" ht="16.5" customHeight="1">
      <c t="s" r="A245" s="12">
        <v>248</v>
      </c>
      <c r="B245" s="13">
        <v>851.17999999999995</v>
      </c>
      <c r="C245" s="14">
        <f>IFERROR(B245/B327, "NA")</f>
      </c>
      <c r="D245" s="15"/>
      <c r="E245" s="13">
        <v>0</v>
      </c>
      <c r="F245" s="14">
        <f>IFERROR(E245/E327, "NA")</f>
      </c>
      <c r="G245" s="15"/>
      <c r="H245" s="13">
        <v>230.19999999999999</v>
      </c>
      <c r="I245" s="14">
        <f>IFERROR(H245/H327, "NA")</f>
      </c>
      <c r="J245" s="15"/>
      <c r="K245" s="13">
        <v>0</v>
      </c>
      <c r="L245" s="14">
        <f>IFERROR(K245/K327, "NA")</f>
      </c>
      <c r="M245" s="15"/>
      <c r="N245" s="13">
        <v>0</v>
      </c>
      <c r="O245" s="14">
        <f>IFERROR(N245/N327, "NA")</f>
      </c>
    </row>
    <row r="246" ht="16.5" customHeight="1">
      <c t="s" r="A246" s="12">
        <v>249</v>
      </c>
      <c r="B246" s="13">
        <v>0</v>
      </c>
      <c r="C246" s="14">
        <f>IFERROR(B246/B327, "NA")</f>
      </c>
      <c r="D246" s="15"/>
      <c r="E246" s="13">
        <v>0</v>
      </c>
      <c r="F246" s="14">
        <f>IFERROR(E246/E327, "NA")</f>
      </c>
      <c r="G246" s="15"/>
      <c r="H246" s="13">
        <v>0</v>
      </c>
      <c r="I246" s="14">
        <f>IFERROR(H246/H327, "NA")</f>
      </c>
      <c r="J246" s="15"/>
      <c r="K246" s="13">
        <v>0</v>
      </c>
      <c r="L246" s="14">
        <f>IFERROR(K246/K327, "NA")</f>
      </c>
      <c r="M246" s="15"/>
      <c r="N246" s="13">
        <v>0</v>
      </c>
      <c r="O246" s="14">
        <f>IFERROR(N246/N327, "NA")</f>
      </c>
    </row>
    <row r="247" ht="16.5" customHeight="1">
      <c t="s" r="A247" s="12">
        <v>250</v>
      </c>
      <c r="B247" s="13">
        <v>0</v>
      </c>
      <c r="C247" s="14">
        <f>IFERROR(B247/B327, "NA")</f>
      </c>
      <c r="D247" s="15"/>
      <c r="E247" s="13">
        <v>0</v>
      </c>
      <c r="F247" s="14">
        <f>IFERROR(E247/E327, "NA")</f>
      </c>
      <c r="G247" s="15"/>
      <c r="H247" s="13">
        <v>12866.58</v>
      </c>
      <c r="I247" s="14">
        <f>IFERROR(H247/H327, "NA")</f>
      </c>
      <c r="J247" s="15"/>
      <c r="K247" s="13">
        <v>0</v>
      </c>
      <c r="L247" s="14">
        <f>IFERROR(K247/K327, "NA")</f>
      </c>
      <c r="M247" s="15"/>
      <c r="N247" s="13">
        <v>0</v>
      </c>
      <c r="O247" s="14">
        <f>IFERROR(N247/N327, "NA")</f>
      </c>
    </row>
    <row r="248" ht="16.5" customHeight="1">
      <c t="s" r="A248" s="12">
        <v>251</v>
      </c>
      <c r="B248" s="13">
        <v>0</v>
      </c>
      <c r="C248" s="14">
        <f>IFERROR(B248/B327, "NA")</f>
      </c>
      <c r="D248" s="15"/>
      <c r="E248" s="13">
        <v>607.99000000000001</v>
      </c>
      <c r="F248" s="14">
        <f>IFERROR(E248/E327, "NA")</f>
      </c>
      <c r="G248" s="15"/>
      <c r="H248" s="13">
        <v>0</v>
      </c>
      <c r="I248" s="14">
        <f>IFERROR(H248/H327, "NA")</f>
      </c>
      <c r="J248" s="15"/>
      <c r="K248" s="13">
        <v>0</v>
      </c>
      <c r="L248" s="14">
        <f>IFERROR(K248/K327, "NA")</f>
      </c>
      <c r="M248" s="15"/>
      <c r="N248" s="13">
        <v>0</v>
      </c>
      <c r="O248" s="14">
        <f>IFERROR(N248/N327, "NA")</f>
      </c>
    </row>
    <row r="249" ht="16.5" customHeight="1">
      <c t="s" r="A249" s="12">
        <v>252</v>
      </c>
      <c r="B249" s="13">
        <v>6615</v>
      </c>
      <c r="C249" s="14">
        <f>IFERROR(B249/B327, "NA")</f>
      </c>
      <c r="D249" s="15"/>
      <c r="E249" s="13">
        <v>0</v>
      </c>
      <c r="F249" s="14">
        <f>IFERROR(E249/E327, "NA")</f>
      </c>
      <c r="G249" s="15"/>
      <c r="H249" s="13">
        <v>0</v>
      </c>
      <c r="I249" s="14">
        <f>IFERROR(H249/H327, "NA")</f>
      </c>
      <c r="J249" s="15"/>
      <c r="K249" s="13">
        <v>0</v>
      </c>
      <c r="L249" s="14">
        <f>IFERROR(K249/K327, "NA")</f>
      </c>
      <c r="M249" s="15"/>
      <c r="N249" s="13">
        <v>0</v>
      </c>
      <c r="O249" s="14">
        <f>IFERROR(N249/N327, "NA")</f>
      </c>
    </row>
    <row r="250" ht="16.5" customHeight="1">
      <c t="s" r="A250" s="12">
        <v>253</v>
      </c>
      <c r="B250" s="13">
        <v>0</v>
      </c>
      <c r="C250" s="14">
        <f>IFERROR(B250/B327, "NA")</f>
      </c>
      <c r="D250" s="15"/>
      <c r="E250" s="13">
        <v>0</v>
      </c>
      <c r="F250" s="14">
        <f>IFERROR(E250/E327, "NA")</f>
      </c>
      <c r="G250" s="15"/>
      <c r="H250" s="13">
        <v>0</v>
      </c>
      <c r="I250" s="14">
        <f>IFERROR(H250/H327, "NA")</f>
      </c>
      <c r="J250" s="15"/>
      <c r="K250" s="13">
        <v>0</v>
      </c>
      <c r="L250" s="14">
        <f>IFERROR(K250/K327, "NA")</f>
      </c>
      <c r="M250" s="15"/>
      <c r="N250" s="13">
        <v>0</v>
      </c>
      <c r="O250" s="14">
        <f>IFERROR(N250/N327, "NA")</f>
      </c>
    </row>
    <row r="251" ht="16.5" customHeight="1">
      <c t="s" r="A251" s="12">
        <v>254</v>
      </c>
      <c r="B251" s="13">
        <v>0</v>
      </c>
      <c r="C251" s="14">
        <f>IFERROR(B251/B327, "NA")</f>
      </c>
      <c r="D251" s="15"/>
      <c r="E251" s="13">
        <v>0</v>
      </c>
      <c r="F251" s="14">
        <f>IFERROR(E251/E327, "NA")</f>
      </c>
      <c r="G251" s="15"/>
      <c r="H251" s="13">
        <v>0</v>
      </c>
      <c r="I251" s="14">
        <f>IFERROR(H251/H327, "NA")</f>
      </c>
      <c r="J251" s="15"/>
      <c r="K251" s="13">
        <v>0</v>
      </c>
      <c r="L251" s="14">
        <f>IFERROR(K251/K327, "NA")</f>
      </c>
      <c r="M251" s="15"/>
      <c r="N251" s="13">
        <v>0</v>
      </c>
      <c r="O251" s="14">
        <f>IFERROR(N251/N327, "NA")</f>
      </c>
    </row>
    <row r="252" ht="16.5" customHeight="1">
      <c t="s" r="A252" s="16">
        <v>255</v>
      </c>
      <c r="B252" s="17">
        <f>IFERROR(B243+B244+B245+B246+B247+B248+B249+B250+B251, "NA")</f>
      </c>
      <c r="C252" s="18">
        <f>IFERROR(B252/B327, "NA")</f>
      </c>
      <c r="D252" s="8"/>
      <c r="E252" s="17">
        <f>IFERROR(E243+E244+E245+E246+E247+E248+E249+E250+E251, "NA")</f>
      </c>
      <c r="F252" s="18">
        <f>IFERROR(E252/E327, "NA")</f>
      </c>
      <c r="G252" s="8"/>
      <c r="H252" s="17">
        <f>IFERROR(H243+H244+H245+H246+H247+H248+H249+H250+H251, "NA")</f>
      </c>
      <c r="I252" s="18">
        <f>IFERROR(H252/H327, "NA")</f>
      </c>
      <c r="J252" s="8"/>
      <c r="K252" s="17">
        <f>IFERROR(K243+K244+K245+K246+K247+K248+K249+K250+K251, "NA")</f>
      </c>
      <c r="L252" s="18">
        <f>IFERROR(K252/K327, "NA")</f>
      </c>
      <c r="M252" s="8"/>
      <c r="N252" s="17">
        <f>IFERROR(N243+N244+N245+N246+N247+N248+N249+N250+N251, "NA")</f>
      </c>
      <c r="O252" s="18">
        <f>IFERROR(N252/N327, "NA")</f>
      </c>
    </row>
    <row r="253" ht="16.5" customHeight="1">
      <c t="s" r="A253" s="11">
        <v>256</v>
      </c>
      <c r="B253" s="8"/>
      <c r="C253" s="9"/>
      <c r="D253" s="10"/>
      <c r="E253" s="8"/>
      <c r="F253" s="9"/>
      <c r="G253" s="10"/>
      <c r="H253" s="8"/>
      <c r="I253" s="9"/>
      <c r="J253" s="10"/>
      <c r="K253" s="8"/>
      <c r="L253" s="9"/>
      <c r="M253" s="10"/>
      <c r="N253" s="8"/>
      <c r="O253" s="9"/>
    </row>
    <row r="254" ht="16.5" customHeight="1">
      <c t="s" r="A254" s="12">
        <v>257</v>
      </c>
      <c r="B254" s="13">
        <v>0</v>
      </c>
      <c r="C254" s="14">
        <f>IFERROR(B254/B327, "NA")</f>
      </c>
      <c r="D254" s="15"/>
      <c r="E254" s="13">
        <v>0</v>
      </c>
      <c r="F254" s="14">
        <f>IFERROR(E254/E327, "NA")</f>
      </c>
      <c r="G254" s="15"/>
      <c r="H254" s="13">
        <v>0</v>
      </c>
      <c r="I254" s="14">
        <f>IFERROR(H254/H327, "NA")</f>
      </c>
      <c r="J254" s="15"/>
      <c r="K254" s="13">
        <v>0</v>
      </c>
      <c r="L254" s="14">
        <f>IFERROR(K254/K327, "NA")</f>
      </c>
      <c r="M254" s="15"/>
      <c r="N254" s="13">
        <v>0</v>
      </c>
      <c r="O254" s="14">
        <f>IFERROR(N254/N327, "NA")</f>
      </c>
    </row>
    <row r="255" ht="16.5" customHeight="1">
      <c t="s" r="A255" s="12">
        <v>258</v>
      </c>
      <c r="B255" s="13">
        <v>0</v>
      </c>
      <c r="C255" s="14">
        <f>IFERROR(B255/B327, "NA")</f>
      </c>
      <c r="D255" s="15"/>
      <c r="E255" s="13">
        <v>0</v>
      </c>
      <c r="F255" s="14">
        <f>IFERROR(E255/E327, "NA")</f>
      </c>
      <c r="G255" s="15"/>
      <c r="H255" s="13">
        <v>0</v>
      </c>
      <c r="I255" s="14">
        <f>IFERROR(H255/H327, "NA")</f>
      </c>
      <c r="J255" s="15"/>
      <c r="K255" s="13">
        <v>0</v>
      </c>
      <c r="L255" s="14">
        <f>IFERROR(K255/K327, "NA")</f>
      </c>
      <c r="M255" s="15"/>
      <c r="N255" s="13">
        <v>0</v>
      </c>
      <c r="O255" s="14">
        <f>IFERROR(N255/N327, "NA")</f>
      </c>
    </row>
    <row r="256" ht="16.5" customHeight="1">
      <c t="s" r="A256" s="12">
        <v>259</v>
      </c>
      <c r="B256" s="13">
        <v>0</v>
      </c>
      <c r="C256" s="14">
        <f>IFERROR(B256/B327, "NA")</f>
      </c>
      <c r="D256" s="15"/>
      <c r="E256" s="13">
        <v>0</v>
      </c>
      <c r="F256" s="14">
        <f>IFERROR(E256/E327, "NA")</f>
      </c>
      <c r="G256" s="15"/>
      <c r="H256" s="13">
        <v>0</v>
      </c>
      <c r="I256" s="14">
        <f>IFERROR(H256/H327, "NA")</f>
      </c>
      <c r="J256" s="15"/>
      <c r="K256" s="13">
        <v>0</v>
      </c>
      <c r="L256" s="14">
        <f>IFERROR(K256/K327, "NA")</f>
      </c>
      <c r="M256" s="15"/>
      <c r="N256" s="13">
        <v>0</v>
      </c>
      <c r="O256" s="14">
        <f>IFERROR(N256/N327, "NA")</f>
      </c>
    </row>
    <row r="257" ht="16.5" customHeight="1">
      <c t="s" r="A257" s="12">
        <v>260</v>
      </c>
      <c r="B257" s="13">
        <v>0</v>
      </c>
      <c r="C257" s="14">
        <f>IFERROR(B257/B327, "NA")</f>
      </c>
      <c r="D257" s="15"/>
      <c r="E257" s="13">
        <v>0</v>
      </c>
      <c r="F257" s="14">
        <f>IFERROR(E257/E327, "NA")</f>
      </c>
      <c r="G257" s="15"/>
      <c r="H257" s="13">
        <v>0</v>
      </c>
      <c r="I257" s="14">
        <f>IFERROR(H257/H327, "NA")</f>
      </c>
      <c r="J257" s="15"/>
      <c r="K257" s="13">
        <v>0</v>
      </c>
      <c r="L257" s="14">
        <f>IFERROR(K257/K327, "NA")</f>
      </c>
      <c r="M257" s="15"/>
      <c r="N257" s="13">
        <v>0</v>
      </c>
      <c r="O257" s="14">
        <f>IFERROR(N257/N327, "NA")</f>
      </c>
    </row>
    <row r="258" ht="16.5" customHeight="1">
      <c t="s" r="A258" s="12">
        <v>261</v>
      </c>
      <c r="B258" s="13">
        <v>12782.07</v>
      </c>
      <c r="C258" s="14">
        <f>IFERROR(B258/B327, "NA")</f>
      </c>
      <c r="D258" s="15"/>
      <c r="E258" s="13">
        <v>0</v>
      </c>
      <c r="F258" s="14">
        <f>IFERROR(E258/E327, "NA")</f>
      </c>
      <c r="G258" s="15"/>
      <c r="H258" s="13">
        <v>0</v>
      </c>
      <c r="I258" s="14">
        <f>IFERROR(H258/H327, "NA")</f>
      </c>
      <c r="J258" s="15"/>
      <c r="K258" s="13">
        <v>0</v>
      </c>
      <c r="L258" s="14">
        <f>IFERROR(K258/K327, "NA")</f>
      </c>
      <c r="M258" s="15"/>
      <c r="N258" s="13">
        <v>0</v>
      </c>
      <c r="O258" s="14">
        <f>IFERROR(N258/N327, "NA")</f>
      </c>
    </row>
    <row r="259" ht="16.5" customHeight="1">
      <c t="s" r="A259" s="12">
        <v>262</v>
      </c>
      <c r="B259" s="13">
        <v>0</v>
      </c>
      <c r="C259" s="14">
        <f>IFERROR(B259/B327, "NA")</f>
      </c>
      <c r="D259" s="15"/>
      <c r="E259" s="13">
        <v>0</v>
      </c>
      <c r="F259" s="14">
        <f>IFERROR(E259/E327, "NA")</f>
      </c>
      <c r="G259" s="15"/>
      <c r="H259" s="13">
        <v>0</v>
      </c>
      <c r="I259" s="14">
        <f>IFERROR(H259/H327, "NA")</f>
      </c>
      <c r="J259" s="15"/>
      <c r="K259" s="13">
        <v>0</v>
      </c>
      <c r="L259" s="14">
        <f>IFERROR(K259/K327, "NA")</f>
      </c>
      <c r="M259" s="15"/>
      <c r="N259" s="13">
        <v>0</v>
      </c>
      <c r="O259" s="14">
        <f>IFERROR(N259/N327, "NA")</f>
      </c>
    </row>
    <row r="260" ht="16.5" customHeight="1">
      <c t="s" r="A260" s="12">
        <v>263</v>
      </c>
      <c r="B260" s="13">
        <v>0</v>
      </c>
      <c r="C260" s="14">
        <f>IFERROR(B260/B327, "NA")</f>
      </c>
      <c r="D260" s="15"/>
      <c r="E260" s="13">
        <v>0</v>
      </c>
      <c r="F260" s="14">
        <f>IFERROR(E260/E327, "NA")</f>
      </c>
      <c r="G260" s="15"/>
      <c r="H260" s="13">
        <v>0</v>
      </c>
      <c r="I260" s="14">
        <f>IFERROR(H260/H327, "NA")</f>
      </c>
      <c r="J260" s="15"/>
      <c r="K260" s="13">
        <v>0</v>
      </c>
      <c r="L260" s="14">
        <f>IFERROR(K260/K327, "NA")</f>
      </c>
      <c r="M260" s="15"/>
      <c r="N260" s="13">
        <v>0</v>
      </c>
      <c r="O260" s="14">
        <f>IFERROR(N260/N327, "NA")</f>
      </c>
    </row>
    <row r="261" ht="16.5" customHeight="1">
      <c t="s" r="A261" s="12">
        <v>264</v>
      </c>
      <c r="B261" s="13">
        <v>0</v>
      </c>
      <c r="C261" s="14">
        <f>IFERROR(B261/B327, "NA")</f>
      </c>
      <c r="D261" s="15"/>
      <c r="E261" s="13">
        <v>0</v>
      </c>
      <c r="F261" s="14">
        <f>IFERROR(E261/E327, "NA")</f>
      </c>
      <c r="G261" s="15"/>
      <c r="H261" s="13">
        <v>0</v>
      </c>
      <c r="I261" s="14">
        <f>IFERROR(H261/H327, "NA")</f>
      </c>
      <c r="J261" s="15"/>
      <c r="K261" s="13">
        <v>46553.529999999999</v>
      </c>
      <c r="L261" s="14">
        <f>IFERROR(K261/K327, "NA")</f>
      </c>
      <c r="M261" s="15"/>
      <c r="N261" s="13">
        <v>0</v>
      </c>
      <c r="O261" s="14">
        <f>IFERROR(N261/N327, "NA")</f>
      </c>
    </row>
    <row r="262" ht="16.5" customHeight="1">
      <c t="s" r="A262" s="12">
        <v>265</v>
      </c>
      <c r="B262" s="13">
        <v>0</v>
      </c>
      <c r="C262" s="14">
        <f>IFERROR(B262/B327, "NA")</f>
      </c>
      <c r="D262" s="15"/>
      <c r="E262" s="13">
        <v>0</v>
      </c>
      <c r="F262" s="14">
        <f>IFERROR(E262/E327, "NA")</f>
      </c>
      <c r="G262" s="15"/>
      <c r="H262" s="13">
        <v>0</v>
      </c>
      <c r="I262" s="14">
        <f>IFERROR(H262/H327, "NA")</f>
      </c>
      <c r="J262" s="15"/>
      <c r="K262" s="13">
        <v>5760.1400000000003</v>
      </c>
      <c r="L262" s="14">
        <f>IFERROR(K262/K327, "NA")</f>
      </c>
      <c r="M262" s="15"/>
      <c r="N262" s="13">
        <v>0</v>
      </c>
      <c r="O262" s="14">
        <f>IFERROR(N262/N327, "NA")</f>
      </c>
    </row>
    <row r="263" ht="16.5" customHeight="1">
      <c t="s" r="A263" s="16">
        <v>266</v>
      </c>
      <c r="B263" s="17">
        <f>IFERROR(B254+B255+B256+B257+B258+B259+B260+B261+B262, "NA")</f>
      </c>
      <c r="C263" s="18">
        <f>IFERROR(B263/B327, "NA")</f>
      </c>
      <c r="D263" s="8"/>
      <c r="E263" s="17">
        <f>IFERROR(E254+E255+E256+E257+E258+E259+E260+E261+E262, "NA")</f>
      </c>
      <c r="F263" s="18">
        <f>IFERROR(E263/E327, "NA")</f>
      </c>
      <c r="G263" s="8"/>
      <c r="H263" s="17">
        <f>IFERROR(H254+H255+H256+H257+H258+H259+H260+H261+H262, "NA")</f>
      </c>
      <c r="I263" s="18">
        <f>IFERROR(H263/H327, "NA")</f>
      </c>
      <c r="J263" s="8"/>
      <c r="K263" s="17">
        <f>IFERROR(K254+K255+K256+K257+K258+K259+K260+K261+K262, "NA")</f>
      </c>
      <c r="L263" s="18">
        <f>IFERROR(K263/K327, "NA")</f>
      </c>
      <c r="M263" s="8"/>
      <c r="N263" s="17">
        <f>IFERROR(N254+N255+N256+N257+N258+N259+N260+N261+N262, "NA")</f>
      </c>
      <c r="O263" s="18">
        <f>IFERROR(N263/N327, "NA")</f>
      </c>
    </row>
    <row r="264" ht="16.5" customHeight="1">
      <c t="s" r="A264" s="11">
        <v>267</v>
      </c>
      <c r="B264" s="8"/>
      <c r="C264" s="9"/>
      <c r="D264" s="10"/>
      <c r="E264" s="8"/>
      <c r="F264" s="9"/>
      <c r="G264" s="10"/>
      <c r="H264" s="8"/>
      <c r="I264" s="9"/>
      <c r="J264" s="10"/>
      <c r="K264" s="8"/>
      <c r="L264" s="9"/>
      <c r="M264" s="10"/>
      <c r="N264" s="8"/>
      <c r="O264" s="9"/>
    </row>
    <row r="265" ht="16.5" customHeight="1">
      <c t="s" r="A265" s="12">
        <v>268</v>
      </c>
      <c r="B265" s="13">
        <v>0</v>
      </c>
      <c r="C265" s="14">
        <f>IFERROR(B265/B327, "NA")</f>
      </c>
      <c r="D265" s="15"/>
      <c r="E265" s="13">
        <v>0</v>
      </c>
      <c r="F265" s="14">
        <f>IFERROR(E265/E327, "NA")</f>
      </c>
      <c r="G265" s="15"/>
      <c r="H265" s="13">
        <v>0</v>
      </c>
      <c r="I265" s="14">
        <f>IFERROR(H265/H327, "NA")</f>
      </c>
      <c r="J265" s="15"/>
      <c r="K265" s="13">
        <v>0</v>
      </c>
      <c r="L265" s="14">
        <f>IFERROR(K265/K327, "NA")</f>
      </c>
      <c r="M265" s="15"/>
      <c r="N265" s="13">
        <v>0</v>
      </c>
      <c r="O265" s="14">
        <f>IFERROR(N265/N327, "NA")</f>
      </c>
    </row>
    <row r="266" ht="16.5" customHeight="1">
      <c t="s" r="A266" s="12">
        <v>269</v>
      </c>
      <c r="B266" s="13">
        <v>0</v>
      </c>
      <c r="C266" s="14">
        <f>IFERROR(B266/B327, "NA")</f>
      </c>
      <c r="D266" s="15"/>
      <c r="E266" s="13">
        <v>0</v>
      </c>
      <c r="F266" s="14">
        <f>IFERROR(E266/E327, "NA")</f>
      </c>
      <c r="G266" s="15"/>
      <c r="H266" s="13">
        <v>0</v>
      </c>
      <c r="I266" s="14">
        <f>IFERROR(H266/H327, "NA")</f>
      </c>
      <c r="J266" s="15"/>
      <c r="K266" s="13">
        <v>0</v>
      </c>
      <c r="L266" s="14">
        <f>IFERROR(K266/K327, "NA")</f>
      </c>
      <c r="M266" s="15"/>
      <c r="N266" s="13">
        <v>0</v>
      </c>
      <c r="O266" s="14">
        <f>IFERROR(N266/N327, "NA")</f>
      </c>
    </row>
    <row r="267" ht="16.5" customHeight="1">
      <c t="s" r="A267" s="12">
        <v>270</v>
      </c>
      <c r="B267" s="13">
        <v>0</v>
      </c>
      <c r="C267" s="14">
        <f>IFERROR(B267/B327, "NA")</f>
      </c>
      <c r="D267" s="15"/>
      <c r="E267" s="13">
        <v>0</v>
      </c>
      <c r="F267" s="14">
        <f>IFERROR(E267/E327, "NA")</f>
      </c>
      <c r="G267" s="15"/>
      <c r="H267" s="13">
        <v>0</v>
      </c>
      <c r="I267" s="14">
        <f>IFERROR(H267/H327, "NA")</f>
      </c>
      <c r="J267" s="15"/>
      <c r="K267" s="13">
        <v>0</v>
      </c>
      <c r="L267" s="14">
        <f>IFERROR(K267/K327, "NA")</f>
      </c>
      <c r="M267" s="15"/>
      <c r="N267" s="13">
        <v>0</v>
      </c>
      <c r="O267" s="14">
        <f>IFERROR(N267/N327, "NA")</f>
      </c>
    </row>
    <row r="268" ht="16.5" customHeight="1">
      <c t="s" r="A268" s="12">
        <v>271</v>
      </c>
      <c r="B268" s="13">
        <v>0</v>
      </c>
      <c r="C268" s="14">
        <f>IFERROR(B268/B327, "NA")</f>
      </c>
      <c r="D268" s="15"/>
      <c r="E268" s="13">
        <v>-4924.5</v>
      </c>
      <c r="F268" s="14">
        <f>IFERROR(E268/E327, "NA")</f>
      </c>
      <c r="G268" s="15"/>
      <c r="H268" s="13">
        <v>-3000</v>
      </c>
      <c r="I268" s="14">
        <f>IFERROR(H268/H327, "NA")</f>
      </c>
      <c r="J268" s="15"/>
      <c r="K268" s="13">
        <v>-201.03999999999999</v>
      </c>
      <c r="L268" s="14">
        <f>IFERROR(K268/K327, "NA")</f>
      </c>
      <c r="M268" s="15"/>
      <c r="N268" s="13">
        <v>-6.6500000000000004</v>
      </c>
      <c r="O268" s="14">
        <f>IFERROR(N268/N327, "NA")</f>
      </c>
    </row>
    <row r="269" ht="16.5" customHeight="1">
      <c t="s" r="A269" s="12">
        <v>272</v>
      </c>
      <c r="B269" s="13">
        <v>0</v>
      </c>
      <c r="C269" s="14">
        <f>IFERROR(B269/B327, "NA")</f>
      </c>
      <c r="D269" s="15"/>
      <c r="E269" s="13">
        <v>0</v>
      </c>
      <c r="F269" s="14">
        <f>IFERROR(E269/E327, "NA")</f>
      </c>
      <c r="G269" s="15"/>
      <c r="H269" s="13">
        <v>0</v>
      </c>
      <c r="I269" s="14">
        <f>IFERROR(H269/H327, "NA")</f>
      </c>
      <c r="J269" s="15"/>
      <c r="K269" s="13">
        <v>0</v>
      </c>
      <c r="L269" s="14">
        <f>IFERROR(K269/K327, "NA")</f>
      </c>
      <c r="M269" s="15"/>
      <c r="N269" s="13">
        <v>0</v>
      </c>
      <c r="O269" s="14">
        <f>IFERROR(N269/N327, "NA")</f>
      </c>
    </row>
    <row r="270" ht="16.5" customHeight="1">
      <c t="s" r="A270" s="12">
        <v>273</v>
      </c>
      <c r="B270" s="13">
        <v>0</v>
      </c>
      <c r="C270" s="14">
        <f>IFERROR(B270/B327, "NA")</f>
      </c>
      <c r="D270" s="15"/>
      <c r="E270" s="13">
        <v>0</v>
      </c>
      <c r="F270" s="14">
        <f>IFERROR(E270/E327, "NA")</f>
      </c>
      <c r="G270" s="15"/>
      <c r="H270" s="13">
        <v>0</v>
      </c>
      <c r="I270" s="14">
        <f>IFERROR(H270/H327, "NA")</f>
      </c>
      <c r="J270" s="15"/>
      <c r="K270" s="13">
        <v>0</v>
      </c>
      <c r="L270" s="14">
        <f>IFERROR(K270/K327, "NA")</f>
      </c>
      <c r="M270" s="15"/>
      <c r="N270" s="13">
        <v>0</v>
      </c>
      <c r="O270" s="14">
        <f>IFERROR(N270/N327, "NA")</f>
      </c>
    </row>
    <row r="271" ht="16.5" customHeight="1">
      <c t="s" r="A271" s="12">
        <v>274</v>
      </c>
      <c r="B271" s="13">
        <v>0</v>
      </c>
      <c r="C271" s="14">
        <f>IFERROR(B271/B327, "NA")</f>
      </c>
      <c r="D271" s="15"/>
      <c r="E271" s="13">
        <v>0</v>
      </c>
      <c r="F271" s="14">
        <f>IFERROR(E271/E327, "NA")</f>
      </c>
      <c r="G271" s="15"/>
      <c r="H271" s="13">
        <v>0</v>
      </c>
      <c r="I271" s="14">
        <f>IFERROR(H271/H327, "NA")</f>
      </c>
      <c r="J271" s="15"/>
      <c r="K271" s="13">
        <v>0</v>
      </c>
      <c r="L271" s="14">
        <f>IFERROR(K271/K327, "NA")</f>
      </c>
      <c r="M271" s="15"/>
      <c r="N271" s="13">
        <v>0</v>
      </c>
      <c r="O271" s="14">
        <f>IFERROR(N271/N327, "NA")</f>
      </c>
    </row>
    <row r="272" ht="16.5" customHeight="1">
      <c t="s" r="A272" s="12">
        <v>275</v>
      </c>
      <c r="B272" s="13">
        <v>0</v>
      </c>
      <c r="C272" s="14">
        <f>IFERROR(B272/B327, "NA")</f>
      </c>
      <c r="D272" s="15"/>
      <c r="E272" s="13">
        <v>0</v>
      </c>
      <c r="F272" s="14">
        <f>IFERROR(E272/E327, "NA")</f>
      </c>
      <c r="G272" s="15"/>
      <c r="H272" s="13">
        <v>0</v>
      </c>
      <c r="I272" s="14">
        <f>IFERROR(H272/H327, "NA")</f>
      </c>
      <c r="J272" s="15"/>
      <c r="K272" s="13">
        <v>0</v>
      </c>
      <c r="L272" s="14">
        <f>IFERROR(K272/K327, "NA")</f>
      </c>
      <c r="M272" s="15"/>
      <c r="N272" s="13">
        <v>0</v>
      </c>
      <c r="O272" s="14">
        <f>IFERROR(N272/N327, "NA")</f>
      </c>
    </row>
    <row r="273" ht="16.5" customHeight="1">
      <c t="s" r="A273" s="12">
        <v>276</v>
      </c>
      <c r="B273" s="13">
        <v>0</v>
      </c>
      <c r="C273" s="14">
        <f>IFERROR(B273/B327, "NA")</f>
      </c>
      <c r="D273" s="15"/>
      <c r="E273" s="13">
        <v>0</v>
      </c>
      <c r="F273" s="14">
        <f>IFERROR(E273/E327, "NA")</f>
      </c>
      <c r="G273" s="15"/>
      <c r="H273" s="13">
        <v>0</v>
      </c>
      <c r="I273" s="14">
        <f>IFERROR(H273/H327, "NA")</f>
      </c>
      <c r="J273" s="15"/>
      <c r="K273" s="13">
        <v>0</v>
      </c>
      <c r="L273" s="14">
        <f>IFERROR(K273/K327, "NA")</f>
      </c>
      <c r="M273" s="15"/>
      <c r="N273" s="13">
        <v>0</v>
      </c>
      <c r="O273" s="14">
        <f>IFERROR(N273/N327, "NA")</f>
      </c>
    </row>
    <row r="274" ht="16.5" customHeight="1">
      <c t="s" r="A274" s="12">
        <v>277</v>
      </c>
      <c r="B274" s="13">
        <v>0</v>
      </c>
      <c r="C274" s="14">
        <f>IFERROR(B274/B327, "NA")</f>
      </c>
      <c r="D274" s="15"/>
      <c r="E274" s="13">
        <v>0</v>
      </c>
      <c r="F274" s="14">
        <f>IFERROR(E274/E327, "NA")</f>
      </c>
      <c r="G274" s="15"/>
      <c r="H274" s="13">
        <v>0</v>
      </c>
      <c r="I274" s="14">
        <f>IFERROR(H274/H327, "NA")</f>
      </c>
      <c r="J274" s="15"/>
      <c r="K274" s="13">
        <v>0</v>
      </c>
      <c r="L274" s="14">
        <f>IFERROR(K274/K327, "NA")</f>
      </c>
      <c r="M274" s="15"/>
      <c r="N274" s="13">
        <v>0</v>
      </c>
      <c r="O274" s="14">
        <f>IFERROR(N274/N327, "NA")</f>
      </c>
    </row>
    <row r="275" ht="16.5" customHeight="1">
      <c t="s" r="A275" s="12">
        <v>278</v>
      </c>
      <c r="B275" s="13">
        <v>0</v>
      </c>
      <c r="C275" s="14">
        <f>IFERROR(B275/B327, "NA")</f>
      </c>
      <c r="D275" s="15"/>
      <c r="E275" s="13">
        <v>0</v>
      </c>
      <c r="F275" s="14">
        <f>IFERROR(E275/E327, "NA")</f>
      </c>
      <c r="G275" s="15"/>
      <c r="H275" s="13">
        <v>0</v>
      </c>
      <c r="I275" s="14">
        <f>IFERROR(H275/H327, "NA")</f>
      </c>
      <c r="J275" s="15"/>
      <c r="K275" s="13">
        <v>0</v>
      </c>
      <c r="L275" s="14">
        <f>IFERROR(K275/K327, "NA")</f>
      </c>
      <c r="M275" s="15"/>
      <c r="N275" s="13">
        <v>0</v>
      </c>
      <c r="O275" s="14">
        <f>IFERROR(N275/N327, "NA")</f>
      </c>
    </row>
    <row r="276" ht="16.5" customHeight="1">
      <c t="s" r="A276" s="12">
        <v>279</v>
      </c>
      <c r="B276" s="13">
        <v>0</v>
      </c>
      <c r="C276" s="14">
        <f>IFERROR(B276/B327, "NA")</f>
      </c>
      <c r="D276" s="15"/>
      <c r="E276" s="13">
        <v>0</v>
      </c>
      <c r="F276" s="14">
        <f>IFERROR(E276/E327, "NA")</f>
      </c>
      <c r="G276" s="15"/>
      <c r="H276" s="13">
        <v>0</v>
      </c>
      <c r="I276" s="14">
        <f>IFERROR(H276/H327, "NA")</f>
      </c>
      <c r="J276" s="15"/>
      <c r="K276" s="13">
        <v>0</v>
      </c>
      <c r="L276" s="14">
        <f>IFERROR(K276/K327, "NA")</f>
      </c>
      <c r="M276" s="15"/>
      <c r="N276" s="13">
        <v>0</v>
      </c>
      <c r="O276" s="14">
        <f>IFERROR(N276/N327, "NA")</f>
      </c>
    </row>
    <row r="277" ht="16.5" customHeight="1">
      <c t="s" r="A277" s="12">
        <v>280</v>
      </c>
      <c r="B277" s="13">
        <v>0</v>
      </c>
      <c r="C277" s="14">
        <f>IFERROR(B277/B327, "NA")</f>
      </c>
      <c r="D277" s="15"/>
      <c r="E277" s="13">
        <v>0</v>
      </c>
      <c r="F277" s="14">
        <f>IFERROR(E277/E327, "NA")</f>
      </c>
      <c r="G277" s="15"/>
      <c r="H277" s="13">
        <v>0</v>
      </c>
      <c r="I277" s="14">
        <f>IFERROR(H277/H327, "NA")</f>
      </c>
      <c r="J277" s="15"/>
      <c r="K277" s="13">
        <v>0</v>
      </c>
      <c r="L277" s="14">
        <f>IFERROR(K277/K327, "NA")</f>
      </c>
      <c r="M277" s="15"/>
      <c r="N277" s="13">
        <v>0</v>
      </c>
      <c r="O277" s="14">
        <f>IFERROR(N277/N327, "NA")</f>
      </c>
    </row>
    <row r="278" ht="16.5" customHeight="1">
      <c t="s" r="A278" s="12">
        <v>281</v>
      </c>
      <c r="B278" s="13">
        <v>-7669.8599999999997</v>
      </c>
      <c r="C278" s="14">
        <f>IFERROR(B278/B327, "NA")</f>
      </c>
      <c r="D278" s="15"/>
      <c r="E278" s="13">
        <v>-17299.27</v>
      </c>
      <c r="F278" s="14">
        <f>IFERROR(E278/E327, "NA")</f>
      </c>
      <c r="G278" s="15"/>
      <c r="H278" s="13">
        <v>-18762.610000000001</v>
      </c>
      <c r="I278" s="14">
        <f>IFERROR(H278/H327, "NA")</f>
      </c>
      <c r="J278" s="15"/>
      <c r="K278" s="13">
        <v>-17825.48</v>
      </c>
      <c r="L278" s="14">
        <f>IFERROR(K278/K327, "NA")</f>
      </c>
      <c r="M278" s="15"/>
      <c r="N278" s="13">
        <v>-16753.700000000001</v>
      </c>
      <c r="O278" s="14">
        <f>IFERROR(N278/N327, "NA")</f>
      </c>
    </row>
    <row r="279" ht="16.5" customHeight="1">
      <c t="s" r="A279" s="12">
        <v>282</v>
      </c>
      <c r="B279" s="13">
        <v>0</v>
      </c>
      <c r="C279" s="14">
        <f>IFERROR(B279/B327, "NA")</f>
      </c>
      <c r="D279" s="15"/>
      <c r="E279" s="13">
        <v>0</v>
      </c>
      <c r="F279" s="14">
        <f>IFERROR(E279/E327, "NA")</f>
      </c>
      <c r="G279" s="15"/>
      <c r="H279" s="13">
        <v>0</v>
      </c>
      <c r="I279" s="14">
        <f>IFERROR(H279/H327, "NA")</f>
      </c>
      <c r="J279" s="15"/>
      <c r="K279" s="13">
        <v>0</v>
      </c>
      <c r="L279" s="14">
        <f>IFERROR(K279/K327, "NA")</f>
      </c>
      <c r="M279" s="15"/>
      <c r="N279" s="13">
        <v>0</v>
      </c>
      <c r="O279" s="14">
        <f>IFERROR(N279/N327, "NA")</f>
      </c>
    </row>
    <row r="280" ht="16.5" customHeight="1">
      <c t="s" r="A280" s="12">
        <v>283</v>
      </c>
      <c r="B280" s="13">
        <v>0</v>
      </c>
      <c r="C280" s="14">
        <f>IFERROR(B280/B327, "NA")</f>
      </c>
      <c r="D280" s="15"/>
      <c r="E280" s="13">
        <v>0</v>
      </c>
      <c r="F280" s="14">
        <f>IFERROR(E280/E327, "NA")</f>
      </c>
      <c r="G280" s="15"/>
      <c r="H280" s="13">
        <v>0</v>
      </c>
      <c r="I280" s="14">
        <f>IFERROR(H280/H327, "NA")</f>
      </c>
      <c r="J280" s="15"/>
      <c r="K280" s="13">
        <v>0</v>
      </c>
      <c r="L280" s="14">
        <f>IFERROR(K280/K327, "NA")</f>
      </c>
      <c r="M280" s="15"/>
      <c r="N280" s="13">
        <v>0</v>
      </c>
      <c r="O280" s="14">
        <f>IFERROR(N280/N327, "NA")</f>
      </c>
    </row>
    <row r="281" ht="16.5" customHeight="1">
      <c t="s" r="A281" s="12">
        <v>284</v>
      </c>
      <c r="B281" s="13">
        <v>0</v>
      </c>
      <c r="C281" s="14">
        <f>IFERROR(B281/B327, "NA")</f>
      </c>
      <c r="D281" s="15"/>
      <c r="E281" s="13">
        <v>0</v>
      </c>
      <c r="F281" s="14">
        <f>IFERROR(E281/E327, "NA")</f>
      </c>
      <c r="G281" s="15"/>
      <c r="H281" s="13">
        <v>0</v>
      </c>
      <c r="I281" s="14">
        <f>IFERROR(H281/H327, "NA")</f>
      </c>
      <c r="J281" s="15"/>
      <c r="K281" s="13">
        <v>0</v>
      </c>
      <c r="L281" s="14">
        <f>IFERROR(K281/K327, "NA")</f>
      </c>
      <c r="M281" s="15"/>
      <c r="N281" s="13">
        <v>0</v>
      </c>
      <c r="O281" s="14">
        <f>IFERROR(N281/N327, "NA")</f>
      </c>
    </row>
    <row r="282" ht="16.5" customHeight="1">
      <c t="s" r="A282" s="12">
        <v>285</v>
      </c>
      <c r="B282" s="13">
        <v>0</v>
      </c>
      <c r="C282" s="14">
        <f>IFERROR(B282/B327, "NA")</f>
      </c>
      <c r="D282" s="15"/>
      <c r="E282" s="13">
        <v>0</v>
      </c>
      <c r="F282" s="14">
        <f>IFERROR(E282/E327, "NA")</f>
      </c>
      <c r="G282" s="15"/>
      <c r="H282" s="13">
        <v>0</v>
      </c>
      <c r="I282" s="14">
        <f>IFERROR(H282/H327, "NA")</f>
      </c>
      <c r="J282" s="15"/>
      <c r="K282" s="13">
        <v>0</v>
      </c>
      <c r="L282" s="14">
        <f>IFERROR(K282/K327, "NA")</f>
      </c>
      <c r="M282" s="15"/>
      <c r="N282" s="13">
        <v>0</v>
      </c>
      <c r="O282" s="14">
        <f>IFERROR(N282/N327, "NA")</f>
      </c>
    </row>
    <row r="283" ht="16.5" customHeight="1">
      <c t="s" r="A283" s="16">
        <v>286</v>
      </c>
      <c r="B283" s="17">
        <f>IFERROR(B265+B266+B267+B268+B269+B270+B271+B272+B273+B274+B275+B276+B277+B278+B279+B280+B281+B282, "NA")</f>
      </c>
      <c r="C283" s="18">
        <f>IFERROR(B283/B327, "NA")</f>
      </c>
      <c r="D283" s="8"/>
      <c r="E283" s="17">
        <f>IFERROR(E265+E266+E267+E268+E269+E270+E271+E272+E273+E274+E275+E276+E277+E278+E279+E280+E281+E282, "NA")</f>
      </c>
      <c r="F283" s="18">
        <f>IFERROR(E283/E327, "NA")</f>
      </c>
      <c r="G283" s="8"/>
      <c r="H283" s="17">
        <f>IFERROR(H265+H266+H267+H268+H269+H270+H271+H272+H273+H274+H275+H276+H277+H278+H279+H280+H281+H282, "NA")</f>
      </c>
      <c r="I283" s="18">
        <f>IFERROR(H283/H327, "NA")</f>
      </c>
      <c r="J283" s="8"/>
      <c r="K283" s="17">
        <f>IFERROR(K265+K266+K267+K268+K269+K270+K271+K272+K273+K274+K275+K276+K277+K278+K279+K280+K281+K282, "NA")</f>
      </c>
      <c r="L283" s="18">
        <f>IFERROR(K283/K327, "NA")</f>
      </c>
      <c r="M283" s="8"/>
      <c r="N283" s="17">
        <f>IFERROR(N265+N266+N267+N268+N269+N270+N271+N272+N273+N274+N275+N276+N277+N278+N279+N280+N281+N282, "NA")</f>
      </c>
      <c r="O283" s="18">
        <f>IFERROR(N283/N327, "NA")</f>
      </c>
    </row>
    <row r="284" ht="16.5" customHeight="1">
      <c t="s" r="A284" s="20">
        <v>287</v>
      </c>
      <c r="B284" s="17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</c>
      <c r="C284" s="18">
        <f>IFERROR(B284/B327, "NA")</f>
      </c>
      <c r="D284" s="8"/>
      <c r="E284" s="17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</c>
      <c r="F284" s="18">
        <f>IFERROR(E284/E327, "NA")</f>
      </c>
      <c r="G284" s="8"/>
      <c r="H284" s="17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</c>
      <c r="I284" s="18">
        <f>IFERROR(H284/H327, "NA")</f>
      </c>
      <c r="J284" s="8"/>
      <c r="K284" s="17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</c>
      <c r="L284" s="18">
        <f>IFERROR(K284/K327, "NA")</f>
      </c>
      <c r="M284" s="8"/>
      <c r="N284" s="17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</c>
      <c r="O284" s="18">
        <f>IFERROR(N284/N327, "NA")</f>
      </c>
    </row>
    <row r="285" ht="16.5" customHeight="1">
      <c t="s" r="A285" s="7">
        <v>288</v>
      </c>
      <c r="B285" s="8"/>
      <c r="C285" s="9"/>
      <c r="D285" s="10"/>
      <c r="E285" s="8"/>
      <c r="F285" s="9"/>
      <c r="G285" s="10"/>
      <c r="H285" s="8"/>
      <c r="I285" s="9"/>
      <c r="J285" s="10"/>
      <c r="K285" s="8"/>
      <c r="L285" s="9"/>
      <c r="M285" s="10"/>
      <c r="N285" s="8"/>
      <c r="O285" s="9"/>
    </row>
    <row r="286" ht="16.5" customHeight="1">
      <c t="s" r="A286" s="11">
        <v>289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</row>
    <row r="287" ht="16.5" customHeight="1">
      <c t="s" r="A287" s="12">
        <v>290</v>
      </c>
      <c r="B287" s="13">
        <v>0</v>
      </c>
      <c r="C287" s="14">
        <f>IFERROR(B287/B327, "NA")</f>
      </c>
      <c r="D287" s="15"/>
      <c r="E287" s="13">
        <v>0</v>
      </c>
      <c r="F287" s="14">
        <f>IFERROR(E287/E327, "NA")</f>
      </c>
      <c r="G287" s="15"/>
      <c r="H287" s="13">
        <v>0</v>
      </c>
      <c r="I287" s="14">
        <f>IFERROR(H287/H327, "NA")</f>
      </c>
      <c r="J287" s="15"/>
      <c r="K287" s="13">
        <v>0</v>
      </c>
      <c r="L287" s="14">
        <f>IFERROR(K287/K327, "NA")</f>
      </c>
      <c r="M287" s="15"/>
      <c r="N287" s="13">
        <v>0</v>
      </c>
      <c r="O287" s="14">
        <f>IFERROR(N287/N327, "NA")</f>
      </c>
    </row>
    <row r="288" ht="16.5" customHeight="1">
      <c t="s" r="A288" s="12">
        <v>291</v>
      </c>
      <c r="B288" s="13">
        <v>0</v>
      </c>
      <c r="C288" s="14">
        <f>IFERROR(B288/B327, "NA")</f>
      </c>
      <c r="D288" s="15"/>
      <c r="E288" s="13">
        <v>0</v>
      </c>
      <c r="F288" s="14">
        <f>IFERROR(E288/E327, "NA")</f>
      </c>
      <c r="G288" s="15"/>
      <c r="H288" s="13">
        <v>0</v>
      </c>
      <c r="I288" s="14">
        <f>IFERROR(H288/H327, "NA")</f>
      </c>
      <c r="J288" s="15"/>
      <c r="K288" s="13">
        <v>0</v>
      </c>
      <c r="L288" s="14">
        <f>IFERROR(K288/K327, "NA")</f>
      </c>
      <c r="M288" s="15"/>
      <c r="N288" s="13">
        <v>0</v>
      </c>
      <c r="O288" s="14">
        <f>IFERROR(N288/N327, "NA")</f>
      </c>
    </row>
    <row r="289" ht="16.5" customHeight="1">
      <c t="s" r="A289" s="12">
        <v>292</v>
      </c>
      <c r="B289" s="13">
        <v>0</v>
      </c>
      <c r="C289" s="14">
        <f>IFERROR(B289/B327, "NA")</f>
      </c>
      <c r="D289" s="15"/>
      <c r="E289" s="13">
        <v>875</v>
      </c>
      <c r="F289" s="14">
        <f>IFERROR(E289/E327, "NA")</f>
      </c>
      <c r="G289" s="15"/>
      <c r="H289" s="13">
        <v>0</v>
      </c>
      <c r="I289" s="14">
        <f>IFERROR(H289/H327, "NA")</f>
      </c>
      <c r="J289" s="15"/>
      <c r="K289" s="13">
        <v>2561.6599999999999</v>
      </c>
      <c r="L289" s="14">
        <f>IFERROR(K289/K327, "NA")</f>
      </c>
      <c r="M289" s="15"/>
      <c r="N289" s="13">
        <v>0</v>
      </c>
      <c r="O289" s="14">
        <f>IFERROR(N289/N327, "NA")</f>
      </c>
    </row>
    <row r="290" ht="16.5" customHeight="1">
      <c t="s" r="A290" s="12">
        <v>293</v>
      </c>
      <c r="B290" s="13">
        <v>25758.279999999999</v>
      </c>
      <c r="C290" s="14">
        <f>IFERROR(B290/B327, "NA")</f>
      </c>
      <c r="D290" s="15"/>
      <c r="E290" s="13">
        <v>27024.630000000001</v>
      </c>
      <c r="F290" s="14">
        <f>IFERROR(E290/E327, "NA")</f>
      </c>
      <c r="G290" s="15"/>
      <c r="H290" s="13">
        <v>27053.150000000001</v>
      </c>
      <c r="I290" s="14">
        <f>IFERROR(H290/H327, "NA")</f>
      </c>
      <c r="J290" s="15"/>
      <c r="K290" s="13">
        <v>27660.630000000001</v>
      </c>
      <c r="L290" s="14">
        <f>IFERROR(K290/K327, "NA")</f>
      </c>
      <c r="M290" s="15"/>
      <c r="N290" s="13">
        <v>26125.759999999998</v>
      </c>
      <c r="O290" s="14">
        <f>IFERROR(N290/N327, "NA")</f>
      </c>
    </row>
    <row r="291" ht="16.5" customHeight="1">
      <c t="s" r="A291" s="12">
        <v>294</v>
      </c>
      <c r="B291" s="13">
        <v>0</v>
      </c>
      <c r="C291" s="14">
        <f>IFERROR(B291/B327, "NA")</f>
      </c>
      <c r="D291" s="15"/>
      <c r="E291" s="13">
        <v>0</v>
      </c>
      <c r="F291" s="14">
        <f>IFERROR(E291/E327, "NA")</f>
      </c>
      <c r="G291" s="15"/>
      <c r="H291" s="13">
        <v>25</v>
      </c>
      <c r="I291" s="14">
        <f>IFERROR(H291/H327, "NA")</f>
      </c>
      <c r="J291" s="15"/>
      <c r="K291" s="13">
        <v>0</v>
      </c>
      <c r="L291" s="14">
        <f>IFERROR(K291/K327, "NA")</f>
      </c>
      <c r="M291" s="15"/>
      <c r="N291" s="13">
        <v>0</v>
      </c>
      <c r="O291" s="14">
        <f>IFERROR(N291/N327, "NA")</f>
      </c>
    </row>
    <row r="292" ht="16.5" customHeight="1">
      <c t="s" r="A292" s="12">
        <v>295</v>
      </c>
      <c r="B292" s="13">
        <v>0</v>
      </c>
      <c r="C292" s="14">
        <f>IFERROR(B292/B327, "NA")</f>
      </c>
      <c r="D292" s="15"/>
      <c r="E292" s="13">
        <v>0</v>
      </c>
      <c r="F292" s="14">
        <f>IFERROR(E292/E327, "NA")</f>
      </c>
      <c r="G292" s="15"/>
      <c r="H292" s="13">
        <v>0</v>
      </c>
      <c r="I292" s="14">
        <f>IFERROR(H292/H327, "NA")</f>
      </c>
      <c r="J292" s="15"/>
      <c r="K292" s="13">
        <v>6000</v>
      </c>
      <c r="L292" s="14">
        <f>IFERROR(K292/K327, "NA")</f>
      </c>
      <c r="M292" s="15"/>
      <c r="N292" s="13">
        <v>0</v>
      </c>
      <c r="O292" s="14">
        <f>IFERROR(N292/N327, "NA")</f>
      </c>
    </row>
    <row r="293" ht="16.5" customHeight="1">
      <c t="s" r="A293" s="12">
        <v>296</v>
      </c>
      <c r="B293" s="13">
        <v>282.67000000000002</v>
      </c>
      <c r="C293" s="14">
        <f>IFERROR(B293/B327, "NA")</f>
      </c>
      <c r="D293" s="15"/>
      <c r="E293" s="13">
        <v>1088</v>
      </c>
      <c r="F293" s="14">
        <f>IFERROR(E293/E327, "NA")</f>
      </c>
      <c r="G293" s="15"/>
      <c r="H293" s="13">
        <v>580.45000000000005</v>
      </c>
      <c r="I293" s="14">
        <f>IFERROR(H293/H327, "NA")</f>
      </c>
      <c r="J293" s="15"/>
      <c r="K293" s="13">
        <v>500</v>
      </c>
      <c r="L293" s="14">
        <f>IFERROR(K293/K327, "NA")</f>
      </c>
      <c r="M293" s="15"/>
      <c r="N293" s="13">
        <v>0</v>
      </c>
      <c r="O293" s="14">
        <f>IFERROR(N293/N327, "NA")</f>
      </c>
    </row>
    <row r="294" ht="16.5" customHeight="1">
      <c t="s" r="A294" s="12">
        <v>297</v>
      </c>
      <c r="B294" s="13">
        <v>1560</v>
      </c>
      <c r="C294" s="14">
        <f>IFERROR(B294/B327, "NA")</f>
      </c>
      <c r="D294" s="15"/>
      <c r="E294" s="13">
        <v>1062.5999999999999</v>
      </c>
      <c r="F294" s="14">
        <f>IFERROR(E294/E327, "NA")</f>
      </c>
      <c r="G294" s="15"/>
      <c r="H294" s="13">
        <v>1481.55</v>
      </c>
      <c r="I294" s="14">
        <f>IFERROR(H294/H327, "NA")</f>
      </c>
      <c r="J294" s="15"/>
      <c r="K294" s="13">
        <v>1101.3499999999999</v>
      </c>
      <c r="L294" s="14">
        <f>IFERROR(K294/K327, "NA")</f>
      </c>
      <c r="M294" s="15"/>
      <c r="N294" s="13">
        <v>0</v>
      </c>
      <c r="O294" s="14">
        <f>IFERROR(N294/N327, "NA")</f>
      </c>
    </row>
    <row r="295" ht="16.5" customHeight="1">
      <c t="s" r="A295" s="12">
        <v>298</v>
      </c>
      <c r="B295" s="13">
        <v>0</v>
      </c>
      <c r="C295" s="14">
        <f>IFERROR(B295/B327, "NA")</f>
      </c>
      <c r="D295" s="15"/>
      <c r="E295" s="13">
        <v>0</v>
      </c>
      <c r="F295" s="14">
        <f>IFERROR(E295/E327, "NA")</f>
      </c>
      <c r="G295" s="15"/>
      <c r="H295" s="13">
        <v>0</v>
      </c>
      <c r="I295" s="14">
        <f>IFERROR(H295/H327, "NA")</f>
      </c>
      <c r="J295" s="15"/>
      <c r="K295" s="13">
        <v>0</v>
      </c>
      <c r="L295" s="14">
        <f>IFERROR(K295/K327, "NA")</f>
      </c>
      <c r="M295" s="15"/>
      <c r="N295" s="13">
        <v>0</v>
      </c>
      <c r="O295" s="14">
        <f>IFERROR(N295/N327, "NA")</f>
      </c>
    </row>
    <row r="296" ht="16.5" customHeight="1">
      <c t="s" r="A296" s="12">
        <v>299</v>
      </c>
      <c r="B296" s="13">
        <v>0</v>
      </c>
      <c r="C296" s="14">
        <f>IFERROR(B296/B327, "NA")</f>
      </c>
      <c r="D296" s="15"/>
      <c r="E296" s="13">
        <v>0</v>
      </c>
      <c r="F296" s="14">
        <f>IFERROR(E296/E327, "NA")</f>
      </c>
      <c r="G296" s="15"/>
      <c r="H296" s="13">
        <v>0</v>
      </c>
      <c r="I296" s="14">
        <f>IFERROR(H296/H327, "NA")</f>
      </c>
      <c r="J296" s="15"/>
      <c r="K296" s="13">
        <v>0</v>
      </c>
      <c r="L296" s="14">
        <f>IFERROR(K296/K327, "NA")</f>
      </c>
      <c r="M296" s="15"/>
      <c r="N296" s="13">
        <v>0</v>
      </c>
      <c r="O296" s="14">
        <f>IFERROR(N296/N327, "NA")</f>
      </c>
    </row>
    <row r="297" ht="16.5" customHeight="1">
      <c t="s" r="A297" s="12">
        <v>300</v>
      </c>
      <c r="B297" s="13">
        <v>0</v>
      </c>
      <c r="C297" s="14">
        <f>IFERROR(B297/B327, "NA")</f>
      </c>
      <c r="D297" s="15"/>
      <c r="E297" s="13">
        <v>0</v>
      </c>
      <c r="F297" s="14">
        <f>IFERROR(E297/E327, "NA")</f>
      </c>
      <c r="G297" s="15"/>
      <c r="H297" s="13">
        <v>0</v>
      </c>
      <c r="I297" s="14">
        <f>IFERROR(H297/H327, "NA")</f>
      </c>
      <c r="J297" s="15"/>
      <c r="K297" s="13">
        <v>0</v>
      </c>
      <c r="L297" s="14">
        <f>IFERROR(K297/K327, "NA")</f>
      </c>
      <c r="M297" s="15"/>
      <c r="N297" s="13">
        <v>0</v>
      </c>
      <c r="O297" s="14">
        <f>IFERROR(N297/N327, "NA")</f>
      </c>
    </row>
    <row r="298" ht="16.5" customHeight="1">
      <c t="s" r="A298" s="12">
        <v>301</v>
      </c>
      <c r="B298" s="13">
        <v>0</v>
      </c>
      <c r="C298" s="14">
        <f>IFERROR(B298/B327, "NA")</f>
      </c>
      <c r="D298" s="15"/>
      <c r="E298" s="13">
        <v>0</v>
      </c>
      <c r="F298" s="14">
        <f>IFERROR(E298/E327, "NA")</f>
      </c>
      <c r="G298" s="15"/>
      <c r="H298" s="13">
        <v>0</v>
      </c>
      <c r="I298" s="14">
        <f>IFERROR(H298/H327, "NA")</f>
      </c>
      <c r="J298" s="15"/>
      <c r="K298" s="13">
        <v>0</v>
      </c>
      <c r="L298" s="14">
        <f>IFERROR(K298/K327, "NA")</f>
      </c>
      <c r="M298" s="15"/>
      <c r="N298" s="13">
        <v>0</v>
      </c>
      <c r="O298" s="14">
        <f>IFERROR(N298/N327, "NA")</f>
      </c>
    </row>
    <row r="299" ht="16.5" customHeight="1">
      <c t="s" r="A299" s="12">
        <v>302</v>
      </c>
      <c r="B299" s="13">
        <v>0</v>
      </c>
      <c r="C299" s="14">
        <f>IFERROR(B299/B327, "NA")</f>
      </c>
      <c r="D299" s="15"/>
      <c r="E299" s="13">
        <v>0</v>
      </c>
      <c r="F299" s="14">
        <f>IFERROR(E299/E327, "NA")</f>
      </c>
      <c r="G299" s="15"/>
      <c r="H299" s="13">
        <v>0</v>
      </c>
      <c r="I299" s="14">
        <f>IFERROR(H299/H327, "NA")</f>
      </c>
      <c r="J299" s="15"/>
      <c r="K299" s="13">
        <v>0</v>
      </c>
      <c r="L299" s="14">
        <f>IFERROR(K299/K327, "NA")</f>
      </c>
      <c r="M299" s="15"/>
      <c r="N299" s="13">
        <v>0</v>
      </c>
      <c r="O299" s="14">
        <f>IFERROR(N299/N327, "NA")</f>
      </c>
    </row>
    <row r="300" ht="16.5" customHeight="1">
      <c t="s" r="A300" s="12">
        <v>303</v>
      </c>
      <c r="B300" s="13">
        <v>0</v>
      </c>
      <c r="C300" s="14">
        <f>IFERROR(B300/B327, "NA")</f>
      </c>
      <c r="D300" s="15"/>
      <c r="E300" s="13">
        <v>0</v>
      </c>
      <c r="F300" s="14">
        <f>IFERROR(E300/E327, "NA")</f>
      </c>
      <c r="G300" s="15"/>
      <c r="H300" s="13">
        <v>0</v>
      </c>
      <c r="I300" s="14">
        <f>IFERROR(H300/H327, "NA")</f>
      </c>
      <c r="J300" s="15"/>
      <c r="K300" s="13">
        <v>0</v>
      </c>
      <c r="L300" s="14">
        <f>IFERROR(K300/K327, "NA")</f>
      </c>
      <c r="M300" s="15"/>
      <c r="N300" s="13">
        <v>0</v>
      </c>
      <c r="O300" s="14">
        <f>IFERROR(N300/N327, "NA")</f>
      </c>
    </row>
    <row r="301" ht="16.5" customHeight="1">
      <c t="s" r="A301" s="12">
        <v>304</v>
      </c>
      <c r="B301" s="13">
        <v>0</v>
      </c>
      <c r="C301" s="14">
        <f>IFERROR(B301/B327, "NA")</f>
      </c>
      <c r="D301" s="15"/>
      <c r="E301" s="13">
        <v>0</v>
      </c>
      <c r="F301" s="14">
        <f>IFERROR(E301/E327, "NA")</f>
      </c>
      <c r="G301" s="15"/>
      <c r="H301" s="13">
        <v>0</v>
      </c>
      <c r="I301" s="14">
        <f>IFERROR(H301/H327, "NA")</f>
      </c>
      <c r="J301" s="15"/>
      <c r="K301" s="13">
        <v>0</v>
      </c>
      <c r="L301" s="14">
        <f>IFERROR(K301/K327, "NA")</f>
      </c>
      <c r="M301" s="15"/>
      <c r="N301" s="13">
        <v>0</v>
      </c>
      <c r="O301" s="14">
        <f>IFERROR(N301/N327, "NA")</f>
      </c>
    </row>
    <row r="302" ht="16.5" customHeight="1">
      <c t="s" r="A302" s="12">
        <v>305</v>
      </c>
      <c r="B302" s="13">
        <v>0</v>
      </c>
      <c r="C302" s="14">
        <f>IFERROR(B302/B327, "NA")</f>
      </c>
      <c r="D302" s="15"/>
      <c r="E302" s="13">
        <v>0</v>
      </c>
      <c r="F302" s="14">
        <f>IFERROR(E302/E327, "NA")</f>
      </c>
      <c r="G302" s="15"/>
      <c r="H302" s="13">
        <v>0</v>
      </c>
      <c r="I302" s="14">
        <f>IFERROR(H302/H327, "NA")</f>
      </c>
      <c r="J302" s="15"/>
      <c r="K302" s="13">
        <v>0</v>
      </c>
      <c r="L302" s="14">
        <f>IFERROR(K302/K327, "NA")</f>
      </c>
      <c r="M302" s="15"/>
      <c r="N302" s="13">
        <v>0</v>
      </c>
      <c r="O302" s="14">
        <f>IFERROR(N302/N327, "NA")</f>
      </c>
    </row>
    <row r="303" ht="16.5" customHeight="1">
      <c t="s" r="A303" s="12">
        <v>306</v>
      </c>
      <c r="B303" s="13">
        <v>0</v>
      </c>
      <c r="C303" s="14">
        <f>IFERROR(B303/B327, "NA")</f>
      </c>
      <c r="D303" s="15"/>
      <c r="E303" s="13">
        <v>0</v>
      </c>
      <c r="F303" s="14">
        <f>IFERROR(E303/E327, "NA")</f>
      </c>
      <c r="G303" s="15"/>
      <c r="H303" s="13">
        <v>0</v>
      </c>
      <c r="I303" s="14">
        <f>IFERROR(H303/H327, "NA")</f>
      </c>
      <c r="J303" s="15"/>
      <c r="K303" s="13">
        <v>0</v>
      </c>
      <c r="L303" s="14">
        <f>IFERROR(K303/K327, "NA")</f>
      </c>
      <c r="M303" s="15"/>
      <c r="N303" s="13">
        <v>0</v>
      </c>
      <c r="O303" s="14">
        <f>IFERROR(N303/N327, "NA")</f>
      </c>
    </row>
    <row r="304" ht="16.5" customHeight="1">
      <c t="s" r="A304" s="12">
        <v>307</v>
      </c>
      <c r="B304" s="13">
        <v>0</v>
      </c>
      <c r="C304" s="14">
        <f>IFERROR(B304/B327, "NA")</f>
      </c>
      <c r="D304" s="15"/>
      <c r="E304" s="13">
        <v>0</v>
      </c>
      <c r="F304" s="14">
        <f>IFERROR(E304/E327, "NA")</f>
      </c>
      <c r="G304" s="15"/>
      <c r="H304" s="13">
        <v>0</v>
      </c>
      <c r="I304" s="14">
        <f>IFERROR(H304/H327, "NA")</f>
      </c>
      <c r="J304" s="15"/>
      <c r="K304" s="13">
        <v>0</v>
      </c>
      <c r="L304" s="14">
        <f>IFERROR(K304/K327, "NA")</f>
      </c>
      <c r="M304" s="15"/>
      <c r="N304" s="13">
        <v>0</v>
      </c>
      <c r="O304" s="14">
        <f>IFERROR(N304/N327, "NA")</f>
      </c>
    </row>
    <row r="305" ht="16.5" customHeight="1">
      <c t="s" r="A305" s="12">
        <v>308</v>
      </c>
      <c r="B305" s="13">
        <v>0</v>
      </c>
      <c r="C305" s="14">
        <f>IFERROR(B305/B327, "NA")</f>
      </c>
      <c r="D305" s="15"/>
      <c r="E305" s="13">
        <v>0</v>
      </c>
      <c r="F305" s="14">
        <f>IFERROR(E305/E327, "NA")</f>
      </c>
      <c r="G305" s="15"/>
      <c r="H305" s="13">
        <v>0</v>
      </c>
      <c r="I305" s="14">
        <f>IFERROR(H305/H327, "NA")</f>
      </c>
      <c r="J305" s="15"/>
      <c r="K305" s="13">
        <v>0</v>
      </c>
      <c r="L305" s="14">
        <f>IFERROR(K305/K327, "NA")</f>
      </c>
      <c r="M305" s="15"/>
      <c r="N305" s="13">
        <v>0</v>
      </c>
      <c r="O305" s="14">
        <f>IFERROR(N305/N327, "NA")</f>
      </c>
    </row>
    <row r="306" ht="16.5" customHeight="1">
      <c t="s" r="A306" s="12">
        <v>309</v>
      </c>
      <c r="B306" s="13">
        <v>0</v>
      </c>
      <c r="C306" s="14">
        <f>IFERROR(B306/B327, "NA")</f>
      </c>
      <c r="D306" s="15"/>
      <c r="E306" s="13">
        <v>0</v>
      </c>
      <c r="F306" s="14">
        <f>IFERROR(E306/E327, "NA")</f>
      </c>
      <c r="G306" s="15"/>
      <c r="H306" s="13">
        <v>0</v>
      </c>
      <c r="I306" s="14">
        <f>IFERROR(H306/H327, "NA")</f>
      </c>
      <c r="J306" s="15"/>
      <c r="K306" s="13">
        <v>0</v>
      </c>
      <c r="L306" s="14">
        <f>IFERROR(K306/K327, "NA")</f>
      </c>
      <c r="M306" s="15"/>
      <c r="N306" s="13">
        <v>0</v>
      </c>
      <c r="O306" s="14">
        <f>IFERROR(N306/N327, "NA")</f>
      </c>
    </row>
    <row r="307" ht="16.5" customHeight="1">
      <c t="s" r="A307" s="12">
        <v>310</v>
      </c>
      <c r="B307" s="13">
        <v>0</v>
      </c>
      <c r="C307" s="14">
        <f>IFERROR(B307/B327, "NA")</f>
      </c>
      <c r="D307" s="15"/>
      <c r="E307" s="13">
        <v>0</v>
      </c>
      <c r="F307" s="14">
        <f>IFERROR(E307/E327, "NA")</f>
      </c>
      <c r="G307" s="15"/>
      <c r="H307" s="13">
        <v>0</v>
      </c>
      <c r="I307" s="14">
        <f>IFERROR(H307/H327, "NA")</f>
      </c>
      <c r="J307" s="15"/>
      <c r="K307" s="13">
        <v>0</v>
      </c>
      <c r="L307" s="14">
        <f>IFERROR(K307/K327, "NA")</f>
      </c>
      <c r="M307" s="15"/>
      <c r="N307" s="13">
        <v>0</v>
      </c>
      <c r="O307" s="14">
        <f>IFERROR(N307/N327, "NA")</f>
      </c>
    </row>
    <row r="308" ht="16.5" customHeight="1">
      <c t="s" r="A308" s="12">
        <v>311</v>
      </c>
      <c r="B308" s="13">
        <v>0</v>
      </c>
      <c r="C308" s="14">
        <f>IFERROR(B308/B327, "NA")</f>
      </c>
      <c r="D308" s="15"/>
      <c r="E308" s="13">
        <v>0</v>
      </c>
      <c r="F308" s="14">
        <f>IFERROR(E308/E327, "NA")</f>
      </c>
      <c r="G308" s="15"/>
      <c r="H308" s="13">
        <v>0</v>
      </c>
      <c r="I308" s="14">
        <f>IFERROR(H308/H327, "NA")</f>
      </c>
      <c r="J308" s="15"/>
      <c r="K308" s="13">
        <v>0</v>
      </c>
      <c r="L308" s="14">
        <f>IFERROR(K308/K327, "NA")</f>
      </c>
      <c r="M308" s="15"/>
      <c r="N308" s="13">
        <v>0</v>
      </c>
      <c r="O308" s="14">
        <f>IFERROR(N308/N327, "NA")</f>
      </c>
    </row>
    <row r="309" ht="16.5" customHeight="1">
      <c t="s" r="A309" s="12">
        <v>312</v>
      </c>
      <c r="B309" s="13">
        <v>0</v>
      </c>
      <c r="C309" s="14">
        <f>IFERROR(B309/B327, "NA")</f>
      </c>
      <c r="D309" s="15"/>
      <c r="E309" s="13">
        <v>0</v>
      </c>
      <c r="F309" s="14">
        <f>IFERROR(E309/E327, "NA")</f>
      </c>
      <c r="G309" s="15"/>
      <c r="H309" s="13">
        <v>0</v>
      </c>
      <c r="I309" s="14">
        <f>IFERROR(H309/H327, "NA")</f>
      </c>
      <c r="J309" s="15"/>
      <c r="K309" s="13">
        <v>0</v>
      </c>
      <c r="L309" s="14">
        <f>IFERROR(K309/K327, "NA")</f>
      </c>
      <c r="M309" s="15"/>
      <c r="N309" s="13">
        <v>0</v>
      </c>
      <c r="O309" s="14">
        <f>IFERROR(N309/N327, "NA")</f>
      </c>
    </row>
    <row r="310" ht="16.5" customHeight="1">
      <c t="s" r="A310" s="12">
        <v>313</v>
      </c>
      <c r="B310" s="13">
        <v>0</v>
      </c>
      <c r="C310" s="14">
        <f>IFERROR(B310/B327, "NA")</f>
      </c>
      <c r="D310" s="15"/>
      <c r="E310" s="13">
        <v>0</v>
      </c>
      <c r="F310" s="14">
        <f>IFERROR(E310/E327, "NA")</f>
      </c>
      <c r="G310" s="15"/>
      <c r="H310" s="13">
        <v>0</v>
      </c>
      <c r="I310" s="14">
        <f>IFERROR(H310/H327, "NA")</f>
      </c>
      <c r="J310" s="15"/>
      <c r="K310" s="13">
        <v>0</v>
      </c>
      <c r="L310" s="14">
        <f>IFERROR(K310/K327, "NA")</f>
      </c>
      <c r="M310" s="15"/>
      <c r="N310" s="13">
        <v>0</v>
      </c>
      <c r="O310" s="14">
        <f>IFERROR(N310/N327, "NA")</f>
      </c>
    </row>
    <row r="311" ht="16.5" customHeight="1">
      <c t="s" r="A311" s="12">
        <v>314</v>
      </c>
      <c r="B311" s="13">
        <v>0</v>
      </c>
      <c r="C311" s="14">
        <f>IFERROR(B311/B327, "NA")</f>
      </c>
      <c r="D311" s="15"/>
      <c r="E311" s="13">
        <v>0</v>
      </c>
      <c r="F311" s="14">
        <f>IFERROR(E311/E327, "NA")</f>
      </c>
      <c r="G311" s="15"/>
      <c r="H311" s="13">
        <v>0</v>
      </c>
      <c r="I311" s="14">
        <f>IFERROR(H311/H327, "NA")</f>
      </c>
      <c r="J311" s="15"/>
      <c r="K311" s="13">
        <v>0</v>
      </c>
      <c r="L311" s="14">
        <f>IFERROR(K311/K327, "NA")</f>
      </c>
      <c r="M311" s="15"/>
      <c r="N311" s="13">
        <v>0</v>
      </c>
      <c r="O311" s="14">
        <f>IFERROR(N311/N327, "NA")</f>
      </c>
    </row>
    <row r="312" ht="16.5" customHeight="1">
      <c t="s" r="A312" s="12">
        <v>315</v>
      </c>
      <c r="B312" s="13">
        <v>0</v>
      </c>
      <c r="C312" s="14">
        <f>IFERROR(B312/B327, "NA")</f>
      </c>
      <c r="D312" s="15"/>
      <c r="E312" s="13">
        <v>0</v>
      </c>
      <c r="F312" s="14">
        <f>IFERROR(E312/E327, "NA")</f>
      </c>
      <c r="G312" s="15"/>
      <c r="H312" s="13">
        <v>0</v>
      </c>
      <c r="I312" s="14">
        <f>IFERROR(H312/H327, "NA")</f>
      </c>
      <c r="J312" s="15"/>
      <c r="K312" s="13">
        <v>0</v>
      </c>
      <c r="L312" s="14">
        <f>IFERROR(K312/K327, "NA")</f>
      </c>
      <c r="M312" s="15"/>
      <c r="N312" s="13">
        <v>0</v>
      </c>
      <c r="O312" s="14">
        <f>IFERROR(N312/N327, "NA")</f>
      </c>
    </row>
    <row r="313" ht="16.5" customHeight="1">
      <c t="s" r="A313" s="12">
        <v>316</v>
      </c>
      <c r="B313" s="13">
        <v>0</v>
      </c>
      <c r="C313" s="14">
        <f>IFERROR(B313/B327, "NA")</f>
      </c>
      <c r="D313" s="15"/>
      <c r="E313" s="13">
        <v>0</v>
      </c>
      <c r="F313" s="14">
        <f>IFERROR(E313/E327, "NA")</f>
      </c>
      <c r="G313" s="15"/>
      <c r="H313" s="13">
        <v>0</v>
      </c>
      <c r="I313" s="14">
        <f>IFERROR(H313/H327, "NA")</f>
      </c>
      <c r="J313" s="15"/>
      <c r="K313" s="13">
        <v>0</v>
      </c>
      <c r="L313" s="14">
        <f>IFERROR(K313/K327, "NA")</f>
      </c>
      <c r="M313" s="15"/>
      <c r="N313" s="13">
        <v>0</v>
      </c>
      <c r="O313" s="14">
        <f>IFERROR(N313/N327, "NA")</f>
      </c>
    </row>
    <row r="314" ht="16.5" customHeight="1">
      <c t="s" r="A314" s="16">
        <v>317</v>
      </c>
      <c r="B314" s="17">
        <f>IFERROR(B287+B288+B289+B290+B291+B292+B293+B294+B295+B296+B297+B298+B299+B300+B301+B302+B303+B304+B305+B306+B307+B308+B309+B310+B311+B312+B313, "NA")</f>
      </c>
      <c r="C314" s="18">
        <f>IFERROR(B314/B327, "NA")</f>
      </c>
      <c r="D314" s="8"/>
      <c r="E314" s="17">
        <f>IFERROR(E287+E288+E289+E290+E291+E292+E293+E294+E295+E296+E297+E298+E299+E300+E301+E302+E303+E304+E305+E306+E307+E308+E309+E310+E311+E312+E313, "NA")</f>
      </c>
      <c r="F314" s="18">
        <f>IFERROR(E314/E327, "NA")</f>
      </c>
      <c r="G314" s="8"/>
      <c r="H314" s="17">
        <f>IFERROR(H287+H288+H289+H290+H291+H292+H293+H294+H295+H296+H297+H298+H299+H300+H301+H302+H303+H304+H305+H306+H307+H308+H309+H310+H311+H312+H313, "NA")</f>
      </c>
      <c r="I314" s="18">
        <f>IFERROR(H314/H327, "NA")</f>
      </c>
      <c r="J314" s="8"/>
      <c r="K314" s="17">
        <f>IFERROR(K287+K288+K289+K290+K291+K292+K293+K294+K295+K296+K297+K298+K299+K300+K301+K302+K303+K304+K305+K306+K307+K308+K309+K310+K311+K312+K313, "NA")</f>
      </c>
      <c r="L314" s="18">
        <f>IFERROR(K314/K327, "NA")</f>
      </c>
      <c r="M314" s="8"/>
      <c r="N314" s="17">
        <f>IFERROR(N287+N288+N289+N290+N291+N292+N293+N294+N295+N296+N297+N298+N299+N300+N301+N302+N303+N304+N305+N306+N307+N308+N309+N310+N311+N312+N313, "NA")</f>
      </c>
      <c r="O314" s="18">
        <f>IFERROR(N314/N327, "NA")</f>
      </c>
    </row>
    <row r="315" ht="16.5" customHeight="1">
      <c t="s" r="A315" s="11">
        <v>318</v>
      </c>
      <c r="B315" s="8"/>
      <c r="C315" s="9"/>
      <c r="D315" s="10"/>
      <c r="E315" s="8"/>
      <c r="F315" s="9"/>
      <c r="G315" s="10"/>
      <c r="H315" s="8"/>
      <c r="I315" s="9"/>
      <c r="J315" s="10"/>
      <c r="K315" s="8"/>
      <c r="L315" s="9"/>
      <c r="M315" s="10"/>
      <c r="N315" s="8"/>
      <c r="O315" s="9"/>
    </row>
    <row r="316" ht="16.5" customHeight="1">
      <c t="s" r="A316" s="12">
        <v>319</v>
      </c>
      <c r="B316" s="13">
        <v>0</v>
      </c>
      <c r="C316" s="14">
        <f>IFERROR(B316/B327, "NA")</f>
      </c>
      <c r="D316" s="15"/>
      <c r="E316" s="13">
        <v>0</v>
      </c>
      <c r="F316" s="14">
        <f>IFERROR(E316/E327, "NA")</f>
      </c>
      <c r="G316" s="15"/>
      <c r="H316" s="13">
        <v>0</v>
      </c>
      <c r="I316" s="14">
        <f>IFERROR(H316/H327, "NA")</f>
      </c>
      <c r="J316" s="15"/>
      <c r="K316" s="13">
        <v>0</v>
      </c>
      <c r="L316" s="14">
        <f>IFERROR(K316/K327, "NA")</f>
      </c>
      <c r="M316" s="15"/>
      <c r="N316" s="13">
        <v>0</v>
      </c>
      <c r="O316" s="14">
        <f>IFERROR(N316/N327, "NA")</f>
      </c>
    </row>
    <row r="317" ht="16.5" customHeight="1">
      <c t="s" r="A317" s="12">
        <v>320</v>
      </c>
      <c r="B317" s="13">
        <v>0</v>
      </c>
      <c r="C317" s="14">
        <f>IFERROR(B317/B327, "NA")</f>
      </c>
      <c r="D317" s="15"/>
      <c r="E317" s="13">
        <v>0</v>
      </c>
      <c r="F317" s="14">
        <f>IFERROR(E317/E327, "NA")</f>
      </c>
      <c r="G317" s="15"/>
      <c r="H317" s="13">
        <v>0</v>
      </c>
      <c r="I317" s="14">
        <f>IFERROR(H317/H327, "NA")</f>
      </c>
      <c r="J317" s="15"/>
      <c r="K317" s="13">
        <v>0</v>
      </c>
      <c r="L317" s="14">
        <f>IFERROR(K317/K327, "NA")</f>
      </c>
      <c r="M317" s="15"/>
      <c r="N317" s="13">
        <v>0</v>
      </c>
      <c r="O317" s="14">
        <f>IFERROR(N317/N327, "NA")</f>
      </c>
    </row>
    <row r="318" ht="16.5" customHeight="1">
      <c t="s" r="A318" s="12">
        <v>321</v>
      </c>
      <c r="B318" s="13">
        <v>0</v>
      </c>
      <c r="C318" s="14">
        <f>IFERROR(B318/B327, "NA")</f>
      </c>
      <c r="D318" s="15"/>
      <c r="E318" s="13">
        <v>0</v>
      </c>
      <c r="F318" s="14">
        <f>IFERROR(E318/E327, "NA")</f>
      </c>
      <c r="G318" s="15"/>
      <c r="H318" s="13">
        <v>0</v>
      </c>
      <c r="I318" s="14">
        <f>IFERROR(H318/H327, "NA")</f>
      </c>
      <c r="J318" s="15"/>
      <c r="K318" s="13">
        <v>0</v>
      </c>
      <c r="L318" s="14">
        <f>IFERROR(K318/K327, "NA")</f>
      </c>
      <c r="M318" s="15"/>
      <c r="N318" s="13">
        <v>0</v>
      </c>
      <c r="O318" s="14">
        <f>IFERROR(N318/N327, "NA")</f>
      </c>
    </row>
    <row r="319" ht="16.5" customHeight="1">
      <c t="s" r="A319" s="12">
        <v>322</v>
      </c>
      <c r="B319" s="13">
        <v>0</v>
      </c>
      <c r="C319" s="14">
        <f>IFERROR(B319/B327, "NA")</f>
      </c>
      <c r="D319" s="15"/>
      <c r="E319" s="13">
        <v>0</v>
      </c>
      <c r="F319" s="14">
        <f>IFERROR(E319/E327, "NA")</f>
      </c>
      <c r="G319" s="15"/>
      <c r="H319" s="13">
        <v>0</v>
      </c>
      <c r="I319" s="14">
        <f>IFERROR(H319/H327, "NA")</f>
      </c>
      <c r="J319" s="15"/>
      <c r="K319" s="13">
        <v>0</v>
      </c>
      <c r="L319" s="14">
        <f>IFERROR(K319/K327, "NA")</f>
      </c>
      <c r="M319" s="15"/>
      <c r="N319" s="13">
        <v>0</v>
      </c>
      <c r="O319" s="14">
        <f>IFERROR(N319/N327, "NA")</f>
      </c>
    </row>
    <row r="320" ht="16.5" customHeight="1">
      <c t="s" r="A320" s="12">
        <v>323</v>
      </c>
      <c r="B320" s="13">
        <v>0</v>
      </c>
      <c r="C320" s="14">
        <f>IFERROR(B320/B327, "NA")</f>
      </c>
      <c r="D320" s="15"/>
      <c r="E320" s="13">
        <v>0</v>
      </c>
      <c r="F320" s="14">
        <f>IFERROR(E320/E327, "NA")</f>
      </c>
      <c r="G320" s="15"/>
      <c r="H320" s="13">
        <v>0</v>
      </c>
      <c r="I320" s="14">
        <f>IFERROR(H320/H327, "NA")</f>
      </c>
      <c r="J320" s="15"/>
      <c r="K320" s="13">
        <v>0</v>
      </c>
      <c r="L320" s="14">
        <f>IFERROR(K320/K327, "NA")</f>
      </c>
      <c r="M320" s="15"/>
      <c r="N320" s="13">
        <v>0</v>
      </c>
      <c r="O320" s="14">
        <f>IFERROR(N320/N327, "NA")</f>
      </c>
    </row>
    <row r="321" ht="16.5" customHeight="1">
      <c t="s" r="A321" s="12">
        <v>324</v>
      </c>
      <c r="B321" s="13">
        <v>0</v>
      </c>
      <c r="C321" s="14">
        <f>IFERROR(B321/B327, "NA")</f>
      </c>
      <c r="D321" s="15"/>
      <c r="E321" s="13">
        <v>0</v>
      </c>
      <c r="F321" s="14">
        <f>IFERROR(E321/E327, "NA")</f>
      </c>
      <c r="G321" s="15"/>
      <c r="H321" s="13">
        <v>0</v>
      </c>
      <c r="I321" s="14">
        <f>IFERROR(H321/H327, "NA")</f>
      </c>
      <c r="J321" s="15"/>
      <c r="K321" s="13">
        <v>0</v>
      </c>
      <c r="L321" s="14">
        <f>IFERROR(K321/K327, "NA")</f>
      </c>
      <c r="M321" s="15"/>
      <c r="N321" s="13">
        <v>0</v>
      </c>
      <c r="O321" s="14">
        <f>IFERROR(N321/N327, "NA")</f>
      </c>
    </row>
    <row r="322" ht="16.5" customHeight="1">
      <c t="s" r="A322" s="12">
        <v>325</v>
      </c>
      <c r="B322" s="13">
        <v>0</v>
      </c>
      <c r="C322" s="14">
        <f>IFERROR(B322/B327, "NA")</f>
      </c>
      <c r="D322" s="15"/>
      <c r="E322" s="13">
        <v>0</v>
      </c>
      <c r="F322" s="14">
        <f>IFERROR(E322/E327, "NA")</f>
      </c>
      <c r="G322" s="15"/>
      <c r="H322" s="13">
        <v>0</v>
      </c>
      <c r="I322" s="14">
        <f>IFERROR(H322/H327, "NA")</f>
      </c>
      <c r="J322" s="15"/>
      <c r="K322" s="13">
        <v>0</v>
      </c>
      <c r="L322" s="14">
        <f>IFERROR(K322/K327, "NA")</f>
      </c>
      <c r="M322" s="15"/>
      <c r="N322" s="13">
        <v>0</v>
      </c>
      <c r="O322" s="14">
        <f>IFERROR(N322/N327, "NA")</f>
      </c>
    </row>
    <row r="323" ht="16.5" customHeight="1">
      <c t="s" r="A323" s="12">
        <v>326</v>
      </c>
      <c r="B323" s="13">
        <v>0</v>
      </c>
      <c r="C323" s="14">
        <f>IFERROR(B323/B327, "NA")</f>
      </c>
      <c r="D323" s="15"/>
      <c r="E323" s="13">
        <v>0</v>
      </c>
      <c r="F323" s="14">
        <f>IFERROR(E323/E327, "NA")</f>
      </c>
      <c r="G323" s="15"/>
      <c r="H323" s="13">
        <v>0</v>
      </c>
      <c r="I323" s="14">
        <f>IFERROR(H323/H327, "NA")</f>
      </c>
      <c r="J323" s="15"/>
      <c r="K323" s="13">
        <v>0</v>
      </c>
      <c r="L323" s="14">
        <f>IFERROR(K323/K327, "NA")</f>
      </c>
      <c r="M323" s="15"/>
      <c r="N323" s="13">
        <v>0</v>
      </c>
      <c r="O323" s="14">
        <f>IFERROR(N323/N327, "NA")</f>
      </c>
    </row>
    <row r="324" ht="16.5" customHeight="1">
      <c t="s" r="A324" s="16">
        <v>327</v>
      </c>
      <c r="B324" s="17">
        <f>IFERROR(B316+B317+B318+B319+B320+B321+B322+B323, "NA")</f>
      </c>
      <c r="C324" s="18">
        <f>IFERROR(B324/B327, "NA")</f>
      </c>
      <c r="D324" s="8"/>
      <c r="E324" s="17">
        <f>IFERROR(E316+E317+E318+E319+E320+E321+E322+E323, "NA")</f>
      </c>
      <c r="F324" s="18">
        <f>IFERROR(E324/E327, "NA")</f>
      </c>
      <c r="G324" s="8"/>
      <c r="H324" s="17">
        <f>IFERROR(H316+H317+H318+H319+H320+H321+H322+H323, "NA")</f>
      </c>
      <c r="I324" s="18">
        <f>IFERROR(H324/H327, "NA")</f>
      </c>
      <c r="J324" s="8"/>
      <c r="K324" s="17">
        <f>IFERROR(K316+K317+K318+K319+K320+K321+K322+K323, "NA")</f>
      </c>
      <c r="L324" s="18">
        <f>IFERROR(K324/K327, "NA")</f>
      </c>
      <c r="M324" s="8"/>
      <c r="N324" s="17">
        <f>IFERROR(N316+N317+N318+N319+N320+N321+N322+N323, "NA")</f>
      </c>
      <c r="O324" s="18">
        <f>IFERROR(N324/N327, "NA")</f>
      </c>
    </row>
    <row r="325" ht="16.5" customHeight="1">
      <c t="s" r="A325" s="20">
        <v>328</v>
      </c>
      <c r="B325" s="17">
        <f>IFERROR(B287+B288+B289+B290+B291+B292+B293+B294+B295+B296+B297+B298+B299+B300+B301+B302+B303+B304+B305+B306+B307+B308+B309+B310+B311+B312+B313+B316+B317+B318+B319+B320+B321+B322+B323, "NA")</f>
      </c>
      <c r="C325" s="18">
        <f>IFERROR(B325/B327, "NA")</f>
      </c>
      <c r="D325" s="8"/>
      <c r="E325" s="17">
        <f>IFERROR(E287+E288+E289+E290+E291+E292+E293+E294+E295+E296+E297+E298+E299+E300+E301+E302+E303+E304+E305+E306+E307+E308+E309+E310+E311+E312+E313+E316+E317+E318+E319+E320+E321+E322+E323, "NA")</f>
      </c>
      <c r="F325" s="18">
        <f>IFERROR(E325/E327, "NA")</f>
      </c>
      <c r="G325" s="8"/>
      <c r="H325" s="17">
        <f>IFERROR(H287+H288+H289+H290+H291+H292+H293+H294+H295+H296+H297+H298+H299+H300+H301+H302+H303+H304+H305+H306+H307+H308+H309+H310+H311+H312+H313+H316+H317+H318+H319+H320+H321+H322+H323, "NA")</f>
      </c>
      <c r="I325" s="18">
        <f>IFERROR(H325/H327, "NA")</f>
      </c>
      <c r="J325" s="8"/>
      <c r="K325" s="17">
        <f>IFERROR(K287+K288+K289+K290+K291+K292+K293+K294+K295+K296+K297+K298+K299+K300+K301+K302+K303+K304+K305+K306+K307+K308+K309+K310+K311+K312+K313+K316+K317+K318+K319+K320+K321+K322+K323, "NA")</f>
      </c>
      <c r="L325" s="18">
        <f>IFERROR(K325/K327, "NA")</f>
      </c>
      <c r="M325" s="8"/>
      <c r="N325" s="17">
        <f>IFERROR(N287+N288+N289+N290+N291+N292+N293+N294+N295+N296+N297+N298+N299+N300+N301+N302+N303+N304+N305+N306+N307+N308+N309+N310+N311+N312+N313+N316+N317+N318+N319+N320+N321+N322+N323, "NA")</f>
      </c>
      <c r="O325" s="18">
        <f>IFERROR(N325/N327, "NA")</f>
      </c>
    </row>
    <row r="326" ht="16.5" customHeight="1">
      <c t="s" r="A326" s="20">
        <v>329</v>
      </c>
      <c r="B326" s="17">
        <f>IFERROR(+B52-B157-B211-B284-B325, "NA")</f>
      </c>
      <c r="C326" s="18">
        <f>IFERROR(B326/B327, "NA")</f>
      </c>
      <c r="D326" s="8"/>
      <c r="E326" s="17">
        <f>IFERROR(+E52-E157-E211-E284-E325, "NA")</f>
      </c>
      <c r="F326" s="18">
        <f>IFERROR(E326/E327, "NA")</f>
      </c>
      <c r="G326" s="8"/>
      <c r="H326" s="17">
        <f>IFERROR(+H52-H157-H211-H284-H325, "NA")</f>
      </c>
      <c r="I326" s="18">
        <f>IFERROR(H326/H327, "NA")</f>
      </c>
      <c r="J326" s="8"/>
      <c r="K326" s="17">
        <f>IFERROR(+K52-K157-K211-K284-K325, "NA")</f>
      </c>
      <c r="L326" s="18">
        <f>IFERROR(K326/K327, "NA")</f>
      </c>
      <c r="M326" s="8"/>
      <c r="N326" s="17">
        <f>IFERROR(+N52-N157-N211-N284-N325, "NA")</f>
      </c>
      <c r="O326" s="18">
        <f>IFERROR(N326/N327, "NA")</f>
      </c>
    </row>
    <row r="327" hidden="1">
      <c t="s" r="A327" s="24">
        <v>55</v>
      </c>
      <c r="B327" s="13">
        <v>185084</v>
      </c>
      <c r="C327" s="25"/>
      <c r="D327" s="15"/>
      <c r="E327" s="13">
        <v>526652</v>
      </c>
      <c r="F327" s="25"/>
      <c r="G327" s="15"/>
      <c r="H327" s="13">
        <v>525796.45999999996</v>
      </c>
      <c r="I327" s="25"/>
      <c r="J327" s="15"/>
      <c r="K327" s="13">
        <v>535199.12</v>
      </c>
      <c r="L327" s="25"/>
      <c r="M327" s="15"/>
      <c r="N327" s="13">
        <v>506455.26000000001</v>
      </c>
      <c r="O327" s="25"/>
    </row>
    <row r="328"/>
    <row r="329"/>
    <row r="330">
      <c t="s" r="A330" s="26">
        <v>330</v>
      </c>
    </row>
    <row r="331">
      <c t="s" r="A331" s="26">
        <v>331</v>
      </c>
    </row>
    <row r="332">
      <c t="s" r="A332" s="26">
        <v>332</v>
      </c>
    </row>
  </sheetData>
  <mergeCells count="13">
    <mergeCell ref="A1:O1"/>
    <mergeCell ref="A2:O2"/>
    <mergeCell ref="A3:O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</mergeCells>
  <ignoredErrors>
    <ignoredError sqref="A1:O332" numberStoredAsText="1"/>
  </ignoredErrors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</row>
    <row r="3">
      <c t="s" r="A3" s="3">
        <v>337</v>
      </c>
      <c t="s" r="B3" s="3">
        <v>337</v>
      </c>
      <c t="s" r="C3" s="3">
        <v>337</v>
      </c>
      <c t="s" r="D3" s="3">
        <v>337</v>
      </c>
      <c t="s" r="E3" s="3">
        <v>337</v>
      </c>
      <c t="s" r="F3" s="3">
        <v>337</v>
      </c>
      <c t="s" r="G3" s="3">
        <v>337</v>
      </c>
      <c t="s" r="H3" s="3">
        <v>337</v>
      </c>
      <c t="s" r="I3" s="3">
        <v>337</v>
      </c>
      <c t="s" r="J3" s="3">
        <v>337</v>
      </c>
      <c t="s" r="K3" s="3">
        <v>337</v>
      </c>
      <c t="s" r="L3" s="3">
        <v>337</v>
      </c>
      <c t="s" r="M3" s="3">
        <v>337</v>
      </c>
      <c t="s" r="N3" s="3">
        <v>337</v>
      </c>
      <c t="s" r="O3" s="3">
        <v>337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8</v>
      </c>
      <c t="s" r="O5" s="6">
        <v>3</v>
      </c>
    </row>
    <row r="6" ht="16.5" customHeight="1">
      <c t="s" r="A6" s="7">
        <v>9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</row>
    <row r="7" ht="16.5" customHeight="1">
      <c t="s" r="A7" s="11">
        <v>10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</row>
    <row r="8" ht="16.5" customHeight="1">
      <c t="s" r="A8" s="12">
        <v>11</v>
      </c>
      <c r="B8" s="13">
        <v>16243</v>
      </c>
      <c r="C8" s="14">
        <f>IFERROR(B8/B327, "NA")</f>
      </c>
      <c r="D8" s="15"/>
      <c r="E8" s="13">
        <v>63114.5</v>
      </c>
      <c r="F8" s="14">
        <f>IFERROR(E8/E327, "NA")</f>
      </c>
      <c r="G8" s="15"/>
      <c r="H8" s="13">
        <v>58497</v>
      </c>
      <c r="I8" s="14">
        <f>IFERROR(H8/H327, "NA")</f>
      </c>
      <c r="J8" s="15"/>
      <c r="K8" s="13">
        <v>65548</v>
      </c>
      <c r="L8" s="14">
        <f>IFERROR(K8/K327, "NA")</f>
      </c>
      <c r="M8" s="15"/>
      <c r="N8" s="13">
        <v>62735</v>
      </c>
      <c r="O8" s="14">
        <f>IFERROR(N8/N327, "NA")</f>
      </c>
    </row>
    <row r="9" ht="16.5" customHeight="1">
      <c t="s" r="A9" s="12">
        <v>12</v>
      </c>
      <c r="B9" s="13">
        <v>0</v>
      </c>
      <c r="C9" s="14">
        <f>IFERROR(B9/B327, "NA")</f>
      </c>
      <c r="D9" s="15"/>
      <c r="E9" s="13">
        <v>0</v>
      </c>
      <c r="F9" s="14">
        <f>IFERROR(E9/E327, "NA")</f>
      </c>
      <c r="G9" s="15"/>
      <c r="H9" s="13">
        <v>0</v>
      </c>
      <c r="I9" s="14">
        <f>IFERROR(H9/H327, "NA")</f>
      </c>
      <c r="J9" s="15"/>
      <c r="K9" s="13">
        <v>0</v>
      </c>
      <c r="L9" s="14">
        <f>IFERROR(K9/K327, "NA")</f>
      </c>
      <c r="M9" s="15"/>
      <c r="N9" s="13">
        <v>0</v>
      </c>
      <c r="O9" s="14">
        <f>IFERROR(N9/N327, "NA")</f>
      </c>
    </row>
    <row r="10" ht="16.5" customHeight="1">
      <c t="s" r="A10" s="16">
        <v>13</v>
      </c>
      <c r="B10" s="17">
        <f>IFERROR(B8+B9, "NA")</f>
      </c>
      <c r="C10" s="18">
        <f>IFERROR(B10/B327, "NA")</f>
      </c>
      <c r="D10" s="8"/>
      <c r="E10" s="17">
        <f>IFERROR(E8+E9, "NA")</f>
      </c>
      <c r="F10" s="18">
        <f>IFERROR(E10/E327, "NA")</f>
      </c>
      <c r="G10" s="8"/>
      <c r="H10" s="17">
        <f>IFERROR(H8+H9, "NA")</f>
      </c>
      <c r="I10" s="18">
        <f>IFERROR(H10/H327, "NA")</f>
      </c>
      <c r="J10" s="8"/>
      <c r="K10" s="17">
        <f>IFERROR(K8+K9, "NA")</f>
      </c>
      <c r="L10" s="18">
        <f>IFERROR(K10/K327, "NA")</f>
      </c>
      <c r="M10" s="8"/>
      <c r="N10" s="17">
        <f>IFERROR(N8+N9, "NA")</f>
      </c>
      <c r="O10" s="18">
        <f>IFERROR(N10/N327, "NA")</f>
      </c>
    </row>
    <row r="11" ht="16.5" customHeight="1">
      <c t="s" r="A11" s="19">
        <v>14</v>
      </c>
      <c r="B11" s="13">
        <v>3077</v>
      </c>
      <c r="C11" s="14">
        <f>IFERROR(B11/B327, "NA")</f>
      </c>
      <c r="D11" s="15"/>
      <c r="E11" s="13">
        <v>7344</v>
      </c>
      <c r="F11" s="14">
        <f>IFERROR(E11/E327, "NA")</f>
      </c>
      <c r="G11" s="15"/>
      <c r="H11" s="13">
        <v>8496</v>
      </c>
      <c r="I11" s="14">
        <f>IFERROR(H11/H327, "NA")</f>
      </c>
      <c r="J11" s="15"/>
      <c r="K11" s="13">
        <v>10162</v>
      </c>
      <c r="L11" s="14">
        <f>IFERROR(K11/K327, "NA")</f>
      </c>
      <c r="M11" s="15"/>
      <c r="N11" s="13">
        <v>11142.01</v>
      </c>
      <c r="O11" s="14">
        <f>IFERROR(N11/N327, "NA")</f>
      </c>
    </row>
    <row r="12" ht="16.5" customHeight="1">
      <c t="s" r="A12" s="11">
        <v>15</v>
      </c>
      <c r="B12" s="8"/>
      <c r="C12" s="9"/>
      <c r="D12" s="10"/>
      <c r="E12" s="8"/>
      <c r="F12" s="9"/>
      <c r="G12" s="10"/>
      <c r="H12" s="8"/>
      <c r="I12" s="9"/>
      <c r="J12" s="10"/>
      <c r="K12" s="8"/>
      <c r="L12" s="9"/>
      <c r="M12" s="10"/>
      <c r="N12" s="8"/>
      <c r="O12" s="9"/>
    </row>
    <row r="13" ht="16.5" customHeight="1">
      <c t="s" r="A13" s="12">
        <v>16</v>
      </c>
      <c r="B13" s="13">
        <v>0</v>
      </c>
      <c r="C13" s="14">
        <f>IFERROR(B13/B327, "NA")</f>
      </c>
      <c r="D13" s="15"/>
      <c r="E13" s="13">
        <v>0</v>
      </c>
      <c r="F13" s="14">
        <f>IFERROR(E13/E327, "NA")</f>
      </c>
      <c r="G13" s="15"/>
      <c r="H13" s="13">
        <v>0</v>
      </c>
      <c r="I13" s="14">
        <f>IFERROR(H13/H327, "NA")</f>
      </c>
      <c r="J13" s="15"/>
      <c r="K13" s="13">
        <v>0</v>
      </c>
      <c r="L13" s="14">
        <f>IFERROR(K13/K327, "NA")</f>
      </c>
      <c r="M13" s="15"/>
      <c r="N13" s="13">
        <v>0</v>
      </c>
      <c r="O13" s="14">
        <f>IFERROR(N13/N327, "NA")</f>
      </c>
    </row>
    <row r="14" ht="16.5" customHeight="1">
      <c t="s" r="A14" s="12">
        <v>17</v>
      </c>
      <c r="B14" s="13">
        <v>40875</v>
      </c>
      <c r="C14" s="14">
        <f>IFERROR(B14/B327, "NA")</f>
      </c>
      <c r="D14" s="15"/>
      <c r="E14" s="13">
        <v>88909</v>
      </c>
      <c r="F14" s="14">
        <f>IFERROR(E14/E327, "NA")</f>
      </c>
      <c r="G14" s="15"/>
      <c r="H14" s="13">
        <v>82154</v>
      </c>
      <c r="I14" s="14">
        <f>IFERROR(H14/H327, "NA")</f>
      </c>
      <c r="J14" s="15"/>
      <c r="K14" s="13">
        <v>105378</v>
      </c>
      <c r="L14" s="14">
        <f>IFERROR(K14/K327, "NA")</f>
      </c>
      <c r="M14" s="15"/>
      <c r="N14" s="13">
        <v>139101.5</v>
      </c>
      <c r="O14" s="14">
        <f>IFERROR(N14/N327, "NA")</f>
      </c>
    </row>
    <row r="15" ht="16.5" customHeight="1">
      <c t="s" r="A15" s="12">
        <v>18</v>
      </c>
      <c r="B15" s="13">
        <v>231</v>
      </c>
      <c r="C15" s="14">
        <f>IFERROR(B15/B327, "NA")</f>
      </c>
      <c r="D15" s="15"/>
      <c r="E15" s="13">
        <v>1194</v>
      </c>
      <c r="F15" s="14">
        <f>IFERROR(E15/E327, "NA")</f>
      </c>
      <c r="G15" s="15"/>
      <c r="H15" s="13">
        <v>1001</v>
      </c>
      <c r="I15" s="14">
        <f>IFERROR(H15/H327, "NA")</f>
      </c>
      <c r="J15" s="15"/>
      <c r="K15" s="13">
        <v>1242</v>
      </c>
      <c r="L15" s="14">
        <f>IFERROR(K15/K327, "NA")</f>
      </c>
      <c r="M15" s="15"/>
      <c r="N15" s="13">
        <v>1471</v>
      </c>
      <c r="O15" s="14">
        <f>IFERROR(N15/N327, "NA")</f>
      </c>
    </row>
    <row r="16" ht="16.5" customHeight="1">
      <c t="s" r="A16" s="12">
        <v>19</v>
      </c>
      <c r="B16" s="13">
        <v>3386</v>
      </c>
      <c r="C16" s="14">
        <f>IFERROR(B16/B327, "NA")</f>
      </c>
      <c r="D16" s="15"/>
      <c r="E16" s="13">
        <v>13041</v>
      </c>
      <c r="F16" s="14">
        <f>IFERROR(E16/E327, "NA")</f>
      </c>
      <c r="G16" s="15"/>
      <c r="H16" s="13">
        <v>11255</v>
      </c>
      <c r="I16" s="14">
        <f>IFERROR(H16/H327, "NA")</f>
      </c>
      <c r="J16" s="15"/>
      <c r="K16" s="13">
        <v>8279</v>
      </c>
      <c r="L16" s="14">
        <f>IFERROR(K16/K327, "NA")</f>
      </c>
      <c r="M16" s="15"/>
      <c r="N16" s="13">
        <v>18654</v>
      </c>
      <c r="O16" s="14">
        <f>IFERROR(N16/N327, "NA")</f>
      </c>
    </row>
    <row r="17" ht="16.5" customHeight="1">
      <c t="s" r="A17" s="12">
        <v>20</v>
      </c>
      <c r="B17" s="13">
        <v>2491</v>
      </c>
      <c r="C17" s="14">
        <f>IFERROR(B17/B327, "NA")</f>
      </c>
      <c r="D17" s="15"/>
      <c r="E17" s="13">
        <v>6633</v>
      </c>
      <c r="F17" s="14">
        <f>IFERROR(E17/E327, "NA")</f>
      </c>
      <c r="G17" s="15"/>
      <c r="H17" s="13">
        <v>4816</v>
      </c>
      <c r="I17" s="14">
        <f>IFERROR(H17/H327, "NA")</f>
      </c>
      <c r="J17" s="15"/>
      <c r="K17" s="13">
        <v>5739</v>
      </c>
      <c r="L17" s="14">
        <f>IFERROR(K17/K327, "NA")</f>
      </c>
      <c r="M17" s="15"/>
      <c r="N17" s="13">
        <v>6746</v>
      </c>
      <c r="O17" s="14">
        <f>IFERROR(N17/N327, "NA")</f>
      </c>
    </row>
    <row r="18" ht="16.5" customHeight="1">
      <c t="s" r="A18" s="12">
        <v>21</v>
      </c>
      <c r="B18" s="13">
        <v>815</v>
      </c>
      <c r="C18" s="14">
        <f>IFERROR(B18/B327, "NA")</f>
      </c>
      <c r="D18" s="15"/>
      <c r="E18" s="13">
        <v>5560</v>
      </c>
      <c r="F18" s="14">
        <f>IFERROR(E18/E327, "NA")</f>
      </c>
      <c r="G18" s="15"/>
      <c r="H18" s="13">
        <v>11655</v>
      </c>
      <c r="I18" s="14">
        <f>IFERROR(H18/H327, "NA")</f>
      </c>
      <c r="J18" s="15"/>
      <c r="K18" s="13">
        <v>8785</v>
      </c>
      <c r="L18" s="14">
        <f>IFERROR(K18/K327, "NA")</f>
      </c>
      <c r="M18" s="15"/>
      <c r="N18" s="13">
        <v>7050</v>
      </c>
      <c r="O18" s="14">
        <f>IFERROR(N18/N327, "NA")</f>
      </c>
    </row>
    <row r="19" ht="16.5" customHeight="1">
      <c t="s" r="A19" s="16">
        <v>22</v>
      </c>
      <c r="B19" s="17">
        <f>IFERROR(B13+B14+B15+B16+B17+B18, "NA")</f>
      </c>
      <c r="C19" s="18">
        <f>IFERROR(B19/B327, "NA")</f>
      </c>
      <c r="D19" s="8"/>
      <c r="E19" s="17">
        <f>IFERROR(E13+E14+E15+E16+E17+E18, "NA")</f>
      </c>
      <c r="F19" s="18">
        <f>IFERROR(E19/E327, "NA")</f>
      </c>
      <c r="G19" s="8"/>
      <c r="H19" s="17">
        <f>IFERROR(H13+H14+H15+H16+H17+H18, "NA")</f>
      </c>
      <c r="I19" s="18">
        <f>IFERROR(H19/H327, "NA")</f>
      </c>
      <c r="J19" s="8"/>
      <c r="K19" s="17">
        <f>IFERROR(K13+K14+K15+K16+K17+K18, "NA")</f>
      </c>
      <c r="L19" s="18">
        <f>IFERROR(K19/K327, "NA")</f>
      </c>
      <c r="M19" s="8"/>
      <c r="N19" s="17">
        <f>IFERROR(N13+N14+N15+N16+N17+N18, "NA")</f>
      </c>
      <c r="O19" s="18">
        <f>IFERROR(N19/N327, "NA")</f>
      </c>
    </row>
    <row r="20" ht="16.5" customHeight="1">
      <c t="s" r="A20" s="11">
        <v>23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</row>
    <row r="21" ht="16.5" customHeight="1">
      <c t="s" r="A21" s="12">
        <v>24</v>
      </c>
      <c r="B21" s="13">
        <v>0</v>
      </c>
      <c r="C21" s="14">
        <f>IFERROR(B21/B327, "NA")</f>
      </c>
      <c r="D21" s="15"/>
      <c r="E21" s="13">
        <v>0</v>
      </c>
      <c r="F21" s="14">
        <f>IFERROR(E21/E327, "NA")</f>
      </c>
      <c r="G21" s="15"/>
      <c r="H21" s="13">
        <v>0</v>
      </c>
      <c r="I21" s="14">
        <f>IFERROR(H21/H327, "NA")</f>
      </c>
      <c r="J21" s="15"/>
      <c r="K21" s="13">
        <v>0</v>
      </c>
      <c r="L21" s="14">
        <f>IFERROR(K21/K327, "NA")</f>
      </c>
      <c r="M21" s="15"/>
      <c r="N21" s="13">
        <v>0</v>
      </c>
      <c r="O21" s="14">
        <f>IFERROR(N21/N327, "NA")</f>
      </c>
    </row>
    <row r="22" ht="16.5" customHeight="1">
      <c t="s" r="A22" s="12">
        <v>25</v>
      </c>
      <c r="B22" s="13">
        <v>62</v>
      </c>
      <c r="C22" s="14">
        <f>IFERROR(B22/B327, "NA")</f>
      </c>
      <c r="D22" s="15"/>
      <c r="E22" s="13">
        <v>1750</v>
      </c>
      <c r="F22" s="14">
        <f>IFERROR(E22/E327, "NA")</f>
      </c>
      <c r="G22" s="15"/>
      <c r="H22" s="13">
        <v>633</v>
      </c>
      <c r="I22" s="14">
        <f>IFERROR(H22/H327, "NA")</f>
      </c>
      <c r="J22" s="15"/>
      <c r="K22" s="13">
        <v>359</v>
      </c>
      <c r="L22" s="14">
        <f>IFERROR(K22/K327, "NA")</f>
      </c>
      <c r="M22" s="15"/>
      <c r="N22" s="13">
        <v>928</v>
      </c>
      <c r="O22" s="14">
        <f>IFERROR(N22/N327, "NA")</f>
      </c>
    </row>
    <row r="23" ht="16.5" customHeight="1">
      <c t="s" r="A23" s="12">
        <v>26</v>
      </c>
      <c r="B23" s="13">
        <v>0</v>
      </c>
      <c r="C23" s="14">
        <f>IFERROR(B23/B327, "NA")</f>
      </c>
      <c r="D23" s="15"/>
      <c r="E23" s="13">
        <v>0</v>
      </c>
      <c r="F23" s="14">
        <f>IFERROR(E23/E327, "NA")</f>
      </c>
      <c r="G23" s="15"/>
      <c r="H23" s="13">
        <v>0</v>
      </c>
      <c r="I23" s="14">
        <f>IFERROR(H23/H327, "NA")</f>
      </c>
      <c r="J23" s="15"/>
      <c r="K23" s="13">
        <v>-2803.7399999999998</v>
      </c>
      <c r="L23" s="14">
        <f>IFERROR(K23/K327, "NA")</f>
      </c>
      <c r="M23" s="15"/>
      <c r="N23" s="13">
        <v>0</v>
      </c>
      <c r="O23" s="14">
        <f>IFERROR(N23/N327, "NA")</f>
      </c>
    </row>
    <row r="24" ht="16.5" customHeight="1">
      <c t="s" r="A24" s="12">
        <v>27</v>
      </c>
      <c r="B24" s="13">
        <v>0</v>
      </c>
      <c r="C24" s="14">
        <f>IFERROR(B24/B327, "NA")</f>
      </c>
      <c r="D24" s="15"/>
      <c r="E24" s="13">
        <v>0</v>
      </c>
      <c r="F24" s="14">
        <f>IFERROR(E24/E327, "NA")</f>
      </c>
      <c r="G24" s="15"/>
      <c r="H24" s="13">
        <v>0</v>
      </c>
      <c r="I24" s="14">
        <f>IFERROR(H24/H327, "NA")</f>
      </c>
      <c r="J24" s="15"/>
      <c r="K24" s="13">
        <v>0</v>
      </c>
      <c r="L24" s="14">
        <f>IFERROR(K24/K327, "NA")</f>
      </c>
      <c r="M24" s="15"/>
      <c r="N24" s="13">
        <v>0</v>
      </c>
      <c r="O24" s="14">
        <f>IFERROR(N24/N327, "NA")</f>
      </c>
    </row>
    <row r="25" ht="16.5" customHeight="1">
      <c t="s" r="A25" s="12">
        <v>28</v>
      </c>
      <c r="B25" s="13">
        <v>0</v>
      </c>
      <c r="C25" s="14">
        <f>IFERROR(B25/B327, "NA")</f>
      </c>
      <c r="D25" s="15"/>
      <c r="E25" s="13">
        <v>0</v>
      </c>
      <c r="F25" s="14">
        <f>IFERROR(E25/E327, "NA")</f>
      </c>
      <c r="G25" s="15"/>
      <c r="H25" s="13">
        <v>0</v>
      </c>
      <c r="I25" s="14">
        <f>IFERROR(H25/H327, "NA")</f>
      </c>
      <c r="J25" s="15"/>
      <c r="K25" s="13">
        <v>0</v>
      </c>
      <c r="L25" s="14">
        <f>IFERROR(K25/K327, "NA")</f>
      </c>
      <c r="M25" s="15"/>
      <c r="N25" s="13">
        <v>0</v>
      </c>
      <c r="O25" s="14">
        <f>IFERROR(N25/N327, "NA")</f>
      </c>
    </row>
    <row r="26" ht="16.5" customHeight="1">
      <c t="s" r="A26" s="12">
        <v>29</v>
      </c>
      <c r="B26" s="13">
        <v>0</v>
      </c>
      <c r="C26" s="14">
        <f>IFERROR(B26/B327, "NA")</f>
      </c>
      <c r="D26" s="15"/>
      <c r="E26" s="13">
        <v>0</v>
      </c>
      <c r="F26" s="14">
        <f>IFERROR(E26/E327, "NA")</f>
      </c>
      <c r="G26" s="15"/>
      <c r="H26" s="13">
        <v>0</v>
      </c>
      <c r="I26" s="14">
        <f>IFERROR(H26/H327, "NA")</f>
      </c>
      <c r="J26" s="15"/>
      <c r="K26" s="13">
        <v>0</v>
      </c>
      <c r="L26" s="14">
        <f>IFERROR(K26/K327, "NA")</f>
      </c>
      <c r="M26" s="15"/>
      <c r="N26" s="13">
        <v>0</v>
      </c>
      <c r="O26" s="14">
        <f>IFERROR(N26/N327, "NA")</f>
      </c>
    </row>
    <row r="27" ht="16.5" customHeight="1">
      <c t="s" r="A27" s="12">
        <v>30</v>
      </c>
      <c r="B27" s="13">
        <v>0</v>
      </c>
      <c r="C27" s="14">
        <f>IFERROR(B27/B327, "NA")</f>
      </c>
      <c r="D27" s="15"/>
      <c r="E27" s="13">
        <v>0</v>
      </c>
      <c r="F27" s="14">
        <f>IFERROR(E27/E327, "NA")</f>
      </c>
      <c r="G27" s="15"/>
      <c r="H27" s="13">
        <v>0</v>
      </c>
      <c r="I27" s="14">
        <f>IFERROR(H27/H327, "NA")</f>
      </c>
      <c r="J27" s="15"/>
      <c r="K27" s="13">
        <v>0</v>
      </c>
      <c r="L27" s="14">
        <f>IFERROR(K27/K327, "NA")</f>
      </c>
      <c r="M27" s="15"/>
      <c r="N27" s="13">
        <v>0</v>
      </c>
      <c r="O27" s="14">
        <f>IFERROR(N27/N327, "NA")</f>
      </c>
    </row>
    <row r="28" ht="16.5" customHeight="1">
      <c t="s" r="A28" s="12">
        <v>31</v>
      </c>
      <c r="B28" s="13">
        <v>0</v>
      </c>
      <c r="C28" s="14">
        <f>IFERROR(B28/B327, "NA")</f>
      </c>
      <c r="D28" s="15"/>
      <c r="E28" s="13">
        <v>0</v>
      </c>
      <c r="F28" s="14">
        <f>IFERROR(E28/E327, "NA")</f>
      </c>
      <c r="G28" s="15"/>
      <c r="H28" s="13">
        <v>0</v>
      </c>
      <c r="I28" s="14">
        <f>IFERROR(H28/H327, "NA")</f>
      </c>
      <c r="J28" s="15"/>
      <c r="K28" s="13">
        <v>0</v>
      </c>
      <c r="L28" s="14">
        <f>IFERROR(K28/K327, "NA")</f>
      </c>
      <c r="M28" s="15"/>
      <c r="N28" s="13">
        <v>0</v>
      </c>
      <c r="O28" s="14">
        <f>IFERROR(N28/N327, "NA")</f>
      </c>
    </row>
    <row r="29" ht="16.5" customHeight="1">
      <c t="s" r="A29" s="12">
        <v>32</v>
      </c>
      <c r="B29" s="13">
        <v>0</v>
      </c>
      <c r="C29" s="14">
        <f>IFERROR(B29/B327, "NA")</f>
      </c>
      <c r="D29" s="15"/>
      <c r="E29" s="13">
        <v>0</v>
      </c>
      <c r="F29" s="14">
        <f>IFERROR(E29/E327, "NA")</f>
      </c>
      <c r="G29" s="15"/>
      <c r="H29" s="13">
        <v>0</v>
      </c>
      <c r="I29" s="14">
        <f>IFERROR(H29/H327, "NA")</f>
      </c>
      <c r="J29" s="15"/>
      <c r="K29" s="13">
        <v>0</v>
      </c>
      <c r="L29" s="14">
        <f>IFERROR(K29/K327, "NA")</f>
      </c>
      <c r="M29" s="15"/>
      <c r="N29" s="13">
        <v>0</v>
      </c>
      <c r="O29" s="14">
        <f>IFERROR(N29/N327, "NA")</f>
      </c>
    </row>
    <row r="30" ht="16.5" customHeight="1">
      <c t="s" r="A30" s="16">
        <v>33</v>
      </c>
      <c r="B30" s="17">
        <f>IFERROR(B21+B22+B23+B24+B25+B26+B27+B28+B29, "NA")</f>
      </c>
      <c r="C30" s="18">
        <f>IFERROR(B30/B327, "NA")</f>
      </c>
      <c r="D30" s="8"/>
      <c r="E30" s="17">
        <f>IFERROR(E21+E22+E23+E24+E25+E26+E27+E28+E29, "NA")</f>
      </c>
      <c r="F30" s="18">
        <f>IFERROR(E30/E327, "NA")</f>
      </c>
      <c r="G30" s="8"/>
      <c r="H30" s="17">
        <f>IFERROR(H21+H22+H23+H24+H25+H26+H27+H28+H29, "NA")</f>
      </c>
      <c r="I30" s="18">
        <f>IFERROR(H30/H327, "NA")</f>
      </c>
      <c r="J30" s="8"/>
      <c r="K30" s="17">
        <f>IFERROR(K21+K22+K23+K24+K25+K26+K27+K28+K29, "NA")</f>
      </c>
      <c r="L30" s="18">
        <f>IFERROR(K30/K327, "NA")</f>
      </c>
      <c r="M30" s="8"/>
      <c r="N30" s="17">
        <f>IFERROR(N21+N22+N23+N24+N25+N26+N27+N28+N29, "NA")</f>
      </c>
      <c r="O30" s="18">
        <f>IFERROR(N30/N327, "NA")</f>
      </c>
    </row>
    <row r="31" ht="16.5" customHeight="1">
      <c t="s" r="A31" s="11">
        <v>34</v>
      </c>
      <c r="B31" s="8"/>
      <c r="C31" s="9"/>
      <c r="D31" s="10"/>
      <c r="E31" s="8"/>
      <c r="F31" s="9"/>
      <c r="G31" s="10"/>
      <c r="H31" s="8"/>
      <c r="I31" s="9"/>
      <c r="J31" s="10"/>
      <c r="K31" s="8"/>
      <c r="L31" s="9"/>
      <c r="M31" s="10"/>
      <c r="N31" s="8"/>
      <c r="O31" s="9"/>
    </row>
    <row r="32" ht="16.5" customHeight="1">
      <c t="s" r="A32" s="12">
        <v>35</v>
      </c>
      <c r="B32" s="13">
        <v>0</v>
      </c>
      <c r="C32" s="14">
        <f>IFERROR(B32/B327, "NA")</f>
      </c>
      <c r="D32" s="15"/>
      <c r="E32" s="13">
        <v>0</v>
      </c>
      <c r="F32" s="14">
        <f>IFERROR(E32/E327, "NA")</f>
      </c>
      <c r="G32" s="15"/>
      <c r="H32" s="13">
        <v>0</v>
      </c>
      <c r="I32" s="14">
        <f>IFERROR(H32/H327, "NA")</f>
      </c>
      <c r="J32" s="15"/>
      <c r="K32" s="13">
        <v>0</v>
      </c>
      <c r="L32" s="14">
        <f>IFERROR(K32/K327, "NA")</f>
      </c>
      <c r="M32" s="15"/>
      <c r="N32" s="13">
        <v>0</v>
      </c>
      <c r="O32" s="14">
        <f>IFERROR(N32/N327, "NA")</f>
      </c>
    </row>
    <row r="33" ht="16.5" customHeight="1">
      <c t="s" r="A33" s="12">
        <v>36</v>
      </c>
      <c r="B33" s="13">
        <v>0</v>
      </c>
      <c r="C33" s="14">
        <f>IFERROR(B33/B327, "NA")</f>
      </c>
      <c r="D33" s="15"/>
      <c r="E33" s="13">
        <v>0</v>
      </c>
      <c r="F33" s="14">
        <f>IFERROR(E33/E327, "NA")</f>
      </c>
      <c r="G33" s="15"/>
      <c r="H33" s="13">
        <v>0</v>
      </c>
      <c r="I33" s="14">
        <f>IFERROR(H33/H327, "NA")</f>
      </c>
      <c r="J33" s="15"/>
      <c r="K33" s="13">
        <v>0</v>
      </c>
      <c r="L33" s="14">
        <f>IFERROR(K33/K327, "NA")</f>
      </c>
      <c r="M33" s="15"/>
      <c r="N33" s="13">
        <v>0</v>
      </c>
      <c r="O33" s="14">
        <f>IFERROR(N33/N327, "NA")</f>
      </c>
    </row>
    <row r="34" ht="16.5" customHeight="1">
      <c t="s" r="A34" s="12">
        <v>37</v>
      </c>
      <c r="B34" s="13">
        <v>0</v>
      </c>
      <c r="C34" s="14">
        <f>IFERROR(B34/B327, "NA")</f>
      </c>
      <c r="D34" s="15"/>
      <c r="E34" s="13">
        <v>0</v>
      </c>
      <c r="F34" s="14">
        <f>IFERROR(E34/E327, "NA")</f>
      </c>
      <c r="G34" s="15"/>
      <c r="H34" s="13">
        <v>0</v>
      </c>
      <c r="I34" s="14">
        <f>IFERROR(H34/H327, "NA")</f>
      </c>
      <c r="J34" s="15"/>
      <c r="K34" s="13">
        <v>0</v>
      </c>
      <c r="L34" s="14">
        <f>IFERROR(K34/K327, "NA")</f>
      </c>
      <c r="M34" s="15"/>
      <c r="N34" s="13">
        <v>0</v>
      </c>
      <c r="O34" s="14">
        <f>IFERROR(N34/N327, "NA")</f>
      </c>
    </row>
    <row r="35" ht="16.5" customHeight="1">
      <c t="s" r="A35" s="12">
        <v>38</v>
      </c>
      <c r="B35" s="13">
        <v>0</v>
      </c>
      <c r="C35" s="14">
        <f>IFERROR(B35/B327, "NA")</f>
      </c>
      <c r="D35" s="15"/>
      <c r="E35" s="13">
        <v>0</v>
      </c>
      <c r="F35" s="14">
        <f>IFERROR(E35/E327, "NA")</f>
      </c>
      <c r="G35" s="15"/>
      <c r="H35" s="13">
        <v>0</v>
      </c>
      <c r="I35" s="14">
        <f>IFERROR(H35/H327, "NA")</f>
      </c>
      <c r="J35" s="15"/>
      <c r="K35" s="13">
        <v>0</v>
      </c>
      <c r="L35" s="14">
        <f>IFERROR(K35/K327, "NA")</f>
      </c>
      <c r="M35" s="15"/>
      <c r="N35" s="13">
        <v>0</v>
      </c>
      <c r="O35" s="14">
        <f>IFERROR(N35/N327, "NA")</f>
      </c>
    </row>
    <row r="36" ht="16.5" customHeight="1">
      <c t="s" r="A36" s="12">
        <v>39</v>
      </c>
      <c r="B36" s="13">
        <v>0</v>
      </c>
      <c r="C36" s="14">
        <f>IFERROR(B36/B327, "NA")</f>
      </c>
      <c r="D36" s="15"/>
      <c r="E36" s="13">
        <v>0</v>
      </c>
      <c r="F36" s="14">
        <f>IFERROR(E36/E327, "NA")</f>
      </c>
      <c r="G36" s="15"/>
      <c r="H36" s="13">
        <v>0</v>
      </c>
      <c r="I36" s="14">
        <f>IFERROR(H36/H327, "NA")</f>
      </c>
      <c r="J36" s="15"/>
      <c r="K36" s="13">
        <v>0</v>
      </c>
      <c r="L36" s="14">
        <f>IFERROR(K36/K327, "NA")</f>
      </c>
      <c r="M36" s="15"/>
      <c r="N36" s="13">
        <v>0</v>
      </c>
      <c r="O36" s="14">
        <f>IFERROR(N36/N327, "NA")</f>
      </c>
    </row>
    <row r="37" ht="16.5" customHeight="1">
      <c t="s" r="A37" s="16">
        <v>40</v>
      </c>
      <c r="B37" s="17">
        <f>IFERROR(B32+B33+B34+B35+B36, "NA")</f>
      </c>
      <c r="C37" s="18">
        <f>IFERROR(B37/B327, "NA")</f>
      </c>
      <c r="D37" s="8"/>
      <c r="E37" s="17">
        <f>IFERROR(E32+E33+E34+E35+E36, "NA")</f>
      </c>
      <c r="F37" s="18">
        <f>IFERROR(E37/E327, "NA")</f>
      </c>
      <c r="G37" s="8"/>
      <c r="H37" s="17">
        <f>IFERROR(H32+H33+H34+H35+H36, "NA")</f>
      </c>
      <c r="I37" s="18">
        <f>IFERROR(H37/H327, "NA")</f>
      </c>
      <c r="J37" s="8"/>
      <c r="K37" s="17">
        <f>IFERROR(K32+K33+K34+K35+K36, "NA")</f>
      </c>
      <c r="L37" s="18">
        <f>IFERROR(K37/K327, "NA")</f>
      </c>
      <c r="M37" s="8"/>
      <c r="N37" s="17">
        <f>IFERROR(N32+N33+N34+N35+N36, "NA")</f>
      </c>
      <c r="O37" s="18">
        <f>IFERROR(N37/N327, "NA")</f>
      </c>
    </row>
    <row r="38" ht="16.5" customHeight="1">
      <c t="s" r="A38" s="11">
        <v>41</v>
      </c>
      <c r="B38" s="8"/>
      <c r="C38" s="9"/>
      <c r="D38" s="10"/>
      <c r="E38" s="8"/>
      <c r="F38" s="9"/>
      <c r="G38" s="10"/>
      <c r="H38" s="8"/>
      <c r="I38" s="9"/>
      <c r="J38" s="10"/>
      <c r="K38" s="8"/>
      <c r="L38" s="9"/>
      <c r="M38" s="10"/>
      <c r="N38" s="8"/>
      <c r="O38" s="9"/>
    </row>
    <row r="39" ht="16.5" customHeight="1">
      <c t="s" r="A39" s="12">
        <v>42</v>
      </c>
      <c r="B39" s="13">
        <v>0</v>
      </c>
      <c r="C39" s="14">
        <f>IFERROR(B39/B327, "NA")</f>
      </c>
      <c r="D39" s="15"/>
      <c r="E39" s="13">
        <v>0</v>
      </c>
      <c r="F39" s="14">
        <f>IFERROR(E39/E327, "NA")</f>
      </c>
      <c r="G39" s="15"/>
      <c r="H39" s="13">
        <v>0</v>
      </c>
      <c r="I39" s="14">
        <f>IFERROR(H39/H327, "NA")</f>
      </c>
      <c r="J39" s="15"/>
      <c r="K39" s="13">
        <v>0</v>
      </c>
      <c r="L39" s="14">
        <f>IFERROR(K39/K327, "NA")</f>
      </c>
      <c r="M39" s="15"/>
      <c r="N39" s="13">
        <v>0</v>
      </c>
      <c r="O39" s="14">
        <f>IFERROR(N39/N327, "NA")</f>
      </c>
    </row>
    <row r="40" ht="16.5" customHeight="1">
      <c t="s" r="A40" s="12">
        <v>43</v>
      </c>
      <c r="B40" s="13">
        <v>0</v>
      </c>
      <c r="C40" s="14">
        <f>IFERROR(B40/B327, "NA")</f>
      </c>
      <c r="D40" s="15"/>
      <c r="E40" s="13">
        <v>0</v>
      </c>
      <c r="F40" s="14">
        <f>IFERROR(E40/E327, "NA")</f>
      </c>
      <c r="G40" s="15"/>
      <c r="H40" s="13">
        <v>0</v>
      </c>
      <c r="I40" s="14">
        <f>IFERROR(H40/H327, "NA")</f>
      </c>
      <c r="J40" s="15"/>
      <c r="K40" s="13">
        <v>0</v>
      </c>
      <c r="L40" s="14">
        <f>IFERROR(K40/K327, "NA")</f>
      </c>
      <c r="M40" s="15"/>
      <c r="N40" s="13">
        <v>-54</v>
      </c>
      <c r="O40" s="14">
        <f>IFERROR(N40/N327, "NA")</f>
      </c>
    </row>
    <row r="41" ht="16.5" customHeight="1">
      <c t="s" r="A41" s="12">
        <v>44</v>
      </c>
      <c r="B41" s="13">
        <v>-68</v>
      </c>
      <c r="C41" s="14">
        <f>IFERROR(B41/B327, "NA")</f>
      </c>
      <c r="D41" s="15"/>
      <c r="E41" s="13">
        <v>-498</v>
      </c>
      <c r="F41" s="14">
        <f>IFERROR(E41/E327, "NA")</f>
      </c>
      <c r="G41" s="15"/>
      <c r="H41" s="13">
        <v>-538</v>
      </c>
      <c r="I41" s="14">
        <f>IFERROR(H41/H327, "NA")</f>
      </c>
      <c r="J41" s="15"/>
      <c r="K41" s="13">
        <v>-325</v>
      </c>
      <c r="L41" s="14">
        <f>IFERROR(K41/K327, "NA")</f>
      </c>
      <c r="M41" s="15"/>
      <c r="N41" s="13">
        <v>-728</v>
      </c>
      <c r="O41" s="14">
        <f>IFERROR(N41/N327, "NA")</f>
      </c>
    </row>
    <row r="42" ht="16.5" customHeight="1">
      <c t="s" r="A42" s="12">
        <v>45</v>
      </c>
      <c r="B42" s="13">
        <v>-21</v>
      </c>
      <c r="C42" s="14">
        <f>IFERROR(B42/B327, "NA")</f>
      </c>
      <c r="D42" s="15"/>
      <c r="E42" s="13">
        <v>-743</v>
      </c>
      <c r="F42" s="14">
        <f>IFERROR(E42/E327, "NA")</f>
      </c>
      <c r="G42" s="15"/>
      <c r="H42" s="13">
        <v>-1450</v>
      </c>
      <c r="I42" s="14">
        <f>IFERROR(H42/H327, "NA")</f>
      </c>
      <c r="J42" s="15"/>
      <c r="K42" s="13">
        <v>-3058</v>
      </c>
      <c r="L42" s="14">
        <f>IFERROR(K42/K327, "NA")</f>
      </c>
      <c r="M42" s="15"/>
      <c r="N42" s="13">
        <v>-334</v>
      </c>
      <c r="O42" s="14">
        <f>IFERROR(N42/N327, "NA")</f>
      </c>
    </row>
    <row r="43" ht="16.5" customHeight="1">
      <c t="s" r="A43" s="12">
        <v>46</v>
      </c>
      <c r="B43" s="13">
        <v>0</v>
      </c>
      <c r="C43" s="14">
        <f>IFERROR(B43/B327, "NA")</f>
      </c>
      <c r="D43" s="15"/>
      <c r="E43" s="13">
        <v>-4865</v>
      </c>
      <c r="F43" s="14">
        <f>IFERROR(E43/E327, "NA")</f>
      </c>
      <c r="G43" s="15"/>
      <c r="H43" s="13">
        <v>-3884</v>
      </c>
      <c r="I43" s="14">
        <f>IFERROR(H43/H327, "NA")</f>
      </c>
      <c r="J43" s="15"/>
      <c r="K43" s="13">
        <v>-4232</v>
      </c>
      <c r="L43" s="14">
        <f>IFERROR(K43/K327, "NA")</f>
      </c>
      <c r="M43" s="15"/>
      <c r="N43" s="13">
        <v>-7793</v>
      </c>
      <c r="O43" s="14">
        <f>IFERROR(N43/N327, "NA")</f>
      </c>
    </row>
    <row r="44" ht="16.5" customHeight="1">
      <c t="s" r="A44" s="12">
        <v>47</v>
      </c>
      <c r="B44" s="13">
        <v>0</v>
      </c>
      <c r="C44" s="14">
        <f>IFERROR(B44/B327, "NA")</f>
      </c>
      <c r="D44" s="15"/>
      <c r="E44" s="13">
        <v>-151</v>
      </c>
      <c r="F44" s="14">
        <f>IFERROR(E44/E327, "NA")</f>
      </c>
      <c r="G44" s="15"/>
      <c r="H44" s="13">
        <v>-56</v>
      </c>
      <c r="I44" s="14">
        <f>IFERROR(H44/H327, "NA")</f>
      </c>
      <c r="J44" s="15"/>
      <c r="K44" s="13">
        <v>-183</v>
      </c>
      <c r="L44" s="14">
        <f>IFERROR(K44/K327, "NA")</f>
      </c>
      <c r="M44" s="15"/>
      <c r="N44" s="13">
        <v>0</v>
      </c>
      <c r="O44" s="14">
        <f>IFERROR(N44/N327, "NA")</f>
      </c>
    </row>
    <row r="45" ht="16.5" customHeight="1">
      <c t="s" r="A45" s="12">
        <v>48</v>
      </c>
      <c r="B45" s="13">
        <v>0</v>
      </c>
      <c r="C45" s="14">
        <f>IFERROR(B45/B327, "NA")</f>
      </c>
      <c r="D45" s="15"/>
      <c r="E45" s="13">
        <v>0</v>
      </c>
      <c r="F45" s="14">
        <f>IFERROR(E45/E327, "NA")</f>
      </c>
      <c r="G45" s="15"/>
      <c r="H45" s="13">
        <v>0</v>
      </c>
      <c r="I45" s="14">
        <f>IFERROR(H45/H327, "NA")</f>
      </c>
      <c r="J45" s="15"/>
      <c r="K45" s="13">
        <v>0</v>
      </c>
      <c r="L45" s="14">
        <f>IFERROR(K45/K327, "NA")</f>
      </c>
      <c r="M45" s="15"/>
      <c r="N45" s="13">
        <v>0</v>
      </c>
      <c r="O45" s="14">
        <f>IFERROR(N45/N327, "NA")</f>
      </c>
    </row>
    <row r="46" ht="16.5" customHeight="1">
      <c t="s" r="A46" s="12">
        <v>49</v>
      </c>
      <c r="B46" s="13">
        <v>-354</v>
      </c>
      <c r="C46" s="14">
        <f>IFERROR(B46/B327, "NA")</f>
      </c>
      <c r="D46" s="15"/>
      <c r="E46" s="13">
        <v>-2966</v>
      </c>
      <c r="F46" s="14">
        <f>IFERROR(E46/E327, "NA")</f>
      </c>
      <c r="G46" s="15"/>
      <c r="H46" s="13">
        <v>-2075</v>
      </c>
      <c r="I46" s="14">
        <f>IFERROR(H46/H327, "NA")</f>
      </c>
      <c r="J46" s="15"/>
      <c r="K46" s="13">
        <v>-4923</v>
      </c>
      <c r="L46" s="14">
        <f>IFERROR(K46/K327, "NA")</f>
      </c>
      <c r="M46" s="15"/>
      <c r="N46" s="13">
        <v>-2512</v>
      </c>
      <c r="O46" s="14">
        <f>IFERROR(N46/N327, "NA")</f>
      </c>
    </row>
    <row r="47" ht="16.5" customHeight="1">
      <c t="s" r="A47" s="12">
        <v>50</v>
      </c>
      <c r="B47" s="13">
        <v>-91</v>
      </c>
      <c r="C47" s="14">
        <f>IFERROR(B47/B327, "NA")</f>
      </c>
      <c r="D47" s="15"/>
      <c r="E47" s="13">
        <v>-363</v>
      </c>
      <c r="F47" s="14">
        <f>IFERROR(E47/E327, "NA")</f>
      </c>
      <c r="G47" s="15"/>
      <c r="H47" s="13">
        <v>-436</v>
      </c>
      <c r="I47" s="14">
        <f>IFERROR(H47/H327, "NA")</f>
      </c>
      <c r="J47" s="15"/>
      <c r="K47" s="13">
        <v>-514</v>
      </c>
      <c r="L47" s="14">
        <f>IFERROR(K47/K327, "NA")</f>
      </c>
      <c r="M47" s="15"/>
      <c r="N47" s="13">
        <v>-459</v>
      </c>
      <c r="O47" s="14">
        <f>IFERROR(N47/N327, "NA")</f>
      </c>
    </row>
    <row r="48" ht="16.5" customHeight="1">
      <c t="s" r="A48" s="12">
        <v>51</v>
      </c>
      <c r="B48" s="13">
        <v>-139</v>
      </c>
      <c r="C48" s="14">
        <f>IFERROR(B48/B327, "NA")</f>
      </c>
      <c r="D48" s="15"/>
      <c r="E48" s="13">
        <v>-1142</v>
      </c>
      <c r="F48" s="14">
        <f>IFERROR(E48/E327, "NA")</f>
      </c>
      <c r="G48" s="15"/>
      <c r="H48" s="13">
        <v>-1156</v>
      </c>
      <c r="I48" s="14">
        <f>IFERROR(H48/H327, "NA")</f>
      </c>
      <c r="J48" s="15"/>
      <c r="K48" s="13">
        <v>-654</v>
      </c>
      <c r="L48" s="14">
        <f>IFERROR(K48/K327, "NA")</f>
      </c>
      <c r="M48" s="15"/>
      <c r="N48" s="13">
        <v>-1219</v>
      </c>
      <c r="O48" s="14">
        <f>IFERROR(N48/N327, "NA")</f>
      </c>
    </row>
    <row r="49" ht="16.5" customHeight="1">
      <c t="s" r="A49" s="12">
        <v>52</v>
      </c>
      <c r="B49" s="13">
        <v>0</v>
      </c>
      <c r="C49" s="14">
        <f>IFERROR(B49/B327, "NA")</f>
      </c>
      <c r="D49" s="15"/>
      <c r="E49" s="13">
        <v>0</v>
      </c>
      <c r="F49" s="14">
        <f>IFERROR(E49/E327, "NA")</f>
      </c>
      <c r="G49" s="15"/>
      <c r="H49" s="13">
        <v>0</v>
      </c>
      <c r="I49" s="14">
        <f>IFERROR(H49/H327, "NA")</f>
      </c>
      <c r="J49" s="15"/>
      <c r="K49" s="13">
        <v>0</v>
      </c>
      <c r="L49" s="14">
        <f>IFERROR(K49/K327, "NA")</f>
      </c>
      <c r="M49" s="15"/>
      <c r="N49" s="13">
        <v>-842</v>
      </c>
      <c r="O49" s="14">
        <f>IFERROR(N49/N327, "NA")</f>
      </c>
    </row>
    <row r="50" ht="16.5" customHeight="1">
      <c t="s" r="A50" s="12">
        <v>53</v>
      </c>
      <c r="B50" s="13">
        <v>0</v>
      </c>
      <c r="C50" s="14">
        <f>IFERROR(B50/B327, "NA")</f>
      </c>
      <c r="D50" s="15"/>
      <c r="E50" s="13">
        <v>0</v>
      </c>
      <c r="F50" s="14">
        <f>IFERROR(E50/E327, "NA")</f>
      </c>
      <c r="G50" s="15"/>
      <c r="H50" s="13">
        <v>0</v>
      </c>
      <c r="I50" s="14">
        <f>IFERROR(H50/H327, "NA")</f>
      </c>
      <c r="J50" s="15"/>
      <c r="K50" s="13">
        <v>0</v>
      </c>
      <c r="L50" s="14">
        <f>IFERROR(K50/K327, "NA")</f>
      </c>
      <c r="M50" s="15"/>
      <c r="N50" s="13">
        <v>0</v>
      </c>
      <c r="O50" s="14">
        <f>IFERROR(N50/N327, "NA")</f>
      </c>
    </row>
    <row r="51" ht="16.5" customHeight="1">
      <c t="s" r="A51" s="16">
        <v>54</v>
      </c>
      <c r="B51" s="17">
        <f>IFERROR(B39+B40+B41+B42+B43+B44+B45+B46+B47+B48+B49+B50, "NA")</f>
      </c>
      <c r="C51" s="18">
        <f>IFERROR(B51/B327, "NA")</f>
      </c>
      <c r="D51" s="8"/>
      <c r="E51" s="17">
        <f>IFERROR(E39+E40+E41+E42+E43+E44+E45+E46+E47+E48+E49+E50, "NA")</f>
      </c>
      <c r="F51" s="18">
        <f>IFERROR(E51/E327, "NA")</f>
      </c>
      <c r="G51" s="8"/>
      <c r="H51" s="17">
        <f>IFERROR(H39+H40+H41+H42+H43+H44+H45+H46+H47+H48+H49+H50, "NA")</f>
      </c>
      <c r="I51" s="18">
        <f>IFERROR(H51/H327, "NA")</f>
      </c>
      <c r="J51" s="8"/>
      <c r="K51" s="17">
        <f>IFERROR(K39+K40+K41+K42+K43+K44+K45+K46+K47+K48+K49+K50, "NA")</f>
      </c>
      <c r="L51" s="18">
        <f>IFERROR(K51/K327, "NA")</f>
      </c>
      <c r="M51" s="8"/>
      <c r="N51" s="17">
        <f>IFERROR(N39+N40+N41+N42+N43+N44+N45+N46+N47+N48+N49+N50, "NA")</f>
      </c>
      <c r="O51" s="18">
        <f>IFERROR(N51/N327, "NA")</f>
      </c>
    </row>
    <row r="52" ht="16.5" customHeight="1">
      <c t="s" r="A52" s="20">
        <v>55</v>
      </c>
      <c r="B52" s="17">
        <f>IFERROR(B8+B9+B11+B13+B14+B15+B16+B17+B18+B21+B22+B23+B24+B25+B26+B27+B28+B29+B32+B33+B34+B35+B36+B39+B40+B41+B42+B43+B44+B45+B46+B47+B48+B49+B50, "NA")</f>
      </c>
      <c r="C52" s="18">
        <f>IFERROR(B52/B327, "NA")</f>
      </c>
      <c r="D52" s="8"/>
      <c r="E52" s="17">
        <f>IFERROR(E8+E9+E11+E13+E14+E15+E16+E17+E18+E21+E22+E23+E24+E25+E26+E27+E28+E29+E32+E33+E34+E35+E36+E39+E40+E41+E42+E43+E44+E45+E46+E47+E48+E49+E50, "NA")</f>
      </c>
      <c r="F52" s="18">
        <f>IFERROR(E52/E327, "NA")</f>
      </c>
      <c r="G52" s="8"/>
      <c r="H52" s="17">
        <f>IFERROR(H8+H9+H11+H13+H14+H15+H16+H17+H18+H21+H22+H23+H24+H25+H26+H27+H28+H29+H32+H33+H34+H35+H36+H39+H40+H41+H42+H43+H44+H45+H46+H47+H48+H49+H50, "NA")</f>
      </c>
      <c r="I52" s="18">
        <f>IFERROR(H52/H327, "NA")</f>
      </c>
      <c r="J52" s="8"/>
      <c r="K52" s="17">
        <f>IFERROR(K8+K9+K11+K13+K14+K15+K16+K17+K18+K21+K22+K23+K24+K25+K26+K27+K28+K29+K32+K33+K34+K35+K36+K39+K40+K41+K42+K43+K44+K45+K46+K47+K48+K49+K50, "NA")</f>
      </c>
      <c r="L52" s="18">
        <f>IFERROR(K52/K327, "NA")</f>
      </c>
      <c r="M52" s="8"/>
      <c r="N52" s="17">
        <f>IFERROR(N8+N9+N11+N13+N14+N15+N16+N17+N18+N21+N22+N23+N24+N25+N26+N27+N28+N29+N32+N33+N34+N35+N36+N39+N40+N41+N42+N43+N44+N45+N46+N47+N48+N49+N50, "NA")</f>
      </c>
      <c r="O52" s="18">
        <f>IFERROR(N52/N327, "NA")</f>
      </c>
    </row>
    <row r="53" ht="16.5" customHeight="1">
      <c t="s" r="A53" s="7">
        <v>56</v>
      </c>
      <c r="B53" s="8"/>
      <c r="C53" s="9"/>
      <c r="D53" s="10"/>
      <c r="E53" s="8"/>
      <c r="F53" s="9"/>
      <c r="G53" s="10"/>
      <c r="H53" s="8"/>
      <c r="I53" s="9"/>
      <c r="J53" s="10"/>
      <c r="K53" s="8"/>
      <c r="L53" s="9"/>
      <c r="M53" s="10"/>
      <c r="N53" s="8"/>
      <c r="O53" s="9"/>
    </row>
    <row r="54" ht="16.5" customHeight="1">
      <c t="s" r="A54" s="11">
        <v>57</v>
      </c>
      <c r="B54" s="8"/>
      <c r="C54" s="9"/>
      <c r="D54" s="10"/>
      <c r="E54" s="8"/>
      <c r="F54" s="9"/>
      <c r="G54" s="10"/>
      <c r="H54" s="8"/>
      <c r="I54" s="9"/>
      <c r="J54" s="10"/>
      <c r="K54" s="8"/>
      <c r="L54" s="9"/>
      <c r="M54" s="10"/>
      <c r="N54" s="8"/>
      <c r="O54" s="9"/>
    </row>
    <row r="55" ht="16.5" customHeight="1">
      <c t="s" r="A55" s="12">
        <v>58</v>
      </c>
      <c r="B55" s="13">
        <v>0</v>
      </c>
      <c r="C55" s="14">
        <f>IFERROR(B55/B327, "NA")</f>
      </c>
      <c r="D55" s="15"/>
      <c r="E55" s="13">
        <v>0</v>
      </c>
      <c r="F55" s="14">
        <f>IFERROR(E55/E327, "NA")</f>
      </c>
      <c r="G55" s="15"/>
      <c r="H55" s="13">
        <v>0</v>
      </c>
      <c r="I55" s="14">
        <f>IFERROR(H55/H327, "NA")</f>
      </c>
      <c r="J55" s="15"/>
      <c r="K55" s="13">
        <v>0</v>
      </c>
      <c r="L55" s="14">
        <f>IFERROR(K55/K327, "NA")</f>
      </c>
      <c r="M55" s="15"/>
      <c r="N55" s="13">
        <v>0</v>
      </c>
      <c r="O55" s="14">
        <f>IFERROR(N55/N327, "NA")</f>
      </c>
    </row>
    <row r="56" ht="16.5" customHeight="1">
      <c t="s" r="A56" s="12">
        <v>59</v>
      </c>
      <c r="B56" s="13">
        <v>1559.5999999999999</v>
      </c>
      <c r="C56" s="14">
        <f>IFERROR(B56/B327, "NA")</f>
      </c>
      <c r="D56" s="15"/>
      <c r="E56" s="13">
        <v>3300.8099999999999</v>
      </c>
      <c r="F56" s="14">
        <f>IFERROR(E56/E327, "NA")</f>
      </c>
      <c r="G56" s="15"/>
      <c r="H56" s="13">
        <v>3137.9400000000001</v>
      </c>
      <c r="I56" s="14">
        <f>IFERROR(H56/H327, "NA")</f>
      </c>
      <c r="J56" s="15"/>
      <c r="K56" s="13">
        <v>2315.1900000000001</v>
      </c>
      <c r="L56" s="14">
        <f>IFERROR(K56/K327, "NA")</f>
      </c>
      <c r="M56" s="15"/>
      <c r="N56" s="13">
        <v>0</v>
      </c>
      <c r="O56" s="14">
        <f>IFERROR(N56/N327, "NA")</f>
      </c>
    </row>
    <row r="57" ht="16.5" customHeight="1">
      <c t="s" r="A57" s="12">
        <v>60</v>
      </c>
      <c r="B57" s="13">
        <v>0</v>
      </c>
      <c r="C57" s="14">
        <f>IFERROR(B57/B327, "NA")</f>
      </c>
      <c r="D57" s="15"/>
      <c r="E57" s="13">
        <v>340.24000000000001</v>
      </c>
      <c r="F57" s="14">
        <f>IFERROR(E57/E327, "NA")</f>
      </c>
      <c r="G57" s="15"/>
      <c r="H57" s="13">
        <v>376.12</v>
      </c>
      <c r="I57" s="14">
        <f>IFERROR(H57/H327, "NA")</f>
      </c>
      <c r="J57" s="15"/>
      <c r="K57" s="13">
        <v>333.29000000000002</v>
      </c>
      <c r="L57" s="14">
        <f>IFERROR(K57/K327, "NA")</f>
      </c>
      <c r="M57" s="15"/>
      <c r="N57" s="13">
        <v>0</v>
      </c>
      <c r="O57" s="14">
        <f>IFERROR(N57/N327, "NA")</f>
      </c>
    </row>
    <row r="58" ht="16.5" customHeight="1">
      <c t="s" r="A58" s="12">
        <v>61</v>
      </c>
      <c r="B58" s="13">
        <v>3478.7800000000002</v>
      </c>
      <c r="C58" s="14">
        <f>IFERROR(B58/B327, "NA")</f>
      </c>
      <c r="D58" s="15"/>
      <c r="E58" s="13">
        <v>3630.71</v>
      </c>
      <c r="F58" s="14">
        <f>IFERROR(E58/E327, "NA")</f>
      </c>
      <c r="G58" s="15"/>
      <c r="H58" s="13">
        <v>3148.8299999999999</v>
      </c>
      <c r="I58" s="14">
        <f>IFERROR(H58/H327, "NA")</f>
      </c>
      <c r="J58" s="15"/>
      <c r="K58" s="13">
        <v>3701.8699999999999</v>
      </c>
      <c r="L58" s="14">
        <f>IFERROR(K58/K327, "NA")</f>
      </c>
      <c r="M58" s="15"/>
      <c r="N58" s="13">
        <v>0</v>
      </c>
      <c r="O58" s="14">
        <f>IFERROR(N58/N327, "NA")</f>
      </c>
    </row>
    <row r="59" ht="16.5" customHeight="1">
      <c t="s" r="A59" s="12">
        <v>62</v>
      </c>
      <c r="B59" s="13">
        <v>193.84999999999999</v>
      </c>
      <c r="C59" s="14">
        <f>IFERROR(B59/B327, "NA")</f>
      </c>
      <c r="D59" s="15"/>
      <c r="E59" s="13">
        <v>146.47</v>
      </c>
      <c r="F59" s="14">
        <f>IFERROR(E59/E327, "NA")</f>
      </c>
      <c r="G59" s="15"/>
      <c r="H59" s="13">
        <v>259.44999999999999</v>
      </c>
      <c r="I59" s="14">
        <f>IFERROR(H59/H327, "NA")</f>
      </c>
      <c r="J59" s="15"/>
      <c r="K59" s="13">
        <v>265.13999999999999</v>
      </c>
      <c r="L59" s="14">
        <f>IFERROR(K59/K327, "NA")</f>
      </c>
      <c r="M59" s="15"/>
      <c r="N59" s="13">
        <v>0</v>
      </c>
      <c r="O59" s="14">
        <f>IFERROR(N59/N327, "NA")</f>
      </c>
    </row>
    <row r="60" ht="16.5" customHeight="1">
      <c t="s" r="A60" s="12">
        <v>63</v>
      </c>
      <c r="B60" s="13">
        <v>4242.3199999999997</v>
      </c>
      <c r="C60" s="14">
        <f>IFERROR(B60/B327, "NA")</f>
      </c>
      <c r="D60" s="15"/>
      <c r="E60" s="13">
        <v>5918.3800000000001</v>
      </c>
      <c r="F60" s="14">
        <f>IFERROR(E60/E327, "NA")</f>
      </c>
      <c r="G60" s="15"/>
      <c r="H60" s="13">
        <v>4383.46</v>
      </c>
      <c r="I60" s="14">
        <f>IFERROR(H60/H327, "NA")</f>
      </c>
      <c r="J60" s="15"/>
      <c r="K60" s="13">
        <v>6182.7399999999998</v>
      </c>
      <c r="L60" s="14">
        <f>IFERROR(K60/K327, "NA")</f>
      </c>
      <c r="M60" s="15"/>
      <c r="N60" s="13">
        <v>0</v>
      </c>
      <c r="O60" s="14">
        <f>IFERROR(N60/N327, "NA")</f>
      </c>
    </row>
    <row r="61" ht="16.5" customHeight="1">
      <c t="s" r="A61" s="12">
        <v>64</v>
      </c>
      <c r="B61" s="13">
        <v>1896.1400000000001</v>
      </c>
      <c r="C61" s="14">
        <f>IFERROR(B61/B327, "NA")</f>
      </c>
      <c r="D61" s="15"/>
      <c r="E61" s="13">
        <v>2160.0900000000001</v>
      </c>
      <c r="F61" s="14">
        <f>IFERROR(E61/E327, "NA")</f>
      </c>
      <c r="G61" s="15"/>
      <c r="H61" s="13">
        <v>2162.5599999999999</v>
      </c>
      <c r="I61" s="14">
        <f>IFERROR(H61/H327, "NA")</f>
      </c>
      <c r="J61" s="15"/>
      <c r="K61" s="13">
        <v>2863.4299999999998</v>
      </c>
      <c r="L61" s="14">
        <f>IFERROR(K61/K327, "NA")</f>
      </c>
      <c r="M61" s="15"/>
      <c r="N61" s="13">
        <v>0</v>
      </c>
      <c r="O61" s="14">
        <f>IFERROR(N61/N327, "NA")</f>
      </c>
    </row>
    <row r="62" ht="16.5" customHeight="1">
      <c t="s" r="A62" s="12">
        <v>65</v>
      </c>
      <c r="B62" s="13">
        <v>69.180000000000007</v>
      </c>
      <c r="C62" s="14">
        <f>IFERROR(B62/B327, "NA")</f>
      </c>
      <c r="D62" s="15"/>
      <c r="E62" s="13">
        <v>15.210000000000001</v>
      </c>
      <c r="F62" s="14">
        <f>IFERROR(E62/E327, "NA")</f>
      </c>
      <c r="G62" s="15"/>
      <c r="H62" s="13">
        <v>21.57</v>
      </c>
      <c r="I62" s="14">
        <f>IFERROR(H62/H327, "NA")</f>
      </c>
      <c r="J62" s="15"/>
      <c r="K62" s="13">
        <v>25.940000000000001</v>
      </c>
      <c r="L62" s="14">
        <f>IFERROR(K62/K327, "NA")</f>
      </c>
      <c r="M62" s="15"/>
      <c r="N62" s="13">
        <v>0</v>
      </c>
      <c r="O62" s="14">
        <f>IFERROR(N62/N327, "NA")</f>
      </c>
    </row>
    <row r="63" ht="16.5" customHeight="1">
      <c t="s" r="A63" s="12">
        <v>66</v>
      </c>
      <c r="B63" s="13">
        <v>599.14999999999998</v>
      </c>
      <c r="C63" s="14">
        <f>IFERROR(B63/B327, "NA")</f>
      </c>
      <c r="D63" s="15"/>
      <c r="E63" s="13">
        <v>858.5</v>
      </c>
      <c r="F63" s="14">
        <f>IFERROR(E63/E327, "NA")</f>
      </c>
      <c r="G63" s="15"/>
      <c r="H63" s="13">
        <v>666.35000000000002</v>
      </c>
      <c r="I63" s="14">
        <f>IFERROR(H63/H327, "NA")</f>
      </c>
      <c r="J63" s="15"/>
      <c r="K63" s="13">
        <v>896.13999999999999</v>
      </c>
      <c r="L63" s="14">
        <f>IFERROR(K63/K327, "NA")</f>
      </c>
      <c r="M63" s="15"/>
      <c r="N63" s="13">
        <v>0</v>
      </c>
      <c r="O63" s="14">
        <f>IFERROR(N63/N327, "NA")</f>
      </c>
    </row>
    <row r="64" ht="16.5" customHeight="1">
      <c t="s" r="A64" s="12">
        <v>67</v>
      </c>
      <c r="B64" s="13">
        <v>0</v>
      </c>
      <c r="C64" s="14">
        <f>IFERROR(B64/B327, "NA")</f>
      </c>
      <c r="D64" s="15"/>
      <c r="E64" s="13">
        <v>0</v>
      </c>
      <c r="F64" s="14">
        <f>IFERROR(E64/E327, "NA")</f>
      </c>
      <c r="G64" s="15"/>
      <c r="H64" s="13">
        <v>0</v>
      </c>
      <c r="I64" s="14">
        <f>IFERROR(H64/H327, "NA")</f>
      </c>
      <c r="J64" s="15"/>
      <c r="K64" s="13">
        <v>0</v>
      </c>
      <c r="L64" s="14">
        <f>IFERROR(K64/K327, "NA")</f>
      </c>
      <c r="M64" s="15"/>
      <c r="N64" s="13">
        <v>0</v>
      </c>
      <c r="O64" s="14">
        <f>IFERROR(N64/N327, "NA")</f>
      </c>
    </row>
    <row r="65" ht="16.5" customHeight="1">
      <c t="s" r="A65" s="16">
        <v>68</v>
      </c>
      <c r="B65" s="17">
        <f>IFERROR(B55+B56+B57+B58+B59+B60+B61+B62+B63+B64, "NA")</f>
      </c>
      <c r="C65" s="18">
        <f>IFERROR(B65/B327, "NA")</f>
      </c>
      <c r="D65" s="8"/>
      <c r="E65" s="17">
        <f>IFERROR(E55+E56+E57+E58+E59+E60+E61+E62+E63+E64, "NA")</f>
      </c>
      <c r="F65" s="18">
        <f>IFERROR(E65/E327, "NA")</f>
      </c>
      <c r="G65" s="8"/>
      <c r="H65" s="17">
        <f>IFERROR(H55+H56+H57+H58+H59+H60+H61+H62+H63+H64, "NA")</f>
      </c>
      <c r="I65" s="18">
        <f>IFERROR(H65/H327, "NA")</f>
      </c>
      <c r="J65" s="8"/>
      <c r="K65" s="17">
        <f>IFERROR(K55+K56+K57+K58+K59+K60+K61+K62+K63+K64, "NA")</f>
      </c>
      <c r="L65" s="18">
        <f>IFERROR(K65/K327, "NA")</f>
      </c>
      <c r="M65" s="8"/>
      <c r="N65" s="17">
        <f>IFERROR(N55+N56+N57+N58+N59+N60+N61+N62+N63+N64, "NA")</f>
      </c>
      <c r="O65" s="18">
        <f>IFERROR(N65/N327, "NA")</f>
      </c>
    </row>
    <row r="66" ht="16.5" customHeight="1">
      <c t="s" r="A66" s="19">
        <v>69</v>
      </c>
      <c r="B66" s="13">
        <v>1697.4000000000001</v>
      </c>
      <c r="C66" s="14">
        <f>IFERROR(B66/B327, "NA")</f>
      </c>
      <c r="D66" s="15"/>
      <c r="E66" s="13">
        <v>1579.0599999999999</v>
      </c>
      <c r="F66" s="14">
        <f>IFERROR(E66/E327, "NA")</f>
      </c>
      <c r="G66" s="15"/>
      <c r="H66" s="13">
        <v>1610.6099999999999</v>
      </c>
      <c r="I66" s="14">
        <f>IFERROR(H66/H327, "NA")</f>
      </c>
      <c r="J66" s="15"/>
      <c r="K66" s="13">
        <v>2191.4400000000001</v>
      </c>
      <c r="L66" s="14">
        <f>IFERROR(K66/K327, "NA")</f>
      </c>
      <c r="M66" s="15"/>
      <c r="N66" s="13">
        <v>0</v>
      </c>
      <c r="O66" s="14">
        <f>IFERROR(N66/N327, "NA")</f>
      </c>
    </row>
    <row r="67" ht="16.5" customHeight="1">
      <c t="s" r="A67" s="11">
        <v>70</v>
      </c>
      <c r="B67" s="8"/>
      <c r="C67" s="9"/>
      <c r="D67" s="10"/>
      <c r="E67" s="8"/>
      <c r="F67" s="9"/>
      <c r="G67" s="10"/>
      <c r="H67" s="8"/>
      <c r="I67" s="9"/>
      <c r="J67" s="10"/>
      <c r="K67" s="8"/>
      <c r="L67" s="9"/>
      <c r="M67" s="10"/>
      <c r="N67" s="8"/>
      <c r="O67" s="9"/>
    </row>
    <row r="68" ht="16.5" customHeight="1">
      <c t="s" r="A68" s="12">
        <v>71</v>
      </c>
      <c r="B68" s="13">
        <v>0</v>
      </c>
      <c r="C68" s="14">
        <f>IFERROR(B68/B327, "NA")</f>
      </c>
      <c r="D68" s="15"/>
      <c r="E68" s="13">
        <v>0</v>
      </c>
      <c r="F68" s="14">
        <f>IFERROR(E68/E327, "NA")</f>
      </c>
      <c r="G68" s="15"/>
      <c r="H68" s="13">
        <v>0</v>
      </c>
      <c r="I68" s="14">
        <f>IFERROR(H68/H327, "NA")</f>
      </c>
      <c r="J68" s="15"/>
      <c r="K68" s="13">
        <v>0</v>
      </c>
      <c r="L68" s="14">
        <f>IFERROR(K68/K327, "NA")</f>
      </c>
      <c r="M68" s="15"/>
      <c r="N68" s="13">
        <v>0</v>
      </c>
      <c r="O68" s="14">
        <f>IFERROR(N68/N327, "NA")</f>
      </c>
    </row>
    <row r="69" ht="16.5" customHeight="1">
      <c t="s" r="A69" s="12">
        <v>72</v>
      </c>
      <c r="B69" s="13">
        <v>44.93</v>
      </c>
      <c r="C69" s="14">
        <f>IFERROR(B69/B327, "NA")</f>
      </c>
      <c r="D69" s="15"/>
      <c r="E69" s="13">
        <v>195.52000000000001</v>
      </c>
      <c r="F69" s="14">
        <f>IFERROR(E69/E327, "NA")</f>
      </c>
      <c r="G69" s="15"/>
      <c r="H69" s="13">
        <v>47.170000000000002</v>
      </c>
      <c r="I69" s="14">
        <f>IFERROR(H69/H327, "NA")</f>
      </c>
      <c r="J69" s="15"/>
      <c r="K69" s="13">
        <v>127.2</v>
      </c>
      <c r="L69" s="14">
        <f>IFERROR(K69/K327, "NA")</f>
      </c>
      <c r="M69" s="15"/>
      <c r="N69" s="13">
        <v>0</v>
      </c>
      <c r="O69" s="14">
        <f>IFERROR(N69/N327, "NA")</f>
      </c>
    </row>
    <row r="70" ht="16.5" customHeight="1">
      <c t="s" r="A70" s="12">
        <v>73</v>
      </c>
      <c r="B70" s="13">
        <v>0</v>
      </c>
      <c r="C70" s="14">
        <f>IFERROR(B70/B327, "NA")</f>
      </c>
      <c r="D70" s="15"/>
      <c r="E70" s="13">
        <v>0</v>
      </c>
      <c r="F70" s="14">
        <f>IFERROR(E70/E327, "NA")</f>
      </c>
      <c r="G70" s="15"/>
      <c r="H70" s="13">
        <v>0</v>
      </c>
      <c r="I70" s="14">
        <f>IFERROR(H70/H327, "NA")</f>
      </c>
      <c r="J70" s="15"/>
      <c r="K70" s="13">
        <v>2719.1999999999998</v>
      </c>
      <c r="L70" s="14">
        <f>IFERROR(K70/K327, "NA")</f>
      </c>
      <c r="M70" s="15"/>
      <c r="N70" s="13">
        <v>0</v>
      </c>
      <c r="O70" s="14">
        <f>IFERROR(N70/N327, "NA")</f>
      </c>
    </row>
    <row r="71" ht="16.5" customHeight="1">
      <c t="s" r="A71" s="12">
        <v>74</v>
      </c>
      <c r="B71" s="13">
        <v>5889</v>
      </c>
      <c r="C71" s="14">
        <f>IFERROR(B71/B327, "NA")</f>
      </c>
      <c r="D71" s="15"/>
      <c r="E71" s="13">
        <v>6056.3299999999999</v>
      </c>
      <c r="F71" s="14">
        <f>IFERROR(E71/E327, "NA")</f>
      </c>
      <c r="G71" s="15"/>
      <c r="H71" s="13">
        <v>6959.04</v>
      </c>
      <c r="I71" s="14">
        <f>IFERROR(H71/H327, "NA")</f>
      </c>
      <c r="J71" s="15"/>
      <c r="K71" s="13">
        <v>5244.79</v>
      </c>
      <c r="L71" s="14">
        <f>IFERROR(K71/K327, "NA")</f>
      </c>
      <c r="M71" s="15"/>
      <c r="N71" s="13">
        <v>0</v>
      </c>
      <c r="O71" s="14">
        <f>IFERROR(N71/N327, "NA")</f>
      </c>
    </row>
    <row r="72" ht="16.5" customHeight="1">
      <c t="s" r="A72" s="12">
        <v>75</v>
      </c>
      <c r="B72" s="13">
        <v>0</v>
      </c>
      <c r="C72" s="14">
        <f>IFERROR(B72/B327, "NA")</f>
      </c>
      <c r="D72" s="15"/>
      <c r="E72" s="13">
        <v>0</v>
      </c>
      <c r="F72" s="14">
        <f>IFERROR(E72/E327, "NA")</f>
      </c>
      <c r="G72" s="15"/>
      <c r="H72" s="13">
        <v>0</v>
      </c>
      <c r="I72" s="14">
        <f>IFERROR(H72/H327, "NA")</f>
      </c>
      <c r="J72" s="15"/>
      <c r="K72" s="13">
        <v>0</v>
      </c>
      <c r="L72" s="14">
        <f>IFERROR(K72/K327, "NA")</f>
      </c>
      <c r="M72" s="15"/>
      <c r="N72" s="13">
        <v>0</v>
      </c>
      <c r="O72" s="14">
        <f>IFERROR(N72/N327, "NA")</f>
      </c>
    </row>
    <row r="73" ht="16.5" customHeight="1">
      <c t="s" r="A73" s="12">
        <v>76</v>
      </c>
      <c r="B73" s="13">
        <v>12511.360000000001</v>
      </c>
      <c r="C73" s="14">
        <f>IFERROR(B73/B327, "NA")</f>
      </c>
      <c r="D73" s="15"/>
      <c r="E73" s="13">
        <v>10942.91</v>
      </c>
      <c r="F73" s="14">
        <f>IFERROR(E73/E327, "NA")</f>
      </c>
      <c r="G73" s="15"/>
      <c r="H73" s="13">
        <v>10022.559999999999</v>
      </c>
      <c r="I73" s="14">
        <f>IFERROR(H73/H327, "NA")</f>
      </c>
      <c r="J73" s="15"/>
      <c r="K73" s="13">
        <v>12012.940000000001</v>
      </c>
      <c r="L73" s="14">
        <f>IFERROR(K73/K327, "NA")</f>
      </c>
      <c r="M73" s="15"/>
      <c r="N73" s="13">
        <v>0</v>
      </c>
      <c r="O73" s="14">
        <f>IFERROR(N73/N327, "NA")</f>
      </c>
    </row>
    <row r="74" ht="16.5" customHeight="1">
      <c t="s" r="A74" s="12">
        <v>77</v>
      </c>
      <c r="B74" s="13">
        <v>0</v>
      </c>
      <c r="C74" s="14">
        <f>IFERROR(B74/B327, "NA")</f>
      </c>
      <c r="D74" s="15"/>
      <c r="E74" s="13">
        <v>0</v>
      </c>
      <c r="F74" s="14">
        <f>IFERROR(E74/E327, "NA")</f>
      </c>
      <c r="G74" s="15"/>
      <c r="H74" s="13">
        <v>0</v>
      </c>
      <c r="I74" s="14">
        <f>IFERROR(H74/H327, "NA")</f>
      </c>
      <c r="J74" s="15"/>
      <c r="K74" s="13">
        <v>0</v>
      </c>
      <c r="L74" s="14">
        <f>IFERROR(K74/K327, "NA")</f>
      </c>
      <c r="M74" s="15"/>
      <c r="N74" s="13">
        <v>0</v>
      </c>
      <c r="O74" s="14">
        <f>IFERROR(N74/N327, "NA")</f>
      </c>
    </row>
    <row r="75" ht="16.5" customHeight="1">
      <c t="s" r="A75" s="12">
        <v>78</v>
      </c>
      <c r="B75" s="13">
        <v>2703.6100000000001</v>
      </c>
      <c r="C75" s="14">
        <f>IFERROR(B75/B327, "NA")</f>
      </c>
      <c r="D75" s="15"/>
      <c r="E75" s="13">
        <v>2085.0999999999999</v>
      </c>
      <c r="F75" s="14">
        <f>IFERROR(E75/E327, "NA")</f>
      </c>
      <c r="G75" s="15"/>
      <c r="H75" s="13">
        <v>2006.8699999999999</v>
      </c>
      <c r="I75" s="14">
        <f>IFERROR(H75/H327, "NA")</f>
      </c>
      <c r="J75" s="15"/>
      <c r="K75" s="13">
        <v>1783.0999999999999</v>
      </c>
      <c r="L75" s="14">
        <f>IFERROR(K75/K327, "NA")</f>
      </c>
      <c r="M75" s="15"/>
      <c r="N75" s="13">
        <v>0</v>
      </c>
      <c r="O75" s="14">
        <f>IFERROR(N75/N327, "NA")</f>
      </c>
    </row>
    <row r="76" ht="16.5" customHeight="1">
      <c t="s" r="A76" s="16">
        <v>79</v>
      </c>
      <c r="B76" s="17">
        <f>IFERROR(B68+B69+B70+B71+B72+B73+B74+B75, "NA")</f>
      </c>
      <c r="C76" s="18">
        <f>IFERROR(B76/B327, "NA")</f>
      </c>
      <c r="D76" s="8"/>
      <c r="E76" s="17">
        <f>IFERROR(E68+E69+E70+E71+E72+E73+E74+E75, "NA")</f>
      </c>
      <c r="F76" s="18">
        <f>IFERROR(E76/E327, "NA")</f>
      </c>
      <c r="G76" s="8"/>
      <c r="H76" s="17">
        <f>IFERROR(H68+H69+H70+H71+H72+H73+H74+H75, "NA")</f>
      </c>
      <c r="I76" s="18">
        <f>IFERROR(H76/H327, "NA")</f>
      </c>
      <c r="J76" s="8"/>
      <c r="K76" s="17">
        <f>IFERROR(K68+K69+K70+K71+K72+K73+K74+K75, "NA")</f>
      </c>
      <c r="L76" s="18">
        <f>IFERROR(K76/K327, "NA")</f>
      </c>
      <c r="M76" s="8"/>
      <c r="N76" s="17">
        <f>IFERROR(N68+N69+N70+N71+N72+N73+N74+N75, "NA")</f>
      </c>
      <c r="O76" s="18">
        <f>IFERROR(N76/N327, "NA")</f>
      </c>
    </row>
    <row r="77" ht="16.5" customHeight="1">
      <c t="s" r="A77" s="11">
        <v>80</v>
      </c>
      <c r="B77" s="8"/>
      <c r="C77" s="9"/>
      <c r="D77" s="10"/>
      <c r="E77" s="8"/>
      <c r="F77" s="9"/>
      <c r="G77" s="10"/>
      <c r="H77" s="8"/>
      <c r="I77" s="9"/>
      <c r="J77" s="10"/>
      <c r="K77" s="8"/>
      <c r="L77" s="9"/>
      <c r="M77" s="10"/>
      <c r="N77" s="8"/>
      <c r="O77" s="9"/>
    </row>
    <row r="78" ht="16.5" customHeight="1">
      <c t="s" r="A78" s="12">
        <v>81</v>
      </c>
      <c r="B78" s="13">
        <v>0</v>
      </c>
      <c r="C78" s="14">
        <f>IFERROR(B78/B327, "NA")</f>
      </c>
      <c r="D78" s="15"/>
      <c r="E78" s="13">
        <v>0</v>
      </c>
      <c r="F78" s="14">
        <f>IFERROR(E78/E327, "NA")</f>
      </c>
      <c r="G78" s="15"/>
      <c r="H78" s="13">
        <v>0</v>
      </c>
      <c r="I78" s="14">
        <f>IFERROR(H78/H327, "NA")</f>
      </c>
      <c r="J78" s="15"/>
      <c r="K78" s="13">
        <v>0</v>
      </c>
      <c r="L78" s="14">
        <f>IFERROR(K78/K327, "NA")</f>
      </c>
      <c r="M78" s="15"/>
      <c r="N78" s="13">
        <v>0</v>
      </c>
      <c r="O78" s="14">
        <f>IFERROR(N78/N327, "NA")</f>
      </c>
    </row>
    <row r="79" ht="16.5" customHeight="1">
      <c t="s" r="A79" s="12">
        <v>82</v>
      </c>
      <c r="B79" s="13">
        <v>0</v>
      </c>
      <c r="C79" s="14">
        <f>IFERROR(B79/B327, "NA")</f>
      </c>
      <c r="D79" s="15"/>
      <c r="E79" s="13">
        <v>0</v>
      </c>
      <c r="F79" s="14">
        <f>IFERROR(E79/E327, "NA")</f>
      </c>
      <c r="G79" s="15"/>
      <c r="H79" s="13">
        <v>0</v>
      </c>
      <c r="I79" s="14">
        <f>IFERROR(H79/H327, "NA")</f>
      </c>
      <c r="J79" s="15"/>
      <c r="K79" s="13">
        <v>0</v>
      </c>
      <c r="L79" s="14">
        <f>IFERROR(K79/K327, "NA")</f>
      </c>
      <c r="M79" s="15"/>
      <c r="N79" s="13">
        <v>0</v>
      </c>
      <c r="O79" s="14">
        <f>IFERROR(N79/N327, "NA")</f>
      </c>
    </row>
    <row r="80" ht="16.5" customHeight="1">
      <c t="s" r="A80" s="16">
        <v>83</v>
      </c>
      <c r="B80" s="17">
        <f>IFERROR(B78+B79, "NA")</f>
      </c>
      <c r="C80" s="18">
        <f>IFERROR(B80/B327, "NA")</f>
      </c>
      <c r="D80" s="8"/>
      <c r="E80" s="17">
        <f>IFERROR(E78+E79, "NA")</f>
      </c>
      <c r="F80" s="18">
        <f>IFERROR(E80/E327, "NA")</f>
      </c>
      <c r="G80" s="8"/>
      <c r="H80" s="17">
        <f>IFERROR(H78+H79, "NA")</f>
      </c>
      <c r="I80" s="18">
        <f>IFERROR(H80/H327, "NA")</f>
      </c>
      <c r="J80" s="8"/>
      <c r="K80" s="17">
        <f>IFERROR(K78+K79, "NA")</f>
      </c>
      <c r="L80" s="18">
        <f>IFERROR(K80/K327, "NA")</f>
      </c>
      <c r="M80" s="8"/>
      <c r="N80" s="17">
        <f>IFERROR(N78+N79, "NA")</f>
      </c>
      <c r="O80" s="18">
        <f>IFERROR(N80/N327, "NA")</f>
      </c>
    </row>
    <row r="81" ht="16.5" customHeight="1">
      <c t="s" r="A81" s="11">
        <v>84</v>
      </c>
      <c r="B81" s="8"/>
      <c r="C81" s="9"/>
      <c r="D81" s="10"/>
      <c r="E81" s="8"/>
      <c r="F81" s="9"/>
      <c r="G81" s="10"/>
      <c r="H81" s="8"/>
      <c r="I81" s="9"/>
      <c r="J81" s="10"/>
      <c r="K81" s="8"/>
      <c r="L81" s="9"/>
      <c r="M81" s="10"/>
      <c r="N81" s="8"/>
      <c r="O81" s="9"/>
    </row>
    <row r="82" ht="16.5" customHeight="1">
      <c t="s" r="A82" s="12">
        <v>85</v>
      </c>
      <c r="B82" s="13">
        <v>0</v>
      </c>
      <c r="C82" s="14">
        <f>IFERROR(B82/B327, "NA")</f>
      </c>
      <c r="D82" s="15"/>
      <c r="E82" s="13">
        <v>0</v>
      </c>
      <c r="F82" s="14">
        <f>IFERROR(E82/E327, "NA")</f>
      </c>
      <c r="G82" s="15"/>
      <c r="H82" s="13">
        <v>0</v>
      </c>
      <c r="I82" s="14">
        <f>IFERROR(H82/H327, "NA")</f>
      </c>
      <c r="J82" s="15"/>
      <c r="K82" s="13">
        <v>0</v>
      </c>
      <c r="L82" s="14">
        <f>IFERROR(K82/K327, "NA")</f>
      </c>
      <c r="M82" s="15"/>
      <c r="N82" s="13">
        <v>0</v>
      </c>
      <c r="O82" s="14">
        <f>IFERROR(N82/N327, "NA")</f>
      </c>
    </row>
    <row r="83" ht="16.5" customHeight="1">
      <c t="s" r="A83" s="21">
        <v>86</v>
      </c>
      <c r="B83" s="8"/>
      <c r="C83" s="9"/>
      <c r="D83" s="10"/>
      <c r="E83" s="8"/>
      <c r="F83" s="9"/>
      <c r="G83" s="10"/>
      <c r="H83" s="8"/>
      <c r="I83" s="9"/>
      <c r="J83" s="10"/>
      <c r="K83" s="8"/>
      <c r="L83" s="9"/>
      <c r="M83" s="10"/>
      <c r="N83" s="8"/>
      <c r="O83" s="9"/>
    </row>
    <row r="84" ht="16.5" customHeight="1">
      <c t="s" r="A84" s="22">
        <v>87</v>
      </c>
      <c r="B84" s="13">
        <v>0</v>
      </c>
      <c r="C84" s="14">
        <f>IFERROR(B84/B327, "NA")</f>
      </c>
      <c r="D84" s="15"/>
      <c r="E84" s="13">
        <v>0</v>
      </c>
      <c r="F84" s="14">
        <f>IFERROR(E84/E327, "NA")</f>
      </c>
      <c r="G84" s="15"/>
      <c r="H84" s="13">
        <v>0</v>
      </c>
      <c r="I84" s="14">
        <f>IFERROR(H84/H327, "NA")</f>
      </c>
      <c r="J84" s="15"/>
      <c r="K84" s="13">
        <v>0</v>
      </c>
      <c r="L84" s="14">
        <f>IFERROR(K84/K327, "NA")</f>
      </c>
      <c r="M84" s="15"/>
      <c r="N84" s="13">
        <v>0</v>
      </c>
      <c r="O84" s="14">
        <f>IFERROR(N84/N327, "NA")</f>
      </c>
    </row>
    <row r="85" ht="16.5" customHeight="1">
      <c t="s" r="A85" s="22">
        <v>88</v>
      </c>
      <c r="B85" s="13">
        <v>866.01999999999998</v>
      </c>
      <c r="C85" s="14">
        <f>IFERROR(B85/B327, "NA")</f>
      </c>
      <c r="D85" s="15"/>
      <c r="E85" s="13">
        <v>2457.9400000000001</v>
      </c>
      <c r="F85" s="14">
        <f>IFERROR(E85/E327, "NA")</f>
      </c>
      <c r="G85" s="15"/>
      <c r="H85" s="13">
        <v>2977.8099999999999</v>
      </c>
      <c r="I85" s="14">
        <f>IFERROR(H85/H327, "NA")</f>
      </c>
      <c r="J85" s="15"/>
      <c r="K85" s="13">
        <v>2659.73</v>
      </c>
      <c r="L85" s="14">
        <f>IFERROR(K85/K327, "NA")</f>
      </c>
      <c r="M85" s="15"/>
      <c r="N85" s="13">
        <v>2848.9200000000001</v>
      </c>
      <c r="O85" s="14">
        <f>IFERROR(N85/N327, "NA")</f>
      </c>
    </row>
    <row r="86" ht="16.5" customHeight="1">
      <c t="s" r="A86" s="22">
        <v>89</v>
      </c>
      <c r="B86" s="13">
        <v>272.50999999999999</v>
      </c>
      <c r="C86" s="14">
        <f>IFERROR(B86/B327, "NA")</f>
      </c>
      <c r="D86" s="15"/>
      <c r="E86" s="13">
        <v>1458.6900000000001</v>
      </c>
      <c r="F86" s="14">
        <f>IFERROR(E86/E327, "NA")</f>
      </c>
      <c r="G86" s="15"/>
      <c r="H86" s="13">
        <v>2043.3199999999999</v>
      </c>
      <c r="I86" s="14">
        <f>IFERROR(H86/H327, "NA")</f>
      </c>
      <c r="J86" s="15"/>
      <c r="K86" s="13">
        <v>2068.1399999999999</v>
      </c>
      <c r="L86" s="14">
        <f>IFERROR(K86/K327, "NA")</f>
      </c>
      <c r="M86" s="15"/>
      <c r="N86" s="13">
        <v>2257.3699999999999</v>
      </c>
      <c r="O86" s="14">
        <f>IFERROR(N86/N327, "NA")</f>
      </c>
    </row>
    <row r="87" ht="16.5" customHeight="1">
      <c t="s" r="A87" s="22">
        <v>90</v>
      </c>
      <c r="B87" s="13">
        <v>202.41999999999999</v>
      </c>
      <c r="C87" s="14">
        <f>IFERROR(B87/B327, "NA")</f>
      </c>
      <c r="D87" s="15"/>
      <c r="E87" s="13">
        <v>762.60000000000002</v>
      </c>
      <c r="F87" s="14">
        <f>IFERROR(E87/E327, "NA")</f>
      </c>
      <c r="G87" s="15"/>
      <c r="H87" s="13">
        <v>750.57000000000005</v>
      </c>
      <c r="I87" s="14">
        <f>IFERROR(H87/H327, "NA")</f>
      </c>
      <c r="J87" s="15"/>
      <c r="K87" s="13">
        <v>790.87</v>
      </c>
      <c r="L87" s="14">
        <f>IFERROR(K87/K327, "NA")</f>
      </c>
      <c r="M87" s="15"/>
      <c r="N87" s="13">
        <v>375.19999999999999</v>
      </c>
      <c r="O87" s="14">
        <f>IFERROR(N87/N327, "NA")</f>
      </c>
    </row>
    <row r="88" ht="16.5" customHeight="1">
      <c t="s" r="A88" s="22">
        <v>91</v>
      </c>
      <c r="B88" s="13">
        <v>840.46000000000004</v>
      </c>
      <c r="C88" s="14">
        <f>IFERROR(B88/B327, "NA")</f>
      </c>
      <c r="D88" s="15"/>
      <c r="E88" s="13">
        <v>3161.8600000000001</v>
      </c>
      <c r="F88" s="14">
        <f>IFERROR(E88/E327, "NA")</f>
      </c>
      <c r="G88" s="15"/>
      <c r="H88" s="13">
        <v>2587.5300000000002</v>
      </c>
      <c r="I88" s="14">
        <f>IFERROR(H88/H327, "NA")</f>
      </c>
      <c r="J88" s="15"/>
      <c r="K88" s="13">
        <v>2085.3000000000002</v>
      </c>
      <c r="L88" s="14">
        <f>IFERROR(K88/K327, "NA")</f>
      </c>
      <c r="M88" s="15"/>
      <c r="N88" s="13">
        <v>2138.3099999999999</v>
      </c>
      <c r="O88" s="14">
        <f>IFERROR(N88/N327, "NA")</f>
      </c>
    </row>
    <row r="89" ht="16.5" customHeight="1">
      <c t="s" r="A89" s="22">
        <v>92</v>
      </c>
      <c r="B89" s="13">
        <v>0</v>
      </c>
      <c r="C89" s="14">
        <f>IFERROR(B89/B327, "NA")</f>
      </c>
      <c r="D89" s="15"/>
      <c r="E89" s="13">
        <v>0</v>
      </c>
      <c r="F89" s="14">
        <f>IFERROR(E89/E327, "NA")</f>
      </c>
      <c r="G89" s="15"/>
      <c r="H89" s="13">
        <v>0</v>
      </c>
      <c r="I89" s="14">
        <f>IFERROR(H89/H327, "NA")</f>
      </c>
      <c r="J89" s="15"/>
      <c r="K89" s="13">
        <v>0</v>
      </c>
      <c r="L89" s="14">
        <f>IFERROR(K89/K327, "NA")</f>
      </c>
      <c r="M89" s="15"/>
      <c r="N89" s="13">
        <v>0</v>
      </c>
      <c r="O89" s="14">
        <f>IFERROR(N89/N327, "NA")</f>
      </c>
    </row>
    <row r="90" ht="16.5" customHeight="1">
      <c t="s" r="A90" s="22">
        <v>93</v>
      </c>
      <c r="B90" s="13">
        <v>0</v>
      </c>
      <c r="C90" s="14">
        <f>IFERROR(B90/B327, "NA")</f>
      </c>
      <c r="D90" s="15"/>
      <c r="E90" s="13">
        <v>0</v>
      </c>
      <c r="F90" s="14">
        <f>IFERROR(E90/E327, "NA")</f>
      </c>
      <c r="G90" s="15"/>
      <c r="H90" s="13">
        <v>0</v>
      </c>
      <c r="I90" s="14">
        <f>IFERROR(H90/H327, "NA")</f>
      </c>
      <c r="J90" s="15"/>
      <c r="K90" s="13">
        <v>0</v>
      </c>
      <c r="L90" s="14">
        <f>IFERROR(K90/K327, "NA")</f>
      </c>
      <c r="M90" s="15"/>
      <c r="N90" s="13">
        <v>0</v>
      </c>
      <c r="O90" s="14">
        <f>IFERROR(N90/N327, "NA")</f>
      </c>
    </row>
    <row r="91" ht="16.5" customHeight="1">
      <c t="s" r="A91" s="22">
        <v>94</v>
      </c>
      <c r="B91" s="13">
        <v>0</v>
      </c>
      <c r="C91" s="14">
        <f>IFERROR(B91/B327, "NA")</f>
      </c>
      <c r="D91" s="15"/>
      <c r="E91" s="13">
        <v>0</v>
      </c>
      <c r="F91" s="14">
        <f>IFERROR(E91/E327, "NA")</f>
      </c>
      <c r="G91" s="15"/>
      <c r="H91" s="13">
        <v>0</v>
      </c>
      <c r="I91" s="14">
        <f>IFERROR(H91/H327, "NA")</f>
      </c>
      <c r="J91" s="15"/>
      <c r="K91" s="13">
        <v>0</v>
      </c>
      <c r="L91" s="14">
        <f>IFERROR(K91/K327, "NA")</f>
      </c>
      <c r="M91" s="15"/>
      <c r="N91" s="13">
        <v>0</v>
      </c>
      <c r="O91" s="14">
        <f>IFERROR(N91/N327, "NA")</f>
      </c>
    </row>
    <row r="92" ht="16.5" customHeight="1">
      <c t="s" r="A92" s="22">
        <v>95</v>
      </c>
      <c r="B92" s="13">
        <v>-636.89999999999998</v>
      </c>
      <c r="C92" s="14">
        <f>IFERROR(B92/B327, "NA")</f>
      </c>
      <c r="D92" s="15"/>
      <c r="E92" s="13">
        <v>2234.1900000000001</v>
      </c>
      <c r="F92" s="14">
        <f>IFERROR(E92/E327, "NA")</f>
      </c>
      <c r="G92" s="15"/>
      <c r="H92" s="13">
        <v>2245.9899999999998</v>
      </c>
      <c r="I92" s="14">
        <f>IFERROR(H92/H327, "NA")</f>
      </c>
      <c r="J92" s="15"/>
      <c r="K92" s="13">
        <v>2307.6799999999998</v>
      </c>
      <c r="L92" s="14">
        <f>IFERROR(K92/K327, "NA")</f>
      </c>
      <c r="M92" s="15"/>
      <c r="N92" s="13">
        <v>1804.1800000000001</v>
      </c>
      <c r="O92" s="14">
        <f>IFERROR(N92/N327, "NA")</f>
      </c>
    </row>
    <row r="93" ht="16.5" customHeight="1">
      <c t="s" r="A93" s="22">
        <v>96</v>
      </c>
      <c r="B93" s="13">
        <v>0</v>
      </c>
      <c r="C93" s="14">
        <f>IFERROR(B93/B327, "NA")</f>
      </c>
      <c r="D93" s="15"/>
      <c r="E93" s="13">
        <v>0</v>
      </c>
      <c r="F93" s="14">
        <f>IFERROR(E93/E327, "NA")</f>
      </c>
      <c r="G93" s="15"/>
      <c r="H93" s="13">
        <v>0</v>
      </c>
      <c r="I93" s="14">
        <f>IFERROR(H93/H327, "NA")</f>
      </c>
      <c r="J93" s="15"/>
      <c r="K93" s="13">
        <v>0</v>
      </c>
      <c r="L93" s="14">
        <f>IFERROR(K93/K327, "NA")</f>
      </c>
      <c r="M93" s="15"/>
      <c r="N93" s="13">
        <v>0</v>
      </c>
      <c r="O93" s="14">
        <f>IFERROR(N93/N327, "NA")</f>
      </c>
    </row>
    <row r="94" ht="16.5" customHeight="1">
      <c t="s" r="A94" s="22">
        <v>97</v>
      </c>
      <c r="B94" s="13">
        <v>0</v>
      </c>
      <c r="C94" s="14">
        <f>IFERROR(B94/B327, "NA")</f>
      </c>
      <c r="D94" s="15"/>
      <c r="E94" s="13">
        <v>0</v>
      </c>
      <c r="F94" s="14">
        <f>IFERROR(E94/E327, "NA")</f>
      </c>
      <c r="G94" s="15"/>
      <c r="H94" s="13">
        <v>0</v>
      </c>
      <c r="I94" s="14">
        <f>IFERROR(H94/H327, "NA")</f>
      </c>
      <c r="J94" s="15"/>
      <c r="K94" s="13">
        <v>0</v>
      </c>
      <c r="L94" s="14">
        <f>IFERROR(K94/K327, "NA")</f>
      </c>
      <c r="M94" s="15"/>
      <c r="N94" s="13">
        <v>0</v>
      </c>
      <c r="O94" s="14">
        <f>IFERROR(N94/N327, "NA")</f>
      </c>
    </row>
    <row r="95" ht="16.5" customHeight="1">
      <c t="s" r="A95" s="22">
        <v>98</v>
      </c>
      <c r="B95" s="13">
        <v>0</v>
      </c>
      <c r="C95" s="14">
        <f>IFERROR(B95/B327, "NA")</f>
      </c>
      <c r="D95" s="15"/>
      <c r="E95" s="13">
        <v>0</v>
      </c>
      <c r="F95" s="14">
        <f>IFERROR(E95/E327, "NA")</f>
      </c>
      <c r="G95" s="15"/>
      <c r="H95" s="13">
        <v>0</v>
      </c>
      <c r="I95" s="14">
        <f>IFERROR(H95/H327, "NA")</f>
      </c>
      <c r="J95" s="15"/>
      <c r="K95" s="13">
        <v>0</v>
      </c>
      <c r="L95" s="14">
        <f>IFERROR(K95/K327, "NA")</f>
      </c>
      <c r="M95" s="15"/>
      <c r="N95" s="13">
        <v>0</v>
      </c>
      <c r="O95" s="14">
        <f>IFERROR(N95/N327, "NA")</f>
      </c>
    </row>
    <row r="96" ht="16.5" customHeight="1">
      <c t="s" r="A96" s="22">
        <v>99</v>
      </c>
      <c r="B96" s="13">
        <v>0</v>
      </c>
      <c r="C96" s="14">
        <f>IFERROR(B96/B327, "NA")</f>
      </c>
      <c r="D96" s="15"/>
      <c r="E96" s="13">
        <v>0</v>
      </c>
      <c r="F96" s="14">
        <f>IFERROR(E96/E327, "NA")</f>
      </c>
      <c r="G96" s="15"/>
      <c r="H96" s="13">
        <v>0</v>
      </c>
      <c r="I96" s="14">
        <f>IFERROR(H96/H327, "NA")</f>
      </c>
      <c r="J96" s="15"/>
      <c r="K96" s="13">
        <v>0</v>
      </c>
      <c r="L96" s="14">
        <f>IFERROR(K96/K327, "NA")</f>
      </c>
      <c r="M96" s="15"/>
      <c r="N96" s="13">
        <v>0</v>
      </c>
      <c r="O96" s="14">
        <f>IFERROR(N96/N327, "NA")</f>
      </c>
    </row>
    <row r="97" ht="16.5" customHeight="1">
      <c t="s" r="A97" s="22">
        <v>100</v>
      </c>
      <c r="B97" s="13">
        <v>195.94</v>
      </c>
      <c r="C97" s="14">
        <f>IFERROR(B97/B327, "NA")</f>
      </c>
      <c r="D97" s="15"/>
      <c r="E97" s="13">
        <v>789.54999999999995</v>
      </c>
      <c r="F97" s="14">
        <f>IFERROR(E97/E327, "NA")</f>
      </c>
      <c r="G97" s="15"/>
      <c r="H97" s="13">
        <v>1451.45</v>
      </c>
      <c r="I97" s="14">
        <f>IFERROR(H97/H327, "NA")</f>
      </c>
      <c r="J97" s="15"/>
      <c r="K97" s="13">
        <v>1431.9400000000001</v>
      </c>
      <c r="L97" s="14">
        <f>IFERROR(K97/K327, "NA")</f>
      </c>
      <c r="M97" s="15"/>
      <c r="N97" s="13">
        <v>711.13999999999999</v>
      </c>
      <c r="O97" s="14">
        <f>IFERROR(N97/N327, "NA")</f>
      </c>
    </row>
    <row r="98" ht="16.5" customHeight="1">
      <c t="s" r="A98" s="22">
        <v>101</v>
      </c>
      <c r="B98" s="13">
        <v>1217</v>
      </c>
      <c r="C98" s="14">
        <f>IFERROR(B98/B327, "NA")</f>
      </c>
      <c r="D98" s="15"/>
      <c r="E98" s="13">
        <v>1157</v>
      </c>
      <c r="F98" s="14">
        <f>IFERROR(E98/E327, "NA")</f>
      </c>
      <c r="G98" s="15"/>
      <c r="H98" s="13">
        <v>1086</v>
      </c>
      <c r="I98" s="14">
        <f>IFERROR(H98/H327, "NA")</f>
      </c>
      <c r="J98" s="15"/>
      <c r="K98" s="13">
        <v>1707</v>
      </c>
      <c r="L98" s="14">
        <f>IFERROR(K98/K327, "NA")</f>
      </c>
      <c r="M98" s="15"/>
      <c r="N98" s="13">
        <v>1716</v>
      </c>
      <c r="O98" s="14">
        <f>IFERROR(N98/N327, "NA")</f>
      </c>
    </row>
    <row r="99" ht="16.5" customHeight="1">
      <c t="s" r="A99" s="22">
        <v>102</v>
      </c>
      <c r="B99" s="13">
        <v>0</v>
      </c>
      <c r="C99" s="14">
        <f>IFERROR(B99/B327, "NA")</f>
      </c>
      <c r="D99" s="15"/>
      <c r="E99" s="13">
        <v>0</v>
      </c>
      <c r="F99" s="14">
        <f>IFERROR(E99/E327, "NA")</f>
      </c>
      <c r="G99" s="15"/>
      <c r="H99" s="13">
        <v>0</v>
      </c>
      <c r="I99" s="14">
        <f>IFERROR(H99/H327, "NA")</f>
      </c>
      <c r="J99" s="15"/>
      <c r="K99" s="13">
        <v>0</v>
      </c>
      <c r="L99" s="14">
        <f>IFERROR(K99/K327, "NA")</f>
      </c>
      <c r="M99" s="15"/>
      <c r="N99" s="13">
        <v>0</v>
      </c>
      <c r="O99" s="14">
        <f>IFERROR(N99/N327, "NA")</f>
      </c>
    </row>
    <row r="100" ht="16.5" customHeight="1">
      <c t="s" r="A100" s="22">
        <v>103</v>
      </c>
      <c r="B100" s="13">
        <v>0</v>
      </c>
      <c r="C100" s="14">
        <f>IFERROR(B100/B327, "NA")</f>
      </c>
      <c r="D100" s="15"/>
      <c r="E100" s="13">
        <v>0</v>
      </c>
      <c r="F100" s="14">
        <f>IFERROR(E100/E327, "NA")</f>
      </c>
      <c r="G100" s="15"/>
      <c r="H100" s="13">
        <v>0</v>
      </c>
      <c r="I100" s="14">
        <f>IFERROR(H100/H327, "NA")</f>
      </c>
      <c r="J100" s="15"/>
      <c r="K100" s="13">
        <v>0</v>
      </c>
      <c r="L100" s="14">
        <f>IFERROR(K100/K327, "NA")</f>
      </c>
      <c r="M100" s="15"/>
      <c r="N100" s="13">
        <v>0</v>
      </c>
      <c r="O100" s="14">
        <f>IFERROR(N100/N327, "NA")</f>
      </c>
    </row>
    <row r="101" ht="16.5" customHeight="1">
      <c t="s" r="A101" s="22">
        <v>104</v>
      </c>
      <c r="B101" s="13">
        <v>0</v>
      </c>
      <c r="C101" s="14">
        <f>IFERROR(B101/B327, "NA")</f>
      </c>
      <c r="D101" s="15"/>
      <c r="E101" s="13">
        <v>0</v>
      </c>
      <c r="F101" s="14">
        <f>IFERROR(E101/E327, "NA")</f>
      </c>
      <c r="G101" s="15"/>
      <c r="H101" s="13">
        <v>0</v>
      </c>
      <c r="I101" s="14">
        <f>IFERROR(H101/H327, "NA")</f>
      </c>
      <c r="J101" s="15"/>
      <c r="K101" s="13">
        <v>0</v>
      </c>
      <c r="L101" s="14">
        <f>IFERROR(K101/K327, "NA")</f>
      </c>
      <c r="M101" s="15"/>
      <c r="N101" s="13">
        <v>0</v>
      </c>
      <c r="O101" s="14">
        <f>IFERROR(N101/N327, "NA")</f>
      </c>
    </row>
    <row r="102" ht="16.5" customHeight="1">
      <c t="s" r="A102" s="22">
        <v>105</v>
      </c>
      <c r="B102" s="13">
        <v>0</v>
      </c>
      <c r="C102" s="14">
        <f>IFERROR(B102/B327, "NA")</f>
      </c>
      <c r="D102" s="15"/>
      <c r="E102" s="13">
        <v>0</v>
      </c>
      <c r="F102" s="14">
        <f>IFERROR(E102/E327, "NA")</f>
      </c>
      <c r="G102" s="15"/>
      <c r="H102" s="13">
        <v>0</v>
      </c>
      <c r="I102" s="14">
        <f>IFERROR(H102/H327, "NA")</f>
      </c>
      <c r="J102" s="15"/>
      <c r="K102" s="13">
        <v>0</v>
      </c>
      <c r="L102" s="14">
        <f>IFERROR(K102/K327, "NA")</f>
      </c>
      <c r="M102" s="15"/>
      <c r="N102" s="13">
        <v>0</v>
      </c>
      <c r="O102" s="14">
        <f>IFERROR(N102/N327, "NA")</f>
      </c>
    </row>
    <row r="103" ht="16.5" customHeight="1">
      <c t="s" r="A103" s="22">
        <v>106</v>
      </c>
      <c r="B103" s="13">
        <v>0</v>
      </c>
      <c r="C103" s="14">
        <f>IFERROR(B103/B327, "NA")</f>
      </c>
      <c r="D103" s="15"/>
      <c r="E103" s="13">
        <v>0</v>
      </c>
      <c r="F103" s="14">
        <f>IFERROR(E103/E327, "NA")</f>
      </c>
      <c r="G103" s="15"/>
      <c r="H103" s="13">
        <v>0</v>
      </c>
      <c r="I103" s="14">
        <f>IFERROR(H103/H327, "NA")</f>
      </c>
      <c r="J103" s="15"/>
      <c r="K103" s="13">
        <v>0</v>
      </c>
      <c r="L103" s="14">
        <f>IFERROR(K103/K327, "NA")</f>
      </c>
      <c r="M103" s="15"/>
      <c r="N103" s="13">
        <v>0</v>
      </c>
      <c r="O103" s="14">
        <f>IFERROR(N103/N327, "NA")</f>
      </c>
    </row>
    <row r="104" ht="16.5" customHeight="1">
      <c t="s" r="A104" s="22">
        <v>107</v>
      </c>
      <c r="B104" s="13">
        <v>0</v>
      </c>
      <c r="C104" s="14">
        <f>IFERROR(B104/B327, "NA")</f>
      </c>
      <c r="D104" s="15"/>
      <c r="E104" s="13">
        <v>0</v>
      </c>
      <c r="F104" s="14">
        <f>IFERROR(E104/E327, "NA")</f>
      </c>
      <c r="G104" s="15"/>
      <c r="H104" s="13">
        <v>0</v>
      </c>
      <c r="I104" s="14">
        <f>IFERROR(H104/H327, "NA")</f>
      </c>
      <c r="J104" s="15"/>
      <c r="K104" s="13">
        <v>0</v>
      </c>
      <c r="L104" s="14">
        <f>IFERROR(K104/K327, "NA")</f>
      </c>
      <c r="M104" s="15"/>
      <c r="N104" s="13">
        <v>0</v>
      </c>
      <c r="O104" s="14">
        <f>IFERROR(N104/N327, "NA")</f>
      </c>
    </row>
    <row r="105" ht="16.5" customHeight="1">
      <c t="s" r="A105" s="22">
        <v>108</v>
      </c>
      <c r="B105" s="13">
        <v>0</v>
      </c>
      <c r="C105" s="14">
        <f>IFERROR(B105/B327, "NA")</f>
      </c>
      <c r="D105" s="15"/>
      <c r="E105" s="13">
        <v>0</v>
      </c>
      <c r="F105" s="14">
        <f>IFERROR(E105/E327, "NA")</f>
      </c>
      <c r="G105" s="15"/>
      <c r="H105" s="13">
        <v>0</v>
      </c>
      <c r="I105" s="14">
        <f>IFERROR(H105/H327, "NA")</f>
      </c>
      <c r="J105" s="15"/>
      <c r="K105" s="13">
        <v>0</v>
      </c>
      <c r="L105" s="14">
        <f>IFERROR(K105/K327, "NA")</f>
      </c>
      <c r="M105" s="15"/>
      <c r="N105" s="13">
        <v>0</v>
      </c>
      <c r="O105" s="14">
        <f>IFERROR(N105/N327, "NA")</f>
      </c>
    </row>
    <row r="106" ht="16.5" customHeight="1">
      <c t="s" r="A106" s="22">
        <v>109</v>
      </c>
      <c r="B106" s="13">
        <v>0</v>
      </c>
      <c r="C106" s="14">
        <f>IFERROR(B106/B327, "NA")</f>
      </c>
      <c r="D106" s="15"/>
      <c r="E106" s="13">
        <v>0</v>
      </c>
      <c r="F106" s="14">
        <f>IFERROR(E106/E327, "NA")</f>
      </c>
      <c r="G106" s="15"/>
      <c r="H106" s="13">
        <v>0</v>
      </c>
      <c r="I106" s="14">
        <f>IFERROR(H106/H327, "NA")</f>
      </c>
      <c r="J106" s="15"/>
      <c r="K106" s="13">
        <v>0</v>
      </c>
      <c r="L106" s="14">
        <f>IFERROR(K106/K327, "NA")</f>
      </c>
      <c r="M106" s="15"/>
      <c r="N106" s="13">
        <v>0</v>
      </c>
      <c r="O106" s="14">
        <f>IFERROR(N106/N327, "NA")</f>
      </c>
    </row>
    <row r="107" ht="16.5" customHeight="1">
      <c t="s" r="A107" s="22">
        <v>110</v>
      </c>
      <c r="B107" s="13">
        <v>0</v>
      </c>
      <c r="C107" s="14">
        <f>IFERROR(B107/B327, "NA")</f>
      </c>
      <c r="D107" s="15"/>
      <c r="E107" s="13">
        <v>0</v>
      </c>
      <c r="F107" s="14">
        <f>IFERROR(E107/E327, "NA")</f>
      </c>
      <c r="G107" s="15"/>
      <c r="H107" s="13">
        <v>0</v>
      </c>
      <c r="I107" s="14">
        <f>IFERROR(H107/H327, "NA")</f>
      </c>
      <c r="J107" s="15"/>
      <c r="K107" s="13">
        <v>0</v>
      </c>
      <c r="L107" s="14">
        <f>IFERROR(K107/K327, "NA")</f>
      </c>
      <c r="M107" s="15"/>
      <c r="N107" s="13">
        <v>0</v>
      </c>
      <c r="O107" s="14">
        <f>IFERROR(N107/N327, "NA")</f>
      </c>
    </row>
    <row r="108" ht="16.5" customHeight="1">
      <c t="s" r="A108" s="22">
        <v>111</v>
      </c>
      <c r="B108" s="13">
        <v>0</v>
      </c>
      <c r="C108" s="14">
        <f>IFERROR(B108/B327, "NA")</f>
      </c>
      <c r="D108" s="15"/>
      <c r="E108" s="13">
        <v>0</v>
      </c>
      <c r="F108" s="14">
        <f>IFERROR(E108/E327, "NA")</f>
      </c>
      <c r="G108" s="15"/>
      <c r="H108" s="13">
        <v>0</v>
      </c>
      <c r="I108" s="14">
        <f>IFERROR(H108/H327, "NA")</f>
      </c>
      <c r="J108" s="15"/>
      <c r="K108" s="13">
        <v>0</v>
      </c>
      <c r="L108" s="14">
        <f>IFERROR(K108/K327, "NA")</f>
      </c>
      <c r="M108" s="15"/>
      <c r="N108" s="13">
        <v>0</v>
      </c>
      <c r="O108" s="14">
        <f>IFERROR(N108/N327, "NA")</f>
      </c>
    </row>
    <row r="109" ht="16.5" customHeight="1">
      <c t="s" r="A109" s="22">
        <v>112</v>
      </c>
      <c r="B109" s="13">
        <v>0</v>
      </c>
      <c r="C109" s="14">
        <f>IFERROR(B109/B327, "NA")</f>
      </c>
      <c r="D109" s="15"/>
      <c r="E109" s="13">
        <v>0</v>
      </c>
      <c r="F109" s="14">
        <f>IFERROR(E109/E327, "NA")</f>
      </c>
      <c r="G109" s="15"/>
      <c r="H109" s="13">
        <v>0</v>
      </c>
      <c r="I109" s="14">
        <f>IFERROR(H109/H327, "NA")</f>
      </c>
      <c r="J109" s="15"/>
      <c r="K109" s="13">
        <v>0</v>
      </c>
      <c r="L109" s="14">
        <f>IFERROR(K109/K327, "NA")</f>
      </c>
      <c r="M109" s="15"/>
      <c r="N109" s="13">
        <v>0</v>
      </c>
      <c r="O109" s="14">
        <f>IFERROR(N109/N327, "NA")</f>
      </c>
    </row>
    <row r="110" ht="16.5" customHeight="1">
      <c t="s" r="A110" s="22">
        <v>113</v>
      </c>
      <c r="B110" s="13">
        <v>711.86000000000001</v>
      </c>
      <c r="C110" s="14">
        <f>IFERROR(B110/B327, "NA")</f>
      </c>
      <c r="D110" s="15"/>
      <c r="E110" s="13">
        <v>2251.4000000000001</v>
      </c>
      <c r="F110" s="14">
        <f>IFERROR(E110/E327, "NA")</f>
      </c>
      <c r="G110" s="15"/>
      <c r="H110" s="13">
        <v>2214.6999999999998</v>
      </c>
      <c r="I110" s="14">
        <f>IFERROR(H110/H327, "NA")</f>
      </c>
      <c r="J110" s="15"/>
      <c r="K110" s="13">
        <v>2884.0799999999999</v>
      </c>
      <c r="L110" s="14">
        <f>IFERROR(K110/K327, "NA")</f>
      </c>
      <c r="M110" s="15"/>
      <c r="N110" s="13">
        <v>3051.5100000000002</v>
      </c>
      <c r="O110" s="14">
        <f>IFERROR(N110/N327, "NA")</f>
      </c>
    </row>
    <row r="111" ht="16.5" customHeight="1">
      <c t="s" r="A111" s="22">
        <v>114</v>
      </c>
      <c r="B111" s="13">
        <v>0</v>
      </c>
      <c r="C111" s="14">
        <f>IFERROR(B111/B327, "NA")</f>
      </c>
      <c r="D111" s="15"/>
      <c r="E111" s="13">
        <v>0</v>
      </c>
      <c r="F111" s="14">
        <f>IFERROR(E111/E327, "NA")</f>
      </c>
      <c r="G111" s="15"/>
      <c r="H111" s="13">
        <v>0</v>
      </c>
      <c r="I111" s="14">
        <f>IFERROR(H111/H327, "NA")</f>
      </c>
      <c r="J111" s="15"/>
      <c r="K111" s="13">
        <v>0</v>
      </c>
      <c r="L111" s="14">
        <f>IFERROR(K111/K327, "NA")</f>
      </c>
      <c r="M111" s="15"/>
      <c r="N111" s="13">
        <v>0</v>
      </c>
      <c r="O111" s="14">
        <f>IFERROR(N111/N327, "NA")</f>
      </c>
    </row>
    <row r="112" ht="16.5" customHeight="1">
      <c t="s" r="A112" s="22">
        <v>115</v>
      </c>
      <c r="B112" s="13">
        <v>304.38</v>
      </c>
      <c r="C112" s="14">
        <f>IFERROR(B112/B327, "NA")</f>
      </c>
      <c r="D112" s="15"/>
      <c r="E112" s="13">
        <v>1094.48</v>
      </c>
      <c r="F112" s="14">
        <f>IFERROR(E112/E327, "NA")</f>
      </c>
      <c r="G112" s="15"/>
      <c r="H112" s="13">
        <v>1125.55</v>
      </c>
      <c r="I112" s="14">
        <f>IFERROR(H112/H327, "NA")</f>
      </c>
      <c r="J112" s="15"/>
      <c r="K112" s="13">
        <v>1139.25</v>
      </c>
      <c r="L112" s="14">
        <f>IFERROR(K112/K327, "NA")</f>
      </c>
      <c r="M112" s="15"/>
      <c r="N112" s="13">
        <v>1158.48</v>
      </c>
      <c r="O112" s="14">
        <f>IFERROR(N112/N327, "NA")</f>
      </c>
    </row>
    <row r="113" ht="16.5" customHeight="1">
      <c t="s" r="A113" s="22">
        <v>116</v>
      </c>
      <c r="B113" s="13">
        <v>0</v>
      </c>
      <c r="C113" s="14">
        <f>IFERROR(B113/B327, "NA")</f>
      </c>
      <c r="D113" s="15"/>
      <c r="E113" s="13">
        <v>0</v>
      </c>
      <c r="F113" s="14">
        <f>IFERROR(E113/E327, "NA")</f>
      </c>
      <c r="G113" s="15"/>
      <c r="H113" s="13">
        <v>0</v>
      </c>
      <c r="I113" s="14">
        <f>IFERROR(H113/H327, "NA")</f>
      </c>
      <c r="J113" s="15"/>
      <c r="K113" s="13">
        <v>0</v>
      </c>
      <c r="L113" s="14">
        <f>IFERROR(K113/K327, "NA")</f>
      </c>
      <c r="M113" s="15"/>
      <c r="N113" s="13">
        <v>0</v>
      </c>
      <c r="O113" s="14">
        <f>IFERROR(N113/N327, "NA")</f>
      </c>
    </row>
    <row r="114" ht="16.5" customHeight="1">
      <c t="s" r="A114" s="22">
        <v>117</v>
      </c>
      <c r="B114" s="13">
        <v>-0.050000000000000003</v>
      </c>
      <c r="C114" s="14">
        <f>IFERROR(B114/B327, "NA")</f>
      </c>
      <c r="D114" s="15"/>
      <c r="E114" s="13">
        <v>151.28999999999999</v>
      </c>
      <c r="F114" s="14">
        <f>IFERROR(E114/E327, "NA")</f>
      </c>
      <c r="G114" s="15"/>
      <c r="H114" s="13">
        <v>-151.28999999999999</v>
      </c>
      <c r="I114" s="14">
        <f>IFERROR(H114/H327, "NA")</f>
      </c>
      <c r="J114" s="15"/>
      <c r="K114" s="13">
        <v>0</v>
      </c>
      <c r="L114" s="14">
        <f>IFERROR(K114/K327, "NA")</f>
      </c>
      <c r="M114" s="15"/>
      <c r="N114" s="13">
        <v>0</v>
      </c>
      <c r="O114" s="14">
        <f>IFERROR(N114/N327, "NA")</f>
      </c>
    </row>
    <row r="115" ht="16.5" customHeight="1">
      <c t="s" r="A115" s="22">
        <v>118</v>
      </c>
      <c r="B115" s="13">
        <v>0</v>
      </c>
      <c r="C115" s="14">
        <f>IFERROR(B115/B327, "NA")</f>
      </c>
      <c r="D115" s="15"/>
      <c r="E115" s="13">
        <v>0</v>
      </c>
      <c r="F115" s="14">
        <f>IFERROR(E115/E327, "NA")</f>
      </c>
      <c r="G115" s="15"/>
      <c r="H115" s="13">
        <v>0</v>
      </c>
      <c r="I115" s="14">
        <f>IFERROR(H115/H327, "NA")</f>
      </c>
      <c r="J115" s="15"/>
      <c r="K115" s="13">
        <v>0</v>
      </c>
      <c r="L115" s="14">
        <f>IFERROR(K115/K327, "NA")</f>
      </c>
      <c r="M115" s="15"/>
      <c r="N115" s="13">
        <v>0</v>
      </c>
      <c r="O115" s="14">
        <f>IFERROR(N115/N327, "NA")</f>
      </c>
    </row>
    <row r="116" ht="16.5" customHeight="1">
      <c t="s" r="A116" s="22">
        <v>119</v>
      </c>
      <c r="B116" s="13">
        <v>0</v>
      </c>
      <c r="C116" s="14">
        <f>IFERROR(B116/B327, "NA")</f>
      </c>
      <c r="D116" s="15"/>
      <c r="E116" s="13">
        <v>0</v>
      </c>
      <c r="F116" s="14">
        <f>IFERROR(E116/E327, "NA")</f>
      </c>
      <c r="G116" s="15"/>
      <c r="H116" s="13">
        <v>0</v>
      </c>
      <c r="I116" s="14">
        <f>IFERROR(H116/H327, "NA")</f>
      </c>
      <c r="J116" s="15"/>
      <c r="K116" s="13">
        <v>0</v>
      </c>
      <c r="L116" s="14">
        <f>IFERROR(K116/K327, "NA")</f>
      </c>
      <c r="M116" s="15"/>
      <c r="N116" s="13">
        <v>0</v>
      </c>
      <c r="O116" s="14">
        <f>IFERROR(N116/N327, "NA")</f>
      </c>
    </row>
    <row r="117" ht="16.5" customHeight="1">
      <c t="s" r="A117" s="22">
        <v>120</v>
      </c>
      <c r="B117" s="13">
        <v>0</v>
      </c>
      <c r="C117" s="14">
        <f>IFERROR(B117/B327, "NA")</f>
      </c>
      <c r="D117" s="15"/>
      <c r="E117" s="13">
        <v>0</v>
      </c>
      <c r="F117" s="14">
        <f>IFERROR(E117/E327, "NA")</f>
      </c>
      <c r="G117" s="15"/>
      <c r="H117" s="13">
        <v>0</v>
      </c>
      <c r="I117" s="14">
        <f>IFERROR(H117/H327, "NA")</f>
      </c>
      <c r="J117" s="15"/>
      <c r="K117" s="13">
        <v>0</v>
      </c>
      <c r="L117" s="14">
        <f>IFERROR(K117/K327, "NA")</f>
      </c>
      <c r="M117" s="15"/>
      <c r="N117" s="13">
        <v>0</v>
      </c>
      <c r="O117" s="14">
        <f>IFERROR(N117/N327, "NA")</f>
      </c>
    </row>
    <row r="118" ht="16.5" customHeight="1">
      <c t="s" r="A118" s="22">
        <v>121</v>
      </c>
      <c r="B118" s="13">
        <v>3565.3400000000001</v>
      </c>
      <c r="C118" s="14">
        <f>IFERROR(B118/B327, "NA")</f>
      </c>
      <c r="D118" s="15"/>
      <c r="E118" s="13">
        <v>0</v>
      </c>
      <c r="F118" s="14">
        <f>IFERROR(E118/E327, "NA")</f>
      </c>
      <c r="G118" s="15"/>
      <c r="H118" s="13">
        <v>3300.9499999999998</v>
      </c>
      <c r="I118" s="14">
        <f>IFERROR(H118/H327, "NA")</f>
      </c>
      <c r="J118" s="15"/>
      <c r="K118" s="13">
        <v>0</v>
      </c>
      <c r="L118" s="14">
        <f>IFERROR(K118/K327, "NA")</f>
      </c>
      <c r="M118" s="15"/>
      <c r="N118" s="13">
        <v>0</v>
      </c>
      <c r="O118" s="14">
        <f>IFERROR(N118/N327, "NA")</f>
      </c>
    </row>
    <row r="119" ht="16.5" customHeight="1">
      <c t="s" r="A119" s="23">
        <v>122</v>
      </c>
      <c r="B119" s="17">
        <f>IFERROR(B84+B85+B86+B87+B88+B89+B90+B91+B92+B93+B94+B95+B96+B97+B98+B99+B100+B101+B102+B103+B104+B105+B106+B107+B108+B109+B110+B111+B112+B113+B114+B115+B116+B117+B118, "NA")</f>
      </c>
      <c r="C119" s="18">
        <f>IFERROR(B119/B327, "NA")</f>
      </c>
      <c r="D119" s="8"/>
      <c r="E119" s="17">
        <f>IFERROR(E84+E85+E86+E87+E88+E89+E90+E91+E92+E93+E94+E95+E96+E97+E98+E99+E100+E101+E102+E103+E104+E105+E106+E107+E108+E109+E110+E111+E112+E113+E114+E115+E116+E117+E118, "NA")</f>
      </c>
      <c r="F119" s="18">
        <f>IFERROR(E119/E327, "NA")</f>
      </c>
      <c r="G119" s="8"/>
      <c r="H119" s="17">
        <f>IFERROR(H84+H85+H86+H87+H88+H89+H90+H91+H92+H93+H94+H95+H96+H97+H98+H99+H100+H101+H102+H103+H104+H105+H106+H107+H108+H109+H110+H111+H112+H113+H114+H115+H116+H117+H118, "NA")</f>
      </c>
      <c r="I119" s="18">
        <f>IFERROR(H119/H327, "NA")</f>
      </c>
      <c r="J119" s="8"/>
      <c r="K119" s="17">
        <f>IFERROR(K84+K85+K86+K87+K88+K89+K90+K91+K92+K93+K94+K95+K96+K97+K98+K99+K100+K101+K102+K103+K104+K105+K106+K107+K108+K109+K110+K111+K112+K113+K114+K115+K116+K117+K118, "NA")</f>
      </c>
      <c r="L119" s="18">
        <f>IFERROR(K119/K327, "NA")</f>
      </c>
      <c r="M119" s="8"/>
      <c r="N119" s="17">
        <f>IFERROR(N84+N85+N86+N87+N88+N89+N90+N91+N92+N93+N94+N95+N96+N97+N98+N99+N100+N101+N102+N103+N104+N105+N106+N107+N108+N109+N110+N111+N112+N113+N114+N115+N116+N117+N118, "NA")</f>
      </c>
      <c r="O119" s="18">
        <f>IFERROR(N119/N327, "NA")</f>
      </c>
    </row>
    <row r="120" ht="16.5" customHeight="1">
      <c t="s" r="A120" s="16">
        <v>123</v>
      </c>
      <c r="B120" s="17">
        <f>IFERROR(B82+B84+B85+B86+B87+B88+B89+B90+B91+B92+B93+B94+B95+B96+B97+B98+B99+B100+B101+B102+B103+B104+B105+B106+B107+B108+B109+B110+B111+B112+B113+B114+B115+B116+B117+B118, "NA")</f>
      </c>
      <c r="C120" s="18">
        <f>IFERROR(B120/B327, "NA")</f>
      </c>
      <c r="D120" s="8"/>
      <c r="E120" s="17">
        <f>IFERROR(E82+E84+E85+E86+E87+E88+E89+E90+E91+E92+E93+E94+E95+E96+E97+E98+E99+E100+E101+E102+E103+E104+E105+E106+E107+E108+E109+E110+E111+E112+E113+E114+E115+E116+E117+E118, "NA")</f>
      </c>
      <c r="F120" s="18">
        <f>IFERROR(E120/E327, "NA")</f>
      </c>
      <c r="G120" s="8"/>
      <c r="H120" s="17">
        <f>IFERROR(H82+H84+H85+H86+H87+H88+H89+H90+H91+H92+H93+H94+H95+H96+H97+H98+H99+H100+H101+H102+H103+H104+H105+H106+H107+H108+H109+H110+H111+H112+H113+H114+H115+H116+H117+H118, "NA")</f>
      </c>
      <c r="I120" s="18">
        <f>IFERROR(H120/H327, "NA")</f>
      </c>
      <c r="J120" s="8"/>
      <c r="K120" s="17">
        <f>IFERROR(K82+K84+K85+K86+K87+K88+K89+K90+K91+K92+K93+K94+K95+K96+K97+K98+K99+K100+K101+K102+K103+K104+K105+K106+K107+K108+K109+K110+K111+K112+K113+K114+K115+K116+K117+K118, "NA")</f>
      </c>
      <c r="L120" s="18">
        <f>IFERROR(K120/K327, "NA")</f>
      </c>
      <c r="M120" s="8"/>
      <c r="N120" s="17">
        <f>IFERROR(N82+N84+N85+N86+N87+N88+N89+N90+N91+N92+N93+N94+N95+N96+N97+N98+N99+N100+N101+N102+N103+N104+N105+N106+N107+N108+N109+N110+N111+N112+N113+N114+N115+N116+N117+N118, "NA")</f>
      </c>
      <c r="O120" s="18">
        <f>IFERROR(N120/N327, "NA")</f>
      </c>
    </row>
    <row r="121" ht="16.5" customHeight="1">
      <c t="s" r="A121" s="11">
        <v>124</v>
      </c>
      <c r="B121" s="8"/>
      <c r="C121" s="9"/>
      <c r="D121" s="10"/>
      <c r="E121" s="8"/>
      <c r="F121" s="9"/>
      <c r="G121" s="10"/>
      <c r="H121" s="8"/>
      <c r="I121" s="9"/>
      <c r="J121" s="10"/>
      <c r="K121" s="8"/>
      <c r="L121" s="9"/>
      <c r="M121" s="10"/>
      <c r="N121" s="8"/>
      <c r="O121" s="9"/>
    </row>
    <row r="122" ht="16.5" customHeight="1">
      <c t="s" r="A122" s="12">
        <v>125</v>
      </c>
      <c r="B122" s="13">
        <v>0</v>
      </c>
      <c r="C122" s="14">
        <f>IFERROR(B122/B327, "NA")</f>
      </c>
      <c r="D122" s="15"/>
      <c r="E122" s="13">
        <v>0</v>
      </c>
      <c r="F122" s="14">
        <f>IFERROR(E122/E327, "NA")</f>
      </c>
      <c r="G122" s="15"/>
      <c r="H122" s="13">
        <v>0</v>
      </c>
      <c r="I122" s="14">
        <f>IFERROR(H122/H327, "NA")</f>
      </c>
      <c r="J122" s="15"/>
      <c r="K122" s="13">
        <v>0</v>
      </c>
      <c r="L122" s="14">
        <f>IFERROR(K122/K327, "NA")</f>
      </c>
      <c r="M122" s="15"/>
      <c r="N122" s="13">
        <v>0</v>
      </c>
      <c r="O122" s="14">
        <f>IFERROR(N122/N327, "NA")</f>
      </c>
    </row>
    <row r="123" ht="16.5" customHeight="1">
      <c t="s" r="A123" s="12">
        <v>126</v>
      </c>
      <c r="B123" s="13">
        <v>0</v>
      </c>
      <c r="C123" s="14">
        <f>IFERROR(B123/B327, "NA")</f>
      </c>
      <c r="D123" s="15"/>
      <c r="E123" s="13">
        <v>4019.2399999999998</v>
      </c>
      <c r="F123" s="14">
        <f>IFERROR(E123/E327, "NA")</f>
      </c>
      <c r="G123" s="15"/>
      <c r="H123" s="13">
        <v>0</v>
      </c>
      <c r="I123" s="14">
        <f>IFERROR(H123/H327, "NA")</f>
      </c>
      <c r="J123" s="15"/>
      <c r="K123" s="13">
        <v>4019.2399999999998</v>
      </c>
      <c r="L123" s="14">
        <f>IFERROR(K123/K327, "NA")</f>
      </c>
      <c r="M123" s="15"/>
      <c r="N123" s="13">
        <v>0</v>
      </c>
      <c r="O123" s="14">
        <f>IFERROR(N123/N327, "NA")</f>
      </c>
    </row>
    <row r="124" ht="16.5" customHeight="1">
      <c t="s" r="A124" s="12">
        <v>127</v>
      </c>
      <c r="B124" s="13">
        <v>4423.0799999999999</v>
      </c>
      <c r="C124" s="14">
        <f>IFERROR(B124/B327, "NA")</f>
      </c>
      <c r="D124" s="15"/>
      <c r="E124" s="13">
        <v>7436.54</v>
      </c>
      <c r="F124" s="14">
        <f>IFERROR(E124/E327, "NA")</f>
      </c>
      <c r="G124" s="15"/>
      <c r="H124" s="13">
        <v>2211.54</v>
      </c>
      <c r="I124" s="14">
        <f>IFERROR(H124/H327, "NA")</f>
      </c>
      <c r="J124" s="15"/>
      <c r="K124" s="13">
        <v>7903.8500000000004</v>
      </c>
      <c r="L124" s="14">
        <f>IFERROR(K124/K327, "NA")</f>
      </c>
      <c r="M124" s="15"/>
      <c r="N124" s="13">
        <v>-2403.8499999999999</v>
      </c>
      <c r="O124" s="14">
        <f>IFERROR(N124/N327, "NA")</f>
      </c>
    </row>
    <row r="125" ht="30.75" customHeight="1">
      <c t="s" r="A125" s="12">
        <v>128</v>
      </c>
      <c r="B125" s="13">
        <v>0</v>
      </c>
      <c r="C125" s="14">
        <f>IFERROR(B125/B327, "NA")</f>
      </c>
      <c r="D125" s="15"/>
      <c r="E125" s="13">
        <v>0</v>
      </c>
      <c r="F125" s="14">
        <f>IFERROR(E125/E327, "NA")</f>
      </c>
      <c r="G125" s="15"/>
      <c r="H125" s="13">
        <v>0</v>
      </c>
      <c r="I125" s="14">
        <f>IFERROR(H125/H327, "NA")</f>
      </c>
      <c r="J125" s="15"/>
      <c r="K125" s="13">
        <v>0</v>
      </c>
      <c r="L125" s="14">
        <f>IFERROR(K125/K327, "NA")</f>
      </c>
      <c r="M125" s="15"/>
      <c r="N125" s="13">
        <v>0</v>
      </c>
      <c r="O125" s="14">
        <f>IFERROR(N125/N327, "NA")</f>
      </c>
    </row>
    <row r="126" ht="16.5" customHeight="1">
      <c t="s" r="A126" s="12">
        <v>129</v>
      </c>
      <c r="B126" s="13">
        <v>0</v>
      </c>
      <c r="C126" s="14">
        <f>IFERROR(B126/B327, "NA")</f>
      </c>
      <c r="D126" s="15"/>
      <c r="E126" s="13">
        <v>0</v>
      </c>
      <c r="F126" s="14">
        <f>IFERROR(E126/E327, "NA")</f>
      </c>
      <c r="G126" s="15"/>
      <c r="H126" s="13">
        <v>0</v>
      </c>
      <c r="I126" s="14">
        <f>IFERROR(H126/H327, "NA")</f>
      </c>
      <c r="J126" s="15"/>
      <c r="K126" s="13">
        <v>0</v>
      </c>
      <c r="L126" s="14">
        <f>IFERROR(K126/K327, "NA")</f>
      </c>
      <c r="M126" s="15"/>
      <c r="N126" s="13">
        <v>0</v>
      </c>
      <c r="O126" s="14">
        <f>IFERROR(N126/N327, "NA")</f>
      </c>
    </row>
    <row r="127" ht="16.5" customHeight="1">
      <c t="s" r="A127" s="12">
        <v>130</v>
      </c>
      <c r="B127" s="13">
        <v>0</v>
      </c>
      <c r="C127" s="14">
        <f>IFERROR(B127/B327, "NA")</f>
      </c>
      <c r="D127" s="15"/>
      <c r="E127" s="13">
        <v>0</v>
      </c>
      <c r="F127" s="14">
        <f>IFERROR(E127/E327, "NA")</f>
      </c>
      <c r="G127" s="15"/>
      <c r="H127" s="13">
        <v>0</v>
      </c>
      <c r="I127" s="14">
        <f>IFERROR(H127/H327, "NA")</f>
      </c>
      <c r="J127" s="15"/>
      <c r="K127" s="13">
        <v>0</v>
      </c>
      <c r="L127" s="14">
        <f>IFERROR(K127/K327, "NA")</f>
      </c>
      <c r="M127" s="15"/>
      <c r="N127" s="13">
        <v>0</v>
      </c>
      <c r="O127" s="14">
        <f>IFERROR(N127/N327, "NA")</f>
      </c>
    </row>
    <row r="128" ht="16.5" customHeight="1">
      <c t="s" r="A128" s="12">
        <v>131</v>
      </c>
      <c r="B128" s="13">
        <v>0</v>
      </c>
      <c r="C128" s="14">
        <f>IFERROR(B128/B327, "NA")</f>
      </c>
      <c r="D128" s="15"/>
      <c r="E128" s="13">
        <v>0</v>
      </c>
      <c r="F128" s="14">
        <f>IFERROR(E128/E327, "NA")</f>
      </c>
      <c r="G128" s="15"/>
      <c r="H128" s="13">
        <v>0</v>
      </c>
      <c r="I128" s="14">
        <f>IFERROR(H128/H327, "NA")</f>
      </c>
      <c r="J128" s="15"/>
      <c r="K128" s="13">
        <v>0</v>
      </c>
      <c r="L128" s="14">
        <f>IFERROR(K128/K327, "NA")</f>
      </c>
      <c r="M128" s="15"/>
      <c r="N128" s="13">
        <v>0</v>
      </c>
      <c r="O128" s="14">
        <f>IFERROR(N128/N327, "NA")</f>
      </c>
    </row>
    <row r="129" ht="16.5" customHeight="1">
      <c t="s" r="A129" s="12">
        <v>132</v>
      </c>
      <c r="B129" s="13">
        <v>0</v>
      </c>
      <c r="C129" s="14">
        <f>IFERROR(B129/B327, "NA")</f>
      </c>
      <c r="D129" s="15"/>
      <c r="E129" s="13">
        <v>0</v>
      </c>
      <c r="F129" s="14">
        <f>IFERROR(E129/E327, "NA")</f>
      </c>
      <c r="G129" s="15"/>
      <c r="H129" s="13">
        <v>0</v>
      </c>
      <c r="I129" s="14">
        <f>IFERROR(H129/H327, "NA")</f>
      </c>
      <c r="J129" s="15"/>
      <c r="K129" s="13">
        <v>0</v>
      </c>
      <c r="L129" s="14">
        <f>IFERROR(K129/K327, "NA")</f>
      </c>
      <c r="M129" s="15"/>
      <c r="N129" s="13">
        <v>0</v>
      </c>
      <c r="O129" s="14">
        <f>IFERROR(N129/N327, "NA")</f>
      </c>
    </row>
    <row r="130" ht="16.5" customHeight="1">
      <c t="s" r="A130" s="12">
        <v>133</v>
      </c>
      <c r="B130" s="13">
        <v>0</v>
      </c>
      <c r="C130" s="14">
        <f>IFERROR(B130/B327, "NA")</f>
      </c>
      <c r="D130" s="15"/>
      <c r="E130" s="13">
        <v>0</v>
      </c>
      <c r="F130" s="14">
        <f>IFERROR(E130/E327, "NA")</f>
      </c>
      <c r="G130" s="15"/>
      <c r="H130" s="13">
        <v>0</v>
      </c>
      <c r="I130" s="14">
        <f>IFERROR(H130/H327, "NA")</f>
      </c>
      <c r="J130" s="15"/>
      <c r="K130" s="13">
        <v>0</v>
      </c>
      <c r="L130" s="14">
        <f>IFERROR(K130/K327, "NA")</f>
      </c>
      <c r="M130" s="15"/>
      <c r="N130" s="13">
        <v>0</v>
      </c>
      <c r="O130" s="14">
        <f>IFERROR(N130/N327, "NA")</f>
      </c>
    </row>
    <row r="131" ht="16.5" customHeight="1">
      <c t="s" r="A131" s="12">
        <v>134</v>
      </c>
      <c r="B131" s="13">
        <v>0</v>
      </c>
      <c r="C131" s="14">
        <f>IFERROR(B131/B327, "NA")</f>
      </c>
      <c r="D131" s="15"/>
      <c r="E131" s="13">
        <v>0</v>
      </c>
      <c r="F131" s="14">
        <f>IFERROR(E131/E327, "NA")</f>
      </c>
      <c r="G131" s="15"/>
      <c r="H131" s="13">
        <v>0</v>
      </c>
      <c r="I131" s="14">
        <f>IFERROR(H131/H327, "NA")</f>
      </c>
      <c r="J131" s="15"/>
      <c r="K131" s="13">
        <v>0</v>
      </c>
      <c r="L131" s="14">
        <f>IFERROR(K131/K327, "NA")</f>
      </c>
      <c r="M131" s="15"/>
      <c r="N131" s="13">
        <v>0</v>
      </c>
      <c r="O131" s="14">
        <f>IFERROR(N131/N327, "NA")</f>
      </c>
    </row>
    <row r="132" ht="16.5" customHeight="1">
      <c t="s" r="A132" s="12">
        <v>135</v>
      </c>
      <c r="B132" s="13">
        <v>0</v>
      </c>
      <c r="C132" s="14">
        <f>IFERROR(B132/B327, "NA")</f>
      </c>
      <c r="D132" s="15"/>
      <c r="E132" s="13">
        <v>0</v>
      </c>
      <c r="F132" s="14">
        <f>IFERROR(E132/E327, "NA")</f>
      </c>
      <c r="G132" s="15"/>
      <c r="H132" s="13">
        <v>0</v>
      </c>
      <c r="I132" s="14">
        <f>IFERROR(H132/H327, "NA")</f>
      </c>
      <c r="J132" s="15"/>
      <c r="K132" s="13">
        <v>0</v>
      </c>
      <c r="L132" s="14">
        <f>IFERROR(K132/K327, "NA")</f>
      </c>
      <c r="M132" s="15"/>
      <c r="N132" s="13">
        <v>0</v>
      </c>
      <c r="O132" s="14">
        <f>IFERROR(N132/N327, "NA")</f>
      </c>
    </row>
    <row r="133" ht="16.5" customHeight="1">
      <c t="s" r="A133" s="12">
        <v>136</v>
      </c>
      <c r="B133" s="13">
        <v>0</v>
      </c>
      <c r="C133" s="14">
        <f>IFERROR(B133/B327, "NA")</f>
      </c>
      <c r="D133" s="15"/>
      <c r="E133" s="13">
        <v>0</v>
      </c>
      <c r="F133" s="14">
        <f>IFERROR(E133/E327, "NA")</f>
      </c>
      <c r="G133" s="15"/>
      <c r="H133" s="13">
        <v>0</v>
      </c>
      <c r="I133" s="14">
        <f>IFERROR(H133/H327, "NA")</f>
      </c>
      <c r="J133" s="15"/>
      <c r="K133" s="13">
        <v>0</v>
      </c>
      <c r="L133" s="14">
        <f>IFERROR(K133/K327, "NA")</f>
      </c>
      <c r="M133" s="15"/>
      <c r="N133" s="13">
        <v>0</v>
      </c>
      <c r="O133" s="14">
        <f>IFERROR(N133/N327, "NA")</f>
      </c>
    </row>
    <row r="134" ht="16.5" customHeight="1">
      <c t="s" r="A134" s="12">
        <v>137</v>
      </c>
      <c r="B134" s="13">
        <v>0</v>
      </c>
      <c r="C134" s="14">
        <f>IFERROR(B134/B327, "NA")</f>
      </c>
      <c r="D134" s="15"/>
      <c r="E134" s="13">
        <v>0</v>
      </c>
      <c r="F134" s="14">
        <f>IFERROR(E134/E327, "NA")</f>
      </c>
      <c r="G134" s="15"/>
      <c r="H134" s="13">
        <v>0</v>
      </c>
      <c r="I134" s="14">
        <f>IFERROR(H134/H327, "NA")</f>
      </c>
      <c r="J134" s="15"/>
      <c r="K134" s="13">
        <v>0</v>
      </c>
      <c r="L134" s="14">
        <f>IFERROR(K134/K327, "NA")</f>
      </c>
      <c r="M134" s="15"/>
      <c r="N134" s="13">
        <v>0</v>
      </c>
      <c r="O134" s="14">
        <f>IFERROR(N134/N327, "NA")</f>
      </c>
    </row>
    <row r="135" ht="16.5" customHeight="1">
      <c t="s" r="A135" s="12">
        <v>138</v>
      </c>
      <c r="B135" s="13">
        <v>0</v>
      </c>
      <c r="C135" s="14">
        <f>IFERROR(B135/B327, "NA")</f>
      </c>
      <c r="D135" s="15"/>
      <c r="E135" s="13">
        <v>0</v>
      </c>
      <c r="F135" s="14">
        <f>IFERROR(E135/E327, "NA")</f>
      </c>
      <c r="G135" s="15"/>
      <c r="H135" s="13">
        <v>0</v>
      </c>
      <c r="I135" s="14">
        <f>IFERROR(H135/H327, "NA")</f>
      </c>
      <c r="J135" s="15"/>
      <c r="K135" s="13">
        <v>0</v>
      </c>
      <c r="L135" s="14">
        <f>IFERROR(K135/K327, "NA")</f>
      </c>
      <c r="M135" s="15"/>
      <c r="N135" s="13">
        <v>0</v>
      </c>
      <c r="O135" s="14">
        <f>IFERROR(N135/N327, "NA")</f>
      </c>
    </row>
    <row r="136" ht="16.5" customHeight="1">
      <c t="s" r="A136" s="12">
        <v>139</v>
      </c>
      <c r="B136" s="13">
        <v>0</v>
      </c>
      <c r="C136" s="14">
        <f>IFERROR(B136/B327, "NA")</f>
      </c>
      <c r="D136" s="15"/>
      <c r="E136" s="13">
        <v>0</v>
      </c>
      <c r="F136" s="14">
        <f>IFERROR(E136/E327, "NA")</f>
      </c>
      <c r="G136" s="15"/>
      <c r="H136" s="13">
        <v>0</v>
      </c>
      <c r="I136" s="14">
        <f>IFERROR(H136/H327, "NA")</f>
      </c>
      <c r="J136" s="15"/>
      <c r="K136" s="13">
        <v>0</v>
      </c>
      <c r="L136" s="14">
        <f>IFERROR(K136/K327, "NA")</f>
      </c>
      <c r="M136" s="15"/>
      <c r="N136" s="13">
        <v>0</v>
      </c>
      <c r="O136" s="14">
        <f>IFERROR(N136/N327, "NA")</f>
      </c>
    </row>
    <row r="137" ht="16.5" customHeight="1">
      <c t="s" r="A137" s="12">
        <v>140</v>
      </c>
      <c r="B137" s="13">
        <v>0</v>
      </c>
      <c r="C137" s="14">
        <f>IFERROR(B137/B327, "NA")</f>
      </c>
      <c r="D137" s="15"/>
      <c r="E137" s="13">
        <v>0</v>
      </c>
      <c r="F137" s="14">
        <f>IFERROR(E137/E327, "NA")</f>
      </c>
      <c r="G137" s="15"/>
      <c r="H137" s="13">
        <v>0</v>
      </c>
      <c r="I137" s="14">
        <f>IFERROR(H137/H327, "NA")</f>
      </c>
      <c r="J137" s="15"/>
      <c r="K137" s="13">
        <v>0</v>
      </c>
      <c r="L137" s="14">
        <f>IFERROR(K137/K327, "NA")</f>
      </c>
      <c r="M137" s="15"/>
      <c r="N137" s="13">
        <v>0</v>
      </c>
      <c r="O137" s="14">
        <f>IFERROR(N137/N327, "NA")</f>
      </c>
    </row>
    <row r="138" ht="16.5" customHeight="1">
      <c t="s" r="A138" s="12">
        <v>141</v>
      </c>
      <c r="B138" s="13">
        <v>0</v>
      </c>
      <c r="C138" s="14">
        <f>IFERROR(B138/B327, "NA")</f>
      </c>
      <c r="D138" s="15"/>
      <c r="E138" s="13">
        <v>0</v>
      </c>
      <c r="F138" s="14">
        <f>IFERROR(E138/E327, "NA")</f>
      </c>
      <c r="G138" s="15"/>
      <c r="H138" s="13">
        <v>0</v>
      </c>
      <c r="I138" s="14">
        <f>IFERROR(H138/H327, "NA")</f>
      </c>
      <c r="J138" s="15"/>
      <c r="K138" s="13">
        <v>0</v>
      </c>
      <c r="L138" s="14">
        <f>IFERROR(K138/K327, "NA")</f>
      </c>
      <c r="M138" s="15"/>
      <c r="N138" s="13">
        <v>0</v>
      </c>
      <c r="O138" s="14">
        <f>IFERROR(N138/N327, "NA")</f>
      </c>
    </row>
    <row r="139" ht="16.5" customHeight="1">
      <c t="s" r="A139" s="12">
        <v>142</v>
      </c>
      <c r="B139" s="13">
        <v>11977.459999999999</v>
      </c>
      <c r="C139" s="14">
        <f>IFERROR(B139/B327, "NA")</f>
      </c>
      <c r="D139" s="15"/>
      <c r="E139" s="13">
        <v>11977.459999999999</v>
      </c>
      <c r="F139" s="14">
        <f>IFERROR(E139/E327, "NA")</f>
      </c>
      <c r="G139" s="15"/>
      <c r="H139" s="13">
        <v>11977.459999999999</v>
      </c>
      <c r="I139" s="14">
        <f>IFERROR(H139/H327, "NA")</f>
      </c>
      <c r="J139" s="15"/>
      <c r="K139" s="13">
        <v>11977.459999999999</v>
      </c>
      <c r="L139" s="14">
        <f>IFERROR(K139/K327, "NA")</f>
      </c>
      <c r="M139" s="15"/>
      <c r="N139" s="13">
        <v>10593.09</v>
      </c>
      <c r="O139" s="14">
        <f>IFERROR(N139/N327, "NA")</f>
      </c>
    </row>
    <row r="140" ht="16.5" customHeight="1">
      <c t="s" r="A140" s="12">
        <v>143</v>
      </c>
      <c r="B140" s="13">
        <v>0</v>
      </c>
      <c r="C140" s="14">
        <f>IFERROR(B140/B327, "NA")</f>
      </c>
      <c r="D140" s="15"/>
      <c r="E140" s="13">
        <v>0</v>
      </c>
      <c r="F140" s="14">
        <f>IFERROR(E140/E327, "NA")</f>
      </c>
      <c r="G140" s="15"/>
      <c r="H140" s="13">
        <v>0</v>
      </c>
      <c r="I140" s="14">
        <f>IFERROR(H140/H327, "NA")</f>
      </c>
      <c r="J140" s="15"/>
      <c r="K140" s="13">
        <v>0</v>
      </c>
      <c r="L140" s="14">
        <f>IFERROR(K140/K327, "NA")</f>
      </c>
      <c r="M140" s="15"/>
      <c r="N140" s="13">
        <v>0</v>
      </c>
      <c r="O140" s="14">
        <f>IFERROR(N140/N327, "NA")</f>
      </c>
    </row>
    <row r="141" ht="16.5" customHeight="1">
      <c t="s" r="A141" s="12">
        <v>144</v>
      </c>
      <c r="B141" s="13">
        <v>15200.139999999999</v>
      </c>
      <c r="C141" s="14">
        <f>IFERROR(B141/B327, "NA")</f>
      </c>
      <c r="D141" s="15"/>
      <c r="E141" s="13">
        <v>7605.6300000000001</v>
      </c>
      <c r="F141" s="14">
        <f>IFERROR(E141/E327, "NA")</f>
      </c>
      <c r="G141" s="15"/>
      <c r="H141" s="13">
        <v>7034.7600000000002</v>
      </c>
      <c r="I141" s="14">
        <f>IFERROR(H141/H327, "NA")</f>
      </c>
      <c r="J141" s="15"/>
      <c r="K141" s="13">
        <v>7460.54</v>
      </c>
      <c r="L141" s="14">
        <f>IFERROR(K141/K327, "NA")</f>
      </c>
      <c r="M141" s="15"/>
      <c r="N141" s="13">
        <v>-7460.54</v>
      </c>
      <c r="O141" s="14">
        <f>IFERROR(N141/N327, "NA")</f>
      </c>
    </row>
    <row r="142" ht="16.5" customHeight="1">
      <c t="s" r="A142" s="12">
        <v>145</v>
      </c>
      <c r="B142" s="13">
        <v>0</v>
      </c>
      <c r="C142" s="14">
        <f>IFERROR(B142/B327, "NA")</f>
      </c>
      <c r="D142" s="15"/>
      <c r="E142" s="13">
        <v>0</v>
      </c>
      <c r="F142" s="14">
        <f>IFERROR(E142/E327, "NA")</f>
      </c>
      <c r="G142" s="15"/>
      <c r="H142" s="13">
        <v>0</v>
      </c>
      <c r="I142" s="14">
        <f>IFERROR(H142/H327, "NA")</f>
      </c>
      <c r="J142" s="15"/>
      <c r="K142" s="13">
        <v>0</v>
      </c>
      <c r="L142" s="14">
        <f>IFERROR(K142/K327, "NA")</f>
      </c>
      <c r="M142" s="15"/>
      <c r="N142" s="13">
        <v>0</v>
      </c>
      <c r="O142" s="14">
        <f>IFERROR(N142/N327, "NA")</f>
      </c>
    </row>
    <row r="143" ht="16.5" customHeight="1">
      <c t="s" r="A143" s="16">
        <v>146</v>
      </c>
      <c r="B143" s="17">
        <f>IFERROR(B122+B123+B124+B125+B126+B127+B128+B129+B130+B131+B132+B133+B134+B135+B136+B137+B138+B139+B140+B141+B142, "NA")</f>
      </c>
      <c r="C143" s="18">
        <f>IFERROR(B143/B327, "NA")</f>
      </c>
      <c r="D143" s="8"/>
      <c r="E143" s="17">
        <f>IFERROR(E122+E123+E124+E125+E126+E127+E128+E129+E130+E131+E132+E133+E134+E135+E136+E137+E138+E139+E140+E141+E142, "NA")</f>
      </c>
      <c r="F143" s="18">
        <f>IFERROR(E143/E327, "NA")</f>
      </c>
      <c r="G143" s="8"/>
      <c r="H143" s="17">
        <f>IFERROR(H122+H123+H124+H125+H126+H127+H128+H129+H130+H131+H132+H133+H134+H135+H136+H137+H138+H139+H140+H141+H142, "NA")</f>
      </c>
      <c r="I143" s="18">
        <f>IFERROR(H143/H327, "NA")</f>
      </c>
      <c r="J143" s="8"/>
      <c r="K143" s="17">
        <f>IFERROR(K122+K123+K124+K125+K126+K127+K128+K129+K130+K131+K132+K133+K134+K135+K136+K137+K138+K139+K140+K141+K142, "NA")</f>
      </c>
      <c r="L143" s="18">
        <f>IFERROR(K143/K327, "NA")</f>
      </c>
      <c r="M143" s="8"/>
      <c r="N143" s="17">
        <f>IFERROR(N122+N123+N124+N125+N126+N127+N128+N129+N130+N131+N132+N133+N134+N135+N136+N137+N138+N139+N140+N141+N142, "NA")</f>
      </c>
      <c r="O143" s="18">
        <f>IFERROR(N143/N327, "NA")</f>
      </c>
    </row>
    <row r="144" ht="16.5" customHeight="1">
      <c t="s" r="A144" s="11">
        <v>147</v>
      </c>
      <c r="B144" s="8"/>
      <c r="C144" s="9"/>
      <c r="D144" s="10"/>
      <c r="E144" s="8"/>
      <c r="F144" s="9"/>
      <c r="G144" s="10"/>
      <c r="H144" s="8"/>
      <c r="I144" s="9"/>
      <c r="J144" s="10"/>
      <c r="K144" s="8"/>
      <c r="L144" s="9"/>
      <c r="M144" s="10"/>
      <c r="N144" s="8"/>
      <c r="O144" s="9"/>
    </row>
    <row r="145" ht="16.5" customHeight="1">
      <c t="s" r="A145" s="12">
        <v>148</v>
      </c>
      <c r="B145" s="13">
        <v>0</v>
      </c>
      <c r="C145" s="14">
        <f>IFERROR(B145/B327, "NA")</f>
      </c>
      <c r="D145" s="15"/>
      <c r="E145" s="13">
        <v>0</v>
      </c>
      <c r="F145" s="14">
        <f>IFERROR(E145/E327, "NA")</f>
      </c>
      <c r="G145" s="15"/>
      <c r="H145" s="13">
        <v>0</v>
      </c>
      <c r="I145" s="14">
        <f>IFERROR(H145/H327, "NA")</f>
      </c>
      <c r="J145" s="15"/>
      <c r="K145" s="13">
        <v>0</v>
      </c>
      <c r="L145" s="14">
        <f>IFERROR(K145/K327, "NA")</f>
      </c>
      <c r="M145" s="15"/>
      <c r="N145" s="13">
        <v>0</v>
      </c>
      <c r="O145" s="14">
        <f>IFERROR(N145/N327, "NA")</f>
      </c>
    </row>
    <row r="146" ht="16.5" customHeight="1">
      <c t="s" r="A146" s="12">
        <v>149</v>
      </c>
      <c r="B146" s="13">
        <v>14122.370000000001</v>
      </c>
      <c r="C146" s="14">
        <f>IFERROR(B146/B327, "NA")</f>
      </c>
      <c r="D146" s="15"/>
      <c r="E146" s="13">
        <v>5902.2799999999997</v>
      </c>
      <c r="F146" s="14">
        <f>IFERROR(E146/E327, "NA")</f>
      </c>
      <c r="G146" s="15"/>
      <c r="H146" s="13">
        <v>8443.9699999999993</v>
      </c>
      <c r="I146" s="14">
        <f>IFERROR(H146/H327, "NA")</f>
      </c>
      <c r="J146" s="15"/>
      <c r="K146" s="13">
        <v>6387.4200000000001</v>
      </c>
      <c r="L146" s="14">
        <f>IFERROR(K146/K327, "NA")</f>
      </c>
      <c r="M146" s="15"/>
      <c r="N146" s="13">
        <v>-5668.1599999999999</v>
      </c>
      <c r="O146" s="14">
        <f>IFERROR(N146/N327, "NA")</f>
      </c>
    </row>
    <row r="147" ht="16.5" customHeight="1">
      <c t="s" r="A147" s="12">
        <v>150</v>
      </c>
      <c r="B147" s="13">
        <v>925.05999999999995</v>
      </c>
      <c r="C147" s="14">
        <f>IFERROR(B147/B327, "NA")</f>
      </c>
      <c r="D147" s="15"/>
      <c r="E147" s="13">
        <v>611.89999999999998</v>
      </c>
      <c r="F147" s="14">
        <f>IFERROR(E147/E327, "NA")</f>
      </c>
      <c r="G147" s="15"/>
      <c r="H147" s="13">
        <v>339.5</v>
      </c>
      <c r="I147" s="14">
        <f>IFERROR(H147/H327, "NA")</f>
      </c>
      <c r="J147" s="15"/>
      <c r="K147" s="13">
        <v>556.36000000000001</v>
      </c>
      <c r="L147" s="14">
        <f>IFERROR(K147/K327, "NA")</f>
      </c>
      <c r="M147" s="15"/>
      <c r="N147" s="13">
        <v>-227.65000000000001</v>
      </c>
      <c r="O147" s="14">
        <f>IFERROR(N147/N327, "NA")</f>
      </c>
    </row>
    <row r="148" ht="16.5" customHeight="1">
      <c t="s" r="A148" s="12">
        <v>151</v>
      </c>
      <c r="B148" s="13">
        <v>0</v>
      </c>
      <c r="C148" s="14">
        <f>IFERROR(B148/B327, "NA")</f>
      </c>
      <c r="D148" s="15"/>
      <c r="E148" s="13">
        <v>0</v>
      </c>
      <c r="F148" s="14">
        <f>IFERROR(E148/E327, "NA")</f>
      </c>
      <c r="G148" s="15"/>
      <c r="H148" s="13">
        <v>0</v>
      </c>
      <c r="I148" s="14">
        <f>IFERROR(H148/H327, "NA")</f>
      </c>
      <c r="J148" s="15"/>
      <c r="K148" s="13">
        <v>0</v>
      </c>
      <c r="L148" s="14">
        <f>IFERROR(K148/K327, "NA")</f>
      </c>
      <c r="M148" s="15"/>
      <c r="N148" s="13">
        <v>0</v>
      </c>
      <c r="O148" s="14">
        <f>IFERROR(N148/N327, "NA")</f>
      </c>
    </row>
    <row r="149" ht="16.5" customHeight="1">
      <c t="s" r="A149" s="12">
        <v>152</v>
      </c>
      <c r="B149" s="13">
        <v>738.58000000000004</v>
      </c>
      <c r="C149" s="14">
        <f>IFERROR(B149/B327, "NA")</f>
      </c>
      <c r="D149" s="15"/>
      <c r="E149" s="13">
        <v>1899.0899999999999</v>
      </c>
      <c r="F149" s="14">
        <f>IFERROR(E149/E327, "NA")</f>
      </c>
      <c r="G149" s="15"/>
      <c r="H149" s="13">
        <v>-749.50999999999999</v>
      </c>
      <c r="I149" s="14">
        <f>IFERROR(H149/H327, "NA")</f>
      </c>
      <c r="J149" s="15"/>
      <c r="K149" s="13">
        <v>2001.49</v>
      </c>
      <c r="L149" s="14">
        <f>IFERROR(K149/K327, "NA")</f>
      </c>
      <c r="M149" s="15"/>
      <c r="N149" s="13">
        <v>-815.02999999999997</v>
      </c>
      <c r="O149" s="14">
        <f>IFERROR(N149/N327, "NA")</f>
      </c>
    </row>
    <row r="150" ht="16.5" customHeight="1">
      <c t="s" r="A150" s="12">
        <v>153</v>
      </c>
      <c r="B150" s="13">
        <v>1266.53</v>
      </c>
      <c r="C150" s="14">
        <f>IFERROR(B150/B327, "NA")</f>
      </c>
      <c r="D150" s="15"/>
      <c r="E150" s="13">
        <v>1266.53</v>
      </c>
      <c r="F150" s="14">
        <f>IFERROR(E150/E327, "NA")</f>
      </c>
      <c r="G150" s="15"/>
      <c r="H150" s="13">
        <v>1266.53</v>
      </c>
      <c r="I150" s="14">
        <f>IFERROR(H150/H327, "NA")</f>
      </c>
      <c r="J150" s="15"/>
      <c r="K150" s="13">
        <v>1266.53</v>
      </c>
      <c r="L150" s="14">
        <f>IFERROR(K150/K327, "NA")</f>
      </c>
      <c r="M150" s="15"/>
      <c r="N150" s="13">
        <v>1059.25</v>
      </c>
      <c r="O150" s="14">
        <f>IFERROR(N150/N327, "NA")</f>
      </c>
    </row>
    <row r="151" ht="16.5" customHeight="1">
      <c t="s" r="A151" s="16">
        <v>154</v>
      </c>
      <c r="B151" s="17">
        <f>IFERROR(B145+B146+B147+B148+B149+B150, "NA")</f>
      </c>
      <c r="C151" s="18">
        <f>IFERROR(B151/B327, "NA")</f>
      </c>
      <c r="D151" s="8"/>
      <c r="E151" s="17">
        <f>IFERROR(E145+E146+E147+E148+E149+E150, "NA")</f>
      </c>
      <c r="F151" s="18">
        <f>IFERROR(E151/E327, "NA")</f>
      </c>
      <c r="G151" s="8"/>
      <c r="H151" s="17">
        <f>IFERROR(H145+H146+H147+H148+H149+H150, "NA")</f>
      </c>
      <c r="I151" s="18">
        <f>IFERROR(H151/H327, "NA")</f>
      </c>
      <c r="J151" s="8"/>
      <c r="K151" s="17">
        <f>IFERROR(K145+K146+K147+K148+K149+K150, "NA")</f>
      </c>
      <c r="L151" s="18">
        <f>IFERROR(K151/K327, "NA")</f>
      </c>
      <c r="M151" s="8"/>
      <c r="N151" s="17">
        <f>IFERROR(N145+N146+N147+N148+N149+N150, "NA")</f>
      </c>
      <c r="O151" s="18">
        <f>IFERROR(N151/N327, "NA")</f>
      </c>
    </row>
    <row r="152" ht="16.5" customHeight="1">
      <c t="s" r="A152" s="19">
        <v>155</v>
      </c>
      <c r="B152" s="13">
        <v>0</v>
      </c>
      <c r="C152" s="14">
        <f>IFERROR(B152/B327, "NA")</f>
      </c>
      <c r="D152" s="15"/>
      <c r="E152" s="13">
        <v>0</v>
      </c>
      <c r="F152" s="14">
        <f>IFERROR(E152/E327, "NA")</f>
      </c>
      <c r="G152" s="15"/>
      <c r="H152" s="13">
        <v>0</v>
      </c>
      <c r="I152" s="14">
        <f>IFERROR(H152/H327, "NA")</f>
      </c>
      <c r="J152" s="15"/>
      <c r="K152" s="13">
        <v>0</v>
      </c>
      <c r="L152" s="14">
        <f>IFERROR(K152/K327, "NA")</f>
      </c>
      <c r="M152" s="15"/>
      <c r="N152" s="13">
        <v>0</v>
      </c>
      <c r="O152" s="14">
        <f>IFERROR(N152/N327, "NA")</f>
      </c>
    </row>
    <row r="153" ht="16.5" customHeight="1">
      <c t="s" r="A153" s="19">
        <v>156</v>
      </c>
      <c r="B153" s="13">
        <v>0</v>
      </c>
      <c r="C153" s="14">
        <f>IFERROR(B153/B327, "NA")</f>
      </c>
      <c r="D153" s="15"/>
      <c r="E153" s="13">
        <v>0</v>
      </c>
      <c r="F153" s="14">
        <f>IFERROR(E153/E327, "NA")</f>
      </c>
      <c r="G153" s="15"/>
      <c r="H153" s="13">
        <v>0</v>
      </c>
      <c r="I153" s="14">
        <f>IFERROR(H153/H327, "NA")</f>
      </c>
      <c r="J153" s="15"/>
      <c r="K153" s="13">
        <v>8007.9099999999999</v>
      </c>
      <c r="L153" s="14">
        <f>IFERROR(K153/K327, "NA")</f>
      </c>
      <c r="M153" s="15"/>
      <c r="N153" s="13">
        <v>0</v>
      </c>
      <c r="O153" s="14">
        <f>IFERROR(N153/N327, "NA")</f>
      </c>
    </row>
    <row r="154" ht="16.5" customHeight="1">
      <c t="s" r="A154" s="19">
        <v>157</v>
      </c>
      <c r="B154" s="13">
        <v>0</v>
      </c>
      <c r="C154" s="14">
        <f>IFERROR(B154/B327, "NA")</f>
      </c>
      <c r="D154" s="15"/>
      <c r="E154" s="13">
        <v>0</v>
      </c>
      <c r="F154" s="14">
        <f>IFERROR(E154/E327, "NA")</f>
      </c>
      <c r="G154" s="15"/>
      <c r="H154" s="13">
        <v>0</v>
      </c>
      <c r="I154" s="14">
        <f>IFERROR(H154/H327, "NA")</f>
      </c>
      <c r="J154" s="15"/>
      <c r="K154" s="13">
        <v>-102.94</v>
      </c>
      <c r="L154" s="14">
        <f>IFERROR(K154/K327, "NA")</f>
      </c>
      <c r="M154" s="15"/>
      <c r="N154" s="13">
        <v>0</v>
      </c>
      <c r="O154" s="14">
        <f>IFERROR(N154/N327, "NA")</f>
      </c>
    </row>
    <row r="155" ht="16.5" customHeight="1">
      <c t="s" r="A155" s="19">
        <v>158</v>
      </c>
      <c r="B155" s="13">
        <v>0</v>
      </c>
      <c r="C155" s="14">
        <f>IFERROR(B155/B327, "NA")</f>
      </c>
      <c r="D155" s="15"/>
      <c r="E155" s="13">
        <v>0</v>
      </c>
      <c r="F155" s="14">
        <f>IFERROR(E155/E327, "NA")</f>
      </c>
      <c r="G155" s="15"/>
      <c r="H155" s="13">
        <v>0</v>
      </c>
      <c r="I155" s="14">
        <f>IFERROR(H155/H327, "NA")</f>
      </c>
      <c r="J155" s="15"/>
      <c r="K155" s="13">
        <v>-12.41</v>
      </c>
      <c r="L155" s="14">
        <f>IFERROR(K155/K327, "NA")</f>
      </c>
      <c r="M155" s="15"/>
      <c r="N155" s="13">
        <v>0</v>
      </c>
      <c r="O155" s="14">
        <f>IFERROR(N155/N327, "NA")</f>
      </c>
    </row>
    <row r="156" ht="16.5" customHeight="1">
      <c t="s" r="A156" s="19">
        <v>159</v>
      </c>
      <c r="B156" s="13">
        <v>0</v>
      </c>
      <c r="C156" s="14">
        <f>IFERROR(B156/B327, "NA")</f>
      </c>
      <c r="D156" s="15"/>
      <c r="E156" s="13">
        <v>0</v>
      </c>
      <c r="F156" s="14">
        <f>IFERROR(E156/E327, "NA")</f>
      </c>
      <c r="G156" s="15"/>
      <c r="H156" s="13">
        <v>0</v>
      </c>
      <c r="I156" s="14">
        <f>IFERROR(H156/H327, "NA")</f>
      </c>
      <c r="J156" s="15"/>
      <c r="K156" s="13">
        <v>0</v>
      </c>
      <c r="L156" s="14">
        <f>IFERROR(K156/K327, "NA")</f>
      </c>
      <c r="M156" s="15"/>
      <c r="N156" s="13">
        <v>0</v>
      </c>
      <c r="O156" s="14">
        <f>IFERROR(N156/N327, "NA")</f>
      </c>
    </row>
    <row r="157" ht="16.5" customHeight="1">
      <c t="s" r="A157" s="20">
        <v>160</v>
      </c>
      <c r="B157" s="17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</c>
      <c r="C157" s="18">
        <f>IFERROR(B157/B327, "NA")</f>
      </c>
      <c r="D157" s="8"/>
      <c r="E157" s="17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</c>
      <c r="F157" s="18">
        <f>IFERROR(E157/E327, "NA")</f>
      </c>
      <c r="G157" s="8"/>
      <c r="H157" s="17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</c>
      <c r="I157" s="18">
        <f>IFERROR(H157/H327, "NA")</f>
      </c>
      <c r="J157" s="8"/>
      <c r="K157" s="17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</c>
      <c r="L157" s="18">
        <f>IFERROR(K157/K327, "NA")</f>
      </c>
      <c r="M157" s="8"/>
      <c r="N157" s="17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</c>
      <c r="O157" s="18">
        <f>IFERROR(N157/N327, "NA")</f>
      </c>
    </row>
    <row r="158" ht="16.5" customHeight="1">
      <c t="s" r="A158" s="7">
        <v>161</v>
      </c>
      <c r="B158" s="8"/>
      <c r="C158" s="9"/>
      <c r="D158" s="10"/>
      <c r="E158" s="8"/>
      <c r="F158" s="9"/>
      <c r="G158" s="10"/>
      <c r="H158" s="8"/>
      <c r="I158" s="9"/>
      <c r="J158" s="10"/>
      <c r="K158" s="8"/>
      <c r="L158" s="9"/>
      <c r="M158" s="10"/>
      <c r="N158" s="8"/>
      <c r="O158" s="9"/>
    </row>
    <row r="159" ht="16.5" customHeight="1">
      <c t="s" r="A159" s="11">
        <v>162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</row>
    <row r="160" ht="16.5" customHeight="1">
      <c t="s" r="A160" s="12">
        <v>163</v>
      </c>
      <c r="B160" s="13">
        <v>0</v>
      </c>
      <c r="C160" s="14">
        <f>IFERROR(B160/B327, "NA")</f>
      </c>
      <c r="D160" s="15"/>
      <c r="E160" s="13">
        <v>0</v>
      </c>
      <c r="F160" s="14">
        <f>IFERROR(E160/E327, "NA")</f>
      </c>
      <c r="G160" s="15"/>
      <c r="H160" s="13">
        <v>0</v>
      </c>
      <c r="I160" s="14">
        <f>IFERROR(H160/H327, "NA")</f>
      </c>
      <c r="J160" s="15"/>
      <c r="K160" s="13">
        <v>0</v>
      </c>
      <c r="L160" s="14">
        <f>IFERROR(K160/K327, "NA")</f>
      </c>
      <c r="M160" s="15"/>
      <c r="N160" s="13">
        <v>0</v>
      </c>
      <c r="O160" s="14">
        <f>IFERROR(N160/N327, "NA")</f>
      </c>
    </row>
    <row r="161" ht="16.5" customHeight="1">
      <c t="s" r="A161" s="12">
        <v>164</v>
      </c>
      <c r="B161" s="13">
        <v>0</v>
      </c>
      <c r="C161" s="14">
        <f>IFERROR(B161/B327, "NA")</f>
      </c>
      <c r="D161" s="15"/>
      <c r="E161" s="13">
        <v>0</v>
      </c>
      <c r="F161" s="14">
        <f>IFERROR(E161/E327, "NA")</f>
      </c>
      <c r="G161" s="15"/>
      <c r="H161" s="13">
        <v>0</v>
      </c>
      <c r="I161" s="14">
        <f>IFERROR(H161/H327, "NA")</f>
      </c>
      <c r="J161" s="15"/>
      <c r="K161" s="13">
        <v>0</v>
      </c>
      <c r="L161" s="14">
        <f>IFERROR(K161/K327, "NA")</f>
      </c>
      <c r="M161" s="15"/>
      <c r="N161" s="13">
        <v>0</v>
      </c>
      <c r="O161" s="14">
        <f>IFERROR(N161/N327, "NA")</f>
      </c>
    </row>
    <row r="162" ht="16.5" customHeight="1">
      <c t="s" r="A162" s="12">
        <v>165</v>
      </c>
      <c r="B162" s="13">
        <v>0</v>
      </c>
      <c r="C162" s="14">
        <f>IFERROR(B162/B327, "NA")</f>
      </c>
      <c r="D162" s="15"/>
      <c r="E162" s="13">
        <v>0</v>
      </c>
      <c r="F162" s="14">
        <f>IFERROR(E162/E327, "NA")</f>
      </c>
      <c r="G162" s="15"/>
      <c r="H162" s="13">
        <v>0</v>
      </c>
      <c r="I162" s="14">
        <f>IFERROR(H162/H327, "NA")</f>
      </c>
      <c r="J162" s="15"/>
      <c r="K162" s="13">
        <v>0</v>
      </c>
      <c r="L162" s="14">
        <f>IFERROR(K162/K327, "NA")</f>
      </c>
      <c r="M162" s="15"/>
      <c r="N162" s="13">
        <v>0</v>
      </c>
      <c r="O162" s="14">
        <f>IFERROR(N162/N327, "NA")</f>
      </c>
    </row>
    <row r="163" ht="16.5" customHeight="1">
      <c t="s" r="A163" s="12">
        <v>166</v>
      </c>
      <c r="B163" s="13">
        <v>0</v>
      </c>
      <c r="C163" s="14">
        <f>IFERROR(B163/B327, "NA")</f>
      </c>
      <c r="D163" s="15"/>
      <c r="E163" s="13">
        <v>0</v>
      </c>
      <c r="F163" s="14">
        <f>IFERROR(E163/E327, "NA")</f>
      </c>
      <c r="G163" s="15"/>
      <c r="H163" s="13">
        <v>0</v>
      </c>
      <c r="I163" s="14">
        <f>IFERROR(H163/H327, "NA")</f>
      </c>
      <c r="J163" s="15"/>
      <c r="K163" s="13">
        <v>0</v>
      </c>
      <c r="L163" s="14">
        <f>IFERROR(K163/K327, "NA")</f>
      </c>
      <c r="M163" s="15"/>
      <c r="N163" s="13">
        <v>0</v>
      </c>
      <c r="O163" s="14">
        <f>IFERROR(N163/N327, "NA")</f>
      </c>
    </row>
    <row r="164" ht="16.5" customHeight="1">
      <c t="s" r="A164" s="12">
        <v>167</v>
      </c>
      <c r="B164" s="13">
        <v>0</v>
      </c>
      <c r="C164" s="14">
        <f>IFERROR(B164/B327, "NA")</f>
      </c>
      <c r="D164" s="15"/>
      <c r="E164" s="13">
        <v>0</v>
      </c>
      <c r="F164" s="14">
        <f>IFERROR(E164/E327, "NA")</f>
      </c>
      <c r="G164" s="15"/>
      <c r="H164" s="13">
        <v>0</v>
      </c>
      <c r="I164" s="14">
        <f>IFERROR(H164/H327, "NA")</f>
      </c>
      <c r="J164" s="15"/>
      <c r="K164" s="13">
        <v>0</v>
      </c>
      <c r="L164" s="14">
        <f>IFERROR(K164/K327, "NA")</f>
      </c>
      <c r="M164" s="15"/>
      <c r="N164" s="13">
        <v>0</v>
      </c>
      <c r="O164" s="14">
        <f>IFERROR(N164/N327, "NA")</f>
      </c>
    </row>
    <row r="165" ht="16.5" customHeight="1">
      <c t="s" r="A165" s="12">
        <v>168</v>
      </c>
      <c r="B165" s="13">
        <v>0</v>
      </c>
      <c r="C165" s="14">
        <f>IFERROR(B165/B327, "NA")</f>
      </c>
      <c r="D165" s="15"/>
      <c r="E165" s="13">
        <v>285.16000000000003</v>
      </c>
      <c r="F165" s="14">
        <f>IFERROR(E165/E327, "NA")</f>
      </c>
      <c r="G165" s="15"/>
      <c r="H165" s="13">
        <v>149.78</v>
      </c>
      <c r="I165" s="14">
        <f>IFERROR(H165/H327, "NA")</f>
      </c>
      <c r="J165" s="15"/>
      <c r="K165" s="13">
        <v>0</v>
      </c>
      <c r="L165" s="14">
        <f>IFERROR(K165/K327, "NA")</f>
      </c>
      <c r="M165" s="15"/>
      <c r="N165" s="13">
        <v>0</v>
      </c>
      <c r="O165" s="14">
        <f>IFERROR(N165/N327, "NA")</f>
      </c>
    </row>
    <row r="166" ht="16.5" customHeight="1">
      <c t="s" r="A166" s="12">
        <v>169</v>
      </c>
      <c r="B166" s="13">
        <v>673.22000000000003</v>
      </c>
      <c r="C166" s="14">
        <f>IFERROR(B166/B327, "NA")</f>
      </c>
      <c r="D166" s="15"/>
      <c r="E166" s="13">
        <v>731.39999999999998</v>
      </c>
      <c r="F166" s="14">
        <f>IFERROR(E166/E327, "NA")</f>
      </c>
      <c r="G166" s="15"/>
      <c r="H166" s="13">
        <v>805.12</v>
      </c>
      <c r="I166" s="14">
        <f>IFERROR(H166/H327, "NA")</f>
      </c>
      <c r="J166" s="15"/>
      <c r="K166" s="13">
        <v>839.35000000000002</v>
      </c>
      <c r="L166" s="14">
        <f>IFERROR(K166/K327, "NA")</f>
      </c>
      <c r="M166" s="15"/>
      <c r="N166" s="13">
        <v>0</v>
      </c>
      <c r="O166" s="14">
        <f>IFERROR(N166/N327, "NA")</f>
      </c>
    </row>
    <row r="167" ht="16.5" customHeight="1">
      <c t="s" r="A167" s="12">
        <v>170</v>
      </c>
      <c r="B167" s="13">
        <v>660.41999999999996</v>
      </c>
      <c r="C167" s="14">
        <f>IFERROR(B167/B327, "NA")</f>
      </c>
      <c r="D167" s="15"/>
      <c r="E167" s="13">
        <v>597.59000000000003</v>
      </c>
      <c r="F167" s="14">
        <f>IFERROR(E167/E327, "NA")</f>
      </c>
      <c r="G167" s="15"/>
      <c r="H167" s="13">
        <v>656.67999999999995</v>
      </c>
      <c r="I167" s="14">
        <f>IFERROR(H167/H327, "NA")</f>
      </c>
      <c r="J167" s="15"/>
      <c r="K167" s="13">
        <v>659.34000000000003</v>
      </c>
      <c r="L167" s="14">
        <f>IFERROR(K167/K327, "NA")</f>
      </c>
      <c r="M167" s="15"/>
      <c r="N167" s="13">
        <v>0</v>
      </c>
      <c r="O167" s="14">
        <f>IFERROR(N167/N327, "NA")</f>
      </c>
    </row>
    <row r="168" ht="16.5" customHeight="1">
      <c t="s" r="A168" s="12">
        <v>171</v>
      </c>
      <c r="B168" s="13">
        <v>2471.8699999999999</v>
      </c>
      <c r="C168" s="14">
        <f>IFERROR(B168/B327, "NA")</f>
      </c>
      <c r="D168" s="15"/>
      <c r="E168" s="13">
        <v>2272.46</v>
      </c>
      <c r="F168" s="14">
        <f>IFERROR(E168/E327, "NA")</f>
      </c>
      <c r="G168" s="15"/>
      <c r="H168" s="13">
        <v>2137.7399999999998</v>
      </c>
      <c r="I168" s="14">
        <f>IFERROR(H168/H327, "NA")</f>
      </c>
      <c r="J168" s="15"/>
      <c r="K168" s="13">
        <v>2478.1399999999999</v>
      </c>
      <c r="L168" s="14">
        <f>IFERROR(K168/K327, "NA")</f>
      </c>
      <c r="M168" s="15"/>
      <c r="N168" s="13">
        <v>0</v>
      </c>
      <c r="O168" s="14">
        <f>IFERROR(N168/N327, "NA")</f>
      </c>
    </row>
    <row r="169" ht="16.5" customHeight="1">
      <c t="s" r="A169" s="12">
        <v>172</v>
      </c>
      <c r="B169" s="13">
        <v>0</v>
      </c>
      <c r="C169" s="14">
        <f>IFERROR(B169/B327, "NA")</f>
      </c>
      <c r="D169" s="15"/>
      <c r="E169" s="13">
        <v>0</v>
      </c>
      <c r="F169" s="14">
        <f>IFERROR(E169/E327, "NA")</f>
      </c>
      <c r="G169" s="15"/>
      <c r="H169" s="13">
        <v>0</v>
      </c>
      <c r="I169" s="14">
        <f>IFERROR(H169/H327, "NA")</f>
      </c>
      <c r="J169" s="15"/>
      <c r="K169" s="13">
        <v>0</v>
      </c>
      <c r="L169" s="14">
        <f>IFERROR(K169/K327, "NA")</f>
      </c>
      <c r="M169" s="15"/>
      <c r="N169" s="13">
        <v>0</v>
      </c>
      <c r="O169" s="14">
        <f>IFERROR(N169/N327, "NA")</f>
      </c>
    </row>
    <row r="170" ht="16.5" customHeight="1">
      <c t="s" r="A170" s="12">
        <v>173</v>
      </c>
      <c r="B170" s="13">
        <v>855.90999999999997</v>
      </c>
      <c r="C170" s="14">
        <f>IFERROR(B170/B327, "NA")</f>
      </c>
      <c r="D170" s="15"/>
      <c r="E170" s="13">
        <v>627.09000000000003</v>
      </c>
      <c r="F170" s="14">
        <f>IFERROR(E170/E327, "NA")</f>
      </c>
      <c r="G170" s="15"/>
      <c r="H170" s="13">
        <v>311.24000000000001</v>
      </c>
      <c r="I170" s="14">
        <f>IFERROR(H170/H327, "NA")</f>
      </c>
      <c r="J170" s="15"/>
      <c r="K170" s="13">
        <v>718.46000000000004</v>
      </c>
      <c r="L170" s="14">
        <f>IFERROR(K170/K327, "NA")</f>
      </c>
      <c r="M170" s="15"/>
      <c r="N170" s="13">
        <v>0</v>
      </c>
      <c r="O170" s="14">
        <f>IFERROR(N170/N327, "NA")</f>
      </c>
    </row>
    <row r="171" ht="16.5" customHeight="1">
      <c t="s" r="A171" s="12">
        <v>174</v>
      </c>
      <c r="B171" s="13">
        <v>0</v>
      </c>
      <c r="C171" s="14">
        <f>IFERROR(B171/B327, "NA")</f>
      </c>
      <c r="D171" s="15"/>
      <c r="E171" s="13">
        <v>52.469999999999999</v>
      </c>
      <c r="F171" s="14">
        <f>IFERROR(E171/E327, "NA")</f>
      </c>
      <c r="G171" s="15"/>
      <c r="H171" s="13">
        <v>0</v>
      </c>
      <c r="I171" s="14">
        <f>IFERROR(H171/H327, "NA")</f>
      </c>
      <c r="J171" s="15"/>
      <c r="K171" s="13">
        <v>1371.27</v>
      </c>
      <c r="L171" s="14">
        <f>IFERROR(K171/K327, "NA")</f>
      </c>
      <c r="M171" s="15"/>
      <c r="N171" s="13">
        <v>0</v>
      </c>
      <c r="O171" s="14">
        <f>IFERROR(N171/N327, "NA")</f>
      </c>
    </row>
    <row r="172" ht="16.5" customHeight="1">
      <c t="s" r="A172" s="12">
        <v>175</v>
      </c>
      <c r="B172" s="13">
        <v>0</v>
      </c>
      <c r="C172" s="14">
        <f>IFERROR(B172/B327, "NA")</f>
      </c>
      <c r="D172" s="15"/>
      <c r="E172" s="13">
        <v>0</v>
      </c>
      <c r="F172" s="14">
        <f>IFERROR(E172/E327, "NA")</f>
      </c>
      <c r="G172" s="15"/>
      <c r="H172" s="13">
        <v>0</v>
      </c>
      <c r="I172" s="14">
        <f>IFERROR(H172/H327, "NA")</f>
      </c>
      <c r="J172" s="15"/>
      <c r="K172" s="13">
        <v>0</v>
      </c>
      <c r="L172" s="14">
        <f>IFERROR(K172/K327, "NA")</f>
      </c>
      <c r="M172" s="15"/>
      <c r="N172" s="13">
        <v>0</v>
      </c>
      <c r="O172" s="14">
        <f>IFERROR(N172/N327, "NA")</f>
      </c>
    </row>
    <row r="173" ht="16.5" customHeight="1">
      <c t="s" r="A173" s="12">
        <v>176</v>
      </c>
      <c r="B173" s="13">
        <v>0</v>
      </c>
      <c r="C173" s="14">
        <f>IFERROR(B173/B327, "NA")</f>
      </c>
      <c r="D173" s="15"/>
      <c r="E173" s="13">
        <v>0</v>
      </c>
      <c r="F173" s="14">
        <f>IFERROR(E173/E327, "NA")</f>
      </c>
      <c r="G173" s="15"/>
      <c r="H173" s="13">
        <v>0</v>
      </c>
      <c r="I173" s="14">
        <f>IFERROR(H173/H327, "NA")</f>
      </c>
      <c r="J173" s="15"/>
      <c r="K173" s="13">
        <v>0</v>
      </c>
      <c r="L173" s="14">
        <f>IFERROR(K173/K327, "NA")</f>
      </c>
      <c r="M173" s="15"/>
      <c r="N173" s="13">
        <v>0</v>
      </c>
      <c r="O173" s="14">
        <f>IFERROR(N173/N327, "NA")</f>
      </c>
    </row>
    <row r="174" ht="16.5" customHeight="1">
      <c t="s" r="A174" s="12">
        <v>177</v>
      </c>
      <c r="B174" s="13">
        <v>0</v>
      </c>
      <c r="C174" s="14">
        <f>IFERROR(B174/B327, "NA")</f>
      </c>
      <c r="D174" s="15"/>
      <c r="E174" s="13">
        <v>0</v>
      </c>
      <c r="F174" s="14">
        <f>IFERROR(E174/E327, "NA")</f>
      </c>
      <c r="G174" s="15"/>
      <c r="H174" s="13">
        <v>0</v>
      </c>
      <c r="I174" s="14">
        <f>IFERROR(H174/H327, "NA")</f>
      </c>
      <c r="J174" s="15"/>
      <c r="K174" s="13">
        <v>0</v>
      </c>
      <c r="L174" s="14">
        <f>IFERROR(K174/K327, "NA")</f>
      </c>
      <c r="M174" s="15"/>
      <c r="N174" s="13">
        <v>0</v>
      </c>
      <c r="O174" s="14">
        <f>IFERROR(N174/N327, "NA")</f>
      </c>
    </row>
    <row r="175" ht="16.5" customHeight="1">
      <c t="s" r="A175" s="12">
        <v>178</v>
      </c>
      <c r="B175" s="13">
        <v>777.67999999999995</v>
      </c>
      <c r="C175" s="14">
        <f>IFERROR(B175/B327, "NA")</f>
      </c>
      <c r="D175" s="15"/>
      <c r="E175" s="13">
        <v>880.5</v>
      </c>
      <c r="F175" s="14">
        <f>IFERROR(E175/E327, "NA")</f>
      </c>
      <c r="G175" s="15"/>
      <c r="H175" s="13">
        <v>1022.55</v>
      </c>
      <c r="I175" s="14">
        <f>IFERROR(H175/H327, "NA")</f>
      </c>
      <c r="J175" s="15"/>
      <c r="K175" s="13">
        <v>984.63999999999999</v>
      </c>
      <c r="L175" s="14">
        <f>IFERROR(K175/K327, "NA")</f>
      </c>
      <c r="M175" s="15"/>
      <c r="N175" s="13">
        <v>0</v>
      </c>
      <c r="O175" s="14">
        <f>IFERROR(N175/N327, "NA")</f>
      </c>
    </row>
    <row r="176" ht="16.5" customHeight="1">
      <c t="s" r="A176" s="12">
        <v>179</v>
      </c>
      <c r="B176" s="13">
        <v>874.45000000000005</v>
      </c>
      <c r="C176" s="14">
        <f>IFERROR(B176/B327, "NA")</f>
      </c>
      <c r="D176" s="15"/>
      <c r="E176" s="13">
        <v>1091.6099999999999</v>
      </c>
      <c r="F176" s="14">
        <f>IFERROR(E176/E327, "NA")</f>
      </c>
      <c r="G176" s="15"/>
      <c r="H176" s="13">
        <v>672.78999999999996</v>
      </c>
      <c r="I176" s="14">
        <f>IFERROR(H176/H327, "NA")</f>
      </c>
      <c r="J176" s="15"/>
      <c r="K176" s="13">
        <v>434.29000000000002</v>
      </c>
      <c r="L176" s="14">
        <f>IFERROR(K176/K327, "NA")</f>
      </c>
      <c r="M176" s="15"/>
      <c r="N176" s="13">
        <v>0</v>
      </c>
      <c r="O176" s="14">
        <f>IFERROR(N176/N327, "NA")</f>
      </c>
    </row>
    <row r="177" ht="16.5" customHeight="1">
      <c t="s" r="A177" s="12">
        <v>180</v>
      </c>
      <c r="B177" s="13">
        <v>0</v>
      </c>
      <c r="C177" s="14">
        <f>IFERROR(B177/B327, "NA")</f>
      </c>
      <c r="D177" s="15"/>
      <c r="E177" s="13">
        <v>0</v>
      </c>
      <c r="F177" s="14">
        <f>IFERROR(E177/E327, "NA")</f>
      </c>
      <c r="G177" s="15"/>
      <c r="H177" s="13">
        <v>0</v>
      </c>
      <c r="I177" s="14">
        <f>IFERROR(H177/H327, "NA")</f>
      </c>
      <c r="J177" s="15"/>
      <c r="K177" s="13">
        <v>0</v>
      </c>
      <c r="L177" s="14">
        <f>IFERROR(K177/K327, "NA")</f>
      </c>
      <c r="M177" s="15"/>
      <c r="N177" s="13">
        <v>0</v>
      </c>
      <c r="O177" s="14">
        <f>IFERROR(N177/N327, "NA")</f>
      </c>
    </row>
    <row r="178" ht="16.5" customHeight="1">
      <c t="s" r="A178" s="12">
        <v>181</v>
      </c>
      <c r="B178" s="13">
        <v>0</v>
      </c>
      <c r="C178" s="14">
        <f>IFERROR(B178/B327, "NA")</f>
      </c>
      <c r="D178" s="15"/>
      <c r="E178" s="13">
        <v>55.439999999999998</v>
      </c>
      <c r="F178" s="14">
        <f>IFERROR(E178/E327, "NA")</f>
      </c>
      <c r="G178" s="15"/>
      <c r="H178" s="13">
        <v>0</v>
      </c>
      <c r="I178" s="14">
        <f>IFERROR(H178/H327, "NA")</f>
      </c>
      <c r="J178" s="15"/>
      <c r="K178" s="13">
        <v>0</v>
      </c>
      <c r="L178" s="14">
        <f>IFERROR(K178/K327, "NA")</f>
      </c>
      <c r="M178" s="15"/>
      <c r="N178" s="13">
        <v>0</v>
      </c>
      <c r="O178" s="14">
        <f>IFERROR(N178/N327, "NA")</f>
      </c>
    </row>
    <row r="179" ht="16.5" customHeight="1">
      <c t="s" r="A179" s="12">
        <v>182</v>
      </c>
      <c r="B179" s="13">
        <v>0</v>
      </c>
      <c r="C179" s="14">
        <f>IFERROR(B179/B327, "NA")</f>
      </c>
      <c r="D179" s="15"/>
      <c r="E179" s="13">
        <v>0</v>
      </c>
      <c r="F179" s="14">
        <f>IFERROR(E179/E327, "NA")</f>
      </c>
      <c r="G179" s="15"/>
      <c r="H179" s="13">
        <v>0</v>
      </c>
      <c r="I179" s="14">
        <f>IFERROR(H179/H327, "NA")</f>
      </c>
      <c r="J179" s="15"/>
      <c r="K179" s="13">
        <v>0</v>
      </c>
      <c r="L179" s="14">
        <f>IFERROR(K179/K327, "NA")</f>
      </c>
      <c r="M179" s="15"/>
      <c r="N179" s="13">
        <v>0</v>
      </c>
      <c r="O179" s="14">
        <f>IFERROR(N179/N327, "NA")</f>
      </c>
    </row>
    <row r="180" ht="16.5" customHeight="1">
      <c t="s" r="A180" s="12">
        <v>183</v>
      </c>
      <c r="B180" s="13">
        <v>546.5</v>
      </c>
      <c r="C180" s="14">
        <f>IFERROR(B180/B327, "NA")</f>
      </c>
      <c r="D180" s="15"/>
      <c r="E180" s="13">
        <v>897.5</v>
      </c>
      <c r="F180" s="14">
        <f>IFERROR(E180/E327, "NA")</f>
      </c>
      <c r="G180" s="15"/>
      <c r="H180" s="13">
        <v>0</v>
      </c>
      <c r="I180" s="14">
        <f>IFERROR(H180/H327, "NA")</f>
      </c>
      <c r="J180" s="15"/>
      <c r="K180" s="13">
        <v>721.39999999999998</v>
      </c>
      <c r="L180" s="14">
        <f>IFERROR(K180/K327, "NA")</f>
      </c>
      <c r="M180" s="15"/>
      <c r="N180" s="13">
        <v>0</v>
      </c>
      <c r="O180" s="14">
        <f>IFERROR(N180/N327, "NA")</f>
      </c>
    </row>
    <row r="181" ht="16.5" customHeight="1">
      <c t="s" r="A181" s="12">
        <v>184</v>
      </c>
      <c r="B181" s="13">
        <v>0</v>
      </c>
      <c r="C181" s="14">
        <f>IFERROR(B181/B327, "NA")</f>
      </c>
      <c r="D181" s="15"/>
      <c r="E181" s="13">
        <v>0</v>
      </c>
      <c r="F181" s="14">
        <f>IFERROR(E181/E327, "NA")</f>
      </c>
      <c r="G181" s="15"/>
      <c r="H181" s="13">
        <v>0</v>
      </c>
      <c r="I181" s="14">
        <f>IFERROR(H181/H327, "NA")</f>
      </c>
      <c r="J181" s="15"/>
      <c r="K181" s="13">
        <v>0</v>
      </c>
      <c r="L181" s="14">
        <f>IFERROR(K181/K327, "NA")</f>
      </c>
      <c r="M181" s="15"/>
      <c r="N181" s="13">
        <v>0</v>
      </c>
      <c r="O181" s="14">
        <f>IFERROR(N181/N327, "NA")</f>
      </c>
    </row>
    <row r="182" ht="16.5" customHeight="1">
      <c t="s" r="A182" s="12">
        <v>185</v>
      </c>
      <c r="B182" s="13">
        <v>52.859999999999999</v>
      </c>
      <c r="C182" s="14">
        <f>IFERROR(B182/B327, "NA")</f>
      </c>
      <c r="D182" s="15"/>
      <c r="E182" s="13">
        <v>0</v>
      </c>
      <c r="F182" s="14">
        <f>IFERROR(E182/E327, "NA")</f>
      </c>
      <c r="G182" s="15"/>
      <c r="H182" s="13">
        <v>0</v>
      </c>
      <c r="I182" s="14">
        <f>IFERROR(H182/H327, "NA")</f>
      </c>
      <c r="J182" s="15"/>
      <c r="K182" s="13">
        <v>52.859999999999999</v>
      </c>
      <c r="L182" s="14">
        <f>IFERROR(K182/K327, "NA")</f>
      </c>
      <c r="M182" s="15"/>
      <c r="N182" s="13">
        <v>0</v>
      </c>
      <c r="O182" s="14">
        <f>IFERROR(N182/N327, "NA")</f>
      </c>
    </row>
    <row r="183" ht="16.5" customHeight="1">
      <c t="s" r="A183" s="12">
        <v>186</v>
      </c>
      <c r="B183" s="13">
        <v>0</v>
      </c>
      <c r="C183" s="14">
        <f>IFERROR(B183/B327, "NA")</f>
      </c>
      <c r="D183" s="15"/>
      <c r="E183" s="13">
        <v>3.3199999999999998</v>
      </c>
      <c r="F183" s="14">
        <f>IFERROR(E183/E327, "NA")</f>
      </c>
      <c r="G183" s="15"/>
      <c r="H183" s="13">
        <v>0</v>
      </c>
      <c r="I183" s="14">
        <f>IFERROR(H183/H327, "NA")</f>
      </c>
      <c r="J183" s="15"/>
      <c r="K183" s="13">
        <v>0</v>
      </c>
      <c r="L183" s="14">
        <f>IFERROR(K183/K327, "NA")</f>
      </c>
      <c r="M183" s="15"/>
      <c r="N183" s="13">
        <v>0</v>
      </c>
      <c r="O183" s="14">
        <f>IFERROR(N183/N327, "NA")</f>
      </c>
    </row>
    <row r="184" ht="16.5" customHeight="1">
      <c t="s" r="A184" s="12">
        <v>187</v>
      </c>
      <c r="B184" s="13">
        <v>5.4800000000000004</v>
      </c>
      <c r="C184" s="14">
        <f>IFERROR(B184/B327, "NA")</f>
      </c>
      <c r="D184" s="15"/>
      <c r="E184" s="13">
        <v>584.38999999999999</v>
      </c>
      <c r="F184" s="14">
        <f>IFERROR(E184/E327, "NA")</f>
      </c>
      <c r="G184" s="15"/>
      <c r="H184" s="13">
        <v>759.09000000000003</v>
      </c>
      <c r="I184" s="14">
        <f>IFERROR(H184/H327, "NA")</f>
      </c>
      <c r="J184" s="15"/>
      <c r="K184" s="13">
        <v>354.92000000000002</v>
      </c>
      <c r="L184" s="14">
        <f>IFERROR(K184/K327, "NA")</f>
      </c>
      <c r="M184" s="15"/>
      <c r="N184" s="13">
        <v>0</v>
      </c>
      <c r="O184" s="14">
        <f>IFERROR(N184/N327, "NA")</f>
      </c>
    </row>
    <row r="185" ht="16.5" customHeight="1">
      <c t="s" r="A185" s="12">
        <v>188</v>
      </c>
      <c r="B185" s="13">
        <v>0</v>
      </c>
      <c r="C185" s="14">
        <f>IFERROR(B185/B327, "NA")</f>
      </c>
      <c r="D185" s="15"/>
      <c r="E185" s="13">
        <v>0</v>
      </c>
      <c r="F185" s="14">
        <f>IFERROR(E185/E327, "NA")</f>
      </c>
      <c r="G185" s="15"/>
      <c r="H185" s="13">
        <v>0</v>
      </c>
      <c r="I185" s="14">
        <f>IFERROR(H185/H327, "NA")</f>
      </c>
      <c r="J185" s="15"/>
      <c r="K185" s="13">
        <v>0</v>
      </c>
      <c r="L185" s="14">
        <f>IFERROR(K185/K327, "NA")</f>
      </c>
      <c r="M185" s="15"/>
      <c r="N185" s="13">
        <v>0</v>
      </c>
      <c r="O185" s="14">
        <f>IFERROR(N185/N327, "NA")</f>
      </c>
    </row>
    <row r="186" ht="16.5" customHeight="1">
      <c t="s" r="A186" s="12">
        <v>189</v>
      </c>
      <c r="B186" s="13">
        <v>0</v>
      </c>
      <c r="C186" s="14">
        <f>IFERROR(B186/B327, "NA")</f>
      </c>
      <c r="D186" s="15"/>
      <c r="E186" s="13">
        <v>0</v>
      </c>
      <c r="F186" s="14">
        <f>IFERROR(E186/E327, "NA")</f>
      </c>
      <c r="G186" s="15"/>
      <c r="H186" s="13">
        <v>0</v>
      </c>
      <c r="I186" s="14">
        <f>IFERROR(H186/H327, "NA")</f>
      </c>
      <c r="J186" s="15"/>
      <c r="K186" s="13">
        <v>0</v>
      </c>
      <c r="L186" s="14">
        <f>IFERROR(K186/K327, "NA")</f>
      </c>
      <c r="M186" s="15"/>
      <c r="N186" s="13">
        <v>0</v>
      </c>
      <c r="O186" s="14">
        <f>IFERROR(N186/N327, "NA")</f>
      </c>
    </row>
    <row r="187" ht="16.5" customHeight="1">
      <c t="s" r="A187" s="12">
        <v>190</v>
      </c>
      <c r="B187" s="13">
        <v>0</v>
      </c>
      <c r="C187" s="14">
        <f>IFERROR(B187/B327, "NA")</f>
      </c>
      <c r="D187" s="15"/>
      <c r="E187" s="13">
        <v>277.74000000000001</v>
      </c>
      <c r="F187" s="14">
        <f>IFERROR(E187/E327, "NA")</f>
      </c>
      <c r="G187" s="15"/>
      <c r="H187" s="13">
        <v>0</v>
      </c>
      <c r="I187" s="14">
        <f>IFERROR(H187/H327, "NA")</f>
      </c>
      <c r="J187" s="15"/>
      <c r="K187" s="13">
        <v>0</v>
      </c>
      <c r="L187" s="14">
        <f>IFERROR(K187/K327, "NA")</f>
      </c>
      <c r="M187" s="15"/>
      <c r="N187" s="13">
        <v>0</v>
      </c>
      <c r="O187" s="14">
        <f>IFERROR(N187/N327, "NA")</f>
      </c>
    </row>
    <row r="188" ht="16.5" customHeight="1">
      <c t="s" r="A188" s="12">
        <v>191</v>
      </c>
      <c r="B188" s="13">
        <v>0</v>
      </c>
      <c r="C188" s="14">
        <f>IFERROR(B188/B327, "NA")</f>
      </c>
      <c r="D188" s="15"/>
      <c r="E188" s="13">
        <v>631.09000000000003</v>
      </c>
      <c r="F188" s="14">
        <f>IFERROR(E188/E327, "NA")</f>
      </c>
      <c r="G188" s="15"/>
      <c r="H188" s="13">
        <v>603.08000000000004</v>
      </c>
      <c r="I188" s="14">
        <f>IFERROR(H188/H327, "NA")</f>
      </c>
      <c r="J188" s="15"/>
      <c r="K188" s="13">
        <v>696.29999999999995</v>
      </c>
      <c r="L188" s="14">
        <f>IFERROR(K188/K327, "NA")</f>
      </c>
      <c r="M188" s="15"/>
      <c r="N188" s="13">
        <v>1696.8800000000001</v>
      </c>
      <c r="O188" s="14">
        <f>IFERROR(N188/N327, "NA")</f>
      </c>
    </row>
    <row r="189" ht="16.5" customHeight="1">
      <c t="s" r="A189" s="12">
        <v>192</v>
      </c>
      <c r="B189" s="13">
        <v>55.619999999999997</v>
      </c>
      <c r="C189" s="14">
        <f>IFERROR(B189/B327, "NA")</f>
      </c>
      <c r="D189" s="15"/>
      <c r="E189" s="13">
        <v>1481.48</v>
      </c>
      <c r="F189" s="14">
        <f>IFERROR(E189/E327, "NA")</f>
      </c>
      <c r="G189" s="15"/>
      <c r="H189" s="13">
        <v>1240.72</v>
      </c>
      <c r="I189" s="14">
        <f>IFERROR(H189/H327, "NA")</f>
      </c>
      <c r="J189" s="15"/>
      <c r="K189" s="13">
        <v>650.96000000000004</v>
      </c>
      <c r="L189" s="14">
        <f>IFERROR(K189/K327, "NA")</f>
      </c>
      <c r="M189" s="15"/>
      <c r="N189" s="13">
        <v>0</v>
      </c>
      <c r="O189" s="14">
        <f>IFERROR(N189/N327, "NA")</f>
      </c>
    </row>
    <row r="190" ht="16.5" customHeight="1">
      <c t="s" r="A190" s="12">
        <v>193</v>
      </c>
      <c r="B190" s="13">
        <v>0</v>
      </c>
      <c r="C190" s="14">
        <f>IFERROR(B190/B327, "NA")</f>
      </c>
      <c r="D190" s="15"/>
      <c r="E190" s="13">
        <v>0</v>
      </c>
      <c r="F190" s="14">
        <f>IFERROR(E190/E327, "NA")</f>
      </c>
      <c r="G190" s="15"/>
      <c r="H190" s="13">
        <v>0</v>
      </c>
      <c r="I190" s="14">
        <f>IFERROR(H190/H327, "NA")</f>
      </c>
      <c r="J190" s="15"/>
      <c r="K190" s="13">
        <v>0</v>
      </c>
      <c r="L190" s="14">
        <f>IFERROR(K190/K327, "NA")</f>
      </c>
      <c r="M190" s="15"/>
      <c r="N190" s="13">
        <v>0</v>
      </c>
      <c r="O190" s="14">
        <f>IFERROR(N190/N327, "NA")</f>
      </c>
    </row>
    <row r="191" ht="16.5" customHeight="1">
      <c t="s" r="A191" s="12">
        <v>194</v>
      </c>
      <c r="B191" s="13">
        <v>0</v>
      </c>
      <c r="C191" s="14">
        <f>IFERROR(B191/B327, "NA")</f>
      </c>
      <c r="D191" s="15"/>
      <c r="E191" s="13">
        <v>0</v>
      </c>
      <c r="F191" s="14">
        <f>IFERROR(E191/E327, "NA")</f>
      </c>
      <c r="G191" s="15"/>
      <c r="H191" s="13">
        <v>0</v>
      </c>
      <c r="I191" s="14">
        <f>IFERROR(H191/H327, "NA")</f>
      </c>
      <c r="J191" s="15"/>
      <c r="K191" s="13">
        <v>0</v>
      </c>
      <c r="L191" s="14">
        <f>IFERROR(K191/K327, "NA")</f>
      </c>
      <c r="M191" s="15"/>
      <c r="N191" s="13">
        <v>0</v>
      </c>
      <c r="O191" s="14">
        <f>IFERROR(N191/N327, "NA")</f>
      </c>
    </row>
    <row r="192" ht="16.5" customHeight="1">
      <c t="s" r="A192" s="12">
        <v>195</v>
      </c>
      <c r="B192" s="13">
        <v>323.56999999999999</v>
      </c>
      <c r="C192" s="14">
        <f>IFERROR(B192/B327, "NA")</f>
      </c>
      <c r="D192" s="15"/>
      <c r="E192" s="13">
        <v>20.350000000000001</v>
      </c>
      <c r="F192" s="14">
        <f>IFERROR(E192/E327, "NA")</f>
      </c>
      <c r="G192" s="15"/>
      <c r="H192" s="13">
        <v>26.640000000000001</v>
      </c>
      <c r="I192" s="14">
        <f>IFERROR(H192/H327, "NA")</f>
      </c>
      <c r="J192" s="15"/>
      <c r="K192" s="13">
        <v>1249.1199999999999</v>
      </c>
      <c r="L192" s="14">
        <f>IFERROR(K192/K327, "NA")</f>
      </c>
      <c r="M192" s="15"/>
      <c r="N192" s="13">
        <v>0</v>
      </c>
      <c r="O192" s="14">
        <f>IFERROR(N192/N327, "NA")</f>
      </c>
    </row>
    <row r="193" ht="16.5" customHeight="1">
      <c t="s" r="A193" s="12">
        <v>196</v>
      </c>
      <c r="B193" s="13">
        <v>2503.8000000000002</v>
      </c>
      <c r="C193" s="14">
        <f>IFERROR(B193/B327, "NA")</f>
      </c>
      <c r="D193" s="15"/>
      <c r="E193" s="13">
        <v>4862.5500000000002</v>
      </c>
      <c r="F193" s="14">
        <f>IFERROR(E193/E327, "NA")</f>
      </c>
      <c r="G193" s="15"/>
      <c r="H193" s="13">
        <v>4618.5900000000001</v>
      </c>
      <c r="I193" s="14">
        <f>IFERROR(H193/H327, "NA")</f>
      </c>
      <c r="J193" s="15"/>
      <c r="K193" s="13">
        <v>4349.9399999999996</v>
      </c>
      <c r="L193" s="14">
        <f>IFERROR(K193/K327, "NA")</f>
      </c>
      <c r="M193" s="15"/>
      <c r="N193" s="13">
        <v>4618.5900000000001</v>
      </c>
      <c r="O193" s="14">
        <f>IFERROR(N193/N327, "NA")</f>
      </c>
    </row>
    <row r="194" ht="16.5" customHeight="1">
      <c t="s" r="A194" s="12">
        <v>197</v>
      </c>
      <c r="B194" s="13">
        <v>0</v>
      </c>
      <c r="C194" s="14">
        <f>IFERROR(B194/B327, "NA")</f>
      </c>
      <c r="D194" s="15"/>
      <c r="E194" s="13">
        <v>0</v>
      </c>
      <c r="F194" s="14">
        <f>IFERROR(E194/E327, "NA")</f>
      </c>
      <c r="G194" s="15"/>
      <c r="H194" s="13">
        <v>0</v>
      </c>
      <c r="I194" s="14">
        <f>IFERROR(H194/H327, "NA")</f>
      </c>
      <c r="J194" s="15"/>
      <c r="K194" s="13">
        <v>0</v>
      </c>
      <c r="L194" s="14">
        <f>IFERROR(K194/K327, "NA")</f>
      </c>
      <c r="M194" s="15"/>
      <c r="N194" s="13">
        <v>0</v>
      </c>
      <c r="O194" s="14">
        <f>IFERROR(N194/N327, "NA")</f>
      </c>
    </row>
    <row r="195" ht="16.5" customHeight="1">
      <c t="s" r="A195" s="12">
        <v>198</v>
      </c>
      <c r="B195" s="13">
        <v>0</v>
      </c>
      <c r="C195" s="14">
        <f>IFERROR(B195/B327, "NA")</f>
      </c>
      <c r="D195" s="15"/>
      <c r="E195" s="13">
        <v>0</v>
      </c>
      <c r="F195" s="14">
        <f>IFERROR(E195/E327, "NA")</f>
      </c>
      <c r="G195" s="15"/>
      <c r="H195" s="13">
        <v>0</v>
      </c>
      <c r="I195" s="14">
        <f>IFERROR(H195/H327, "NA")</f>
      </c>
      <c r="J195" s="15"/>
      <c r="K195" s="13">
        <v>0</v>
      </c>
      <c r="L195" s="14">
        <f>IFERROR(K195/K327, "NA")</f>
      </c>
      <c r="M195" s="15"/>
      <c r="N195" s="13">
        <v>0</v>
      </c>
      <c r="O195" s="14">
        <f>IFERROR(N195/N327, "NA")</f>
      </c>
    </row>
    <row r="196" ht="16.5" customHeight="1">
      <c t="s" r="A196" s="12">
        <v>199</v>
      </c>
      <c r="B196" s="13">
        <v>3300</v>
      </c>
      <c r="C196" s="14">
        <f>IFERROR(B196/B327, "NA")</f>
      </c>
      <c r="D196" s="15"/>
      <c r="E196" s="13">
        <v>20035</v>
      </c>
      <c r="F196" s="14">
        <f>IFERROR(E196/E327, "NA")</f>
      </c>
      <c r="G196" s="15"/>
      <c r="H196" s="13">
        <v>19300</v>
      </c>
      <c r="I196" s="14">
        <f>IFERROR(H196/H327, "NA")</f>
      </c>
      <c r="J196" s="15"/>
      <c r="K196" s="13">
        <v>33957.440000000002</v>
      </c>
      <c r="L196" s="14">
        <f>IFERROR(K196/K327, "NA")</f>
      </c>
      <c r="M196" s="15"/>
      <c r="N196" s="13">
        <v>2950</v>
      </c>
      <c r="O196" s="14">
        <f>IFERROR(N196/N327, "NA")</f>
      </c>
    </row>
    <row r="197" ht="16.5" customHeight="1">
      <c t="s" r="A197" s="12">
        <v>200</v>
      </c>
      <c r="B197" s="13">
        <v>0</v>
      </c>
      <c r="C197" s="14">
        <f>IFERROR(B197/B327, "NA")</f>
      </c>
      <c r="D197" s="15"/>
      <c r="E197" s="13">
        <v>0</v>
      </c>
      <c r="F197" s="14">
        <f>IFERROR(E197/E327, "NA")</f>
      </c>
      <c r="G197" s="15"/>
      <c r="H197" s="13">
        <v>0</v>
      </c>
      <c r="I197" s="14">
        <f>IFERROR(H197/H327, "NA")</f>
      </c>
      <c r="J197" s="15"/>
      <c r="K197" s="13">
        <v>0</v>
      </c>
      <c r="L197" s="14">
        <f>IFERROR(K197/K327, "NA")</f>
      </c>
      <c r="M197" s="15"/>
      <c r="N197" s="13">
        <v>0</v>
      </c>
      <c r="O197" s="14">
        <f>IFERROR(N197/N327, "NA")</f>
      </c>
    </row>
    <row r="198" ht="16.5" customHeight="1">
      <c t="s" r="A198" s="12">
        <v>201</v>
      </c>
      <c r="B198" s="13">
        <v>0</v>
      </c>
      <c r="C198" s="14">
        <f>IFERROR(B198/B327, "NA")</f>
      </c>
      <c r="D198" s="15"/>
      <c r="E198" s="13">
        <v>0</v>
      </c>
      <c r="F198" s="14">
        <f>IFERROR(E198/E327, "NA")</f>
      </c>
      <c r="G198" s="15"/>
      <c r="H198" s="13">
        <v>0</v>
      </c>
      <c r="I198" s="14">
        <f>IFERROR(H198/H327, "NA")</f>
      </c>
      <c r="J198" s="15"/>
      <c r="K198" s="13">
        <v>0</v>
      </c>
      <c r="L198" s="14">
        <f>IFERROR(K198/K327, "NA")</f>
      </c>
      <c r="M198" s="15"/>
      <c r="N198" s="13">
        <v>0</v>
      </c>
      <c r="O198" s="14">
        <f>IFERROR(N198/N327, "NA")</f>
      </c>
    </row>
    <row r="199" ht="16.5" customHeight="1">
      <c t="s" r="A199" s="12">
        <v>202</v>
      </c>
      <c r="B199" s="13">
        <v>0</v>
      </c>
      <c r="C199" s="14">
        <f>IFERROR(B199/B327, "NA")</f>
      </c>
      <c r="D199" s="15"/>
      <c r="E199" s="13">
        <v>0</v>
      </c>
      <c r="F199" s="14">
        <f>IFERROR(E199/E327, "NA")</f>
      </c>
      <c r="G199" s="15"/>
      <c r="H199" s="13">
        <v>0</v>
      </c>
      <c r="I199" s="14">
        <f>IFERROR(H199/H327, "NA")</f>
      </c>
      <c r="J199" s="15"/>
      <c r="K199" s="13">
        <v>0</v>
      </c>
      <c r="L199" s="14">
        <f>IFERROR(K199/K327, "NA")</f>
      </c>
      <c r="M199" s="15"/>
      <c r="N199" s="13">
        <v>0</v>
      </c>
      <c r="O199" s="14">
        <f>IFERROR(N199/N327, "NA")</f>
      </c>
    </row>
    <row r="200" ht="16.5" customHeight="1">
      <c t="s" r="A200" s="12">
        <v>203</v>
      </c>
      <c r="B200" s="13">
        <v>0</v>
      </c>
      <c r="C200" s="14">
        <f>IFERROR(B200/B327, "NA")</f>
      </c>
      <c r="D200" s="15"/>
      <c r="E200" s="13">
        <v>0</v>
      </c>
      <c r="F200" s="14">
        <f>IFERROR(E200/E327, "NA")</f>
      </c>
      <c r="G200" s="15"/>
      <c r="H200" s="13">
        <v>0</v>
      </c>
      <c r="I200" s="14">
        <f>IFERROR(H200/H327, "NA")</f>
      </c>
      <c r="J200" s="15"/>
      <c r="K200" s="13">
        <v>0</v>
      </c>
      <c r="L200" s="14">
        <f>IFERROR(K200/K327, "NA")</f>
      </c>
      <c r="M200" s="15"/>
      <c r="N200" s="13">
        <v>0</v>
      </c>
      <c r="O200" s="14">
        <f>IFERROR(N200/N327, "NA")</f>
      </c>
    </row>
    <row r="201" ht="16.5" customHeight="1">
      <c t="s" r="A201" s="12">
        <v>204</v>
      </c>
      <c r="B201" s="13">
        <v>0</v>
      </c>
      <c r="C201" s="14">
        <f>IFERROR(B201/B327, "NA")</f>
      </c>
      <c r="D201" s="15"/>
      <c r="E201" s="13">
        <v>0</v>
      </c>
      <c r="F201" s="14">
        <f>IFERROR(E201/E327, "NA")</f>
      </c>
      <c r="G201" s="15"/>
      <c r="H201" s="13">
        <v>0</v>
      </c>
      <c r="I201" s="14">
        <f>IFERROR(H201/H327, "NA")</f>
      </c>
      <c r="J201" s="15"/>
      <c r="K201" s="13">
        <v>0</v>
      </c>
      <c r="L201" s="14">
        <f>IFERROR(K201/K327, "NA")</f>
      </c>
      <c r="M201" s="15"/>
      <c r="N201" s="13">
        <v>0</v>
      </c>
      <c r="O201" s="14">
        <f>IFERROR(N201/N327, "NA")</f>
      </c>
    </row>
    <row r="202" ht="16.5" customHeight="1">
      <c t="s" r="A202" s="12">
        <v>205</v>
      </c>
      <c r="B202" s="13">
        <v>0</v>
      </c>
      <c r="C202" s="14">
        <f>IFERROR(B202/B327, "NA")</f>
      </c>
      <c r="D202" s="15"/>
      <c r="E202" s="13">
        <v>0</v>
      </c>
      <c r="F202" s="14">
        <f>IFERROR(E202/E327, "NA")</f>
      </c>
      <c r="G202" s="15"/>
      <c r="H202" s="13">
        <v>0</v>
      </c>
      <c r="I202" s="14">
        <f>IFERROR(H202/H327, "NA")</f>
      </c>
      <c r="J202" s="15"/>
      <c r="K202" s="13">
        <v>0</v>
      </c>
      <c r="L202" s="14">
        <f>IFERROR(K202/K327, "NA")</f>
      </c>
      <c r="M202" s="15"/>
      <c r="N202" s="13">
        <v>0</v>
      </c>
      <c r="O202" s="14">
        <f>IFERROR(N202/N327, "NA")</f>
      </c>
    </row>
    <row r="203" ht="16.5" customHeight="1">
      <c t="s" r="A203" s="12">
        <v>206</v>
      </c>
      <c r="B203" s="13">
        <v>0</v>
      </c>
      <c r="C203" s="14">
        <f>IFERROR(B203/B327, "NA")</f>
      </c>
      <c r="D203" s="15"/>
      <c r="E203" s="13">
        <v>0</v>
      </c>
      <c r="F203" s="14">
        <f>IFERROR(E203/E327, "NA")</f>
      </c>
      <c r="G203" s="15"/>
      <c r="H203" s="13">
        <v>0</v>
      </c>
      <c r="I203" s="14">
        <f>IFERROR(H203/H327, "NA")</f>
      </c>
      <c r="J203" s="15"/>
      <c r="K203" s="13">
        <v>0</v>
      </c>
      <c r="L203" s="14">
        <f>IFERROR(K203/K327, "NA")</f>
      </c>
      <c r="M203" s="15"/>
      <c r="N203" s="13">
        <v>0</v>
      </c>
      <c r="O203" s="14">
        <f>IFERROR(N203/N327, "NA")</f>
      </c>
    </row>
    <row r="204" ht="16.5" customHeight="1">
      <c t="s" r="A204" s="12">
        <v>207</v>
      </c>
      <c r="B204" s="13">
        <v>0</v>
      </c>
      <c r="C204" s="14">
        <f>IFERROR(B204/B327, "NA")</f>
      </c>
      <c r="D204" s="15"/>
      <c r="E204" s="13">
        <v>0</v>
      </c>
      <c r="F204" s="14">
        <f>IFERROR(E204/E327, "NA")</f>
      </c>
      <c r="G204" s="15"/>
      <c r="H204" s="13">
        <v>0</v>
      </c>
      <c r="I204" s="14">
        <f>IFERROR(H204/H327, "NA")</f>
      </c>
      <c r="J204" s="15"/>
      <c r="K204" s="13">
        <v>0</v>
      </c>
      <c r="L204" s="14">
        <f>IFERROR(K204/K327, "NA")</f>
      </c>
      <c r="M204" s="15"/>
      <c r="N204" s="13">
        <v>0</v>
      </c>
      <c r="O204" s="14">
        <f>IFERROR(N204/N327, "NA")</f>
      </c>
    </row>
    <row r="205" ht="16.5" customHeight="1">
      <c t="s" r="A205" s="12">
        <v>208</v>
      </c>
      <c r="B205" s="13">
        <v>0</v>
      </c>
      <c r="C205" s="14">
        <f>IFERROR(B205/B327, "NA")</f>
      </c>
      <c r="D205" s="15"/>
      <c r="E205" s="13">
        <v>0</v>
      </c>
      <c r="F205" s="14">
        <f>IFERROR(E205/E327, "NA")</f>
      </c>
      <c r="G205" s="15"/>
      <c r="H205" s="13">
        <v>0</v>
      </c>
      <c r="I205" s="14">
        <f>IFERROR(H205/H327, "NA")</f>
      </c>
      <c r="J205" s="15"/>
      <c r="K205" s="13">
        <v>0</v>
      </c>
      <c r="L205" s="14">
        <f>IFERROR(K205/K327, "NA")</f>
      </c>
      <c r="M205" s="15"/>
      <c r="N205" s="13">
        <v>0</v>
      </c>
      <c r="O205" s="14">
        <f>IFERROR(N205/N327, "NA")</f>
      </c>
    </row>
    <row r="206" ht="16.5" customHeight="1">
      <c t="s" r="A206" s="12">
        <v>209</v>
      </c>
      <c r="B206" s="13">
        <v>0</v>
      </c>
      <c r="C206" s="14">
        <f>IFERROR(B206/B327, "NA")</f>
      </c>
      <c r="D206" s="15"/>
      <c r="E206" s="13">
        <v>0</v>
      </c>
      <c r="F206" s="14">
        <f>IFERROR(E206/E327, "NA")</f>
      </c>
      <c r="G206" s="15"/>
      <c r="H206" s="13">
        <v>0</v>
      </c>
      <c r="I206" s="14">
        <f>IFERROR(H206/H327, "NA")</f>
      </c>
      <c r="J206" s="15"/>
      <c r="K206" s="13">
        <v>0</v>
      </c>
      <c r="L206" s="14">
        <f>IFERROR(K206/K327, "NA")</f>
      </c>
      <c r="M206" s="15"/>
      <c r="N206" s="13">
        <v>0</v>
      </c>
      <c r="O206" s="14">
        <f>IFERROR(N206/N327, "NA")</f>
      </c>
    </row>
    <row r="207" ht="16.5" customHeight="1">
      <c t="s" r="A207" s="12">
        <v>210</v>
      </c>
      <c r="B207" s="13">
        <v>0</v>
      </c>
      <c r="C207" s="14">
        <f>IFERROR(B207/B327, "NA")</f>
      </c>
      <c r="D207" s="15"/>
      <c r="E207" s="13">
        <v>0</v>
      </c>
      <c r="F207" s="14">
        <f>IFERROR(E207/E327, "NA")</f>
      </c>
      <c r="G207" s="15"/>
      <c r="H207" s="13">
        <v>0</v>
      </c>
      <c r="I207" s="14">
        <f>IFERROR(H207/H327, "NA")</f>
      </c>
      <c r="J207" s="15"/>
      <c r="K207" s="13">
        <v>0</v>
      </c>
      <c r="L207" s="14">
        <f>IFERROR(K207/K327, "NA")</f>
      </c>
      <c r="M207" s="15"/>
      <c r="N207" s="13">
        <v>0</v>
      </c>
      <c r="O207" s="14">
        <f>IFERROR(N207/N327, "NA")</f>
      </c>
    </row>
    <row r="208" ht="16.5" customHeight="1">
      <c t="s" r="A208" s="12">
        <v>211</v>
      </c>
      <c r="B208" s="13">
        <v>0</v>
      </c>
      <c r="C208" s="14">
        <f>IFERROR(B208/B327, "NA")</f>
      </c>
      <c r="D208" s="15"/>
      <c r="E208" s="13">
        <v>0</v>
      </c>
      <c r="F208" s="14">
        <f>IFERROR(E208/E327, "NA")</f>
      </c>
      <c r="G208" s="15"/>
      <c r="H208" s="13">
        <v>0</v>
      </c>
      <c r="I208" s="14">
        <f>IFERROR(H208/H327, "NA")</f>
      </c>
      <c r="J208" s="15"/>
      <c r="K208" s="13">
        <v>0</v>
      </c>
      <c r="L208" s="14">
        <f>IFERROR(K208/K327, "NA")</f>
      </c>
      <c r="M208" s="15"/>
      <c r="N208" s="13">
        <v>0</v>
      </c>
      <c r="O208" s="14">
        <f>IFERROR(N208/N327, "NA")</f>
      </c>
    </row>
    <row r="209" ht="16.5" customHeight="1">
      <c t="s" r="A209" s="16">
        <v>212</v>
      </c>
      <c r="B209" s="17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</c>
      <c r="C209" s="18">
        <f>IFERROR(B209/B327, "NA")</f>
      </c>
      <c r="D209" s="8"/>
      <c r="E209" s="17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</c>
      <c r="F209" s="18">
        <f>IFERROR(E209/E327, "NA")</f>
      </c>
      <c r="G209" s="8"/>
      <c r="H209" s="17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</c>
      <c r="I209" s="18">
        <f>IFERROR(H209/H327, "NA")</f>
      </c>
      <c r="J209" s="8"/>
      <c r="K209" s="17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</c>
      <c r="L209" s="18">
        <f>IFERROR(K209/K327, "NA")</f>
      </c>
      <c r="M209" s="8"/>
      <c r="N209" s="17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</c>
      <c r="O209" s="18">
        <f>IFERROR(N209/N327, "NA")</f>
      </c>
    </row>
    <row r="210" ht="16.5" customHeight="1">
      <c t="s" r="A210" s="19">
        <v>213</v>
      </c>
      <c r="B210" s="13">
        <v>0</v>
      </c>
      <c r="C210" s="14">
        <f>IFERROR(B210/B327, "NA")</f>
      </c>
      <c r="D210" s="15"/>
      <c r="E210" s="13">
        <v>0</v>
      </c>
      <c r="F210" s="14">
        <f>IFERROR(E210/E327, "NA")</f>
      </c>
      <c r="G210" s="15"/>
      <c r="H210" s="13">
        <v>0</v>
      </c>
      <c r="I210" s="14">
        <f>IFERROR(H210/H327, "NA")</f>
      </c>
      <c r="J210" s="15"/>
      <c r="K210" s="13">
        <v>0</v>
      </c>
      <c r="L210" s="14">
        <f>IFERROR(K210/K327, "NA")</f>
      </c>
      <c r="M210" s="15"/>
      <c r="N210" s="13">
        <v>0</v>
      </c>
      <c r="O210" s="14">
        <f>IFERROR(N210/N327, "NA")</f>
      </c>
    </row>
    <row r="211" ht="16.5" customHeight="1">
      <c t="s" r="A211" s="20">
        <v>214</v>
      </c>
      <c r="B211" s="17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</c>
      <c r="C211" s="18">
        <f>IFERROR(B211/B327, "NA")</f>
      </c>
      <c r="D211" s="8"/>
      <c r="E211" s="17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</c>
      <c r="F211" s="18">
        <f>IFERROR(E211/E327, "NA")</f>
      </c>
      <c r="G211" s="8"/>
      <c r="H211" s="17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</c>
      <c r="I211" s="18">
        <f>IFERROR(H211/H327, "NA")</f>
      </c>
      <c r="J211" s="8"/>
      <c r="K211" s="17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</c>
      <c r="L211" s="18">
        <f>IFERROR(K211/K327, "NA")</f>
      </c>
      <c r="M211" s="8"/>
      <c r="N211" s="17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</c>
      <c r="O211" s="18">
        <f>IFERROR(N211/N327, "NA")</f>
      </c>
    </row>
    <row r="212" ht="16.5" customHeight="1">
      <c t="s" r="A212" s="7">
        <v>215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</row>
    <row r="213" ht="16.5" customHeight="1">
      <c t="s" r="A213" s="11">
        <v>216</v>
      </c>
      <c r="B213" s="8"/>
      <c r="C213" s="9"/>
      <c r="D213" s="10"/>
      <c r="E213" s="8"/>
      <c r="F213" s="9"/>
      <c r="G213" s="10"/>
      <c r="H213" s="8"/>
      <c r="I213" s="9"/>
      <c r="J213" s="10"/>
      <c r="K213" s="8"/>
      <c r="L213" s="9"/>
      <c r="M213" s="10"/>
      <c r="N213" s="8"/>
      <c r="O213" s="9"/>
    </row>
    <row r="214" ht="16.5" customHeight="1">
      <c t="s" r="A214" s="12">
        <v>217</v>
      </c>
      <c r="B214" s="13">
        <v>0</v>
      </c>
      <c r="C214" s="14">
        <f>IFERROR(B214/B327, "NA")</f>
      </c>
      <c r="D214" s="15"/>
      <c r="E214" s="13">
        <v>0</v>
      </c>
      <c r="F214" s="14">
        <f>IFERROR(E214/E327, "NA")</f>
      </c>
      <c r="G214" s="15"/>
      <c r="H214" s="13">
        <v>0</v>
      </c>
      <c r="I214" s="14">
        <f>IFERROR(H214/H327, "NA")</f>
      </c>
      <c r="J214" s="15"/>
      <c r="K214" s="13">
        <v>0</v>
      </c>
      <c r="L214" s="14">
        <f>IFERROR(K214/K327, "NA")</f>
      </c>
      <c r="M214" s="15"/>
      <c r="N214" s="13">
        <v>0</v>
      </c>
      <c r="O214" s="14">
        <f>IFERROR(N214/N327, "NA")</f>
      </c>
    </row>
    <row r="215" ht="16.5" customHeight="1">
      <c t="s" r="A215" s="12">
        <v>218</v>
      </c>
      <c r="B215" s="13">
        <v>445.39999999999998</v>
      </c>
      <c r="C215" s="14">
        <f>IFERROR(B215/B327, "NA")</f>
      </c>
      <c r="D215" s="15"/>
      <c r="E215" s="13">
        <v>1758.24</v>
      </c>
      <c r="F215" s="14">
        <f>IFERROR(E215/E327, "NA")</f>
      </c>
      <c r="G215" s="15"/>
      <c r="H215" s="13">
        <v>1347.4000000000001</v>
      </c>
      <c r="I215" s="14">
        <f>IFERROR(H215/H327, "NA")</f>
      </c>
      <c r="J215" s="15"/>
      <c r="K215" s="13">
        <v>1898.8599999999999</v>
      </c>
      <c r="L215" s="14">
        <f>IFERROR(K215/K327, "NA")</f>
      </c>
      <c r="M215" s="15"/>
      <c r="N215" s="13">
        <v>2337.0100000000002</v>
      </c>
      <c r="O215" s="14">
        <f>IFERROR(N215/N327, "NA")</f>
      </c>
    </row>
    <row r="216" ht="16.5" customHeight="1">
      <c t="s" r="A216" s="12">
        <v>219</v>
      </c>
      <c r="B216" s="13">
        <v>0</v>
      </c>
      <c r="C216" s="14">
        <f>IFERROR(B216/B327, "NA")</f>
      </c>
      <c r="D216" s="15"/>
      <c r="E216" s="13">
        <v>0</v>
      </c>
      <c r="F216" s="14">
        <f>IFERROR(E216/E327, "NA")</f>
      </c>
      <c r="G216" s="15"/>
      <c r="H216" s="13">
        <v>0</v>
      </c>
      <c r="I216" s="14">
        <f>IFERROR(H216/H327, "NA")</f>
      </c>
      <c r="J216" s="15"/>
      <c r="K216" s="13">
        <v>45</v>
      </c>
      <c r="L216" s="14">
        <f>IFERROR(K216/K327, "NA")</f>
      </c>
      <c r="M216" s="15"/>
      <c r="N216" s="13">
        <v>0</v>
      </c>
      <c r="O216" s="14">
        <f>IFERROR(N216/N327, "NA")</f>
      </c>
    </row>
    <row r="217" ht="16.5" customHeight="1">
      <c t="s" r="A217" s="12">
        <v>220</v>
      </c>
      <c r="B217" s="13">
        <v>2693.73</v>
      </c>
      <c r="C217" s="14">
        <f>IFERROR(B217/B327, "NA")</f>
      </c>
      <c r="D217" s="15"/>
      <c r="E217" s="13">
        <v>2397.4499999999998</v>
      </c>
      <c r="F217" s="14">
        <f>IFERROR(E217/E327, "NA")</f>
      </c>
      <c r="G217" s="15"/>
      <c r="H217" s="13">
        <v>2443.73</v>
      </c>
      <c r="I217" s="14">
        <f>IFERROR(H217/H327, "NA")</f>
      </c>
      <c r="J217" s="15"/>
      <c r="K217" s="13">
        <v>3079.5700000000002</v>
      </c>
      <c r="L217" s="14">
        <f>IFERROR(K217/K327, "NA")</f>
      </c>
      <c r="M217" s="15"/>
      <c r="N217" s="13">
        <v>0</v>
      </c>
      <c r="O217" s="14">
        <f>IFERROR(N217/N327, "NA")</f>
      </c>
    </row>
    <row r="218" ht="16.5" customHeight="1">
      <c t="s" r="A218" s="12">
        <v>221</v>
      </c>
      <c r="B218" s="13">
        <v>0</v>
      </c>
      <c r="C218" s="14">
        <f>IFERROR(B218/B327, "NA")</f>
      </c>
      <c r="D218" s="15"/>
      <c r="E218" s="13">
        <v>0</v>
      </c>
      <c r="F218" s="14">
        <f>IFERROR(E218/E327, "NA")</f>
      </c>
      <c r="G218" s="15"/>
      <c r="H218" s="13">
        <v>0</v>
      </c>
      <c r="I218" s="14">
        <f>IFERROR(H218/H327, "NA")</f>
      </c>
      <c r="J218" s="15"/>
      <c r="K218" s="13">
        <v>0</v>
      </c>
      <c r="L218" s="14">
        <f>IFERROR(K218/K327, "NA")</f>
      </c>
      <c r="M218" s="15"/>
      <c r="N218" s="13">
        <v>0</v>
      </c>
      <c r="O218" s="14">
        <f>IFERROR(N218/N327, "NA")</f>
      </c>
    </row>
    <row r="219" ht="16.5" customHeight="1">
      <c t="s" r="A219" s="12">
        <v>222</v>
      </c>
      <c r="B219" s="13">
        <v>4789.5299999999997</v>
      </c>
      <c r="C219" s="14">
        <f>IFERROR(B219/B327, "NA")</f>
      </c>
      <c r="D219" s="15"/>
      <c r="E219" s="13">
        <v>5418.1999999999998</v>
      </c>
      <c r="F219" s="14">
        <f>IFERROR(E219/E327, "NA")</f>
      </c>
      <c r="G219" s="15"/>
      <c r="H219" s="13">
        <v>5464.8500000000004</v>
      </c>
      <c r="I219" s="14">
        <f>IFERROR(H219/H327, "NA")</f>
      </c>
      <c r="J219" s="15"/>
      <c r="K219" s="13">
        <v>6059.9300000000003</v>
      </c>
      <c r="L219" s="14">
        <f>IFERROR(K219/K327, "NA")</f>
      </c>
      <c r="M219" s="15"/>
      <c r="N219" s="13">
        <v>5632.6099999999997</v>
      </c>
      <c r="O219" s="14">
        <f>IFERROR(N219/N327, "NA")</f>
      </c>
    </row>
    <row r="220" ht="16.5" customHeight="1">
      <c t="s" r="A220" s="12">
        <v>223</v>
      </c>
      <c r="B220" s="13">
        <v>0</v>
      </c>
      <c r="C220" s="14">
        <f>IFERROR(B220/B327, "NA")</f>
      </c>
      <c r="D220" s="15"/>
      <c r="E220" s="13">
        <v>5787.54</v>
      </c>
      <c r="F220" s="14">
        <f>IFERROR(E220/E327, "NA")</f>
      </c>
      <c r="G220" s="15"/>
      <c r="H220" s="13">
        <v>80.659999999999997</v>
      </c>
      <c r="I220" s="14">
        <f>IFERROR(H220/H327, "NA")</f>
      </c>
      <c r="J220" s="15"/>
      <c r="K220" s="13">
        <v>85.010000000000005</v>
      </c>
      <c r="L220" s="14">
        <f>IFERROR(K220/K327, "NA")</f>
      </c>
      <c r="M220" s="15"/>
      <c r="N220" s="13">
        <v>0</v>
      </c>
      <c r="O220" s="14">
        <f>IFERROR(N220/N327, "NA")</f>
      </c>
    </row>
    <row r="221" ht="16.5" customHeight="1">
      <c t="s" r="A221" s="12">
        <v>224</v>
      </c>
      <c r="B221" s="13">
        <v>0</v>
      </c>
      <c r="C221" s="14">
        <f>IFERROR(B221/B327, "NA")</f>
      </c>
      <c r="D221" s="15"/>
      <c r="E221" s="13">
        <v>0</v>
      </c>
      <c r="F221" s="14">
        <f>IFERROR(E221/E327, "NA")</f>
      </c>
      <c r="G221" s="15"/>
      <c r="H221" s="13">
        <v>0</v>
      </c>
      <c r="I221" s="14">
        <f>IFERROR(H221/H327, "NA")</f>
      </c>
      <c r="J221" s="15"/>
      <c r="K221" s="13">
        <v>0</v>
      </c>
      <c r="L221" s="14">
        <f>IFERROR(K221/K327, "NA")</f>
      </c>
      <c r="M221" s="15"/>
      <c r="N221" s="13">
        <v>0</v>
      </c>
      <c r="O221" s="14">
        <f>IFERROR(N221/N327, "NA")</f>
      </c>
    </row>
    <row r="222" ht="16.5" customHeight="1">
      <c t="s" r="A222" s="12">
        <v>225</v>
      </c>
      <c r="B222" s="13">
        <v>17.100000000000001</v>
      </c>
      <c r="C222" s="14">
        <f>IFERROR(B222/B327, "NA")</f>
      </c>
      <c r="D222" s="15"/>
      <c r="E222" s="13">
        <v>0</v>
      </c>
      <c r="F222" s="14">
        <f>IFERROR(E222/E327, "NA")</f>
      </c>
      <c r="G222" s="15"/>
      <c r="H222" s="13">
        <v>16.620000000000001</v>
      </c>
      <c r="I222" s="14">
        <f>IFERROR(H222/H327, "NA")</f>
      </c>
      <c r="J222" s="15"/>
      <c r="K222" s="13">
        <v>2.77</v>
      </c>
      <c r="L222" s="14">
        <f>IFERROR(K222/K327, "NA")</f>
      </c>
      <c r="M222" s="15"/>
      <c r="N222" s="13">
        <v>0</v>
      </c>
      <c r="O222" s="14">
        <f>IFERROR(N222/N327, "NA")</f>
      </c>
    </row>
    <row r="223" ht="16.5" customHeight="1">
      <c t="s" r="A223" s="12">
        <v>226</v>
      </c>
      <c r="B223" s="13">
        <v>0</v>
      </c>
      <c r="C223" s="14">
        <f>IFERROR(B223/B327, "NA")</f>
      </c>
      <c r="D223" s="15"/>
      <c r="E223" s="13">
        <v>0</v>
      </c>
      <c r="F223" s="14">
        <f>IFERROR(E223/E327, "NA")</f>
      </c>
      <c r="G223" s="15"/>
      <c r="H223" s="13">
        <v>0</v>
      </c>
      <c r="I223" s="14">
        <f>IFERROR(H223/H327, "NA")</f>
      </c>
      <c r="J223" s="15"/>
      <c r="K223" s="13">
        <v>0</v>
      </c>
      <c r="L223" s="14">
        <f>IFERROR(K223/K327, "NA")</f>
      </c>
      <c r="M223" s="15"/>
      <c r="N223" s="13">
        <v>0</v>
      </c>
      <c r="O223" s="14">
        <f>IFERROR(N223/N327, "NA")</f>
      </c>
    </row>
    <row r="224" ht="16.5" customHeight="1">
      <c t="s" r="A224" s="12">
        <v>227</v>
      </c>
      <c r="B224" s="13">
        <v>0</v>
      </c>
      <c r="C224" s="14">
        <f>IFERROR(B224/B327, "NA")</f>
      </c>
      <c r="D224" s="15"/>
      <c r="E224" s="13">
        <v>0</v>
      </c>
      <c r="F224" s="14">
        <f>IFERROR(E224/E327, "NA")</f>
      </c>
      <c r="G224" s="15"/>
      <c r="H224" s="13">
        <v>0</v>
      </c>
      <c r="I224" s="14">
        <f>IFERROR(H224/H327, "NA")</f>
      </c>
      <c r="J224" s="15"/>
      <c r="K224" s="13">
        <v>0</v>
      </c>
      <c r="L224" s="14">
        <f>IFERROR(K224/K327, "NA")</f>
      </c>
      <c r="M224" s="15"/>
      <c r="N224" s="13">
        <v>0</v>
      </c>
      <c r="O224" s="14">
        <f>IFERROR(N224/N327, "NA")</f>
      </c>
    </row>
    <row r="225" ht="16.5" customHeight="1">
      <c t="s" r="A225" s="12">
        <v>228</v>
      </c>
      <c r="B225" s="13">
        <v>0</v>
      </c>
      <c r="C225" s="14">
        <f>IFERROR(B225/B327, "NA")</f>
      </c>
      <c r="D225" s="15"/>
      <c r="E225" s="13">
        <v>0</v>
      </c>
      <c r="F225" s="14">
        <f>IFERROR(E225/E327, "NA")</f>
      </c>
      <c r="G225" s="15"/>
      <c r="H225" s="13">
        <v>0</v>
      </c>
      <c r="I225" s="14">
        <f>IFERROR(H225/H327, "NA")</f>
      </c>
      <c r="J225" s="15"/>
      <c r="K225" s="13">
        <v>0</v>
      </c>
      <c r="L225" s="14">
        <f>IFERROR(K225/K327, "NA")</f>
      </c>
      <c r="M225" s="15"/>
      <c r="N225" s="13">
        <v>0</v>
      </c>
      <c r="O225" s="14">
        <f>IFERROR(N225/N327, "NA")</f>
      </c>
    </row>
    <row r="226" ht="16.5" customHeight="1">
      <c t="s" r="A226" s="12">
        <v>229</v>
      </c>
      <c r="B226" s="13">
        <v>-1.6000000000000001</v>
      </c>
      <c r="C226" s="14">
        <f>IFERROR(B226/B327, "NA")</f>
      </c>
      <c r="D226" s="15"/>
      <c r="E226" s="13">
        <v>117.98999999999999</v>
      </c>
      <c r="F226" s="14">
        <f>IFERROR(E226/E327, "NA")</f>
      </c>
      <c r="G226" s="15"/>
      <c r="H226" s="13">
        <v>0.73999999999999999</v>
      </c>
      <c r="I226" s="14">
        <f>IFERROR(H226/H327, "NA")</f>
      </c>
      <c r="J226" s="15"/>
      <c r="K226" s="13">
        <v>-0.91000000000000003</v>
      </c>
      <c r="L226" s="14">
        <f>IFERROR(K226/K327, "NA")</f>
      </c>
      <c r="M226" s="15"/>
      <c r="N226" s="13">
        <v>-2.5600000000000001</v>
      </c>
      <c r="O226" s="14">
        <f>IFERROR(N226/N327, "NA")</f>
      </c>
    </row>
    <row r="227" ht="16.5" customHeight="1">
      <c t="s" r="A227" s="12">
        <v>230</v>
      </c>
      <c r="B227" s="13">
        <v>0</v>
      </c>
      <c r="C227" s="14">
        <f>IFERROR(B227/B327, "NA")</f>
      </c>
      <c r="D227" s="15"/>
      <c r="E227" s="13">
        <v>1081.45</v>
      </c>
      <c r="F227" s="14">
        <f>IFERROR(E227/E327, "NA")</f>
      </c>
      <c r="G227" s="15"/>
      <c r="H227" s="13">
        <v>0</v>
      </c>
      <c r="I227" s="14">
        <f>IFERROR(H227/H327, "NA")</f>
      </c>
      <c r="J227" s="15"/>
      <c r="K227" s="13">
        <v>0</v>
      </c>
      <c r="L227" s="14">
        <f>IFERROR(K227/K327, "NA")</f>
      </c>
      <c r="M227" s="15"/>
      <c r="N227" s="13">
        <v>0</v>
      </c>
      <c r="O227" s="14">
        <f>IFERROR(N227/N327, "NA")</f>
      </c>
    </row>
    <row r="228" ht="16.5" customHeight="1">
      <c t="s" r="A228" s="12">
        <v>231</v>
      </c>
      <c r="B228" s="13">
        <v>0</v>
      </c>
      <c r="C228" s="14">
        <f>IFERROR(B228/B327, "NA")</f>
      </c>
      <c r="D228" s="15"/>
      <c r="E228" s="13">
        <v>2</v>
      </c>
      <c r="F228" s="14">
        <f>IFERROR(E228/E327, "NA")</f>
      </c>
      <c r="G228" s="15"/>
      <c r="H228" s="13">
        <v>0</v>
      </c>
      <c r="I228" s="14">
        <f>IFERROR(H228/H327, "NA")</f>
      </c>
      <c r="J228" s="15"/>
      <c r="K228" s="13">
        <v>91.109999999999999</v>
      </c>
      <c r="L228" s="14">
        <f>IFERROR(K228/K327, "NA")</f>
      </c>
      <c r="M228" s="15"/>
      <c r="N228" s="13">
        <v>0</v>
      </c>
      <c r="O228" s="14">
        <f>IFERROR(N228/N327, "NA")</f>
      </c>
    </row>
    <row r="229" ht="16.5" customHeight="1">
      <c t="s" r="A229" s="12">
        <v>232</v>
      </c>
      <c r="B229" s="13">
        <v>0</v>
      </c>
      <c r="C229" s="14">
        <f>IFERROR(B229/B327, "NA")</f>
      </c>
      <c r="D229" s="15"/>
      <c r="E229" s="13">
        <v>0</v>
      </c>
      <c r="F229" s="14">
        <f>IFERROR(E229/E327, "NA")</f>
      </c>
      <c r="G229" s="15"/>
      <c r="H229" s="13">
        <v>0</v>
      </c>
      <c r="I229" s="14">
        <f>IFERROR(H229/H327, "NA")</f>
      </c>
      <c r="J229" s="15"/>
      <c r="K229" s="13">
        <v>0</v>
      </c>
      <c r="L229" s="14">
        <f>IFERROR(K229/K327, "NA")</f>
      </c>
      <c r="M229" s="15"/>
      <c r="N229" s="13">
        <v>0</v>
      </c>
      <c r="O229" s="14">
        <f>IFERROR(N229/N327, "NA")</f>
      </c>
    </row>
    <row r="230" ht="16.5" customHeight="1">
      <c t="s" r="A230" s="12">
        <v>233</v>
      </c>
      <c r="B230" s="13">
        <v>0</v>
      </c>
      <c r="C230" s="14">
        <f>IFERROR(B230/B327, "NA")</f>
      </c>
      <c r="D230" s="15"/>
      <c r="E230" s="13">
        <v>0</v>
      </c>
      <c r="F230" s="14">
        <f>IFERROR(E230/E327, "NA")</f>
      </c>
      <c r="G230" s="15"/>
      <c r="H230" s="13">
        <v>0</v>
      </c>
      <c r="I230" s="14">
        <f>IFERROR(H230/H327, "NA")</f>
      </c>
      <c r="J230" s="15"/>
      <c r="K230" s="13">
        <v>0</v>
      </c>
      <c r="L230" s="14">
        <f>IFERROR(K230/K327, "NA")</f>
      </c>
      <c r="M230" s="15"/>
      <c r="N230" s="13">
        <v>0</v>
      </c>
      <c r="O230" s="14">
        <f>IFERROR(N230/N327, "NA")</f>
      </c>
    </row>
    <row r="231" ht="16.5" customHeight="1">
      <c t="s" r="A231" s="12">
        <v>234</v>
      </c>
      <c r="B231" s="13">
        <v>0</v>
      </c>
      <c r="C231" s="14">
        <f>IFERROR(B231/B327, "NA")</f>
      </c>
      <c r="D231" s="15"/>
      <c r="E231" s="13">
        <v>0</v>
      </c>
      <c r="F231" s="14">
        <f>IFERROR(E231/E327, "NA")</f>
      </c>
      <c r="G231" s="15"/>
      <c r="H231" s="13">
        <v>0</v>
      </c>
      <c r="I231" s="14">
        <f>IFERROR(H231/H327, "NA")</f>
      </c>
      <c r="J231" s="15"/>
      <c r="K231" s="13">
        <v>0</v>
      </c>
      <c r="L231" s="14">
        <f>IFERROR(K231/K327, "NA")</f>
      </c>
      <c r="M231" s="15"/>
      <c r="N231" s="13">
        <v>0</v>
      </c>
      <c r="O231" s="14">
        <f>IFERROR(N231/N327, "NA")</f>
      </c>
    </row>
    <row r="232" ht="16.5" customHeight="1">
      <c t="s" r="A232" s="12">
        <v>235</v>
      </c>
      <c r="B232" s="13">
        <v>0</v>
      </c>
      <c r="C232" s="14">
        <f>IFERROR(B232/B327, "NA")</f>
      </c>
      <c r="D232" s="15"/>
      <c r="E232" s="13">
        <v>0</v>
      </c>
      <c r="F232" s="14">
        <f>IFERROR(E232/E327, "NA")</f>
      </c>
      <c r="G232" s="15"/>
      <c r="H232" s="13">
        <v>0</v>
      </c>
      <c r="I232" s="14">
        <f>IFERROR(H232/H327, "NA")</f>
      </c>
      <c r="J232" s="15"/>
      <c r="K232" s="13">
        <v>0</v>
      </c>
      <c r="L232" s="14">
        <f>IFERROR(K232/K327, "NA")</f>
      </c>
      <c r="M232" s="15"/>
      <c r="N232" s="13">
        <v>0</v>
      </c>
      <c r="O232" s="14">
        <f>IFERROR(N232/N327, "NA")</f>
      </c>
    </row>
    <row r="233" ht="16.5" customHeight="1">
      <c t="s" r="A233" s="12">
        <v>236</v>
      </c>
      <c r="B233" s="13">
        <v>0</v>
      </c>
      <c r="C233" s="14">
        <f>IFERROR(B233/B327, "NA")</f>
      </c>
      <c r="D233" s="15"/>
      <c r="E233" s="13">
        <v>0</v>
      </c>
      <c r="F233" s="14">
        <f>IFERROR(E233/E327, "NA")</f>
      </c>
      <c r="G233" s="15"/>
      <c r="H233" s="13">
        <v>0</v>
      </c>
      <c r="I233" s="14">
        <f>IFERROR(H233/H327, "NA")</f>
      </c>
      <c r="J233" s="15"/>
      <c r="K233" s="13">
        <v>0</v>
      </c>
      <c r="L233" s="14">
        <f>IFERROR(K233/K327, "NA")</f>
      </c>
      <c r="M233" s="15"/>
      <c r="N233" s="13">
        <v>0</v>
      </c>
      <c r="O233" s="14">
        <f>IFERROR(N233/N327, "NA")</f>
      </c>
    </row>
    <row r="234" ht="16.5" customHeight="1">
      <c t="s" r="A234" s="12">
        <v>237</v>
      </c>
      <c r="B234" s="13">
        <v>4.4100000000000001</v>
      </c>
      <c r="C234" s="14">
        <f>IFERROR(B234/B327, "NA")</f>
      </c>
      <c r="D234" s="15"/>
      <c r="E234" s="13">
        <v>0</v>
      </c>
      <c r="F234" s="14">
        <f>IFERROR(E234/E327, "NA")</f>
      </c>
      <c r="G234" s="15"/>
      <c r="H234" s="13">
        <v>9.1099999999999994</v>
      </c>
      <c r="I234" s="14">
        <f>IFERROR(H234/H327, "NA")</f>
      </c>
      <c r="J234" s="15"/>
      <c r="K234" s="13">
        <v>24.800000000000001</v>
      </c>
      <c r="L234" s="14">
        <f>IFERROR(K234/K327, "NA")</f>
      </c>
      <c r="M234" s="15"/>
      <c r="N234" s="13">
        <v>0</v>
      </c>
      <c r="O234" s="14">
        <f>IFERROR(N234/N327, "NA")</f>
      </c>
    </row>
    <row r="235" ht="16.5" customHeight="1">
      <c t="s" r="A235" s="12">
        <v>238</v>
      </c>
      <c r="B235" s="13">
        <v>0</v>
      </c>
      <c r="C235" s="14">
        <f>IFERROR(B235/B327, "NA")</f>
      </c>
      <c r="D235" s="15"/>
      <c r="E235" s="13">
        <v>28.550000000000001</v>
      </c>
      <c r="F235" s="14">
        <f>IFERROR(E235/E327, "NA")</f>
      </c>
      <c r="G235" s="15"/>
      <c r="H235" s="13">
        <v>115.98</v>
      </c>
      <c r="I235" s="14">
        <f>IFERROR(H235/H327, "NA")</f>
      </c>
      <c r="J235" s="15"/>
      <c r="K235" s="13">
        <v>0</v>
      </c>
      <c r="L235" s="14">
        <f>IFERROR(K235/K327, "NA")</f>
      </c>
      <c r="M235" s="15"/>
      <c r="N235" s="13">
        <v>183.56</v>
      </c>
      <c r="O235" s="14">
        <f>IFERROR(N235/N327, "NA")</f>
      </c>
    </row>
    <row r="236" ht="16.5" customHeight="1">
      <c t="s" r="A236" s="12">
        <v>239</v>
      </c>
      <c r="B236" s="13">
        <v>0</v>
      </c>
      <c r="C236" s="14">
        <f>IFERROR(B236/B327, "NA")</f>
      </c>
      <c r="D236" s="15"/>
      <c r="E236" s="13">
        <v>32742.849999999999</v>
      </c>
      <c r="F236" s="14">
        <f>IFERROR(E236/E327, "NA")</f>
      </c>
      <c r="G236" s="15"/>
      <c r="H236" s="13">
        <v>0</v>
      </c>
      <c r="I236" s="14">
        <f>IFERROR(H236/H327, "NA")</f>
      </c>
      <c r="J236" s="15"/>
      <c r="K236" s="13">
        <v>0</v>
      </c>
      <c r="L236" s="14">
        <f>IFERROR(K236/K327, "NA")</f>
      </c>
      <c r="M236" s="15"/>
      <c r="N236" s="13">
        <v>0</v>
      </c>
      <c r="O236" s="14">
        <f>IFERROR(N236/N327, "NA")</f>
      </c>
    </row>
    <row r="237" ht="16.5" customHeight="1">
      <c t="s" r="A237" s="12">
        <v>240</v>
      </c>
      <c r="B237" s="13">
        <v>331.69999999999999</v>
      </c>
      <c r="C237" s="14">
        <f>IFERROR(B237/B327, "NA")</f>
      </c>
      <c r="D237" s="15"/>
      <c r="E237" s="13">
        <v>479.54000000000002</v>
      </c>
      <c r="F237" s="14">
        <f>IFERROR(E237/E327, "NA")</f>
      </c>
      <c r="G237" s="15"/>
      <c r="H237" s="13">
        <v>726.52999999999997</v>
      </c>
      <c r="I237" s="14">
        <f>IFERROR(H237/H327, "NA")</f>
      </c>
      <c r="J237" s="15"/>
      <c r="K237" s="13">
        <v>171.19999999999999</v>
      </c>
      <c r="L237" s="14">
        <f>IFERROR(K237/K327, "NA")</f>
      </c>
      <c r="M237" s="15"/>
      <c r="N237" s="13">
        <v>0</v>
      </c>
      <c r="O237" s="14">
        <f>IFERROR(N237/N327, "NA")</f>
      </c>
    </row>
    <row r="238" ht="16.5" customHeight="1">
      <c t="s" r="A238" s="12">
        <v>241</v>
      </c>
      <c r="B238" s="13">
        <v>6.8300000000000001</v>
      </c>
      <c r="C238" s="14">
        <f>IFERROR(B238/B327, "NA")</f>
      </c>
      <c r="D238" s="15"/>
      <c r="E238" s="13">
        <v>0</v>
      </c>
      <c r="F238" s="14">
        <f>IFERROR(E238/E327, "NA")</f>
      </c>
      <c r="G238" s="15"/>
      <c r="H238" s="13">
        <v>16.170000000000002</v>
      </c>
      <c r="I238" s="14">
        <f>IFERROR(H238/H327, "NA")</f>
      </c>
      <c r="J238" s="15"/>
      <c r="K238" s="13">
        <v>0</v>
      </c>
      <c r="L238" s="14">
        <f>IFERROR(K238/K327, "NA")</f>
      </c>
      <c r="M238" s="15"/>
      <c r="N238" s="13">
        <v>0</v>
      </c>
      <c r="O238" s="14">
        <f>IFERROR(N238/N327, "NA")</f>
      </c>
    </row>
    <row r="239" ht="16.5" customHeight="1">
      <c t="s" r="A239" s="12">
        <v>242</v>
      </c>
      <c r="B239" s="13">
        <v>0</v>
      </c>
      <c r="C239" s="14">
        <f>IFERROR(B239/B327, "NA")</f>
      </c>
      <c r="D239" s="15"/>
      <c r="E239" s="13">
        <v>0</v>
      </c>
      <c r="F239" s="14">
        <f>IFERROR(E239/E327, "NA")</f>
      </c>
      <c r="G239" s="15"/>
      <c r="H239" s="13">
        <v>0</v>
      </c>
      <c r="I239" s="14">
        <f>IFERROR(H239/H327, "NA")</f>
      </c>
      <c r="J239" s="15"/>
      <c r="K239" s="13">
        <v>0</v>
      </c>
      <c r="L239" s="14">
        <f>IFERROR(K239/K327, "NA")</f>
      </c>
      <c r="M239" s="15"/>
      <c r="N239" s="13">
        <v>0</v>
      </c>
      <c r="O239" s="14">
        <f>IFERROR(N239/N327, "NA")</f>
      </c>
    </row>
    <row r="240" ht="16.5" customHeight="1">
      <c t="s" r="A240" s="12">
        <v>243</v>
      </c>
      <c r="B240" s="13">
        <v>0</v>
      </c>
      <c r="C240" s="14">
        <f>IFERROR(B240/B327, "NA")</f>
      </c>
      <c r="D240" s="15"/>
      <c r="E240" s="13">
        <v>0</v>
      </c>
      <c r="F240" s="14">
        <f>IFERROR(E240/E327, "NA")</f>
      </c>
      <c r="G240" s="15"/>
      <c r="H240" s="13">
        <v>0</v>
      </c>
      <c r="I240" s="14">
        <f>IFERROR(H240/H327, "NA")</f>
      </c>
      <c r="J240" s="15"/>
      <c r="K240" s="13">
        <v>0</v>
      </c>
      <c r="L240" s="14">
        <f>IFERROR(K240/K327, "NA")</f>
      </c>
      <c r="M240" s="15"/>
      <c r="N240" s="13">
        <v>0</v>
      </c>
      <c r="O240" s="14">
        <f>IFERROR(N240/N327, "NA")</f>
      </c>
    </row>
    <row r="241" ht="16.5" customHeight="1">
      <c t="s" r="A241" s="16">
        <v>244</v>
      </c>
      <c r="B241" s="17">
        <f>IFERROR(B214+B215+B216+B217+B218+B219+B220+B221+B222+B223+B224+B225+B226+B227+B228+B229+B230+B231+B232+B233+B234+B235+B236+B237+B238+B239+B240, "NA")</f>
      </c>
      <c r="C241" s="18">
        <f>IFERROR(B241/B327, "NA")</f>
      </c>
      <c r="D241" s="8"/>
      <c r="E241" s="17">
        <f>IFERROR(E214+E215+E216+E217+E218+E219+E220+E221+E222+E223+E224+E225+E226+E227+E228+E229+E230+E231+E232+E233+E234+E235+E236+E237+E238+E239+E240, "NA")</f>
      </c>
      <c r="F241" s="18">
        <f>IFERROR(E241/E327, "NA")</f>
      </c>
      <c r="G241" s="8"/>
      <c r="H241" s="17">
        <f>IFERROR(H214+H215+H216+H217+H218+H219+H220+H221+H222+H223+H224+H225+H226+H227+H228+H229+H230+H231+H232+H233+H234+H235+H236+H237+H238+H239+H240, "NA")</f>
      </c>
      <c r="I241" s="18">
        <f>IFERROR(H241/H327, "NA")</f>
      </c>
      <c r="J241" s="8"/>
      <c r="K241" s="17">
        <f>IFERROR(K214+K215+K216+K217+K218+K219+K220+K221+K222+K223+K224+K225+K226+K227+K228+K229+K230+K231+K232+K233+K234+K235+K236+K237+K238+K239+K240, "NA")</f>
      </c>
      <c r="L241" s="18">
        <f>IFERROR(K241/K327, "NA")</f>
      </c>
      <c r="M241" s="8"/>
      <c r="N241" s="17">
        <f>IFERROR(N214+N215+N216+N217+N218+N219+N220+N221+N222+N223+N224+N225+N226+N227+N228+N229+N230+N231+N232+N233+N234+N235+N236+N237+N238+N239+N240, "NA")</f>
      </c>
      <c r="O241" s="18">
        <f>IFERROR(N241/N327, "NA")</f>
      </c>
    </row>
    <row r="242" ht="16.5" customHeight="1">
      <c t="s" r="A242" s="11">
        <v>245</v>
      </c>
      <c r="B242" s="8"/>
      <c r="C242" s="9"/>
      <c r="D242" s="10"/>
      <c r="E242" s="8"/>
      <c r="F242" s="9"/>
      <c r="G242" s="10"/>
      <c r="H242" s="8"/>
      <c r="I242" s="9"/>
      <c r="J242" s="10"/>
      <c r="K242" s="8"/>
      <c r="L242" s="9"/>
      <c r="M242" s="10"/>
      <c r="N242" s="8"/>
      <c r="O242" s="9"/>
    </row>
    <row r="243" ht="16.5" customHeight="1">
      <c t="s" r="A243" s="12">
        <v>246</v>
      </c>
      <c r="B243" s="13">
        <v>0</v>
      </c>
      <c r="C243" s="14">
        <f>IFERROR(B243/B327, "NA")</f>
      </c>
      <c r="D243" s="15"/>
      <c r="E243" s="13">
        <v>0</v>
      </c>
      <c r="F243" s="14">
        <f>IFERROR(E243/E327, "NA")</f>
      </c>
      <c r="G243" s="15"/>
      <c r="H243" s="13">
        <v>0</v>
      </c>
      <c r="I243" s="14">
        <f>IFERROR(H243/H327, "NA")</f>
      </c>
      <c r="J243" s="15"/>
      <c r="K243" s="13">
        <v>0</v>
      </c>
      <c r="L243" s="14">
        <f>IFERROR(K243/K327, "NA")</f>
      </c>
      <c r="M243" s="15"/>
      <c r="N243" s="13">
        <v>0</v>
      </c>
      <c r="O243" s="14">
        <f>IFERROR(N243/N327, "NA")</f>
      </c>
    </row>
    <row r="244" ht="16.5" customHeight="1">
      <c t="s" r="A244" s="12">
        <v>247</v>
      </c>
      <c r="B244" s="13">
        <v>77.930000000000007</v>
      </c>
      <c r="C244" s="14">
        <f>IFERROR(B244/B327, "NA")</f>
      </c>
      <c r="D244" s="15"/>
      <c r="E244" s="13">
        <v>0</v>
      </c>
      <c r="F244" s="14">
        <f>IFERROR(E244/E327, "NA")</f>
      </c>
      <c r="G244" s="15"/>
      <c r="H244" s="13">
        <v>0</v>
      </c>
      <c r="I244" s="14">
        <f>IFERROR(H244/H327, "NA")</f>
      </c>
      <c r="J244" s="15"/>
      <c r="K244" s="13">
        <v>100</v>
      </c>
      <c r="L244" s="14">
        <f>IFERROR(K244/K327, "NA")</f>
      </c>
      <c r="M244" s="15"/>
      <c r="N244" s="13">
        <v>0</v>
      </c>
      <c r="O244" s="14">
        <f>IFERROR(N244/N327, "NA")</f>
      </c>
    </row>
    <row r="245" ht="16.5" customHeight="1">
      <c t="s" r="A245" s="12">
        <v>248</v>
      </c>
      <c r="B245" s="13">
        <v>0</v>
      </c>
      <c r="C245" s="14">
        <f>IFERROR(B245/B327, "NA")</f>
      </c>
      <c r="D245" s="15"/>
      <c r="E245" s="13">
        <v>0</v>
      </c>
      <c r="F245" s="14">
        <f>IFERROR(E245/E327, "NA")</f>
      </c>
      <c r="G245" s="15"/>
      <c r="H245" s="13">
        <v>0</v>
      </c>
      <c r="I245" s="14">
        <f>IFERROR(H245/H327, "NA")</f>
      </c>
      <c r="J245" s="15"/>
      <c r="K245" s="13">
        <v>0</v>
      </c>
      <c r="L245" s="14">
        <f>IFERROR(K245/K327, "NA")</f>
      </c>
      <c r="M245" s="15"/>
      <c r="N245" s="13">
        <v>0</v>
      </c>
      <c r="O245" s="14">
        <f>IFERROR(N245/N327, "NA")</f>
      </c>
    </row>
    <row r="246" ht="16.5" customHeight="1">
      <c t="s" r="A246" s="12">
        <v>249</v>
      </c>
      <c r="B246" s="13">
        <v>0</v>
      </c>
      <c r="C246" s="14">
        <f>IFERROR(B246/B327, "NA")</f>
      </c>
      <c r="D246" s="15"/>
      <c r="E246" s="13">
        <v>0</v>
      </c>
      <c r="F246" s="14">
        <f>IFERROR(E246/E327, "NA")</f>
      </c>
      <c r="G246" s="15"/>
      <c r="H246" s="13">
        <v>0</v>
      </c>
      <c r="I246" s="14">
        <f>IFERROR(H246/H327, "NA")</f>
      </c>
      <c r="J246" s="15"/>
      <c r="K246" s="13">
        <v>0</v>
      </c>
      <c r="L246" s="14">
        <f>IFERROR(K246/K327, "NA")</f>
      </c>
      <c r="M246" s="15"/>
      <c r="N246" s="13">
        <v>0</v>
      </c>
      <c r="O246" s="14">
        <f>IFERROR(N246/N327, "NA")</f>
      </c>
    </row>
    <row r="247" ht="16.5" customHeight="1">
      <c t="s" r="A247" s="12">
        <v>250</v>
      </c>
      <c r="B247" s="13">
        <v>0</v>
      </c>
      <c r="C247" s="14">
        <f>IFERROR(B247/B327, "NA")</f>
      </c>
      <c r="D247" s="15"/>
      <c r="E247" s="13">
        <v>0</v>
      </c>
      <c r="F247" s="14">
        <f>IFERROR(E247/E327, "NA")</f>
      </c>
      <c r="G247" s="15"/>
      <c r="H247" s="13">
        <v>0</v>
      </c>
      <c r="I247" s="14">
        <f>IFERROR(H247/H327, "NA")</f>
      </c>
      <c r="J247" s="15"/>
      <c r="K247" s="13">
        <v>0</v>
      </c>
      <c r="L247" s="14">
        <f>IFERROR(K247/K327, "NA")</f>
      </c>
      <c r="M247" s="15"/>
      <c r="N247" s="13">
        <v>0</v>
      </c>
      <c r="O247" s="14">
        <f>IFERROR(N247/N327, "NA")</f>
      </c>
    </row>
    <row r="248" ht="16.5" customHeight="1">
      <c t="s" r="A248" s="12">
        <v>251</v>
      </c>
      <c r="B248" s="13">
        <v>0</v>
      </c>
      <c r="C248" s="14">
        <f>IFERROR(B248/B327, "NA")</f>
      </c>
      <c r="D248" s="15"/>
      <c r="E248" s="13">
        <v>357.07999999999998</v>
      </c>
      <c r="F248" s="14">
        <f>IFERROR(E248/E327, "NA")</f>
      </c>
      <c r="G248" s="15"/>
      <c r="H248" s="13">
        <v>0</v>
      </c>
      <c r="I248" s="14">
        <f>IFERROR(H248/H327, "NA")</f>
      </c>
      <c r="J248" s="15"/>
      <c r="K248" s="13">
        <v>0</v>
      </c>
      <c r="L248" s="14">
        <f>IFERROR(K248/K327, "NA")</f>
      </c>
      <c r="M248" s="15"/>
      <c r="N248" s="13">
        <v>0</v>
      </c>
      <c r="O248" s="14">
        <f>IFERROR(N248/N327, "NA")</f>
      </c>
    </row>
    <row r="249" ht="16.5" customHeight="1">
      <c t="s" r="A249" s="12">
        <v>252</v>
      </c>
      <c r="B249" s="13">
        <v>3885</v>
      </c>
      <c r="C249" s="14">
        <f>IFERROR(B249/B327, "NA")</f>
      </c>
      <c r="D249" s="15"/>
      <c r="E249" s="13">
        <v>0</v>
      </c>
      <c r="F249" s="14">
        <f>IFERROR(E249/E327, "NA")</f>
      </c>
      <c r="G249" s="15"/>
      <c r="H249" s="13">
        <v>0</v>
      </c>
      <c r="I249" s="14">
        <f>IFERROR(H249/H327, "NA")</f>
      </c>
      <c r="J249" s="15"/>
      <c r="K249" s="13">
        <v>0</v>
      </c>
      <c r="L249" s="14">
        <f>IFERROR(K249/K327, "NA")</f>
      </c>
      <c r="M249" s="15"/>
      <c r="N249" s="13">
        <v>0</v>
      </c>
      <c r="O249" s="14">
        <f>IFERROR(N249/N327, "NA")</f>
      </c>
    </row>
    <row r="250" ht="16.5" customHeight="1">
      <c t="s" r="A250" s="12">
        <v>253</v>
      </c>
      <c r="B250" s="13">
        <v>0</v>
      </c>
      <c r="C250" s="14">
        <f>IFERROR(B250/B327, "NA")</f>
      </c>
      <c r="D250" s="15"/>
      <c r="E250" s="13">
        <v>0</v>
      </c>
      <c r="F250" s="14">
        <f>IFERROR(E250/E327, "NA")</f>
      </c>
      <c r="G250" s="15"/>
      <c r="H250" s="13">
        <v>0</v>
      </c>
      <c r="I250" s="14">
        <f>IFERROR(H250/H327, "NA")</f>
      </c>
      <c r="J250" s="15"/>
      <c r="K250" s="13">
        <v>0</v>
      </c>
      <c r="L250" s="14">
        <f>IFERROR(K250/K327, "NA")</f>
      </c>
      <c r="M250" s="15"/>
      <c r="N250" s="13">
        <v>0</v>
      </c>
      <c r="O250" s="14">
        <f>IFERROR(N250/N327, "NA")</f>
      </c>
    </row>
    <row r="251" ht="16.5" customHeight="1">
      <c t="s" r="A251" s="12">
        <v>254</v>
      </c>
      <c r="B251" s="13">
        <v>0</v>
      </c>
      <c r="C251" s="14">
        <f>IFERROR(B251/B327, "NA")</f>
      </c>
      <c r="D251" s="15"/>
      <c r="E251" s="13">
        <v>0</v>
      </c>
      <c r="F251" s="14">
        <f>IFERROR(E251/E327, "NA")</f>
      </c>
      <c r="G251" s="15"/>
      <c r="H251" s="13">
        <v>0</v>
      </c>
      <c r="I251" s="14">
        <f>IFERROR(H251/H327, "NA")</f>
      </c>
      <c r="J251" s="15"/>
      <c r="K251" s="13">
        <v>0</v>
      </c>
      <c r="L251" s="14">
        <f>IFERROR(K251/K327, "NA")</f>
      </c>
      <c r="M251" s="15"/>
      <c r="N251" s="13">
        <v>0</v>
      </c>
      <c r="O251" s="14">
        <f>IFERROR(N251/N327, "NA")</f>
      </c>
    </row>
    <row r="252" ht="16.5" customHeight="1">
      <c t="s" r="A252" s="16">
        <v>255</v>
      </c>
      <c r="B252" s="17">
        <f>IFERROR(B243+B244+B245+B246+B247+B248+B249+B250+B251, "NA")</f>
      </c>
      <c r="C252" s="18">
        <f>IFERROR(B252/B327, "NA")</f>
      </c>
      <c r="D252" s="8"/>
      <c r="E252" s="17">
        <f>IFERROR(E243+E244+E245+E246+E247+E248+E249+E250+E251, "NA")</f>
      </c>
      <c r="F252" s="18">
        <f>IFERROR(E252/E327, "NA")</f>
      </c>
      <c r="G252" s="8"/>
      <c r="H252" s="17">
        <f>IFERROR(H243+H244+H245+H246+H247+H248+H249+H250+H251, "NA")</f>
      </c>
      <c r="I252" s="18">
        <f>IFERROR(H252/H327, "NA")</f>
      </c>
      <c r="J252" s="8"/>
      <c r="K252" s="17">
        <f>IFERROR(K243+K244+K245+K246+K247+K248+K249+K250+K251, "NA")</f>
      </c>
      <c r="L252" s="18">
        <f>IFERROR(K252/K327, "NA")</f>
      </c>
      <c r="M252" s="8"/>
      <c r="N252" s="17">
        <f>IFERROR(N243+N244+N245+N246+N247+N248+N249+N250+N251, "NA")</f>
      </c>
      <c r="O252" s="18">
        <f>IFERROR(N252/N327, "NA")</f>
      </c>
    </row>
    <row r="253" ht="16.5" customHeight="1">
      <c t="s" r="A253" s="11">
        <v>256</v>
      </c>
      <c r="B253" s="8"/>
      <c r="C253" s="9"/>
      <c r="D253" s="10"/>
      <c r="E253" s="8"/>
      <c r="F253" s="9"/>
      <c r="G253" s="10"/>
      <c r="H253" s="8"/>
      <c r="I253" s="9"/>
      <c r="J253" s="10"/>
      <c r="K253" s="8"/>
      <c r="L253" s="9"/>
      <c r="M253" s="10"/>
      <c r="N253" s="8"/>
      <c r="O253" s="9"/>
    </row>
    <row r="254" ht="16.5" customHeight="1">
      <c t="s" r="A254" s="12">
        <v>257</v>
      </c>
      <c r="B254" s="13">
        <v>0</v>
      </c>
      <c r="C254" s="14">
        <f>IFERROR(B254/B327, "NA")</f>
      </c>
      <c r="D254" s="15"/>
      <c r="E254" s="13">
        <v>0</v>
      </c>
      <c r="F254" s="14">
        <f>IFERROR(E254/E327, "NA")</f>
      </c>
      <c r="G254" s="15"/>
      <c r="H254" s="13">
        <v>0</v>
      </c>
      <c r="I254" s="14">
        <f>IFERROR(H254/H327, "NA")</f>
      </c>
      <c r="J254" s="15"/>
      <c r="K254" s="13">
        <v>0</v>
      </c>
      <c r="L254" s="14">
        <f>IFERROR(K254/K327, "NA")</f>
      </c>
      <c r="M254" s="15"/>
      <c r="N254" s="13">
        <v>0</v>
      </c>
      <c r="O254" s="14">
        <f>IFERROR(N254/N327, "NA")</f>
      </c>
    </row>
    <row r="255" ht="16.5" customHeight="1">
      <c t="s" r="A255" s="12">
        <v>258</v>
      </c>
      <c r="B255" s="13">
        <v>0</v>
      </c>
      <c r="C255" s="14">
        <f>IFERROR(B255/B327, "NA")</f>
      </c>
      <c r="D255" s="15"/>
      <c r="E255" s="13">
        <v>0</v>
      </c>
      <c r="F255" s="14">
        <f>IFERROR(E255/E327, "NA")</f>
      </c>
      <c r="G255" s="15"/>
      <c r="H255" s="13">
        <v>0</v>
      </c>
      <c r="I255" s="14">
        <f>IFERROR(H255/H327, "NA")</f>
      </c>
      <c r="J255" s="15"/>
      <c r="K255" s="13">
        <v>0</v>
      </c>
      <c r="L255" s="14">
        <f>IFERROR(K255/K327, "NA")</f>
      </c>
      <c r="M255" s="15"/>
      <c r="N255" s="13">
        <v>0</v>
      </c>
      <c r="O255" s="14">
        <f>IFERROR(N255/N327, "NA")</f>
      </c>
    </row>
    <row r="256" ht="16.5" customHeight="1">
      <c t="s" r="A256" s="12">
        <v>259</v>
      </c>
      <c r="B256" s="13">
        <v>0</v>
      </c>
      <c r="C256" s="14">
        <f>IFERROR(B256/B327, "NA")</f>
      </c>
      <c r="D256" s="15"/>
      <c r="E256" s="13">
        <v>0</v>
      </c>
      <c r="F256" s="14">
        <f>IFERROR(E256/E327, "NA")</f>
      </c>
      <c r="G256" s="15"/>
      <c r="H256" s="13">
        <v>0</v>
      </c>
      <c r="I256" s="14">
        <f>IFERROR(H256/H327, "NA")</f>
      </c>
      <c r="J256" s="15"/>
      <c r="K256" s="13">
        <v>0</v>
      </c>
      <c r="L256" s="14">
        <f>IFERROR(K256/K327, "NA")</f>
      </c>
      <c r="M256" s="15"/>
      <c r="N256" s="13">
        <v>0</v>
      </c>
      <c r="O256" s="14">
        <f>IFERROR(N256/N327, "NA")</f>
      </c>
    </row>
    <row r="257" ht="16.5" customHeight="1">
      <c t="s" r="A257" s="12">
        <v>260</v>
      </c>
      <c r="B257" s="13">
        <v>0</v>
      </c>
      <c r="C257" s="14">
        <f>IFERROR(B257/B327, "NA")</f>
      </c>
      <c r="D257" s="15"/>
      <c r="E257" s="13">
        <v>0</v>
      </c>
      <c r="F257" s="14">
        <f>IFERROR(E257/E327, "NA")</f>
      </c>
      <c r="G257" s="15"/>
      <c r="H257" s="13">
        <v>0</v>
      </c>
      <c r="I257" s="14">
        <f>IFERROR(H257/H327, "NA")</f>
      </c>
      <c r="J257" s="15"/>
      <c r="K257" s="13">
        <v>0</v>
      </c>
      <c r="L257" s="14">
        <f>IFERROR(K257/K327, "NA")</f>
      </c>
      <c r="M257" s="15"/>
      <c r="N257" s="13">
        <v>0</v>
      </c>
      <c r="O257" s="14">
        <f>IFERROR(N257/N327, "NA")</f>
      </c>
    </row>
    <row r="258" ht="16.5" customHeight="1">
      <c t="s" r="A258" s="12">
        <v>261</v>
      </c>
      <c r="B258" s="13">
        <v>7344.1199999999999</v>
      </c>
      <c r="C258" s="14">
        <f>IFERROR(B258/B327, "NA")</f>
      </c>
      <c r="D258" s="15"/>
      <c r="E258" s="13">
        <v>0</v>
      </c>
      <c r="F258" s="14">
        <f>IFERROR(E258/E327, "NA")</f>
      </c>
      <c r="G258" s="15"/>
      <c r="H258" s="13">
        <v>0</v>
      </c>
      <c r="I258" s="14">
        <f>IFERROR(H258/H327, "NA")</f>
      </c>
      <c r="J258" s="15"/>
      <c r="K258" s="13">
        <v>0</v>
      </c>
      <c r="L258" s="14">
        <f>IFERROR(K258/K327, "NA")</f>
      </c>
      <c r="M258" s="15"/>
      <c r="N258" s="13">
        <v>0</v>
      </c>
      <c r="O258" s="14">
        <f>IFERROR(N258/N327, "NA")</f>
      </c>
    </row>
    <row r="259" ht="16.5" customHeight="1">
      <c t="s" r="A259" s="12">
        <v>262</v>
      </c>
      <c r="B259" s="13">
        <v>0</v>
      </c>
      <c r="C259" s="14">
        <f>IFERROR(B259/B327, "NA")</f>
      </c>
      <c r="D259" s="15"/>
      <c r="E259" s="13">
        <v>0</v>
      </c>
      <c r="F259" s="14">
        <f>IFERROR(E259/E327, "NA")</f>
      </c>
      <c r="G259" s="15"/>
      <c r="H259" s="13">
        <v>0</v>
      </c>
      <c r="I259" s="14">
        <f>IFERROR(H259/H327, "NA")</f>
      </c>
      <c r="J259" s="15"/>
      <c r="K259" s="13">
        <v>0</v>
      </c>
      <c r="L259" s="14">
        <f>IFERROR(K259/K327, "NA")</f>
      </c>
      <c r="M259" s="15"/>
      <c r="N259" s="13">
        <v>0</v>
      </c>
      <c r="O259" s="14">
        <f>IFERROR(N259/N327, "NA")</f>
      </c>
    </row>
    <row r="260" ht="16.5" customHeight="1">
      <c t="s" r="A260" s="12">
        <v>263</v>
      </c>
      <c r="B260" s="13">
        <v>0</v>
      </c>
      <c r="C260" s="14">
        <f>IFERROR(B260/B327, "NA")</f>
      </c>
      <c r="D260" s="15"/>
      <c r="E260" s="13">
        <v>0</v>
      </c>
      <c r="F260" s="14">
        <f>IFERROR(E260/E327, "NA")</f>
      </c>
      <c r="G260" s="15"/>
      <c r="H260" s="13">
        <v>0</v>
      </c>
      <c r="I260" s="14">
        <f>IFERROR(H260/H327, "NA")</f>
      </c>
      <c r="J260" s="15"/>
      <c r="K260" s="13">
        <v>0</v>
      </c>
      <c r="L260" s="14">
        <f>IFERROR(K260/K327, "NA")</f>
      </c>
      <c r="M260" s="15"/>
      <c r="N260" s="13">
        <v>0</v>
      </c>
      <c r="O260" s="14">
        <f>IFERROR(N260/N327, "NA")</f>
      </c>
    </row>
    <row r="261" ht="16.5" customHeight="1">
      <c t="s" r="A261" s="12">
        <v>264</v>
      </c>
      <c r="B261" s="13">
        <v>0</v>
      </c>
      <c r="C261" s="14">
        <f>IFERROR(B261/B327, "NA")</f>
      </c>
      <c r="D261" s="15"/>
      <c r="E261" s="13">
        <v>0</v>
      </c>
      <c r="F261" s="14">
        <f>IFERROR(E261/E327, "NA")</f>
      </c>
      <c r="G261" s="15"/>
      <c r="H261" s="13">
        <v>0</v>
      </c>
      <c r="I261" s="14">
        <f>IFERROR(H261/H327, "NA")</f>
      </c>
      <c r="J261" s="15"/>
      <c r="K261" s="13">
        <v>25659.16</v>
      </c>
      <c r="L261" s="14">
        <f>IFERROR(K261/K327, "NA")</f>
      </c>
      <c r="M261" s="15"/>
      <c r="N261" s="13">
        <v>0</v>
      </c>
      <c r="O261" s="14">
        <f>IFERROR(N261/N327, "NA")</f>
      </c>
    </row>
    <row r="262" ht="16.5" customHeight="1">
      <c t="s" r="A262" s="12">
        <v>265</v>
      </c>
      <c r="B262" s="13">
        <v>0</v>
      </c>
      <c r="C262" s="14">
        <f>IFERROR(B262/B327, "NA")</f>
      </c>
      <c r="D262" s="15"/>
      <c r="E262" s="13">
        <v>0</v>
      </c>
      <c r="F262" s="14">
        <f>IFERROR(E262/E327, "NA")</f>
      </c>
      <c r="G262" s="15"/>
      <c r="H262" s="13">
        <v>0</v>
      </c>
      <c r="I262" s="14">
        <f>IFERROR(H262/H327, "NA")</f>
      </c>
      <c r="J262" s="15"/>
      <c r="K262" s="13">
        <v>8944.5</v>
      </c>
      <c r="L262" s="14">
        <f>IFERROR(K262/K327, "NA")</f>
      </c>
      <c r="M262" s="15"/>
      <c r="N262" s="13">
        <v>0</v>
      </c>
      <c r="O262" s="14">
        <f>IFERROR(N262/N327, "NA")</f>
      </c>
    </row>
    <row r="263" ht="16.5" customHeight="1">
      <c t="s" r="A263" s="16">
        <v>266</v>
      </c>
      <c r="B263" s="17">
        <f>IFERROR(B254+B255+B256+B257+B258+B259+B260+B261+B262, "NA")</f>
      </c>
      <c r="C263" s="18">
        <f>IFERROR(B263/B327, "NA")</f>
      </c>
      <c r="D263" s="8"/>
      <c r="E263" s="17">
        <f>IFERROR(E254+E255+E256+E257+E258+E259+E260+E261+E262, "NA")</f>
      </c>
      <c r="F263" s="18">
        <f>IFERROR(E263/E327, "NA")</f>
      </c>
      <c r="G263" s="8"/>
      <c r="H263" s="17">
        <f>IFERROR(H254+H255+H256+H257+H258+H259+H260+H261+H262, "NA")</f>
      </c>
      <c r="I263" s="18">
        <f>IFERROR(H263/H327, "NA")</f>
      </c>
      <c r="J263" s="8"/>
      <c r="K263" s="17">
        <f>IFERROR(K254+K255+K256+K257+K258+K259+K260+K261+K262, "NA")</f>
      </c>
      <c r="L263" s="18">
        <f>IFERROR(K263/K327, "NA")</f>
      </c>
      <c r="M263" s="8"/>
      <c r="N263" s="17">
        <f>IFERROR(N254+N255+N256+N257+N258+N259+N260+N261+N262, "NA")</f>
      </c>
      <c r="O263" s="18">
        <f>IFERROR(N263/N327, "NA")</f>
      </c>
    </row>
    <row r="264" ht="16.5" customHeight="1">
      <c t="s" r="A264" s="11">
        <v>267</v>
      </c>
      <c r="B264" s="8"/>
      <c r="C264" s="9"/>
      <c r="D264" s="10"/>
      <c r="E264" s="8"/>
      <c r="F264" s="9"/>
      <c r="G264" s="10"/>
      <c r="H264" s="8"/>
      <c r="I264" s="9"/>
      <c r="J264" s="10"/>
      <c r="K264" s="8"/>
      <c r="L264" s="9"/>
      <c r="M264" s="10"/>
      <c r="N264" s="8"/>
      <c r="O264" s="9"/>
    </row>
    <row r="265" ht="16.5" customHeight="1">
      <c t="s" r="A265" s="12">
        <v>268</v>
      </c>
      <c r="B265" s="13">
        <v>0</v>
      </c>
      <c r="C265" s="14">
        <f>IFERROR(B265/B327, "NA")</f>
      </c>
      <c r="D265" s="15"/>
      <c r="E265" s="13">
        <v>0</v>
      </c>
      <c r="F265" s="14">
        <f>IFERROR(E265/E327, "NA")</f>
      </c>
      <c r="G265" s="15"/>
      <c r="H265" s="13">
        <v>0</v>
      </c>
      <c r="I265" s="14">
        <f>IFERROR(H265/H327, "NA")</f>
      </c>
      <c r="J265" s="15"/>
      <c r="K265" s="13">
        <v>0</v>
      </c>
      <c r="L265" s="14">
        <f>IFERROR(K265/K327, "NA")</f>
      </c>
      <c r="M265" s="15"/>
      <c r="N265" s="13">
        <v>0</v>
      </c>
      <c r="O265" s="14">
        <f>IFERROR(N265/N327, "NA")</f>
      </c>
    </row>
    <row r="266" ht="16.5" customHeight="1">
      <c t="s" r="A266" s="12">
        <v>269</v>
      </c>
      <c r="B266" s="13">
        <v>0</v>
      </c>
      <c r="C266" s="14">
        <f>IFERROR(B266/B327, "NA")</f>
      </c>
      <c r="D266" s="15"/>
      <c r="E266" s="13">
        <v>0</v>
      </c>
      <c r="F266" s="14">
        <f>IFERROR(E266/E327, "NA")</f>
      </c>
      <c r="G266" s="15"/>
      <c r="H266" s="13">
        <v>0</v>
      </c>
      <c r="I266" s="14">
        <f>IFERROR(H266/H327, "NA")</f>
      </c>
      <c r="J266" s="15"/>
      <c r="K266" s="13">
        <v>0</v>
      </c>
      <c r="L266" s="14">
        <f>IFERROR(K266/K327, "NA")</f>
      </c>
      <c r="M266" s="15"/>
      <c r="N266" s="13">
        <v>0</v>
      </c>
      <c r="O266" s="14">
        <f>IFERROR(N266/N327, "NA")</f>
      </c>
    </row>
    <row r="267" ht="16.5" customHeight="1">
      <c t="s" r="A267" s="12">
        <v>270</v>
      </c>
      <c r="B267" s="13">
        <v>0</v>
      </c>
      <c r="C267" s="14">
        <f>IFERROR(B267/B327, "NA")</f>
      </c>
      <c r="D267" s="15"/>
      <c r="E267" s="13">
        <v>0</v>
      </c>
      <c r="F267" s="14">
        <f>IFERROR(E267/E327, "NA")</f>
      </c>
      <c r="G267" s="15"/>
      <c r="H267" s="13">
        <v>0</v>
      </c>
      <c r="I267" s="14">
        <f>IFERROR(H267/H327, "NA")</f>
      </c>
      <c r="J267" s="15"/>
      <c r="K267" s="13">
        <v>0</v>
      </c>
      <c r="L267" s="14">
        <f>IFERROR(K267/K327, "NA")</f>
      </c>
      <c r="M267" s="15"/>
      <c r="N267" s="13">
        <v>0</v>
      </c>
      <c r="O267" s="14">
        <f>IFERROR(N267/N327, "NA")</f>
      </c>
    </row>
    <row r="268" ht="16.5" customHeight="1">
      <c t="s" r="A268" s="12">
        <v>271</v>
      </c>
      <c r="B268" s="13">
        <v>-23.43</v>
      </c>
      <c r="C268" s="14">
        <f>IFERROR(B268/B327, "NA")</f>
      </c>
      <c r="D268" s="15"/>
      <c r="E268" s="13">
        <v>-4924.5</v>
      </c>
      <c r="F268" s="14">
        <f>IFERROR(E268/E327, "NA")</f>
      </c>
      <c r="G268" s="15"/>
      <c r="H268" s="13">
        <v>-3000</v>
      </c>
      <c r="I268" s="14">
        <f>IFERROR(H268/H327, "NA")</f>
      </c>
      <c r="J268" s="15"/>
      <c r="K268" s="13">
        <v>-5.0999999999999996</v>
      </c>
      <c r="L268" s="14">
        <f>IFERROR(K268/K327, "NA")</f>
      </c>
      <c r="M268" s="15"/>
      <c r="N268" s="13">
        <v>-10.199999999999999</v>
      </c>
      <c r="O268" s="14">
        <f>IFERROR(N268/N327, "NA")</f>
      </c>
    </row>
    <row r="269" ht="16.5" customHeight="1">
      <c t="s" r="A269" s="12">
        <v>272</v>
      </c>
      <c r="B269" s="13">
        <v>0</v>
      </c>
      <c r="C269" s="14">
        <f>IFERROR(B269/B327, "NA")</f>
      </c>
      <c r="D269" s="15"/>
      <c r="E269" s="13">
        <v>0</v>
      </c>
      <c r="F269" s="14">
        <f>IFERROR(E269/E327, "NA")</f>
      </c>
      <c r="G269" s="15"/>
      <c r="H269" s="13">
        <v>0</v>
      </c>
      <c r="I269" s="14">
        <f>IFERROR(H269/H327, "NA")</f>
      </c>
      <c r="J269" s="15"/>
      <c r="K269" s="13">
        <v>0</v>
      </c>
      <c r="L269" s="14">
        <f>IFERROR(K269/K327, "NA")</f>
      </c>
      <c r="M269" s="15"/>
      <c r="N269" s="13">
        <v>0</v>
      </c>
      <c r="O269" s="14">
        <f>IFERROR(N269/N327, "NA")</f>
      </c>
    </row>
    <row r="270" ht="16.5" customHeight="1">
      <c t="s" r="A270" s="12">
        <v>273</v>
      </c>
      <c r="B270" s="13">
        <v>0</v>
      </c>
      <c r="C270" s="14">
        <f>IFERROR(B270/B327, "NA")</f>
      </c>
      <c r="D270" s="15"/>
      <c r="E270" s="13">
        <v>0</v>
      </c>
      <c r="F270" s="14">
        <f>IFERROR(E270/E327, "NA")</f>
      </c>
      <c r="G270" s="15"/>
      <c r="H270" s="13">
        <v>0</v>
      </c>
      <c r="I270" s="14">
        <f>IFERROR(H270/H327, "NA")</f>
      </c>
      <c r="J270" s="15"/>
      <c r="K270" s="13">
        <v>0</v>
      </c>
      <c r="L270" s="14">
        <f>IFERROR(K270/K327, "NA")</f>
      </c>
      <c r="M270" s="15"/>
      <c r="N270" s="13">
        <v>0</v>
      </c>
      <c r="O270" s="14">
        <f>IFERROR(N270/N327, "NA")</f>
      </c>
    </row>
    <row r="271" ht="16.5" customHeight="1">
      <c t="s" r="A271" s="12">
        <v>274</v>
      </c>
      <c r="B271" s="13">
        <v>0</v>
      </c>
      <c r="C271" s="14">
        <f>IFERROR(B271/B327, "NA")</f>
      </c>
      <c r="D271" s="15"/>
      <c r="E271" s="13">
        <v>0</v>
      </c>
      <c r="F271" s="14">
        <f>IFERROR(E271/E327, "NA")</f>
      </c>
      <c r="G271" s="15"/>
      <c r="H271" s="13">
        <v>0</v>
      </c>
      <c r="I271" s="14">
        <f>IFERROR(H271/H327, "NA")</f>
      </c>
      <c r="J271" s="15"/>
      <c r="K271" s="13">
        <v>0</v>
      </c>
      <c r="L271" s="14">
        <f>IFERROR(K271/K327, "NA")</f>
      </c>
      <c r="M271" s="15"/>
      <c r="N271" s="13">
        <v>0</v>
      </c>
      <c r="O271" s="14">
        <f>IFERROR(N271/N327, "NA")</f>
      </c>
    </row>
    <row r="272" ht="16.5" customHeight="1">
      <c t="s" r="A272" s="12">
        <v>275</v>
      </c>
      <c r="B272" s="13">
        <v>0</v>
      </c>
      <c r="C272" s="14">
        <f>IFERROR(B272/B327, "NA")</f>
      </c>
      <c r="D272" s="15"/>
      <c r="E272" s="13">
        <v>0</v>
      </c>
      <c r="F272" s="14">
        <f>IFERROR(E272/E327, "NA")</f>
      </c>
      <c r="G272" s="15"/>
      <c r="H272" s="13">
        <v>0</v>
      </c>
      <c r="I272" s="14">
        <f>IFERROR(H272/H327, "NA")</f>
      </c>
      <c r="J272" s="15"/>
      <c r="K272" s="13">
        <v>0</v>
      </c>
      <c r="L272" s="14">
        <f>IFERROR(K272/K327, "NA")</f>
      </c>
      <c r="M272" s="15"/>
      <c r="N272" s="13">
        <v>0</v>
      </c>
      <c r="O272" s="14">
        <f>IFERROR(N272/N327, "NA")</f>
      </c>
    </row>
    <row r="273" ht="16.5" customHeight="1">
      <c t="s" r="A273" s="12">
        <v>276</v>
      </c>
      <c r="B273" s="13">
        <v>0</v>
      </c>
      <c r="C273" s="14">
        <f>IFERROR(B273/B327, "NA")</f>
      </c>
      <c r="D273" s="15"/>
      <c r="E273" s="13">
        <v>0</v>
      </c>
      <c r="F273" s="14">
        <f>IFERROR(E273/E327, "NA")</f>
      </c>
      <c r="G273" s="15"/>
      <c r="H273" s="13">
        <v>0</v>
      </c>
      <c r="I273" s="14">
        <f>IFERROR(H273/H327, "NA")</f>
      </c>
      <c r="J273" s="15"/>
      <c r="K273" s="13">
        <v>0</v>
      </c>
      <c r="L273" s="14">
        <f>IFERROR(K273/K327, "NA")</f>
      </c>
      <c r="M273" s="15"/>
      <c r="N273" s="13">
        <v>0</v>
      </c>
      <c r="O273" s="14">
        <f>IFERROR(N273/N327, "NA")</f>
      </c>
    </row>
    <row r="274" ht="16.5" customHeight="1">
      <c t="s" r="A274" s="12">
        <v>277</v>
      </c>
      <c r="B274" s="13">
        <v>0</v>
      </c>
      <c r="C274" s="14">
        <f>IFERROR(B274/B327, "NA")</f>
      </c>
      <c r="D274" s="15"/>
      <c r="E274" s="13">
        <v>0</v>
      </c>
      <c r="F274" s="14">
        <f>IFERROR(E274/E327, "NA")</f>
      </c>
      <c r="G274" s="15"/>
      <c r="H274" s="13">
        <v>0</v>
      </c>
      <c r="I274" s="14">
        <f>IFERROR(H274/H327, "NA")</f>
      </c>
      <c r="J274" s="15"/>
      <c r="K274" s="13">
        <v>0</v>
      </c>
      <c r="L274" s="14">
        <f>IFERROR(K274/K327, "NA")</f>
      </c>
      <c r="M274" s="15"/>
      <c r="N274" s="13">
        <v>0</v>
      </c>
      <c r="O274" s="14">
        <f>IFERROR(N274/N327, "NA")</f>
      </c>
    </row>
    <row r="275" ht="16.5" customHeight="1">
      <c t="s" r="A275" s="12">
        <v>278</v>
      </c>
      <c r="B275" s="13">
        <v>0</v>
      </c>
      <c r="C275" s="14">
        <f>IFERROR(B275/B327, "NA")</f>
      </c>
      <c r="D275" s="15"/>
      <c r="E275" s="13">
        <v>0</v>
      </c>
      <c r="F275" s="14">
        <f>IFERROR(E275/E327, "NA")</f>
      </c>
      <c r="G275" s="15"/>
      <c r="H275" s="13">
        <v>0</v>
      </c>
      <c r="I275" s="14">
        <f>IFERROR(H275/H327, "NA")</f>
      </c>
      <c r="J275" s="15"/>
      <c r="K275" s="13">
        <v>0</v>
      </c>
      <c r="L275" s="14">
        <f>IFERROR(K275/K327, "NA")</f>
      </c>
      <c r="M275" s="15"/>
      <c r="N275" s="13">
        <v>0</v>
      </c>
      <c r="O275" s="14">
        <f>IFERROR(N275/N327, "NA")</f>
      </c>
    </row>
    <row r="276" ht="16.5" customHeight="1">
      <c t="s" r="A276" s="12">
        <v>279</v>
      </c>
      <c r="B276" s="13">
        <v>0</v>
      </c>
      <c r="C276" s="14">
        <f>IFERROR(B276/B327, "NA")</f>
      </c>
      <c r="D276" s="15"/>
      <c r="E276" s="13">
        <v>0</v>
      </c>
      <c r="F276" s="14">
        <f>IFERROR(E276/E327, "NA")</f>
      </c>
      <c r="G276" s="15"/>
      <c r="H276" s="13">
        <v>0</v>
      </c>
      <c r="I276" s="14">
        <f>IFERROR(H276/H327, "NA")</f>
      </c>
      <c r="J276" s="15"/>
      <c r="K276" s="13">
        <v>0</v>
      </c>
      <c r="L276" s="14">
        <f>IFERROR(K276/K327, "NA")</f>
      </c>
      <c r="M276" s="15"/>
      <c r="N276" s="13">
        <v>0</v>
      </c>
      <c r="O276" s="14">
        <f>IFERROR(N276/N327, "NA")</f>
      </c>
    </row>
    <row r="277" ht="16.5" customHeight="1">
      <c t="s" r="A277" s="12">
        <v>280</v>
      </c>
      <c r="B277" s="13">
        <v>0</v>
      </c>
      <c r="C277" s="14">
        <f>IFERROR(B277/B327, "NA")</f>
      </c>
      <c r="D277" s="15"/>
      <c r="E277" s="13">
        <v>0</v>
      </c>
      <c r="F277" s="14">
        <f>IFERROR(E277/E327, "NA")</f>
      </c>
      <c r="G277" s="15"/>
      <c r="H277" s="13">
        <v>0</v>
      </c>
      <c r="I277" s="14">
        <f>IFERROR(H277/H327, "NA")</f>
      </c>
      <c r="J277" s="15"/>
      <c r="K277" s="13">
        <v>0</v>
      </c>
      <c r="L277" s="14">
        <f>IFERROR(K277/K327, "NA")</f>
      </c>
      <c r="M277" s="15"/>
      <c r="N277" s="13">
        <v>0</v>
      </c>
      <c r="O277" s="14">
        <f>IFERROR(N277/N327, "NA")</f>
      </c>
    </row>
    <row r="278" ht="16.5" customHeight="1">
      <c t="s" r="A278" s="12">
        <v>281</v>
      </c>
      <c r="B278" s="13">
        <v>-4856.21</v>
      </c>
      <c r="C278" s="14">
        <f>IFERROR(B278/B327, "NA")</f>
      </c>
      <c r="D278" s="15"/>
      <c r="E278" s="13">
        <v>-6014.0900000000001</v>
      </c>
      <c r="F278" s="14">
        <f>IFERROR(E278/E327, "NA")</f>
      </c>
      <c r="G278" s="15"/>
      <c r="H278" s="13">
        <v>-8156.0600000000004</v>
      </c>
      <c r="I278" s="14">
        <f>IFERROR(H278/H327, "NA")</f>
      </c>
      <c r="J278" s="15"/>
      <c r="K278" s="13">
        <v>-6454.7600000000002</v>
      </c>
      <c r="L278" s="14">
        <f>IFERROR(K278/K327, "NA")</f>
      </c>
      <c r="M278" s="15"/>
      <c r="N278" s="13">
        <v>-7906.3900000000003</v>
      </c>
      <c r="O278" s="14">
        <f>IFERROR(N278/N327, "NA")</f>
      </c>
    </row>
    <row r="279" ht="16.5" customHeight="1">
      <c t="s" r="A279" s="12">
        <v>282</v>
      </c>
      <c r="B279" s="13">
        <v>0</v>
      </c>
      <c r="C279" s="14">
        <f>IFERROR(B279/B327, "NA")</f>
      </c>
      <c r="D279" s="15"/>
      <c r="E279" s="13">
        <v>0</v>
      </c>
      <c r="F279" s="14">
        <f>IFERROR(E279/E327, "NA")</f>
      </c>
      <c r="G279" s="15"/>
      <c r="H279" s="13">
        <v>0</v>
      </c>
      <c r="I279" s="14">
        <f>IFERROR(H279/H327, "NA")</f>
      </c>
      <c r="J279" s="15"/>
      <c r="K279" s="13">
        <v>0</v>
      </c>
      <c r="L279" s="14">
        <f>IFERROR(K279/K327, "NA")</f>
      </c>
      <c r="M279" s="15"/>
      <c r="N279" s="13">
        <v>0</v>
      </c>
      <c r="O279" s="14">
        <f>IFERROR(N279/N327, "NA")</f>
      </c>
    </row>
    <row r="280" ht="16.5" customHeight="1">
      <c t="s" r="A280" s="12">
        <v>283</v>
      </c>
      <c r="B280" s="13">
        <v>0</v>
      </c>
      <c r="C280" s="14">
        <f>IFERROR(B280/B327, "NA")</f>
      </c>
      <c r="D280" s="15"/>
      <c r="E280" s="13">
        <v>0</v>
      </c>
      <c r="F280" s="14">
        <f>IFERROR(E280/E327, "NA")</f>
      </c>
      <c r="G280" s="15"/>
      <c r="H280" s="13">
        <v>0</v>
      </c>
      <c r="I280" s="14">
        <f>IFERROR(H280/H327, "NA")</f>
      </c>
      <c r="J280" s="15"/>
      <c r="K280" s="13">
        <v>0</v>
      </c>
      <c r="L280" s="14">
        <f>IFERROR(K280/K327, "NA")</f>
      </c>
      <c r="M280" s="15"/>
      <c r="N280" s="13">
        <v>0</v>
      </c>
      <c r="O280" s="14">
        <f>IFERROR(N280/N327, "NA")</f>
      </c>
    </row>
    <row r="281" ht="16.5" customHeight="1">
      <c t="s" r="A281" s="12">
        <v>284</v>
      </c>
      <c r="B281" s="13">
        <v>0</v>
      </c>
      <c r="C281" s="14">
        <f>IFERROR(B281/B327, "NA")</f>
      </c>
      <c r="D281" s="15"/>
      <c r="E281" s="13">
        <v>0</v>
      </c>
      <c r="F281" s="14">
        <f>IFERROR(E281/E327, "NA")</f>
      </c>
      <c r="G281" s="15"/>
      <c r="H281" s="13">
        <v>0</v>
      </c>
      <c r="I281" s="14">
        <f>IFERROR(H281/H327, "NA")</f>
      </c>
      <c r="J281" s="15"/>
      <c r="K281" s="13">
        <v>0</v>
      </c>
      <c r="L281" s="14">
        <f>IFERROR(K281/K327, "NA")</f>
      </c>
      <c r="M281" s="15"/>
      <c r="N281" s="13">
        <v>0</v>
      </c>
      <c r="O281" s="14">
        <f>IFERROR(N281/N327, "NA")</f>
      </c>
    </row>
    <row r="282" ht="16.5" customHeight="1">
      <c t="s" r="A282" s="12">
        <v>285</v>
      </c>
      <c r="B282" s="13">
        <v>0</v>
      </c>
      <c r="C282" s="14">
        <f>IFERROR(B282/B327, "NA")</f>
      </c>
      <c r="D282" s="15"/>
      <c r="E282" s="13">
        <v>0</v>
      </c>
      <c r="F282" s="14">
        <f>IFERROR(E282/E327, "NA")</f>
      </c>
      <c r="G282" s="15"/>
      <c r="H282" s="13">
        <v>0</v>
      </c>
      <c r="I282" s="14">
        <f>IFERROR(H282/H327, "NA")</f>
      </c>
      <c r="J282" s="15"/>
      <c r="K282" s="13">
        <v>0</v>
      </c>
      <c r="L282" s="14">
        <f>IFERROR(K282/K327, "NA")</f>
      </c>
      <c r="M282" s="15"/>
      <c r="N282" s="13">
        <v>0</v>
      </c>
      <c r="O282" s="14">
        <f>IFERROR(N282/N327, "NA")</f>
      </c>
    </row>
    <row r="283" ht="16.5" customHeight="1">
      <c t="s" r="A283" s="16">
        <v>286</v>
      </c>
      <c r="B283" s="17">
        <f>IFERROR(B265+B266+B267+B268+B269+B270+B271+B272+B273+B274+B275+B276+B277+B278+B279+B280+B281+B282, "NA")</f>
      </c>
      <c r="C283" s="18">
        <f>IFERROR(B283/B327, "NA")</f>
      </c>
      <c r="D283" s="8"/>
      <c r="E283" s="17">
        <f>IFERROR(E265+E266+E267+E268+E269+E270+E271+E272+E273+E274+E275+E276+E277+E278+E279+E280+E281+E282, "NA")</f>
      </c>
      <c r="F283" s="18">
        <f>IFERROR(E283/E327, "NA")</f>
      </c>
      <c r="G283" s="8"/>
      <c r="H283" s="17">
        <f>IFERROR(H265+H266+H267+H268+H269+H270+H271+H272+H273+H274+H275+H276+H277+H278+H279+H280+H281+H282, "NA")</f>
      </c>
      <c r="I283" s="18">
        <f>IFERROR(H283/H327, "NA")</f>
      </c>
      <c r="J283" s="8"/>
      <c r="K283" s="17">
        <f>IFERROR(K265+K266+K267+K268+K269+K270+K271+K272+K273+K274+K275+K276+K277+K278+K279+K280+K281+K282, "NA")</f>
      </c>
      <c r="L283" s="18">
        <f>IFERROR(K283/K327, "NA")</f>
      </c>
      <c r="M283" s="8"/>
      <c r="N283" s="17">
        <f>IFERROR(N265+N266+N267+N268+N269+N270+N271+N272+N273+N274+N275+N276+N277+N278+N279+N280+N281+N282, "NA")</f>
      </c>
      <c r="O283" s="18">
        <f>IFERROR(N283/N327, "NA")</f>
      </c>
    </row>
    <row r="284" ht="16.5" customHeight="1">
      <c t="s" r="A284" s="20">
        <v>287</v>
      </c>
      <c r="B284" s="17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</c>
      <c r="C284" s="18">
        <f>IFERROR(B284/B327, "NA")</f>
      </c>
      <c r="D284" s="8"/>
      <c r="E284" s="17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</c>
      <c r="F284" s="18">
        <f>IFERROR(E284/E327, "NA")</f>
      </c>
      <c r="G284" s="8"/>
      <c r="H284" s="17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</c>
      <c r="I284" s="18">
        <f>IFERROR(H284/H327, "NA")</f>
      </c>
      <c r="J284" s="8"/>
      <c r="K284" s="17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</c>
      <c r="L284" s="18">
        <f>IFERROR(K284/K327, "NA")</f>
      </c>
      <c r="M284" s="8"/>
      <c r="N284" s="17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</c>
      <c r="O284" s="18">
        <f>IFERROR(N284/N327, "NA")</f>
      </c>
    </row>
    <row r="285" ht="16.5" customHeight="1">
      <c t="s" r="A285" s="7">
        <v>288</v>
      </c>
      <c r="B285" s="8"/>
      <c r="C285" s="9"/>
      <c r="D285" s="10"/>
      <c r="E285" s="8"/>
      <c r="F285" s="9"/>
      <c r="G285" s="10"/>
      <c r="H285" s="8"/>
      <c r="I285" s="9"/>
      <c r="J285" s="10"/>
      <c r="K285" s="8"/>
      <c r="L285" s="9"/>
      <c r="M285" s="10"/>
      <c r="N285" s="8"/>
      <c r="O285" s="9"/>
    </row>
    <row r="286" ht="16.5" customHeight="1">
      <c t="s" r="A286" s="11">
        <v>289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</row>
    <row r="287" ht="16.5" customHeight="1">
      <c t="s" r="A287" s="12">
        <v>290</v>
      </c>
      <c r="B287" s="13">
        <v>0</v>
      </c>
      <c r="C287" s="14">
        <f>IFERROR(B287/B327, "NA")</f>
      </c>
      <c r="D287" s="15"/>
      <c r="E287" s="13">
        <v>0</v>
      </c>
      <c r="F287" s="14">
        <f>IFERROR(E287/E327, "NA")</f>
      </c>
      <c r="G287" s="15"/>
      <c r="H287" s="13">
        <v>0</v>
      </c>
      <c r="I287" s="14">
        <f>IFERROR(H287/H327, "NA")</f>
      </c>
      <c r="J287" s="15"/>
      <c r="K287" s="13">
        <v>0</v>
      </c>
      <c r="L287" s="14">
        <f>IFERROR(K287/K327, "NA")</f>
      </c>
      <c r="M287" s="15"/>
      <c r="N287" s="13">
        <v>0</v>
      </c>
      <c r="O287" s="14">
        <f>IFERROR(N287/N327, "NA")</f>
      </c>
    </row>
    <row r="288" ht="16.5" customHeight="1">
      <c t="s" r="A288" s="12">
        <v>291</v>
      </c>
      <c r="B288" s="13">
        <v>0</v>
      </c>
      <c r="C288" s="14">
        <f>IFERROR(B288/B327, "NA")</f>
      </c>
      <c r="D288" s="15"/>
      <c r="E288" s="13">
        <v>0</v>
      </c>
      <c r="F288" s="14">
        <f>IFERROR(E288/E327, "NA")</f>
      </c>
      <c r="G288" s="15"/>
      <c r="H288" s="13">
        <v>0</v>
      </c>
      <c r="I288" s="14">
        <f>IFERROR(H288/H327, "NA")</f>
      </c>
      <c r="J288" s="15"/>
      <c r="K288" s="13">
        <v>0</v>
      </c>
      <c r="L288" s="14">
        <f>IFERROR(K288/K327, "NA")</f>
      </c>
      <c r="M288" s="15"/>
      <c r="N288" s="13">
        <v>0</v>
      </c>
      <c r="O288" s="14">
        <f>IFERROR(N288/N327, "NA")</f>
      </c>
    </row>
    <row r="289" ht="16.5" customHeight="1">
      <c t="s" r="A289" s="12">
        <v>292</v>
      </c>
      <c r="B289" s="13">
        <v>0</v>
      </c>
      <c r="C289" s="14">
        <f>IFERROR(B289/B327, "NA")</f>
      </c>
      <c r="D289" s="15"/>
      <c r="E289" s="13">
        <v>500</v>
      </c>
      <c r="F289" s="14">
        <f>IFERROR(E289/E327, "NA")</f>
      </c>
      <c r="G289" s="15"/>
      <c r="H289" s="13">
        <v>0</v>
      </c>
      <c r="I289" s="14">
        <f>IFERROR(H289/H327, "NA")</f>
      </c>
      <c r="J289" s="15"/>
      <c r="K289" s="13">
        <v>0</v>
      </c>
      <c r="L289" s="14">
        <f>IFERROR(K289/K327, "NA")</f>
      </c>
      <c r="M289" s="15"/>
      <c r="N289" s="13">
        <v>0</v>
      </c>
      <c r="O289" s="14">
        <f>IFERROR(N289/N327, "NA")</f>
      </c>
    </row>
    <row r="290" ht="16.5" customHeight="1">
      <c t="s" r="A290" s="12">
        <v>293</v>
      </c>
      <c r="B290" s="13">
        <v>9320</v>
      </c>
      <c r="C290" s="14">
        <f>IFERROR(B290/B327, "NA")</f>
      </c>
      <c r="D290" s="15"/>
      <c r="E290" s="13">
        <v>9377.2800000000007</v>
      </c>
      <c r="F290" s="14">
        <f>IFERROR(E290/E327, "NA")</f>
      </c>
      <c r="G290" s="15"/>
      <c r="H290" s="13">
        <v>8925.3500000000004</v>
      </c>
      <c r="I290" s="14">
        <f>IFERROR(H290/H327, "NA")</f>
      </c>
      <c r="J290" s="15"/>
      <c r="K290" s="13">
        <v>10274.6</v>
      </c>
      <c r="L290" s="14">
        <f>IFERROR(K290/K327, "NA")</f>
      </c>
      <c r="M290" s="15"/>
      <c r="N290" s="13">
        <v>12391.379999999999</v>
      </c>
      <c r="O290" s="14">
        <f>IFERROR(N290/N327, "NA")</f>
      </c>
    </row>
    <row r="291" ht="16.5" customHeight="1">
      <c t="s" r="A291" s="12">
        <v>294</v>
      </c>
      <c r="B291" s="13">
        <v>0</v>
      </c>
      <c r="C291" s="14">
        <f>IFERROR(B291/B327, "NA")</f>
      </c>
      <c r="D291" s="15"/>
      <c r="E291" s="13">
        <v>0</v>
      </c>
      <c r="F291" s="14">
        <f>IFERROR(E291/E327, "NA")</f>
      </c>
      <c r="G291" s="15"/>
      <c r="H291" s="13">
        <v>0</v>
      </c>
      <c r="I291" s="14">
        <f>IFERROR(H291/H327, "NA")</f>
      </c>
      <c r="J291" s="15"/>
      <c r="K291" s="13">
        <v>0</v>
      </c>
      <c r="L291" s="14">
        <f>IFERROR(K291/K327, "NA")</f>
      </c>
      <c r="M291" s="15"/>
      <c r="N291" s="13">
        <v>0</v>
      </c>
      <c r="O291" s="14">
        <f>IFERROR(N291/N327, "NA")</f>
      </c>
    </row>
    <row r="292" ht="16.5" customHeight="1">
      <c t="s" r="A292" s="12">
        <v>295</v>
      </c>
      <c r="B292" s="13">
        <v>0</v>
      </c>
      <c r="C292" s="14">
        <f>IFERROR(B292/B327, "NA")</f>
      </c>
      <c r="D292" s="15"/>
      <c r="E292" s="13">
        <v>0</v>
      </c>
      <c r="F292" s="14">
        <f>IFERROR(E292/E327, "NA")</f>
      </c>
      <c r="G292" s="15"/>
      <c r="H292" s="13">
        <v>0</v>
      </c>
      <c r="I292" s="14">
        <f>IFERROR(H292/H327, "NA")</f>
      </c>
      <c r="J292" s="15"/>
      <c r="K292" s="13">
        <v>0</v>
      </c>
      <c r="L292" s="14">
        <f>IFERROR(K292/K327, "NA")</f>
      </c>
      <c r="M292" s="15"/>
      <c r="N292" s="13">
        <v>0</v>
      </c>
      <c r="O292" s="14">
        <f>IFERROR(N292/N327, "NA")</f>
      </c>
    </row>
    <row r="293" ht="16.5" customHeight="1">
      <c t="s" r="A293" s="12">
        <v>296</v>
      </c>
      <c r="B293" s="13">
        <v>0</v>
      </c>
      <c r="C293" s="14">
        <f>IFERROR(B293/B327, "NA")</f>
      </c>
      <c r="D293" s="15"/>
      <c r="E293" s="13">
        <v>0</v>
      </c>
      <c r="F293" s="14">
        <f>IFERROR(E293/E327, "NA")</f>
      </c>
      <c r="G293" s="15"/>
      <c r="H293" s="13">
        <v>0</v>
      </c>
      <c r="I293" s="14">
        <f>IFERROR(H293/H327, "NA")</f>
      </c>
      <c r="J293" s="15"/>
      <c r="K293" s="13">
        <v>0</v>
      </c>
      <c r="L293" s="14">
        <f>IFERROR(K293/K327, "NA")</f>
      </c>
      <c r="M293" s="15"/>
      <c r="N293" s="13">
        <v>0</v>
      </c>
      <c r="O293" s="14">
        <f>IFERROR(N293/N327, "NA")</f>
      </c>
    </row>
    <row r="294" ht="16.5" customHeight="1">
      <c t="s" r="A294" s="12">
        <v>297</v>
      </c>
      <c r="B294" s="13">
        <v>1500</v>
      </c>
      <c r="C294" s="14">
        <f>IFERROR(B294/B327, "NA")</f>
      </c>
      <c r="D294" s="15"/>
      <c r="E294" s="13">
        <v>500</v>
      </c>
      <c r="F294" s="14">
        <f>IFERROR(E294/E327, "NA")</f>
      </c>
      <c r="G294" s="15"/>
      <c r="H294" s="13">
        <v>0</v>
      </c>
      <c r="I294" s="14">
        <f>IFERROR(H294/H327, "NA")</f>
      </c>
      <c r="J294" s="15"/>
      <c r="K294" s="13">
        <v>0</v>
      </c>
      <c r="L294" s="14">
        <f>IFERROR(K294/K327, "NA")</f>
      </c>
      <c r="M294" s="15"/>
      <c r="N294" s="13">
        <v>140.61000000000001</v>
      </c>
      <c r="O294" s="14">
        <f>IFERROR(N294/N327, "NA")</f>
      </c>
    </row>
    <row r="295" ht="16.5" customHeight="1">
      <c t="s" r="A295" s="12">
        <v>298</v>
      </c>
      <c r="B295" s="13">
        <v>0</v>
      </c>
      <c r="C295" s="14">
        <f>IFERROR(B295/B327, "NA")</f>
      </c>
      <c r="D295" s="15"/>
      <c r="E295" s="13">
        <v>0</v>
      </c>
      <c r="F295" s="14">
        <f>IFERROR(E295/E327, "NA")</f>
      </c>
      <c r="G295" s="15"/>
      <c r="H295" s="13">
        <v>0</v>
      </c>
      <c r="I295" s="14">
        <f>IFERROR(H295/H327, "NA")</f>
      </c>
      <c r="J295" s="15"/>
      <c r="K295" s="13">
        <v>0</v>
      </c>
      <c r="L295" s="14">
        <f>IFERROR(K295/K327, "NA")</f>
      </c>
      <c r="M295" s="15"/>
      <c r="N295" s="13">
        <v>0</v>
      </c>
      <c r="O295" s="14">
        <f>IFERROR(N295/N327, "NA")</f>
      </c>
    </row>
    <row r="296" ht="16.5" customHeight="1">
      <c t="s" r="A296" s="12">
        <v>299</v>
      </c>
      <c r="B296" s="13">
        <v>0</v>
      </c>
      <c r="C296" s="14">
        <f>IFERROR(B296/B327, "NA")</f>
      </c>
      <c r="D296" s="15"/>
      <c r="E296" s="13">
        <v>0</v>
      </c>
      <c r="F296" s="14">
        <f>IFERROR(E296/E327, "NA")</f>
      </c>
      <c r="G296" s="15"/>
      <c r="H296" s="13">
        <v>0</v>
      </c>
      <c r="I296" s="14">
        <f>IFERROR(H296/H327, "NA")</f>
      </c>
      <c r="J296" s="15"/>
      <c r="K296" s="13">
        <v>0</v>
      </c>
      <c r="L296" s="14">
        <f>IFERROR(K296/K327, "NA")</f>
      </c>
      <c r="M296" s="15"/>
      <c r="N296" s="13">
        <v>0</v>
      </c>
      <c r="O296" s="14">
        <f>IFERROR(N296/N327, "NA")</f>
      </c>
    </row>
    <row r="297" ht="16.5" customHeight="1">
      <c t="s" r="A297" s="12">
        <v>300</v>
      </c>
      <c r="B297" s="13">
        <v>0</v>
      </c>
      <c r="C297" s="14">
        <f>IFERROR(B297/B327, "NA")</f>
      </c>
      <c r="D297" s="15"/>
      <c r="E297" s="13">
        <v>0</v>
      </c>
      <c r="F297" s="14">
        <f>IFERROR(E297/E327, "NA")</f>
      </c>
      <c r="G297" s="15"/>
      <c r="H297" s="13">
        <v>0</v>
      </c>
      <c r="I297" s="14">
        <f>IFERROR(H297/H327, "NA")</f>
      </c>
      <c r="J297" s="15"/>
      <c r="K297" s="13">
        <v>0</v>
      </c>
      <c r="L297" s="14">
        <f>IFERROR(K297/K327, "NA")</f>
      </c>
      <c r="M297" s="15"/>
      <c r="N297" s="13">
        <v>0</v>
      </c>
      <c r="O297" s="14">
        <f>IFERROR(N297/N327, "NA")</f>
      </c>
    </row>
    <row r="298" ht="16.5" customHeight="1">
      <c t="s" r="A298" s="12">
        <v>301</v>
      </c>
      <c r="B298" s="13">
        <v>0</v>
      </c>
      <c r="C298" s="14">
        <f>IFERROR(B298/B327, "NA")</f>
      </c>
      <c r="D298" s="15"/>
      <c r="E298" s="13">
        <v>0</v>
      </c>
      <c r="F298" s="14">
        <f>IFERROR(E298/E327, "NA")</f>
      </c>
      <c r="G298" s="15"/>
      <c r="H298" s="13">
        <v>0</v>
      </c>
      <c r="I298" s="14">
        <f>IFERROR(H298/H327, "NA")</f>
      </c>
      <c r="J298" s="15"/>
      <c r="K298" s="13">
        <v>0</v>
      </c>
      <c r="L298" s="14">
        <f>IFERROR(K298/K327, "NA")</f>
      </c>
      <c r="M298" s="15"/>
      <c r="N298" s="13">
        <v>0</v>
      </c>
      <c r="O298" s="14">
        <f>IFERROR(N298/N327, "NA")</f>
      </c>
    </row>
    <row r="299" ht="16.5" customHeight="1">
      <c t="s" r="A299" s="12">
        <v>302</v>
      </c>
      <c r="B299" s="13">
        <v>0</v>
      </c>
      <c r="C299" s="14">
        <f>IFERROR(B299/B327, "NA")</f>
      </c>
      <c r="D299" s="15"/>
      <c r="E299" s="13">
        <v>0</v>
      </c>
      <c r="F299" s="14">
        <f>IFERROR(E299/E327, "NA")</f>
      </c>
      <c r="G299" s="15"/>
      <c r="H299" s="13">
        <v>0</v>
      </c>
      <c r="I299" s="14">
        <f>IFERROR(H299/H327, "NA")</f>
      </c>
      <c r="J299" s="15"/>
      <c r="K299" s="13">
        <v>0</v>
      </c>
      <c r="L299" s="14">
        <f>IFERROR(K299/K327, "NA")</f>
      </c>
      <c r="M299" s="15"/>
      <c r="N299" s="13">
        <v>0</v>
      </c>
      <c r="O299" s="14">
        <f>IFERROR(N299/N327, "NA")</f>
      </c>
    </row>
    <row r="300" ht="16.5" customHeight="1">
      <c t="s" r="A300" s="12">
        <v>303</v>
      </c>
      <c r="B300" s="13">
        <v>0</v>
      </c>
      <c r="C300" s="14">
        <f>IFERROR(B300/B327, "NA")</f>
      </c>
      <c r="D300" s="15"/>
      <c r="E300" s="13">
        <v>0</v>
      </c>
      <c r="F300" s="14">
        <f>IFERROR(E300/E327, "NA")</f>
      </c>
      <c r="G300" s="15"/>
      <c r="H300" s="13">
        <v>0</v>
      </c>
      <c r="I300" s="14">
        <f>IFERROR(H300/H327, "NA")</f>
      </c>
      <c r="J300" s="15"/>
      <c r="K300" s="13">
        <v>0</v>
      </c>
      <c r="L300" s="14">
        <f>IFERROR(K300/K327, "NA")</f>
      </c>
      <c r="M300" s="15"/>
      <c r="N300" s="13">
        <v>0</v>
      </c>
      <c r="O300" s="14">
        <f>IFERROR(N300/N327, "NA")</f>
      </c>
    </row>
    <row r="301" ht="16.5" customHeight="1">
      <c t="s" r="A301" s="12">
        <v>304</v>
      </c>
      <c r="B301" s="13">
        <v>0</v>
      </c>
      <c r="C301" s="14">
        <f>IFERROR(B301/B327, "NA")</f>
      </c>
      <c r="D301" s="15"/>
      <c r="E301" s="13">
        <v>0</v>
      </c>
      <c r="F301" s="14">
        <f>IFERROR(E301/E327, "NA")</f>
      </c>
      <c r="G301" s="15"/>
      <c r="H301" s="13">
        <v>0</v>
      </c>
      <c r="I301" s="14">
        <f>IFERROR(H301/H327, "NA")</f>
      </c>
      <c r="J301" s="15"/>
      <c r="K301" s="13">
        <v>0</v>
      </c>
      <c r="L301" s="14">
        <f>IFERROR(K301/K327, "NA")</f>
      </c>
      <c r="M301" s="15"/>
      <c r="N301" s="13">
        <v>0</v>
      </c>
      <c r="O301" s="14">
        <f>IFERROR(N301/N327, "NA")</f>
      </c>
    </row>
    <row r="302" ht="16.5" customHeight="1">
      <c t="s" r="A302" s="12">
        <v>305</v>
      </c>
      <c r="B302" s="13">
        <v>0</v>
      </c>
      <c r="C302" s="14">
        <f>IFERROR(B302/B327, "NA")</f>
      </c>
      <c r="D302" s="15"/>
      <c r="E302" s="13">
        <v>0</v>
      </c>
      <c r="F302" s="14">
        <f>IFERROR(E302/E327, "NA")</f>
      </c>
      <c r="G302" s="15"/>
      <c r="H302" s="13">
        <v>0</v>
      </c>
      <c r="I302" s="14">
        <f>IFERROR(H302/H327, "NA")</f>
      </c>
      <c r="J302" s="15"/>
      <c r="K302" s="13">
        <v>0</v>
      </c>
      <c r="L302" s="14">
        <f>IFERROR(K302/K327, "NA")</f>
      </c>
      <c r="M302" s="15"/>
      <c r="N302" s="13">
        <v>0</v>
      </c>
      <c r="O302" s="14">
        <f>IFERROR(N302/N327, "NA")</f>
      </c>
    </row>
    <row r="303" ht="16.5" customHeight="1">
      <c t="s" r="A303" s="12">
        <v>306</v>
      </c>
      <c r="B303" s="13">
        <v>0</v>
      </c>
      <c r="C303" s="14">
        <f>IFERROR(B303/B327, "NA")</f>
      </c>
      <c r="D303" s="15"/>
      <c r="E303" s="13">
        <v>0</v>
      </c>
      <c r="F303" s="14">
        <f>IFERROR(E303/E327, "NA")</f>
      </c>
      <c r="G303" s="15"/>
      <c r="H303" s="13">
        <v>0</v>
      </c>
      <c r="I303" s="14">
        <f>IFERROR(H303/H327, "NA")</f>
      </c>
      <c r="J303" s="15"/>
      <c r="K303" s="13">
        <v>0</v>
      </c>
      <c r="L303" s="14">
        <f>IFERROR(K303/K327, "NA")</f>
      </c>
      <c r="M303" s="15"/>
      <c r="N303" s="13">
        <v>0</v>
      </c>
      <c r="O303" s="14">
        <f>IFERROR(N303/N327, "NA")</f>
      </c>
    </row>
    <row r="304" ht="16.5" customHeight="1">
      <c t="s" r="A304" s="12">
        <v>307</v>
      </c>
      <c r="B304" s="13">
        <v>0</v>
      </c>
      <c r="C304" s="14">
        <f>IFERROR(B304/B327, "NA")</f>
      </c>
      <c r="D304" s="15"/>
      <c r="E304" s="13">
        <v>0</v>
      </c>
      <c r="F304" s="14">
        <f>IFERROR(E304/E327, "NA")</f>
      </c>
      <c r="G304" s="15"/>
      <c r="H304" s="13">
        <v>0</v>
      </c>
      <c r="I304" s="14">
        <f>IFERROR(H304/H327, "NA")</f>
      </c>
      <c r="J304" s="15"/>
      <c r="K304" s="13">
        <v>0</v>
      </c>
      <c r="L304" s="14">
        <f>IFERROR(K304/K327, "NA")</f>
      </c>
      <c r="M304" s="15"/>
      <c r="N304" s="13">
        <v>0</v>
      </c>
      <c r="O304" s="14">
        <f>IFERROR(N304/N327, "NA")</f>
      </c>
    </row>
    <row r="305" ht="16.5" customHeight="1">
      <c t="s" r="A305" s="12">
        <v>308</v>
      </c>
      <c r="B305" s="13">
        <v>0</v>
      </c>
      <c r="C305" s="14">
        <f>IFERROR(B305/B327, "NA")</f>
      </c>
      <c r="D305" s="15"/>
      <c r="E305" s="13">
        <v>0</v>
      </c>
      <c r="F305" s="14">
        <f>IFERROR(E305/E327, "NA")</f>
      </c>
      <c r="G305" s="15"/>
      <c r="H305" s="13">
        <v>0</v>
      </c>
      <c r="I305" s="14">
        <f>IFERROR(H305/H327, "NA")</f>
      </c>
      <c r="J305" s="15"/>
      <c r="K305" s="13">
        <v>0</v>
      </c>
      <c r="L305" s="14">
        <f>IFERROR(K305/K327, "NA")</f>
      </c>
      <c r="M305" s="15"/>
      <c r="N305" s="13">
        <v>0</v>
      </c>
      <c r="O305" s="14">
        <f>IFERROR(N305/N327, "NA")</f>
      </c>
    </row>
    <row r="306" ht="16.5" customHeight="1">
      <c t="s" r="A306" s="12">
        <v>309</v>
      </c>
      <c r="B306" s="13">
        <v>0</v>
      </c>
      <c r="C306" s="14">
        <f>IFERROR(B306/B327, "NA")</f>
      </c>
      <c r="D306" s="15"/>
      <c r="E306" s="13">
        <v>0</v>
      </c>
      <c r="F306" s="14">
        <f>IFERROR(E306/E327, "NA")</f>
      </c>
      <c r="G306" s="15"/>
      <c r="H306" s="13">
        <v>0</v>
      </c>
      <c r="I306" s="14">
        <f>IFERROR(H306/H327, "NA")</f>
      </c>
      <c r="J306" s="15"/>
      <c r="K306" s="13">
        <v>0</v>
      </c>
      <c r="L306" s="14">
        <f>IFERROR(K306/K327, "NA")</f>
      </c>
      <c r="M306" s="15"/>
      <c r="N306" s="13">
        <v>0</v>
      </c>
      <c r="O306" s="14">
        <f>IFERROR(N306/N327, "NA")</f>
      </c>
    </row>
    <row r="307" ht="16.5" customHeight="1">
      <c t="s" r="A307" s="12">
        <v>310</v>
      </c>
      <c r="B307" s="13">
        <v>0</v>
      </c>
      <c r="C307" s="14">
        <f>IFERROR(B307/B327, "NA")</f>
      </c>
      <c r="D307" s="15"/>
      <c r="E307" s="13">
        <v>0</v>
      </c>
      <c r="F307" s="14">
        <f>IFERROR(E307/E327, "NA")</f>
      </c>
      <c r="G307" s="15"/>
      <c r="H307" s="13">
        <v>0</v>
      </c>
      <c r="I307" s="14">
        <f>IFERROR(H307/H327, "NA")</f>
      </c>
      <c r="J307" s="15"/>
      <c r="K307" s="13">
        <v>0</v>
      </c>
      <c r="L307" s="14">
        <f>IFERROR(K307/K327, "NA")</f>
      </c>
      <c r="M307" s="15"/>
      <c r="N307" s="13">
        <v>0</v>
      </c>
      <c r="O307" s="14">
        <f>IFERROR(N307/N327, "NA")</f>
      </c>
    </row>
    <row r="308" ht="16.5" customHeight="1">
      <c t="s" r="A308" s="12">
        <v>311</v>
      </c>
      <c r="B308" s="13">
        <v>0</v>
      </c>
      <c r="C308" s="14">
        <f>IFERROR(B308/B327, "NA")</f>
      </c>
      <c r="D308" s="15"/>
      <c r="E308" s="13">
        <v>0</v>
      </c>
      <c r="F308" s="14">
        <f>IFERROR(E308/E327, "NA")</f>
      </c>
      <c r="G308" s="15"/>
      <c r="H308" s="13">
        <v>0</v>
      </c>
      <c r="I308" s="14">
        <f>IFERROR(H308/H327, "NA")</f>
      </c>
      <c r="J308" s="15"/>
      <c r="K308" s="13">
        <v>0</v>
      </c>
      <c r="L308" s="14">
        <f>IFERROR(K308/K327, "NA")</f>
      </c>
      <c r="M308" s="15"/>
      <c r="N308" s="13">
        <v>0</v>
      </c>
      <c r="O308" s="14">
        <f>IFERROR(N308/N327, "NA")</f>
      </c>
    </row>
    <row r="309" ht="16.5" customHeight="1">
      <c t="s" r="A309" s="12">
        <v>312</v>
      </c>
      <c r="B309" s="13">
        <v>0</v>
      </c>
      <c r="C309" s="14">
        <f>IFERROR(B309/B327, "NA")</f>
      </c>
      <c r="D309" s="15"/>
      <c r="E309" s="13">
        <v>0</v>
      </c>
      <c r="F309" s="14">
        <f>IFERROR(E309/E327, "NA")</f>
      </c>
      <c r="G309" s="15"/>
      <c r="H309" s="13">
        <v>0</v>
      </c>
      <c r="I309" s="14">
        <f>IFERROR(H309/H327, "NA")</f>
      </c>
      <c r="J309" s="15"/>
      <c r="K309" s="13">
        <v>0</v>
      </c>
      <c r="L309" s="14">
        <f>IFERROR(K309/K327, "NA")</f>
      </c>
      <c r="M309" s="15"/>
      <c r="N309" s="13">
        <v>0</v>
      </c>
      <c r="O309" s="14">
        <f>IFERROR(N309/N327, "NA")</f>
      </c>
    </row>
    <row r="310" ht="16.5" customHeight="1">
      <c t="s" r="A310" s="12">
        <v>313</v>
      </c>
      <c r="B310" s="13">
        <v>0</v>
      </c>
      <c r="C310" s="14">
        <f>IFERROR(B310/B327, "NA")</f>
      </c>
      <c r="D310" s="15"/>
      <c r="E310" s="13">
        <v>0</v>
      </c>
      <c r="F310" s="14">
        <f>IFERROR(E310/E327, "NA")</f>
      </c>
      <c r="G310" s="15"/>
      <c r="H310" s="13">
        <v>0</v>
      </c>
      <c r="I310" s="14">
        <f>IFERROR(H310/H327, "NA")</f>
      </c>
      <c r="J310" s="15"/>
      <c r="K310" s="13">
        <v>0</v>
      </c>
      <c r="L310" s="14">
        <f>IFERROR(K310/K327, "NA")</f>
      </c>
      <c r="M310" s="15"/>
      <c r="N310" s="13">
        <v>0</v>
      </c>
      <c r="O310" s="14">
        <f>IFERROR(N310/N327, "NA")</f>
      </c>
    </row>
    <row r="311" ht="16.5" customHeight="1">
      <c t="s" r="A311" s="12">
        <v>314</v>
      </c>
      <c r="B311" s="13">
        <v>0</v>
      </c>
      <c r="C311" s="14">
        <f>IFERROR(B311/B327, "NA")</f>
      </c>
      <c r="D311" s="15"/>
      <c r="E311" s="13">
        <v>0</v>
      </c>
      <c r="F311" s="14">
        <f>IFERROR(E311/E327, "NA")</f>
      </c>
      <c r="G311" s="15"/>
      <c r="H311" s="13">
        <v>0</v>
      </c>
      <c r="I311" s="14">
        <f>IFERROR(H311/H327, "NA")</f>
      </c>
      <c r="J311" s="15"/>
      <c r="K311" s="13">
        <v>0</v>
      </c>
      <c r="L311" s="14">
        <f>IFERROR(K311/K327, "NA")</f>
      </c>
      <c r="M311" s="15"/>
      <c r="N311" s="13">
        <v>0</v>
      </c>
      <c r="O311" s="14">
        <f>IFERROR(N311/N327, "NA")</f>
      </c>
    </row>
    <row r="312" ht="16.5" customHeight="1">
      <c t="s" r="A312" s="12">
        <v>315</v>
      </c>
      <c r="B312" s="13">
        <v>0</v>
      </c>
      <c r="C312" s="14">
        <f>IFERROR(B312/B327, "NA")</f>
      </c>
      <c r="D312" s="15"/>
      <c r="E312" s="13">
        <v>0</v>
      </c>
      <c r="F312" s="14">
        <f>IFERROR(E312/E327, "NA")</f>
      </c>
      <c r="G312" s="15"/>
      <c r="H312" s="13">
        <v>0</v>
      </c>
      <c r="I312" s="14">
        <f>IFERROR(H312/H327, "NA")</f>
      </c>
      <c r="J312" s="15"/>
      <c r="K312" s="13">
        <v>0</v>
      </c>
      <c r="L312" s="14">
        <f>IFERROR(K312/K327, "NA")</f>
      </c>
      <c r="M312" s="15"/>
      <c r="N312" s="13">
        <v>0</v>
      </c>
      <c r="O312" s="14">
        <f>IFERROR(N312/N327, "NA")</f>
      </c>
    </row>
    <row r="313" ht="16.5" customHeight="1">
      <c t="s" r="A313" s="12">
        <v>316</v>
      </c>
      <c r="B313" s="13">
        <v>0</v>
      </c>
      <c r="C313" s="14">
        <f>IFERROR(B313/B327, "NA")</f>
      </c>
      <c r="D313" s="15"/>
      <c r="E313" s="13">
        <v>0</v>
      </c>
      <c r="F313" s="14">
        <f>IFERROR(E313/E327, "NA")</f>
      </c>
      <c r="G313" s="15"/>
      <c r="H313" s="13">
        <v>0</v>
      </c>
      <c r="I313" s="14">
        <f>IFERROR(H313/H327, "NA")</f>
      </c>
      <c r="J313" s="15"/>
      <c r="K313" s="13">
        <v>0</v>
      </c>
      <c r="L313" s="14">
        <f>IFERROR(K313/K327, "NA")</f>
      </c>
      <c r="M313" s="15"/>
      <c r="N313" s="13">
        <v>0</v>
      </c>
      <c r="O313" s="14">
        <f>IFERROR(N313/N327, "NA")</f>
      </c>
    </row>
    <row r="314" ht="16.5" customHeight="1">
      <c t="s" r="A314" s="16">
        <v>317</v>
      </c>
      <c r="B314" s="17">
        <f>IFERROR(B287+B288+B289+B290+B291+B292+B293+B294+B295+B296+B297+B298+B299+B300+B301+B302+B303+B304+B305+B306+B307+B308+B309+B310+B311+B312+B313, "NA")</f>
      </c>
      <c r="C314" s="18">
        <f>IFERROR(B314/B327, "NA")</f>
      </c>
      <c r="D314" s="8"/>
      <c r="E314" s="17">
        <f>IFERROR(E287+E288+E289+E290+E291+E292+E293+E294+E295+E296+E297+E298+E299+E300+E301+E302+E303+E304+E305+E306+E307+E308+E309+E310+E311+E312+E313, "NA")</f>
      </c>
      <c r="F314" s="18">
        <f>IFERROR(E314/E327, "NA")</f>
      </c>
      <c r="G314" s="8"/>
      <c r="H314" s="17">
        <f>IFERROR(H287+H288+H289+H290+H291+H292+H293+H294+H295+H296+H297+H298+H299+H300+H301+H302+H303+H304+H305+H306+H307+H308+H309+H310+H311+H312+H313, "NA")</f>
      </c>
      <c r="I314" s="18">
        <f>IFERROR(H314/H327, "NA")</f>
      </c>
      <c r="J314" s="8"/>
      <c r="K314" s="17">
        <f>IFERROR(K287+K288+K289+K290+K291+K292+K293+K294+K295+K296+K297+K298+K299+K300+K301+K302+K303+K304+K305+K306+K307+K308+K309+K310+K311+K312+K313, "NA")</f>
      </c>
      <c r="L314" s="18">
        <f>IFERROR(K314/K327, "NA")</f>
      </c>
      <c r="M314" s="8"/>
      <c r="N314" s="17">
        <f>IFERROR(N287+N288+N289+N290+N291+N292+N293+N294+N295+N296+N297+N298+N299+N300+N301+N302+N303+N304+N305+N306+N307+N308+N309+N310+N311+N312+N313, "NA")</f>
      </c>
      <c r="O314" s="18">
        <f>IFERROR(N314/N327, "NA")</f>
      </c>
    </row>
    <row r="315" ht="16.5" customHeight="1">
      <c t="s" r="A315" s="11">
        <v>318</v>
      </c>
      <c r="B315" s="8"/>
      <c r="C315" s="9"/>
      <c r="D315" s="10"/>
      <c r="E315" s="8"/>
      <c r="F315" s="9"/>
      <c r="G315" s="10"/>
      <c r="H315" s="8"/>
      <c r="I315" s="9"/>
      <c r="J315" s="10"/>
      <c r="K315" s="8"/>
      <c r="L315" s="9"/>
      <c r="M315" s="10"/>
      <c r="N315" s="8"/>
      <c r="O315" s="9"/>
    </row>
    <row r="316" ht="16.5" customHeight="1">
      <c t="s" r="A316" s="12">
        <v>319</v>
      </c>
      <c r="B316" s="13">
        <v>0</v>
      </c>
      <c r="C316" s="14">
        <f>IFERROR(B316/B327, "NA")</f>
      </c>
      <c r="D316" s="15"/>
      <c r="E316" s="13">
        <v>0</v>
      </c>
      <c r="F316" s="14">
        <f>IFERROR(E316/E327, "NA")</f>
      </c>
      <c r="G316" s="15"/>
      <c r="H316" s="13">
        <v>0</v>
      </c>
      <c r="I316" s="14">
        <f>IFERROR(H316/H327, "NA")</f>
      </c>
      <c r="J316" s="15"/>
      <c r="K316" s="13">
        <v>0</v>
      </c>
      <c r="L316" s="14">
        <f>IFERROR(K316/K327, "NA")</f>
      </c>
      <c r="M316" s="15"/>
      <c r="N316" s="13">
        <v>0</v>
      </c>
      <c r="O316" s="14">
        <f>IFERROR(N316/N327, "NA")</f>
      </c>
    </row>
    <row r="317" ht="16.5" customHeight="1">
      <c t="s" r="A317" s="12">
        <v>320</v>
      </c>
      <c r="B317" s="13">
        <v>0</v>
      </c>
      <c r="C317" s="14">
        <f>IFERROR(B317/B327, "NA")</f>
      </c>
      <c r="D317" s="15"/>
      <c r="E317" s="13">
        <v>0</v>
      </c>
      <c r="F317" s="14">
        <f>IFERROR(E317/E327, "NA")</f>
      </c>
      <c r="G317" s="15"/>
      <c r="H317" s="13">
        <v>0</v>
      </c>
      <c r="I317" s="14">
        <f>IFERROR(H317/H327, "NA")</f>
      </c>
      <c r="J317" s="15"/>
      <c r="K317" s="13">
        <v>0</v>
      </c>
      <c r="L317" s="14">
        <f>IFERROR(K317/K327, "NA")</f>
      </c>
      <c r="M317" s="15"/>
      <c r="N317" s="13">
        <v>0</v>
      </c>
      <c r="O317" s="14">
        <f>IFERROR(N317/N327, "NA")</f>
      </c>
    </row>
    <row r="318" ht="16.5" customHeight="1">
      <c t="s" r="A318" s="12">
        <v>321</v>
      </c>
      <c r="B318" s="13">
        <v>0</v>
      </c>
      <c r="C318" s="14">
        <f>IFERROR(B318/B327, "NA")</f>
      </c>
      <c r="D318" s="15"/>
      <c r="E318" s="13">
        <v>0</v>
      </c>
      <c r="F318" s="14">
        <f>IFERROR(E318/E327, "NA")</f>
      </c>
      <c r="G318" s="15"/>
      <c r="H318" s="13">
        <v>0</v>
      </c>
      <c r="I318" s="14">
        <f>IFERROR(H318/H327, "NA")</f>
      </c>
      <c r="J318" s="15"/>
      <c r="K318" s="13">
        <v>0</v>
      </c>
      <c r="L318" s="14">
        <f>IFERROR(K318/K327, "NA")</f>
      </c>
      <c r="M318" s="15"/>
      <c r="N318" s="13">
        <v>0</v>
      </c>
      <c r="O318" s="14">
        <f>IFERROR(N318/N327, "NA")</f>
      </c>
    </row>
    <row r="319" ht="16.5" customHeight="1">
      <c t="s" r="A319" s="12">
        <v>322</v>
      </c>
      <c r="B319" s="13">
        <v>0</v>
      </c>
      <c r="C319" s="14">
        <f>IFERROR(B319/B327, "NA")</f>
      </c>
      <c r="D319" s="15"/>
      <c r="E319" s="13">
        <v>0</v>
      </c>
      <c r="F319" s="14">
        <f>IFERROR(E319/E327, "NA")</f>
      </c>
      <c r="G319" s="15"/>
      <c r="H319" s="13">
        <v>0</v>
      </c>
      <c r="I319" s="14">
        <f>IFERROR(H319/H327, "NA")</f>
      </c>
      <c r="J319" s="15"/>
      <c r="K319" s="13">
        <v>0</v>
      </c>
      <c r="L319" s="14">
        <f>IFERROR(K319/K327, "NA")</f>
      </c>
      <c r="M319" s="15"/>
      <c r="N319" s="13">
        <v>0</v>
      </c>
      <c r="O319" s="14">
        <f>IFERROR(N319/N327, "NA")</f>
      </c>
    </row>
    <row r="320" ht="16.5" customHeight="1">
      <c t="s" r="A320" s="12">
        <v>323</v>
      </c>
      <c r="B320" s="13">
        <v>0</v>
      </c>
      <c r="C320" s="14">
        <f>IFERROR(B320/B327, "NA")</f>
      </c>
      <c r="D320" s="15"/>
      <c r="E320" s="13">
        <v>0</v>
      </c>
      <c r="F320" s="14">
        <f>IFERROR(E320/E327, "NA")</f>
      </c>
      <c r="G320" s="15"/>
      <c r="H320" s="13">
        <v>0</v>
      </c>
      <c r="I320" s="14">
        <f>IFERROR(H320/H327, "NA")</f>
      </c>
      <c r="J320" s="15"/>
      <c r="K320" s="13">
        <v>0</v>
      </c>
      <c r="L320" s="14">
        <f>IFERROR(K320/K327, "NA")</f>
      </c>
      <c r="M320" s="15"/>
      <c r="N320" s="13">
        <v>0</v>
      </c>
      <c r="O320" s="14">
        <f>IFERROR(N320/N327, "NA")</f>
      </c>
    </row>
    <row r="321" ht="16.5" customHeight="1">
      <c t="s" r="A321" s="12">
        <v>324</v>
      </c>
      <c r="B321" s="13">
        <v>0</v>
      </c>
      <c r="C321" s="14">
        <f>IFERROR(B321/B327, "NA")</f>
      </c>
      <c r="D321" s="15"/>
      <c r="E321" s="13">
        <v>0</v>
      </c>
      <c r="F321" s="14">
        <f>IFERROR(E321/E327, "NA")</f>
      </c>
      <c r="G321" s="15"/>
      <c r="H321" s="13">
        <v>0</v>
      </c>
      <c r="I321" s="14">
        <f>IFERROR(H321/H327, "NA")</f>
      </c>
      <c r="J321" s="15"/>
      <c r="K321" s="13">
        <v>0</v>
      </c>
      <c r="L321" s="14">
        <f>IFERROR(K321/K327, "NA")</f>
      </c>
      <c r="M321" s="15"/>
      <c r="N321" s="13">
        <v>0</v>
      </c>
      <c r="O321" s="14">
        <f>IFERROR(N321/N327, "NA")</f>
      </c>
    </row>
    <row r="322" ht="16.5" customHeight="1">
      <c t="s" r="A322" s="12">
        <v>325</v>
      </c>
      <c r="B322" s="13">
        <v>0</v>
      </c>
      <c r="C322" s="14">
        <f>IFERROR(B322/B327, "NA")</f>
      </c>
      <c r="D322" s="15"/>
      <c r="E322" s="13">
        <v>0</v>
      </c>
      <c r="F322" s="14">
        <f>IFERROR(E322/E327, "NA")</f>
      </c>
      <c r="G322" s="15"/>
      <c r="H322" s="13">
        <v>0</v>
      </c>
      <c r="I322" s="14">
        <f>IFERROR(H322/H327, "NA")</f>
      </c>
      <c r="J322" s="15"/>
      <c r="K322" s="13">
        <v>0</v>
      </c>
      <c r="L322" s="14">
        <f>IFERROR(K322/K327, "NA")</f>
      </c>
      <c r="M322" s="15"/>
      <c r="N322" s="13">
        <v>0</v>
      </c>
      <c r="O322" s="14">
        <f>IFERROR(N322/N327, "NA")</f>
      </c>
    </row>
    <row r="323" ht="16.5" customHeight="1">
      <c t="s" r="A323" s="12">
        <v>326</v>
      </c>
      <c r="B323" s="13">
        <v>0</v>
      </c>
      <c r="C323" s="14">
        <f>IFERROR(B323/B327, "NA")</f>
      </c>
      <c r="D323" s="15"/>
      <c r="E323" s="13">
        <v>0</v>
      </c>
      <c r="F323" s="14">
        <f>IFERROR(E323/E327, "NA")</f>
      </c>
      <c r="G323" s="15"/>
      <c r="H323" s="13">
        <v>0</v>
      </c>
      <c r="I323" s="14">
        <f>IFERROR(H323/H327, "NA")</f>
      </c>
      <c r="J323" s="15"/>
      <c r="K323" s="13">
        <v>0</v>
      </c>
      <c r="L323" s="14">
        <f>IFERROR(K323/K327, "NA")</f>
      </c>
      <c r="M323" s="15"/>
      <c r="N323" s="13">
        <v>0</v>
      </c>
      <c r="O323" s="14">
        <f>IFERROR(N323/N327, "NA")</f>
      </c>
    </row>
    <row r="324" ht="16.5" customHeight="1">
      <c t="s" r="A324" s="16">
        <v>327</v>
      </c>
      <c r="B324" s="17">
        <f>IFERROR(B316+B317+B318+B319+B320+B321+B322+B323, "NA")</f>
      </c>
      <c r="C324" s="18">
        <f>IFERROR(B324/B327, "NA")</f>
      </c>
      <c r="D324" s="8"/>
      <c r="E324" s="17">
        <f>IFERROR(E316+E317+E318+E319+E320+E321+E322+E323, "NA")</f>
      </c>
      <c r="F324" s="18">
        <f>IFERROR(E324/E327, "NA")</f>
      </c>
      <c r="G324" s="8"/>
      <c r="H324" s="17">
        <f>IFERROR(H316+H317+H318+H319+H320+H321+H322+H323, "NA")</f>
      </c>
      <c r="I324" s="18">
        <f>IFERROR(H324/H327, "NA")</f>
      </c>
      <c r="J324" s="8"/>
      <c r="K324" s="17">
        <f>IFERROR(K316+K317+K318+K319+K320+K321+K322+K323, "NA")</f>
      </c>
      <c r="L324" s="18">
        <f>IFERROR(K324/K327, "NA")</f>
      </c>
      <c r="M324" s="8"/>
      <c r="N324" s="17">
        <f>IFERROR(N316+N317+N318+N319+N320+N321+N322+N323, "NA")</f>
      </c>
      <c r="O324" s="18">
        <f>IFERROR(N324/N327, "NA")</f>
      </c>
    </row>
    <row r="325" ht="16.5" customHeight="1">
      <c t="s" r="A325" s="20">
        <v>328</v>
      </c>
      <c r="B325" s="17">
        <f>IFERROR(B287+B288+B289+B290+B291+B292+B293+B294+B295+B296+B297+B298+B299+B300+B301+B302+B303+B304+B305+B306+B307+B308+B309+B310+B311+B312+B313+B316+B317+B318+B319+B320+B321+B322+B323, "NA")</f>
      </c>
      <c r="C325" s="18">
        <f>IFERROR(B325/B327, "NA")</f>
      </c>
      <c r="D325" s="8"/>
      <c r="E325" s="17">
        <f>IFERROR(E287+E288+E289+E290+E291+E292+E293+E294+E295+E296+E297+E298+E299+E300+E301+E302+E303+E304+E305+E306+E307+E308+E309+E310+E311+E312+E313+E316+E317+E318+E319+E320+E321+E322+E323, "NA")</f>
      </c>
      <c r="F325" s="18">
        <f>IFERROR(E325/E327, "NA")</f>
      </c>
      <c r="G325" s="8"/>
      <c r="H325" s="17">
        <f>IFERROR(H287+H288+H289+H290+H291+H292+H293+H294+H295+H296+H297+H298+H299+H300+H301+H302+H303+H304+H305+H306+H307+H308+H309+H310+H311+H312+H313+H316+H317+H318+H319+H320+H321+H322+H323, "NA")</f>
      </c>
      <c r="I325" s="18">
        <f>IFERROR(H325/H327, "NA")</f>
      </c>
      <c r="J325" s="8"/>
      <c r="K325" s="17">
        <f>IFERROR(K287+K288+K289+K290+K291+K292+K293+K294+K295+K296+K297+K298+K299+K300+K301+K302+K303+K304+K305+K306+K307+K308+K309+K310+K311+K312+K313+K316+K317+K318+K319+K320+K321+K322+K323, "NA")</f>
      </c>
      <c r="L325" s="18">
        <f>IFERROR(K325/K327, "NA")</f>
      </c>
      <c r="M325" s="8"/>
      <c r="N325" s="17">
        <f>IFERROR(N287+N288+N289+N290+N291+N292+N293+N294+N295+N296+N297+N298+N299+N300+N301+N302+N303+N304+N305+N306+N307+N308+N309+N310+N311+N312+N313+N316+N317+N318+N319+N320+N321+N322+N323, "NA")</f>
      </c>
      <c r="O325" s="18">
        <f>IFERROR(N325/N327, "NA")</f>
      </c>
    </row>
    <row r="326" ht="16.5" customHeight="1">
      <c t="s" r="A326" s="20">
        <v>329</v>
      </c>
      <c r="B326" s="17">
        <f>IFERROR(+B52-B157-B211-B284-B325, "NA")</f>
      </c>
      <c r="C326" s="18">
        <f>IFERROR(B326/B327, "NA")</f>
      </c>
      <c r="D326" s="8"/>
      <c r="E326" s="17">
        <f>IFERROR(+E52-E157-E211-E284-E325, "NA")</f>
      </c>
      <c r="F326" s="18">
        <f>IFERROR(E326/E327, "NA")</f>
      </c>
      <c r="G326" s="8"/>
      <c r="H326" s="17">
        <f>IFERROR(+H52-H157-H211-H284-H325, "NA")</f>
      </c>
      <c r="I326" s="18">
        <f>IFERROR(H326/H327, "NA")</f>
      </c>
      <c r="J326" s="8"/>
      <c r="K326" s="17">
        <f>IFERROR(+K52-K157-K211-K284-K325, "NA")</f>
      </c>
      <c r="L326" s="18">
        <f>IFERROR(K326/K327, "NA")</f>
      </c>
      <c r="M326" s="8"/>
      <c r="N326" s="17">
        <f>IFERROR(+N52-N157-N211-N284-N325, "NA")</f>
      </c>
      <c r="O326" s="18">
        <f>IFERROR(N326/N327, "NA")</f>
      </c>
    </row>
    <row r="327" hidden="1">
      <c t="s" r="A327" s="24">
        <v>55</v>
      </c>
      <c r="B327" s="13">
        <v>66507</v>
      </c>
      <c r="C327" s="25"/>
      <c r="D327" s="15"/>
      <c r="E327" s="13">
        <v>176817.5</v>
      </c>
      <c r="F327" s="25"/>
      <c r="G327" s="15"/>
      <c r="H327" s="13">
        <v>168912</v>
      </c>
      <c r="I327" s="25"/>
      <c r="J327" s="15"/>
      <c r="K327" s="13">
        <v>188799.26000000001</v>
      </c>
      <c r="L327" s="25"/>
      <c r="M327" s="15"/>
      <c r="N327" s="13">
        <v>233886.51000000001</v>
      </c>
      <c r="O327" s="25"/>
    </row>
    <row r="328"/>
    <row r="329"/>
    <row r="330">
      <c t="s" r="A330" s="26">
        <v>330</v>
      </c>
    </row>
    <row r="331">
      <c t="s" r="A331" s="26">
        <v>331</v>
      </c>
    </row>
    <row r="332">
      <c t="s" r="A332" s="26">
        <v>332</v>
      </c>
    </row>
  </sheetData>
  <mergeCells count="13">
    <mergeCell ref="A1:O1"/>
    <mergeCell ref="A2:O2"/>
    <mergeCell ref="A3:O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</mergeCells>
  <ignoredErrors>
    <ignoredError sqref="A1:O332" numberStoredAsText="1"/>
  </ignoredErrors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</row>
    <row r="3">
      <c t="s" r="A3" s="3">
        <v>338</v>
      </c>
      <c t="s" r="B3" s="3">
        <v>338</v>
      </c>
      <c t="s" r="C3" s="3">
        <v>338</v>
      </c>
      <c t="s" r="D3" s="3">
        <v>338</v>
      </c>
      <c t="s" r="E3" s="3">
        <v>338</v>
      </c>
      <c t="s" r="F3" s="3">
        <v>338</v>
      </c>
      <c t="s" r="G3" s="3">
        <v>338</v>
      </c>
      <c t="s" r="H3" s="3">
        <v>338</v>
      </c>
      <c t="s" r="I3" s="3">
        <v>338</v>
      </c>
      <c t="s" r="J3" s="3">
        <v>338</v>
      </c>
      <c t="s" r="K3" s="3">
        <v>338</v>
      </c>
      <c t="s" r="L3" s="3">
        <v>338</v>
      </c>
      <c t="s" r="M3" s="3">
        <v>338</v>
      </c>
      <c t="s" r="N3" s="3">
        <v>338</v>
      </c>
      <c t="s" r="O3" s="3">
        <v>338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8</v>
      </c>
      <c t="s" r="O5" s="6">
        <v>3</v>
      </c>
    </row>
    <row r="6" ht="16.5" customHeight="1">
      <c t="s" r="A6" s="7">
        <v>9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</row>
    <row r="7" ht="16.5" customHeight="1">
      <c t="s" r="A7" s="11">
        <v>10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</row>
    <row r="8" ht="16.5" customHeight="1">
      <c t="s" r="A8" s="12">
        <v>11</v>
      </c>
      <c r="B8" s="13">
        <v>49673</v>
      </c>
      <c r="C8" s="14">
        <f>IFERROR(B8/B327, "NA")</f>
      </c>
      <c r="D8" s="15"/>
      <c r="E8" s="13">
        <v>168474</v>
      </c>
      <c r="F8" s="14">
        <f>IFERROR(E8/E327, "NA")</f>
      </c>
      <c r="G8" s="15"/>
      <c r="H8" s="13">
        <v>192917</v>
      </c>
      <c r="I8" s="14">
        <f>IFERROR(H8/H327, "NA")</f>
      </c>
      <c r="J8" s="15"/>
      <c r="K8" s="13">
        <v>189223.67000000001</v>
      </c>
      <c r="L8" s="14">
        <f>IFERROR(K8/K327, "NA")</f>
      </c>
      <c r="M8" s="15"/>
      <c r="N8" s="13">
        <v>170623</v>
      </c>
      <c r="O8" s="14">
        <f>IFERROR(N8/N327, "NA")</f>
      </c>
    </row>
    <row r="9" ht="16.5" customHeight="1">
      <c t="s" r="A9" s="12">
        <v>12</v>
      </c>
      <c r="B9" s="13">
        <v>0</v>
      </c>
      <c r="C9" s="14">
        <f>IFERROR(B9/B327, "NA")</f>
      </c>
      <c r="D9" s="15"/>
      <c r="E9" s="13">
        <v>0</v>
      </c>
      <c r="F9" s="14">
        <f>IFERROR(E9/E327, "NA")</f>
      </c>
      <c r="G9" s="15"/>
      <c r="H9" s="13">
        <v>0</v>
      </c>
      <c r="I9" s="14">
        <f>IFERROR(H9/H327, "NA")</f>
      </c>
      <c r="J9" s="15"/>
      <c r="K9" s="13">
        <v>0</v>
      </c>
      <c r="L9" s="14">
        <f>IFERROR(K9/K327, "NA")</f>
      </c>
      <c r="M9" s="15"/>
      <c r="N9" s="13">
        <v>0</v>
      </c>
      <c r="O9" s="14">
        <f>IFERROR(N9/N327, "NA")</f>
      </c>
    </row>
    <row r="10" ht="16.5" customHeight="1">
      <c t="s" r="A10" s="16">
        <v>13</v>
      </c>
      <c r="B10" s="17">
        <f>IFERROR(B8+B9, "NA")</f>
      </c>
      <c r="C10" s="18">
        <f>IFERROR(B10/B327, "NA")</f>
      </c>
      <c r="D10" s="8"/>
      <c r="E10" s="17">
        <f>IFERROR(E8+E9, "NA")</f>
      </c>
      <c r="F10" s="18">
        <f>IFERROR(E10/E327, "NA")</f>
      </c>
      <c r="G10" s="8"/>
      <c r="H10" s="17">
        <f>IFERROR(H8+H9, "NA")</f>
      </c>
      <c r="I10" s="18">
        <f>IFERROR(H10/H327, "NA")</f>
      </c>
      <c r="J10" s="8"/>
      <c r="K10" s="17">
        <f>IFERROR(K8+K9, "NA")</f>
      </c>
      <c r="L10" s="18">
        <f>IFERROR(K10/K327, "NA")</f>
      </c>
      <c r="M10" s="8"/>
      <c r="N10" s="17">
        <f>IFERROR(N8+N9, "NA")</f>
      </c>
      <c r="O10" s="18">
        <f>IFERROR(N10/N327, "NA")</f>
      </c>
    </row>
    <row r="11" ht="16.5" customHeight="1">
      <c t="s" r="A11" s="19">
        <v>14</v>
      </c>
      <c r="B11" s="13">
        <v>3286.98</v>
      </c>
      <c r="C11" s="14">
        <f>IFERROR(B11/B327, "NA")</f>
      </c>
      <c r="D11" s="15"/>
      <c r="E11" s="13">
        <v>12153</v>
      </c>
      <c r="F11" s="14">
        <f>IFERROR(E11/E327, "NA")</f>
      </c>
      <c r="G11" s="15"/>
      <c r="H11" s="13">
        <v>13543</v>
      </c>
      <c r="I11" s="14">
        <f>IFERROR(H11/H327, "NA")</f>
      </c>
      <c r="J11" s="15"/>
      <c r="K11" s="13">
        <v>13489</v>
      </c>
      <c r="L11" s="14">
        <f>IFERROR(K11/K327, "NA")</f>
      </c>
      <c r="M11" s="15"/>
      <c r="N11" s="13">
        <v>11594</v>
      </c>
      <c r="O11" s="14">
        <f>IFERROR(N11/N327, "NA")</f>
      </c>
    </row>
    <row r="12" ht="16.5" customHeight="1">
      <c t="s" r="A12" s="11">
        <v>15</v>
      </c>
      <c r="B12" s="8"/>
      <c r="C12" s="9"/>
      <c r="D12" s="10"/>
      <c r="E12" s="8"/>
      <c r="F12" s="9"/>
      <c r="G12" s="10"/>
      <c r="H12" s="8"/>
      <c r="I12" s="9"/>
      <c r="J12" s="10"/>
      <c r="K12" s="8"/>
      <c r="L12" s="9"/>
      <c r="M12" s="10"/>
      <c r="N12" s="8"/>
      <c r="O12" s="9"/>
    </row>
    <row r="13" ht="16.5" customHeight="1">
      <c t="s" r="A13" s="12">
        <v>16</v>
      </c>
      <c r="B13" s="13">
        <v>0</v>
      </c>
      <c r="C13" s="14">
        <f>IFERROR(B13/B327, "NA")</f>
      </c>
      <c r="D13" s="15"/>
      <c r="E13" s="13">
        <v>0</v>
      </c>
      <c r="F13" s="14">
        <f>IFERROR(E13/E327, "NA")</f>
      </c>
      <c r="G13" s="15"/>
      <c r="H13" s="13">
        <v>0</v>
      </c>
      <c r="I13" s="14">
        <f>IFERROR(H13/H327, "NA")</f>
      </c>
      <c r="J13" s="15"/>
      <c r="K13" s="13">
        <v>0</v>
      </c>
      <c r="L13" s="14">
        <f>IFERROR(K13/K327, "NA")</f>
      </c>
      <c r="M13" s="15"/>
      <c r="N13" s="13">
        <v>0</v>
      </c>
      <c r="O13" s="14">
        <f>IFERROR(N13/N327, "NA")</f>
      </c>
    </row>
    <row r="14" ht="16.5" customHeight="1">
      <c t="s" r="A14" s="12">
        <v>17</v>
      </c>
      <c r="B14" s="13">
        <v>14445.5</v>
      </c>
      <c r="C14" s="14">
        <f>IFERROR(B14/B327, "NA")</f>
      </c>
      <c r="D14" s="15"/>
      <c r="E14" s="13">
        <v>43010.75</v>
      </c>
      <c r="F14" s="14">
        <f>IFERROR(E14/E327, "NA")</f>
      </c>
      <c r="G14" s="15"/>
      <c r="H14" s="13">
        <v>45618</v>
      </c>
      <c r="I14" s="14">
        <f>IFERROR(H14/H327, "NA")</f>
      </c>
      <c r="J14" s="15"/>
      <c r="K14" s="13">
        <v>49062.75</v>
      </c>
      <c r="L14" s="14">
        <f>IFERROR(K14/K327, "NA")</f>
      </c>
      <c r="M14" s="15"/>
      <c r="N14" s="13">
        <v>43640</v>
      </c>
      <c r="O14" s="14">
        <f>IFERROR(N14/N327, "NA")</f>
      </c>
    </row>
    <row r="15" ht="16.5" customHeight="1">
      <c t="s" r="A15" s="12">
        <v>18</v>
      </c>
      <c r="B15" s="13">
        <v>150</v>
      </c>
      <c r="C15" s="14">
        <f>IFERROR(B15/B327, "NA")</f>
      </c>
      <c r="D15" s="15"/>
      <c r="E15" s="13">
        <v>1030</v>
      </c>
      <c r="F15" s="14">
        <f>IFERROR(E15/E327, "NA")</f>
      </c>
      <c r="G15" s="15"/>
      <c r="H15" s="13">
        <v>1280</v>
      </c>
      <c r="I15" s="14">
        <f>IFERROR(H15/H327, "NA")</f>
      </c>
      <c r="J15" s="15"/>
      <c r="K15" s="13">
        <v>740</v>
      </c>
      <c r="L15" s="14">
        <f>IFERROR(K15/K327, "NA")</f>
      </c>
      <c r="M15" s="15"/>
      <c r="N15" s="13">
        <v>930</v>
      </c>
      <c r="O15" s="14">
        <f>IFERROR(N15/N327, "NA")</f>
      </c>
    </row>
    <row r="16" ht="16.5" customHeight="1">
      <c t="s" r="A16" s="12">
        <v>19</v>
      </c>
      <c r="B16" s="13">
        <v>4830</v>
      </c>
      <c r="C16" s="14">
        <f>IFERROR(B16/B327, "NA")</f>
      </c>
      <c r="D16" s="15"/>
      <c r="E16" s="13">
        <v>34775</v>
      </c>
      <c r="F16" s="14">
        <f>IFERROR(E16/E327, "NA")</f>
      </c>
      <c r="G16" s="15"/>
      <c r="H16" s="13">
        <v>30040</v>
      </c>
      <c r="I16" s="14">
        <f>IFERROR(H16/H327, "NA")</f>
      </c>
      <c r="J16" s="15"/>
      <c r="K16" s="13">
        <v>23240</v>
      </c>
      <c r="L16" s="14">
        <f>IFERROR(K16/K327, "NA")</f>
      </c>
      <c r="M16" s="15"/>
      <c r="N16" s="13">
        <v>39115</v>
      </c>
      <c r="O16" s="14">
        <f>IFERROR(N16/N327, "NA")</f>
      </c>
    </row>
    <row r="17" ht="16.5" customHeight="1">
      <c t="s" r="A17" s="12">
        <v>20</v>
      </c>
      <c r="B17" s="13">
        <v>3906</v>
      </c>
      <c r="C17" s="14">
        <f>IFERROR(B17/B327, "NA")</f>
      </c>
      <c r="D17" s="15"/>
      <c r="E17" s="13">
        <v>11669</v>
      </c>
      <c r="F17" s="14">
        <f>IFERROR(E17/E327, "NA")</f>
      </c>
      <c r="G17" s="15"/>
      <c r="H17" s="13">
        <v>15723</v>
      </c>
      <c r="I17" s="14">
        <f>IFERROR(H17/H327, "NA")</f>
      </c>
      <c r="J17" s="15"/>
      <c r="K17" s="13">
        <v>16154</v>
      </c>
      <c r="L17" s="14">
        <f>IFERROR(K17/K327, "NA")</f>
      </c>
      <c r="M17" s="15"/>
      <c r="N17" s="13">
        <v>12948</v>
      </c>
      <c r="O17" s="14">
        <f>IFERROR(N17/N327, "NA")</f>
      </c>
    </row>
    <row r="18" ht="16.5" customHeight="1">
      <c t="s" r="A18" s="12">
        <v>21</v>
      </c>
      <c r="B18" s="13">
        <v>0</v>
      </c>
      <c r="C18" s="14">
        <f>IFERROR(B18/B327, "NA")</f>
      </c>
      <c r="D18" s="15"/>
      <c r="E18" s="13">
        <v>0</v>
      </c>
      <c r="F18" s="14">
        <f>IFERROR(E18/E327, "NA")</f>
      </c>
      <c r="G18" s="15"/>
      <c r="H18" s="13">
        <v>0</v>
      </c>
      <c r="I18" s="14">
        <f>IFERROR(H18/H327, "NA")</f>
      </c>
      <c r="J18" s="15"/>
      <c r="K18" s="13">
        <v>0</v>
      </c>
      <c r="L18" s="14">
        <f>IFERROR(K18/K327, "NA")</f>
      </c>
      <c r="M18" s="15"/>
      <c r="N18" s="13">
        <v>0</v>
      </c>
      <c r="O18" s="14">
        <f>IFERROR(N18/N327, "NA")</f>
      </c>
    </row>
    <row r="19" ht="16.5" customHeight="1">
      <c t="s" r="A19" s="16">
        <v>22</v>
      </c>
      <c r="B19" s="17">
        <f>IFERROR(B13+B14+B15+B16+B17+B18, "NA")</f>
      </c>
      <c r="C19" s="18">
        <f>IFERROR(B19/B327, "NA")</f>
      </c>
      <c r="D19" s="8"/>
      <c r="E19" s="17">
        <f>IFERROR(E13+E14+E15+E16+E17+E18, "NA")</f>
      </c>
      <c r="F19" s="18">
        <f>IFERROR(E19/E327, "NA")</f>
      </c>
      <c r="G19" s="8"/>
      <c r="H19" s="17">
        <f>IFERROR(H13+H14+H15+H16+H17+H18, "NA")</f>
      </c>
      <c r="I19" s="18">
        <f>IFERROR(H19/H327, "NA")</f>
      </c>
      <c r="J19" s="8"/>
      <c r="K19" s="17">
        <f>IFERROR(K13+K14+K15+K16+K17+K18, "NA")</f>
      </c>
      <c r="L19" s="18">
        <f>IFERROR(K19/K327, "NA")</f>
      </c>
      <c r="M19" s="8"/>
      <c r="N19" s="17">
        <f>IFERROR(N13+N14+N15+N16+N17+N18, "NA")</f>
      </c>
      <c r="O19" s="18">
        <f>IFERROR(N19/N327, "NA")</f>
      </c>
    </row>
    <row r="20" ht="16.5" customHeight="1">
      <c t="s" r="A20" s="11">
        <v>23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</row>
    <row r="21" ht="16.5" customHeight="1">
      <c t="s" r="A21" s="12">
        <v>24</v>
      </c>
      <c r="B21" s="13">
        <v>0</v>
      </c>
      <c r="C21" s="14">
        <f>IFERROR(B21/B327, "NA")</f>
      </c>
      <c r="D21" s="15"/>
      <c r="E21" s="13">
        <v>0</v>
      </c>
      <c r="F21" s="14">
        <f>IFERROR(E21/E327, "NA")</f>
      </c>
      <c r="G21" s="15"/>
      <c r="H21" s="13">
        <v>0</v>
      </c>
      <c r="I21" s="14">
        <f>IFERROR(H21/H327, "NA")</f>
      </c>
      <c r="J21" s="15"/>
      <c r="K21" s="13">
        <v>0</v>
      </c>
      <c r="L21" s="14">
        <f>IFERROR(K21/K327, "NA")</f>
      </c>
      <c r="M21" s="15"/>
      <c r="N21" s="13">
        <v>0</v>
      </c>
      <c r="O21" s="14">
        <f>IFERROR(N21/N327, "NA")</f>
      </c>
    </row>
    <row r="22" ht="16.5" customHeight="1">
      <c t="s" r="A22" s="12">
        <v>25</v>
      </c>
      <c r="B22" s="13">
        <v>59</v>
      </c>
      <c r="C22" s="14">
        <f>IFERROR(B22/B327, "NA")</f>
      </c>
      <c r="D22" s="15"/>
      <c r="E22" s="13">
        <v>555</v>
      </c>
      <c r="F22" s="14">
        <f>IFERROR(E22/E327, "NA")</f>
      </c>
      <c r="G22" s="15"/>
      <c r="H22" s="13">
        <v>0</v>
      </c>
      <c r="I22" s="14">
        <f>IFERROR(H22/H327, "NA")</f>
      </c>
      <c r="J22" s="15"/>
      <c r="K22" s="13">
        <v>369</v>
      </c>
      <c r="L22" s="14">
        <f>IFERROR(K22/K327, "NA")</f>
      </c>
      <c r="M22" s="15"/>
      <c r="N22" s="13">
        <v>0</v>
      </c>
      <c r="O22" s="14">
        <f>IFERROR(N22/N327, "NA")</f>
      </c>
    </row>
    <row r="23" ht="16.5" customHeight="1">
      <c t="s" r="A23" s="12">
        <v>26</v>
      </c>
      <c r="B23" s="13">
        <v>0</v>
      </c>
      <c r="C23" s="14">
        <f>IFERROR(B23/B327, "NA")</f>
      </c>
      <c r="D23" s="15"/>
      <c r="E23" s="13">
        <v>0</v>
      </c>
      <c r="F23" s="14">
        <f>IFERROR(E23/E327, "NA")</f>
      </c>
      <c r="G23" s="15"/>
      <c r="H23" s="13">
        <v>0</v>
      </c>
      <c r="I23" s="14">
        <f>IFERROR(H23/H327, "NA")</f>
      </c>
      <c r="J23" s="15"/>
      <c r="K23" s="13">
        <v>0</v>
      </c>
      <c r="L23" s="14">
        <f>IFERROR(K23/K327, "NA")</f>
      </c>
      <c r="M23" s="15"/>
      <c r="N23" s="13">
        <v>0</v>
      </c>
      <c r="O23" s="14">
        <f>IFERROR(N23/N327, "NA")</f>
      </c>
    </row>
    <row r="24" ht="16.5" customHeight="1">
      <c t="s" r="A24" s="12">
        <v>27</v>
      </c>
      <c r="B24" s="13">
        <v>0</v>
      </c>
      <c r="C24" s="14">
        <f>IFERROR(B24/B327, "NA")</f>
      </c>
      <c r="D24" s="15"/>
      <c r="E24" s="13">
        <v>0</v>
      </c>
      <c r="F24" s="14">
        <f>IFERROR(E24/E327, "NA")</f>
      </c>
      <c r="G24" s="15"/>
      <c r="H24" s="13">
        <v>0</v>
      </c>
      <c r="I24" s="14">
        <f>IFERROR(H24/H327, "NA")</f>
      </c>
      <c r="J24" s="15"/>
      <c r="K24" s="13">
        <v>0</v>
      </c>
      <c r="L24" s="14">
        <f>IFERROR(K24/K327, "NA")</f>
      </c>
      <c r="M24" s="15"/>
      <c r="N24" s="13">
        <v>0</v>
      </c>
      <c r="O24" s="14">
        <f>IFERROR(N24/N327, "NA")</f>
      </c>
    </row>
    <row r="25" ht="16.5" customHeight="1">
      <c t="s" r="A25" s="12">
        <v>28</v>
      </c>
      <c r="B25" s="13">
        <v>0</v>
      </c>
      <c r="C25" s="14">
        <f>IFERROR(B25/B327, "NA")</f>
      </c>
      <c r="D25" s="15"/>
      <c r="E25" s="13">
        <v>0</v>
      </c>
      <c r="F25" s="14">
        <f>IFERROR(E25/E327, "NA")</f>
      </c>
      <c r="G25" s="15"/>
      <c r="H25" s="13">
        <v>0</v>
      </c>
      <c r="I25" s="14">
        <f>IFERROR(H25/H327, "NA")</f>
      </c>
      <c r="J25" s="15"/>
      <c r="K25" s="13">
        <v>0</v>
      </c>
      <c r="L25" s="14">
        <f>IFERROR(K25/K327, "NA")</f>
      </c>
      <c r="M25" s="15"/>
      <c r="N25" s="13">
        <v>0</v>
      </c>
      <c r="O25" s="14">
        <f>IFERROR(N25/N327, "NA")</f>
      </c>
    </row>
    <row r="26" ht="16.5" customHeight="1">
      <c t="s" r="A26" s="12">
        <v>29</v>
      </c>
      <c r="B26" s="13">
        <v>0</v>
      </c>
      <c r="C26" s="14">
        <f>IFERROR(B26/B327, "NA")</f>
      </c>
      <c r="D26" s="15"/>
      <c r="E26" s="13">
        <v>0</v>
      </c>
      <c r="F26" s="14">
        <f>IFERROR(E26/E327, "NA")</f>
      </c>
      <c r="G26" s="15"/>
      <c r="H26" s="13">
        <v>0</v>
      </c>
      <c r="I26" s="14">
        <f>IFERROR(H26/H327, "NA")</f>
      </c>
      <c r="J26" s="15"/>
      <c r="K26" s="13">
        <v>0</v>
      </c>
      <c r="L26" s="14">
        <f>IFERROR(K26/K327, "NA")</f>
      </c>
      <c r="M26" s="15"/>
      <c r="N26" s="13">
        <v>0</v>
      </c>
      <c r="O26" s="14">
        <f>IFERROR(N26/N327, "NA")</f>
      </c>
    </row>
    <row r="27" ht="16.5" customHeight="1">
      <c t="s" r="A27" s="12">
        <v>30</v>
      </c>
      <c r="B27" s="13">
        <v>0</v>
      </c>
      <c r="C27" s="14">
        <f>IFERROR(B27/B327, "NA")</f>
      </c>
      <c r="D27" s="15"/>
      <c r="E27" s="13">
        <v>0</v>
      </c>
      <c r="F27" s="14">
        <f>IFERROR(E27/E327, "NA")</f>
      </c>
      <c r="G27" s="15"/>
      <c r="H27" s="13">
        <v>0</v>
      </c>
      <c r="I27" s="14">
        <f>IFERROR(H27/H327, "NA")</f>
      </c>
      <c r="J27" s="15"/>
      <c r="K27" s="13">
        <v>0</v>
      </c>
      <c r="L27" s="14">
        <f>IFERROR(K27/K327, "NA")</f>
      </c>
      <c r="M27" s="15"/>
      <c r="N27" s="13">
        <v>0</v>
      </c>
      <c r="O27" s="14">
        <f>IFERROR(N27/N327, "NA")</f>
      </c>
    </row>
    <row r="28" ht="16.5" customHeight="1">
      <c t="s" r="A28" s="12">
        <v>31</v>
      </c>
      <c r="B28" s="13">
        <v>0</v>
      </c>
      <c r="C28" s="14">
        <f>IFERROR(B28/B327, "NA")</f>
      </c>
      <c r="D28" s="15"/>
      <c r="E28" s="13">
        <v>0</v>
      </c>
      <c r="F28" s="14">
        <f>IFERROR(E28/E327, "NA")</f>
      </c>
      <c r="G28" s="15"/>
      <c r="H28" s="13">
        <v>0</v>
      </c>
      <c r="I28" s="14">
        <f>IFERROR(H28/H327, "NA")</f>
      </c>
      <c r="J28" s="15"/>
      <c r="K28" s="13">
        <v>0</v>
      </c>
      <c r="L28" s="14">
        <f>IFERROR(K28/K327, "NA")</f>
      </c>
      <c r="M28" s="15"/>
      <c r="N28" s="13">
        <v>0</v>
      </c>
      <c r="O28" s="14">
        <f>IFERROR(N28/N327, "NA")</f>
      </c>
    </row>
    <row r="29" ht="16.5" customHeight="1">
      <c t="s" r="A29" s="12">
        <v>32</v>
      </c>
      <c r="B29" s="13">
        <v>0</v>
      </c>
      <c r="C29" s="14">
        <f>IFERROR(B29/B327, "NA")</f>
      </c>
      <c r="D29" s="15"/>
      <c r="E29" s="13">
        <v>0</v>
      </c>
      <c r="F29" s="14">
        <f>IFERROR(E29/E327, "NA")</f>
      </c>
      <c r="G29" s="15"/>
      <c r="H29" s="13">
        <v>0</v>
      </c>
      <c r="I29" s="14">
        <f>IFERROR(H29/H327, "NA")</f>
      </c>
      <c r="J29" s="15"/>
      <c r="K29" s="13">
        <v>0</v>
      </c>
      <c r="L29" s="14">
        <f>IFERROR(K29/K327, "NA")</f>
      </c>
      <c r="M29" s="15"/>
      <c r="N29" s="13">
        <v>0</v>
      </c>
      <c r="O29" s="14">
        <f>IFERROR(N29/N327, "NA")</f>
      </c>
    </row>
    <row r="30" ht="16.5" customHeight="1">
      <c t="s" r="A30" s="16">
        <v>33</v>
      </c>
      <c r="B30" s="17">
        <f>IFERROR(B21+B22+B23+B24+B25+B26+B27+B28+B29, "NA")</f>
      </c>
      <c r="C30" s="18">
        <f>IFERROR(B30/B327, "NA")</f>
      </c>
      <c r="D30" s="8"/>
      <c r="E30" s="17">
        <f>IFERROR(E21+E22+E23+E24+E25+E26+E27+E28+E29, "NA")</f>
      </c>
      <c r="F30" s="18">
        <f>IFERROR(E30/E327, "NA")</f>
      </c>
      <c r="G30" s="8"/>
      <c r="H30" s="17">
        <f>IFERROR(H21+H22+H23+H24+H25+H26+H27+H28+H29, "NA")</f>
      </c>
      <c r="I30" s="18">
        <f>IFERROR(H30/H327, "NA")</f>
      </c>
      <c r="J30" s="8"/>
      <c r="K30" s="17">
        <f>IFERROR(K21+K22+K23+K24+K25+K26+K27+K28+K29, "NA")</f>
      </c>
      <c r="L30" s="18">
        <f>IFERROR(K30/K327, "NA")</f>
      </c>
      <c r="M30" s="8"/>
      <c r="N30" s="17">
        <f>IFERROR(N21+N22+N23+N24+N25+N26+N27+N28+N29, "NA")</f>
      </c>
      <c r="O30" s="18">
        <f>IFERROR(N30/N327, "NA")</f>
      </c>
    </row>
    <row r="31" ht="16.5" customHeight="1">
      <c t="s" r="A31" s="11">
        <v>34</v>
      </c>
      <c r="B31" s="8"/>
      <c r="C31" s="9"/>
      <c r="D31" s="10"/>
      <c r="E31" s="8"/>
      <c r="F31" s="9"/>
      <c r="G31" s="10"/>
      <c r="H31" s="8"/>
      <c r="I31" s="9"/>
      <c r="J31" s="10"/>
      <c r="K31" s="8"/>
      <c r="L31" s="9"/>
      <c r="M31" s="10"/>
      <c r="N31" s="8"/>
      <c r="O31" s="9"/>
    </row>
    <row r="32" ht="16.5" customHeight="1">
      <c t="s" r="A32" s="12">
        <v>35</v>
      </c>
      <c r="B32" s="13">
        <v>0</v>
      </c>
      <c r="C32" s="14">
        <f>IFERROR(B32/B327, "NA")</f>
      </c>
      <c r="D32" s="15"/>
      <c r="E32" s="13">
        <v>0</v>
      </c>
      <c r="F32" s="14">
        <f>IFERROR(E32/E327, "NA")</f>
      </c>
      <c r="G32" s="15"/>
      <c r="H32" s="13">
        <v>0</v>
      </c>
      <c r="I32" s="14">
        <f>IFERROR(H32/H327, "NA")</f>
      </c>
      <c r="J32" s="15"/>
      <c r="K32" s="13">
        <v>0</v>
      </c>
      <c r="L32" s="14">
        <f>IFERROR(K32/K327, "NA")</f>
      </c>
      <c r="M32" s="15"/>
      <c r="N32" s="13">
        <v>0</v>
      </c>
      <c r="O32" s="14">
        <f>IFERROR(N32/N327, "NA")</f>
      </c>
    </row>
    <row r="33" ht="16.5" customHeight="1">
      <c t="s" r="A33" s="12">
        <v>36</v>
      </c>
      <c r="B33" s="13">
        <v>0</v>
      </c>
      <c r="C33" s="14">
        <f>IFERROR(B33/B327, "NA")</f>
      </c>
      <c r="D33" s="15"/>
      <c r="E33" s="13">
        <v>0</v>
      </c>
      <c r="F33" s="14">
        <f>IFERROR(E33/E327, "NA")</f>
      </c>
      <c r="G33" s="15"/>
      <c r="H33" s="13">
        <v>0</v>
      </c>
      <c r="I33" s="14">
        <f>IFERROR(H33/H327, "NA")</f>
      </c>
      <c r="J33" s="15"/>
      <c r="K33" s="13">
        <v>0</v>
      </c>
      <c r="L33" s="14">
        <f>IFERROR(K33/K327, "NA")</f>
      </c>
      <c r="M33" s="15"/>
      <c r="N33" s="13">
        <v>0</v>
      </c>
      <c r="O33" s="14">
        <f>IFERROR(N33/N327, "NA")</f>
      </c>
    </row>
    <row r="34" ht="16.5" customHeight="1">
      <c t="s" r="A34" s="12">
        <v>37</v>
      </c>
      <c r="B34" s="13">
        <v>0</v>
      </c>
      <c r="C34" s="14">
        <f>IFERROR(B34/B327, "NA")</f>
      </c>
      <c r="D34" s="15"/>
      <c r="E34" s="13">
        <v>0</v>
      </c>
      <c r="F34" s="14">
        <f>IFERROR(E34/E327, "NA")</f>
      </c>
      <c r="G34" s="15"/>
      <c r="H34" s="13">
        <v>0</v>
      </c>
      <c r="I34" s="14">
        <f>IFERROR(H34/H327, "NA")</f>
      </c>
      <c r="J34" s="15"/>
      <c r="K34" s="13">
        <v>0</v>
      </c>
      <c r="L34" s="14">
        <f>IFERROR(K34/K327, "NA")</f>
      </c>
      <c r="M34" s="15"/>
      <c r="N34" s="13">
        <v>0</v>
      </c>
      <c r="O34" s="14">
        <f>IFERROR(N34/N327, "NA")</f>
      </c>
    </row>
    <row r="35" ht="16.5" customHeight="1">
      <c t="s" r="A35" s="12">
        <v>38</v>
      </c>
      <c r="B35" s="13">
        <v>0</v>
      </c>
      <c r="C35" s="14">
        <f>IFERROR(B35/B327, "NA")</f>
      </c>
      <c r="D35" s="15"/>
      <c r="E35" s="13">
        <v>0</v>
      </c>
      <c r="F35" s="14">
        <f>IFERROR(E35/E327, "NA")</f>
      </c>
      <c r="G35" s="15"/>
      <c r="H35" s="13">
        <v>0</v>
      </c>
      <c r="I35" s="14">
        <f>IFERROR(H35/H327, "NA")</f>
      </c>
      <c r="J35" s="15"/>
      <c r="K35" s="13">
        <v>0</v>
      </c>
      <c r="L35" s="14">
        <f>IFERROR(K35/K327, "NA")</f>
      </c>
      <c r="M35" s="15"/>
      <c r="N35" s="13">
        <v>0</v>
      </c>
      <c r="O35" s="14">
        <f>IFERROR(N35/N327, "NA")</f>
      </c>
    </row>
    <row r="36" ht="16.5" customHeight="1">
      <c t="s" r="A36" s="12">
        <v>39</v>
      </c>
      <c r="B36" s="13">
        <v>0</v>
      </c>
      <c r="C36" s="14">
        <f>IFERROR(B36/B327, "NA")</f>
      </c>
      <c r="D36" s="15"/>
      <c r="E36" s="13">
        <v>0</v>
      </c>
      <c r="F36" s="14">
        <f>IFERROR(E36/E327, "NA")</f>
      </c>
      <c r="G36" s="15"/>
      <c r="H36" s="13">
        <v>0</v>
      </c>
      <c r="I36" s="14">
        <f>IFERROR(H36/H327, "NA")</f>
      </c>
      <c r="J36" s="15"/>
      <c r="K36" s="13">
        <v>0</v>
      </c>
      <c r="L36" s="14">
        <f>IFERROR(K36/K327, "NA")</f>
      </c>
      <c r="M36" s="15"/>
      <c r="N36" s="13">
        <v>0</v>
      </c>
      <c r="O36" s="14">
        <f>IFERROR(N36/N327, "NA")</f>
      </c>
    </row>
    <row r="37" ht="16.5" customHeight="1">
      <c t="s" r="A37" s="16">
        <v>40</v>
      </c>
      <c r="B37" s="17">
        <f>IFERROR(B32+B33+B34+B35+B36, "NA")</f>
      </c>
      <c r="C37" s="18">
        <f>IFERROR(B37/B327, "NA")</f>
      </c>
      <c r="D37" s="8"/>
      <c r="E37" s="17">
        <f>IFERROR(E32+E33+E34+E35+E36, "NA")</f>
      </c>
      <c r="F37" s="18">
        <f>IFERROR(E37/E327, "NA")</f>
      </c>
      <c r="G37" s="8"/>
      <c r="H37" s="17">
        <f>IFERROR(H32+H33+H34+H35+H36, "NA")</f>
      </c>
      <c r="I37" s="18">
        <f>IFERROR(H37/H327, "NA")</f>
      </c>
      <c r="J37" s="8"/>
      <c r="K37" s="17">
        <f>IFERROR(K32+K33+K34+K35+K36, "NA")</f>
      </c>
      <c r="L37" s="18">
        <f>IFERROR(K37/K327, "NA")</f>
      </c>
      <c r="M37" s="8"/>
      <c r="N37" s="17">
        <f>IFERROR(N32+N33+N34+N35+N36, "NA")</f>
      </c>
      <c r="O37" s="18">
        <f>IFERROR(N37/N327, "NA")</f>
      </c>
    </row>
    <row r="38" ht="16.5" customHeight="1">
      <c t="s" r="A38" s="11">
        <v>41</v>
      </c>
      <c r="B38" s="8"/>
      <c r="C38" s="9"/>
      <c r="D38" s="10"/>
      <c r="E38" s="8"/>
      <c r="F38" s="9"/>
      <c r="G38" s="10"/>
      <c r="H38" s="8"/>
      <c r="I38" s="9"/>
      <c r="J38" s="10"/>
      <c r="K38" s="8"/>
      <c r="L38" s="9"/>
      <c r="M38" s="10"/>
      <c r="N38" s="8"/>
      <c r="O38" s="9"/>
    </row>
    <row r="39" ht="16.5" customHeight="1">
      <c t="s" r="A39" s="12">
        <v>42</v>
      </c>
      <c r="B39" s="13">
        <v>0</v>
      </c>
      <c r="C39" s="14">
        <f>IFERROR(B39/B327, "NA")</f>
      </c>
      <c r="D39" s="15"/>
      <c r="E39" s="13">
        <v>0</v>
      </c>
      <c r="F39" s="14">
        <f>IFERROR(E39/E327, "NA")</f>
      </c>
      <c r="G39" s="15"/>
      <c r="H39" s="13">
        <v>0</v>
      </c>
      <c r="I39" s="14">
        <f>IFERROR(H39/H327, "NA")</f>
      </c>
      <c r="J39" s="15"/>
      <c r="K39" s="13">
        <v>0</v>
      </c>
      <c r="L39" s="14">
        <f>IFERROR(K39/K327, "NA")</f>
      </c>
      <c r="M39" s="15"/>
      <c r="N39" s="13">
        <v>0</v>
      </c>
      <c r="O39" s="14">
        <f>IFERROR(N39/N327, "NA")</f>
      </c>
    </row>
    <row r="40" ht="16.5" customHeight="1">
      <c t="s" r="A40" s="12">
        <v>43</v>
      </c>
      <c r="B40" s="13">
        <v>-32.5</v>
      </c>
      <c r="C40" s="14">
        <f>IFERROR(B40/B327, "NA")</f>
      </c>
      <c r="D40" s="15"/>
      <c r="E40" s="13">
        <v>-47.5</v>
      </c>
      <c r="F40" s="14">
        <f>IFERROR(E40/E327, "NA")</f>
      </c>
      <c r="G40" s="15"/>
      <c r="H40" s="13">
        <v>-184.25</v>
      </c>
      <c r="I40" s="14">
        <f>IFERROR(H40/H327, "NA")</f>
      </c>
      <c r="J40" s="15"/>
      <c r="K40" s="13">
        <v>0</v>
      </c>
      <c r="L40" s="14">
        <f>IFERROR(K40/K327, "NA")</f>
      </c>
      <c r="M40" s="15"/>
      <c r="N40" s="13">
        <v>-109.25</v>
      </c>
      <c r="O40" s="14">
        <f>IFERROR(N40/N327, "NA")</f>
      </c>
    </row>
    <row r="41" ht="16.5" customHeight="1">
      <c t="s" r="A41" s="12">
        <v>44</v>
      </c>
      <c r="B41" s="13">
        <v>0</v>
      </c>
      <c r="C41" s="14">
        <f>IFERROR(B41/B327, "NA")</f>
      </c>
      <c r="D41" s="15"/>
      <c r="E41" s="13">
        <v>0</v>
      </c>
      <c r="F41" s="14">
        <f>IFERROR(E41/E327, "NA")</f>
      </c>
      <c r="G41" s="15"/>
      <c r="H41" s="13">
        <v>0</v>
      </c>
      <c r="I41" s="14">
        <f>IFERROR(H41/H327, "NA")</f>
      </c>
      <c r="J41" s="15"/>
      <c r="K41" s="13">
        <v>0</v>
      </c>
      <c r="L41" s="14">
        <f>IFERROR(K41/K327, "NA")</f>
      </c>
      <c r="M41" s="15"/>
      <c r="N41" s="13">
        <v>0</v>
      </c>
      <c r="O41" s="14">
        <f>IFERROR(N41/N327, "NA")</f>
      </c>
    </row>
    <row r="42" ht="16.5" customHeight="1">
      <c t="s" r="A42" s="12">
        <v>45</v>
      </c>
      <c r="B42" s="13">
        <v>0</v>
      </c>
      <c r="C42" s="14">
        <f>IFERROR(B42/B327, "NA")</f>
      </c>
      <c r="D42" s="15"/>
      <c r="E42" s="13">
        <v>-15</v>
      </c>
      <c r="F42" s="14">
        <f>IFERROR(E42/E327, "NA")</f>
      </c>
      <c r="G42" s="15"/>
      <c r="H42" s="13">
        <v>-15</v>
      </c>
      <c r="I42" s="14">
        <f>IFERROR(H42/H327, "NA")</f>
      </c>
      <c r="J42" s="15"/>
      <c r="K42" s="13">
        <v>0</v>
      </c>
      <c r="L42" s="14">
        <f>IFERROR(K42/K327, "NA")</f>
      </c>
      <c r="M42" s="15"/>
      <c r="N42" s="13">
        <v>0</v>
      </c>
      <c r="O42" s="14">
        <f>IFERROR(N42/N327, "NA")</f>
      </c>
    </row>
    <row r="43" ht="16.5" customHeight="1">
      <c t="s" r="A43" s="12">
        <v>46</v>
      </c>
      <c r="B43" s="13">
        <v>-300</v>
      </c>
      <c r="C43" s="14">
        <f>IFERROR(B43/B327, "NA")</f>
      </c>
      <c r="D43" s="15"/>
      <c r="E43" s="13">
        <v>-3322</v>
      </c>
      <c r="F43" s="14">
        <f>IFERROR(E43/E327, "NA")</f>
      </c>
      <c r="G43" s="15"/>
      <c r="H43" s="13">
        <v>-2489</v>
      </c>
      <c r="I43" s="14">
        <f>IFERROR(H43/H327, "NA")</f>
      </c>
      <c r="J43" s="15"/>
      <c r="K43" s="13">
        <v>-1575</v>
      </c>
      <c r="L43" s="14">
        <f>IFERROR(K43/K327, "NA")</f>
      </c>
      <c r="M43" s="15"/>
      <c r="N43" s="13">
        <v>-1905</v>
      </c>
      <c r="O43" s="14">
        <f>IFERROR(N43/N327, "NA")</f>
      </c>
    </row>
    <row r="44" ht="16.5" customHeight="1">
      <c t="s" r="A44" s="12">
        <v>47</v>
      </c>
      <c r="B44" s="13">
        <v>-705</v>
      </c>
      <c r="C44" s="14">
        <f>IFERROR(B44/B327, "NA")</f>
      </c>
      <c r="D44" s="15"/>
      <c r="E44" s="13">
        <v>-4864</v>
      </c>
      <c r="F44" s="14">
        <f>IFERROR(E44/E327, "NA")</f>
      </c>
      <c r="G44" s="15"/>
      <c r="H44" s="13">
        <v>-4853</v>
      </c>
      <c r="I44" s="14">
        <f>IFERROR(H44/H327, "NA")</f>
      </c>
      <c r="J44" s="15"/>
      <c r="K44" s="13">
        <v>-4953</v>
      </c>
      <c r="L44" s="14">
        <f>IFERROR(K44/K327, "NA")</f>
      </c>
      <c r="M44" s="15"/>
      <c r="N44" s="13">
        <v>-3600.5999999999999</v>
      </c>
      <c r="O44" s="14">
        <f>IFERROR(N44/N327, "NA")</f>
      </c>
    </row>
    <row r="45" ht="16.5" customHeight="1">
      <c t="s" r="A45" s="12">
        <v>48</v>
      </c>
      <c r="B45" s="13">
        <v>0</v>
      </c>
      <c r="C45" s="14">
        <f>IFERROR(B45/B327, "NA")</f>
      </c>
      <c r="D45" s="15"/>
      <c r="E45" s="13">
        <v>0</v>
      </c>
      <c r="F45" s="14">
        <f>IFERROR(E45/E327, "NA")</f>
      </c>
      <c r="G45" s="15"/>
      <c r="H45" s="13">
        <v>0</v>
      </c>
      <c r="I45" s="14">
        <f>IFERROR(H45/H327, "NA")</f>
      </c>
      <c r="J45" s="15"/>
      <c r="K45" s="13">
        <v>0</v>
      </c>
      <c r="L45" s="14">
        <f>IFERROR(K45/K327, "NA")</f>
      </c>
      <c r="M45" s="15"/>
      <c r="N45" s="13">
        <v>0</v>
      </c>
      <c r="O45" s="14">
        <f>IFERROR(N45/N327, "NA")</f>
      </c>
    </row>
    <row r="46" ht="16.5" customHeight="1">
      <c t="s" r="A46" s="12">
        <v>49</v>
      </c>
      <c r="B46" s="13">
        <v>0</v>
      </c>
      <c r="C46" s="14">
        <f>IFERROR(B46/B327, "NA")</f>
      </c>
      <c r="D46" s="15"/>
      <c r="E46" s="13">
        <v>-44</v>
      </c>
      <c r="F46" s="14">
        <f>IFERROR(E46/E327, "NA")</f>
      </c>
      <c r="G46" s="15"/>
      <c r="H46" s="13">
        <v>0</v>
      </c>
      <c r="I46" s="14">
        <f>IFERROR(H46/H327, "NA")</f>
      </c>
      <c r="J46" s="15"/>
      <c r="K46" s="13">
        <v>0</v>
      </c>
      <c r="L46" s="14">
        <f>IFERROR(K46/K327, "NA")</f>
      </c>
      <c r="M46" s="15"/>
      <c r="N46" s="13">
        <v>0</v>
      </c>
      <c r="O46" s="14">
        <f>IFERROR(N46/N327, "NA")</f>
      </c>
    </row>
    <row r="47" ht="16.5" customHeight="1">
      <c t="s" r="A47" s="12">
        <v>50</v>
      </c>
      <c r="B47" s="13">
        <v>-1193</v>
      </c>
      <c r="C47" s="14">
        <f>IFERROR(B47/B327, "NA")</f>
      </c>
      <c r="D47" s="15"/>
      <c r="E47" s="13">
        <v>-3380</v>
      </c>
      <c r="F47" s="14">
        <f>IFERROR(E47/E327, "NA")</f>
      </c>
      <c r="G47" s="15"/>
      <c r="H47" s="13">
        <v>-3205</v>
      </c>
      <c r="I47" s="14">
        <f>IFERROR(H47/H327, "NA")</f>
      </c>
      <c r="J47" s="15"/>
      <c r="K47" s="13">
        <v>-3870.5</v>
      </c>
      <c r="L47" s="14">
        <f>IFERROR(K47/K327, "NA")</f>
      </c>
      <c r="M47" s="15"/>
      <c r="N47" s="13">
        <v>-3283</v>
      </c>
      <c r="O47" s="14">
        <f>IFERROR(N47/N327, "NA")</f>
      </c>
    </row>
    <row r="48" ht="16.5" customHeight="1">
      <c t="s" r="A48" s="12">
        <v>51</v>
      </c>
      <c r="B48" s="13">
        <v>0</v>
      </c>
      <c r="C48" s="14">
        <f>IFERROR(B48/B327, "NA")</f>
      </c>
      <c r="D48" s="15"/>
      <c r="E48" s="13">
        <v>0</v>
      </c>
      <c r="F48" s="14">
        <f>IFERROR(E48/E327, "NA")</f>
      </c>
      <c r="G48" s="15"/>
      <c r="H48" s="13">
        <v>0</v>
      </c>
      <c r="I48" s="14">
        <f>IFERROR(H48/H327, "NA")</f>
      </c>
      <c r="J48" s="15"/>
      <c r="K48" s="13">
        <v>0</v>
      </c>
      <c r="L48" s="14">
        <f>IFERROR(K48/K327, "NA")</f>
      </c>
      <c r="M48" s="15"/>
      <c r="N48" s="13">
        <v>0</v>
      </c>
      <c r="O48" s="14">
        <f>IFERROR(N48/N327, "NA")</f>
      </c>
    </row>
    <row r="49" ht="16.5" customHeight="1">
      <c t="s" r="A49" s="12">
        <v>52</v>
      </c>
      <c r="B49" s="13">
        <v>0</v>
      </c>
      <c r="C49" s="14">
        <f>IFERROR(B49/B327, "NA")</f>
      </c>
      <c r="D49" s="15"/>
      <c r="E49" s="13">
        <v>0</v>
      </c>
      <c r="F49" s="14">
        <f>IFERROR(E49/E327, "NA")</f>
      </c>
      <c r="G49" s="15"/>
      <c r="H49" s="13">
        <v>0</v>
      </c>
      <c r="I49" s="14">
        <f>IFERROR(H49/H327, "NA")</f>
      </c>
      <c r="J49" s="15"/>
      <c r="K49" s="13">
        <v>0</v>
      </c>
      <c r="L49" s="14">
        <f>IFERROR(K49/K327, "NA")</f>
      </c>
      <c r="M49" s="15"/>
      <c r="N49" s="13">
        <v>0</v>
      </c>
      <c r="O49" s="14">
        <f>IFERROR(N49/N327, "NA")</f>
      </c>
    </row>
    <row r="50" ht="16.5" customHeight="1">
      <c t="s" r="A50" s="12">
        <v>53</v>
      </c>
      <c r="B50" s="13">
        <v>0</v>
      </c>
      <c r="C50" s="14">
        <f>IFERROR(B50/B327, "NA")</f>
      </c>
      <c r="D50" s="15"/>
      <c r="E50" s="13">
        <v>0</v>
      </c>
      <c r="F50" s="14">
        <f>IFERROR(E50/E327, "NA")</f>
      </c>
      <c r="G50" s="15"/>
      <c r="H50" s="13">
        <v>0</v>
      </c>
      <c r="I50" s="14">
        <f>IFERROR(H50/H327, "NA")</f>
      </c>
      <c r="J50" s="15"/>
      <c r="K50" s="13">
        <v>0</v>
      </c>
      <c r="L50" s="14">
        <f>IFERROR(K50/K327, "NA")</f>
      </c>
      <c r="M50" s="15"/>
      <c r="N50" s="13">
        <v>0</v>
      </c>
      <c r="O50" s="14">
        <f>IFERROR(N50/N327, "NA")</f>
      </c>
    </row>
    <row r="51" ht="16.5" customHeight="1">
      <c t="s" r="A51" s="16">
        <v>54</v>
      </c>
      <c r="B51" s="17">
        <f>IFERROR(B39+B40+B41+B42+B43+B44+B45+B46+B47+B48+B49+B50, "NA")</f>
      </c>
      <c r="C51" s="18">
        <f>IFERROR(B51/B327, "NA")</f>
      </c>
      <c r="D51" s="8"/>
      <c r="E51" s="17">
        <f>IFERROR(E39+E40+E41+E42+E43+E44+E45+E46+E47+E48+E49+E50, "NA")</f>
      </c>
      <c r="F51" s="18">
        <f>IFERROR(E51/E327, "NA")</f>
      </c>
      <c r="G51" s="8"/>
      <c r="H51" s="17">
        <f>IFERROR(H39+H40+H41+H42+H43+H44+H45+H46+H47+H48+H49+H50, "NA")</f>
      </c>
      <c r="I51" s="18">
        <f>IFERROR(H51/H327, "NA")</f>
      </c>
      <c r="J51" s="8"/>
      <c r="K51" s="17">
        <f>IFERROR(K39+K40+K41+K42+K43+K44+K45+K46+K47+K48+K49+K50, "NA")</f>
      </c>
      <c r="L51" s="18">
        <f>IFERROR(K51/K327, "NA")</f>
      </c>
      <c r="M51" s="8"/>
      <c r="N51" s="17">
        <f>IFERROR(N39+N40+N41+N42+N43+N44+N45+N46+N47+N48+N49+N50, "NA")</f>
      </c>
      <c r="O51" s="18">
        <f>IFERROR(N51/N327, "NA")</f>
      </c>
    </row>
    <row r="52" ht="16.5" customHeight="1">
      <c t="s" r="A52" s="20">
        <v>55</v>
      </c>
      <c r="B52" s="17">
        <f>IFERROR(B8+B9+B11+B13+B14+B15+B16+B17+B18+B21+B22+B23+B24+B25+B26+B27+B28+B29+B32+B33+B34+B35+B36+B39+B40+B41+B42+B43+B44+B45+B46+B47+B48+B49+B50, "NA")</f>
      </c>
      <c r="C52" s="18">
        <f>IFERROR(B52/B327, "NA")</f>
      </c>
      <c r="D52" s="8"/>
      <c r="E52" s="17">
        <f>IFERROR(E8+E9+E11+E13+E14+E15+E16+E17+E18+E21+E22+E23+E24+E25+E26+E27+E28+E29+E32+E33+E34+E35+E36+E39+E40+E41+E42+E43+E44+E45+E46+E47+E48+E49+E50, "NA")</f>
      </c>
      <c r="F52" s="18">
        <f>IFERROR(E52/E327, "NA")</f>
      </c>
      <c r="G52" s="8"/>
      <c r="H52" s="17">
        <f>IFERROR(H8+H9+H11+H13+H14+H15+H16+H17+H18+H21+H22+H23+H24+H25+H26+H27+H28+H29+H32+H33+H34+H35+H36+H39+H40+H41+H42+H43+H44+H45+H46+H47+H48+H49+H50, "NA")</f>
      </c>
      <c r="I52" s="18">
        <f>IFERROR(H52/H327, "NA")</f>
      </c>
      <c r="J52" s="8"/>
      <c r="K52" s="17">
        <f>IFERROR(K8+K9+K11+K13+K14+K15+K16+K17+K18+K21+K22+K23+K24+K25+K26+K27+K28+K29+K32+K33+K34+K35+K36+K39+K40+K41+K42+K43+K44+K45+K46+K47+K48+K49+K50, "NA")</f>
      </c>
      <c r="L52" s="18">
        <f>IFERROR(K52/K327, "NA")</f>
      </c>
      <c r="M52" s="8"/>
      <c r="N52" s="17">
        <f>IFERROR(N8+N9+N11+N13+N14+N15+N16+N17+N18+N21+N22+N23+N24+N25+N26+N27+N28+N29+N32+N33+N34+N35+N36+N39+N40+N41+N42+N43+N44+N45+N46+N47+N48+N49+N50, "NA")</f>
      </c>
      <c r="O52" s="18">
        <f>IFERROR(N52/N327, "NA")</f>
      </c>
    </row>
    <row r="53" ht="16.5" customHeight="1">
      <c t="s" r="A53" s="7">
        <v>56</v>
      </c>
      <c r="B53" s="8"/>
      <c r="C53" s="9"/>
      <c r="D53" s="10"/>
      <c r="E53" s="8"/>
      <c r="F53" s="9"/>
      <c r="G53" s="10"/>
      <c r="H53" s="8"/>
      <c r="I53" s="9"/>
      <c r="J53" s="10"/>
      <c r="K53" s="8"/>
      <c r="L53" s="9"/>
      <c r="M53" s="10"/>
      <c r="N53" s="8"/>
      <c r="O53" s="9"/>
    </row>
    <row r="54" ht="16.5" customHeight="1">
      <c t="s" r="A54" s="11">
        <v>57</v>
      </c>
      <c r="B54" s="8"/>
      <c r="C54" s="9"/>
      <c r="D54" s="10"/>
      <c r="E54" s="8"/>
      <c r="F54" s="9"/>
      <c r="G54" s="10"/>
      <c r="H54" s="8"/>
      <c r="I54" s="9"/>
      <c r="J54" s="10"/>
      <c r="K54" s="8"/>
      <c r="L54" s="9"/>
      <c r="M54" s="10"/>
      <c r="N54" s="8"/>
      <c r="O54" s="9"/>
    </row>
    <row r="55" ht="16.5" customHeight="1">
      <c t="s" r="A55" s="12">
        <v>58</v>
      </c>
      <c r="B55" s="13">
        <v>0</v>
      </c>
      <c r="C55" s="14">
        <f>IFERROR(B55/B327, "NA")</f>
      </c>
      <c r="D55" s="15"/>
      <c r="E55" s="13">
        <v>0</v>
      </c>
      <c r="F55" s="14">
        <f>IFERROR(E55/E327, "NA")</f>
      </c>
      <c r="G55" s="15"/>
      <c r="H55" s="13">
        <v>0</v>
      </c>
      <c r="I55" s="14">
        <f>IFERROR(H55/H327, "NA")</f>
      </c>
      <c r="J55" s="15"/>
      <c r="K55" s="13">
        <v>0</v>
      </c>
      <c r="L55" s="14">
        <f>IFERROR(K55/K327, "NA")</f>
      </c>
      <c r="M55" s="15"/>
      <c r="N55" s="13">
        <v>0</v>
      </c>
      <c r="O55" s="14">
        <f>IFERROR(N55/N327, "NA")</f>
      </c>
    </row>
    <row r="56" ht="16.5" customHeight="1">
      <c t="s" r="A56" s="12">
        <v>59</v>
      </c>
      <c r="B56" s="13">
        <v>1914.54</v>
      </c>
      <c r="C56" s="14">
        <f>IFERROR(B56/B327, "NA")</f>
      </c>
      <c r="D56" s="15"/>
      <c r="E56" s="13">
        <v>6086.8199999999997</v>
      </c>
      <c r="F56" s="14">
        <f>IFERROR(E56/E327, "NA")</f>
      </c>
      <c r="G56" s="15"/>
      <c r="H56" s="13">
        <v>7672.1999999999998</v>
      </c>
      <c r="I56" s="14">
        <f>IFERROR(H56/H327, "NA")</f>
      </c>
      <c r="J56" s="15"/>
      <c r="K56" s="13">
        <v>8156.4200000000001</v>
      </c>
      <c r="L56" s="14">
        <f>IFERROR(K56/K327, "NA")</f>
      </c>
      <c r="M56" s="15"/>
      <c r="N56" s="13">
        <v>7782.1199999999999</v>
      </c>
      <c r="O56" s="14">
        <f>IFERROR(N56/N327, "NA")</f>
      </c>
    </row>
    <row r="57" ht="16.5" customHeight="1">
      <c t="s" r="A57" s="12">
        <v>60</v>
      </c>
      <c r="B57" s="13">
        <v>107.92</v>
      </c>
      <c r="C57" s="14">
        <f>IFERROR(B57/B327, "NA")</f>
      </c>
      <c r="D57" s="15"/>
      <c r="E57" s="13">
        <v>3970.3099999999999</v>
      </c>
      <c r="F57" s="14">
        <f>IFERROR(E57/E327, "NA")</f>
      </c>
      <c r="G57" s="15"/>
      <c r="H57" s="13">
        <v>3126.7600000000002</v>
      </c>
      <c r="I57" s="14">
        <f>IFERROR(H57/H327, "NA")</f>
      </c>
      <c r="J57" s="15"/>
      <c r="K57" s="13">
        <v>3386.8200000000002</v>
      </c>
      <c r="L57" s="14">
        <f>IFERROR(K57/K327, "NA")</f>
      </c>
      <c r="M57" s="15"/>
      <c r="N57" s="13">
        <v>2485.25</v>
      </c>
      <c r="O57" s="14">
        <f>IFERROR(N57/N327, "NA")</f>
      </c>
    </row>
    <row r="58" ht="16.5" customHeight="1">
      <c t="s" r="A58" s="12">
        <v>61</v>
      </c>
      <c r="B58" s="13">
        <v>483.72000000000003</v>
      </c>
      <c r="C58" s="14">
        <f>IFERROR(B58/B327, "NA")</f>
      </c>
      <c r="D58" s="15"/>
      <c r="E58" s="13">
        <v>9376.0900000000001</v>
      </c>
      <c r="F58" s="14">
        <f>IFERROR(E58/E327, "NA")</f>
      </c>
      <c r="G58" s="15"/>
      <c r="H58" s="13">
        <v>12886.780000000001</v>
      </c>
      <c r="I58" s="14">
        <f>IFERROR(H58/H327, "NA")</f>
      </c>
      <c r="J58" s="15"/>
      <c r="K58" s="13">
        <v>12840.32</v>
      </c>
      <c r="L58" s="14">
        <f>IFERROR(K58/K327, "NA")</f>
      </c>
      <c r="M58" s="15"/>
      <c r="N58" s="13">
        <v>12028.98</v>
      </c>
      <c r="O58" s="14">
        <f>IFERROR(N58/N327, "NA")</f>
      </c>
    </row>
    <row r="59" ht="16.5" customHeight="1">
      <c t="s" r="A59" s="12">
        <v>62</v>
      </c>
      <c r="B59" s="13">
        <v>-4.5899999999999999</v>
      </c>
      <c r="C59" s="14">
        <f>IFERROR(B59/B327, "NA")</f>
      </c>
      <c r="D59" s="15"/>
      <c r="E59" s="13">
        <v>988.86000000000001</v>
      </c>
      <c r="F59" s="14">
        <f>IFERROR(E59/E327, "NA")</f>
      </c>
      <c r="G59" s="15"/>
      <c r="H59" s="13">
        <v>1354.3</v>
      </c>
      <c r="I59" s="14">
        <f>IFERROR(H59/H327, "NA")</f>
      </c>
      <c r="J59" s="15"/>
      <c r="K59" s="13">
        <v>999.58000000000004</v>
      </c>
      <c r="L59" s="14">
        <f>IFERROR(K59/K327, "NA")</f>
      </c>
      <c r="M59" s="15"/>
      <c r="N59" s="13">
        <v>1329.01</v>
      </c>
      <c r="O59" s="14">
        <f>IFERROR(N59/N327, "NA")</f>
      </c>
    </row>
    <row r="60" ht="16.5" customHeight="1">
      <c t="s" r="A60" s="12">
        <v>63</v>
      </c>
      <c r="B60" s="13">
        <v>1134.53</v>
      </c>
      <c r="C60" s="14">
        <f>IFERROR(B60/B327, "NA")</f>
      </c>
      <c r="D60" s="15"/>
      <c r="E60" s="13">
        <v>12816.719999999999</v>
      </c>
      <c r="F60" s="14">
        <f>IFERROR(E60/E327, "NA")</f>
      </c>
      <c r="G60" s="15"/>
      <c r="H60" s="13">
        <v>14415.65</v>
      </c>
      <c r="I60" s="14">
        <f>IFERROR(H60/H327, "NA")</f>
      </c>
      <c r="J60" s="15"/>
      <c r="K60" s="13">
        <v>11645.32</v>
      </c>
      <c r="L60" s="14">
        <f>IFERROR(K60/K327, "NA")</f>
      </c>
      <c r="M60" s="15"/>
      <c r="N60" s="13">
        <v>13465.799999999999</v>
      </c>
      <c r="O60" s="14">
        <f>IFERROR(N60/N327, "NA")</f>
      </c>
    </row>
    <row r="61" ht="16.5" customHeight="1">
      <c t="s" r="A61" s="12">
        <v>64</v>
      </c>
      <c r="B61" s="13">
        <v>2404.5900000000001</v>
      </c>
      <c r="C61" s="14">
        <f>IFERROR(B61/B327, "NA")</f>
      </c>
      <c r="D61" s="15"/>
      <c r="E61" s="13">
        <v>4221.2200000000003</v>
      </c>
      <c r="F61" s="14">
        <f>IFERROR(E61/E327, "NA")</f>
      </c>
      <c r="G61" s="15"/>
      <c r="H61" s="13">
        <v>5486.0500000000002</v>
      </c>
      <c r="I61" s="14">
        <f>IFERROR(H61/H327, "NA")</f>
      </c>
      <c r="J61" s="15"/>
      <c r="K61" s="13">
        <v>8531.5799999999999</v>
      </c>
      <c r="L61" s="14">
        <f>IFERROR(K61/K327, "NA")</f>
      </c>
      <c r="M61" s="15"/>
      <c r="N61" s="13">
        <v>6293.6800000000003</v>
      </c>
      <c r="O61" s="14">
        <f>IFERROR(N61/N327, "NA")</f>
      </c>
    </row>
    <row r="62" ht="16.5" customHeight="1">
      <c t="s" r="A62" s="12">
        <v>65</v>
      </c>
      <c r="B62" s="13">
        <v>255.27000000000001</v>
      </c>
      <c r="C62" s="14">
        <f>IFERROR(B62/B327, "NA")</f>
      </c>
      <c r="D62" s="15"/>
      <c r="E62" s="13">
        <v>1250.75</v>
      </c>
      <c r="F62" s="14">
        <f>IFERROR(E62/E327, "NA")</f>
      </c>
      <c r="G62" s="15"/>
      <c r="H62" s="13">
        <v>1850.3699999999999</v>
      </c>
      <c r="I62" s="14">
        <f>IFERROR(H62/H327, "NA")</f>
      </c>
      <c r="J62" s="15"/>
      <c r="K62" s="13">
        <v>935.41999999999996</v>
      </c>
      <c r="L62" s="14">
        <f>IFERROR(K62/K327, "NA")</f>
      </c>
      <c r="M62" s="15"/>
      <c r="N62" s="13">
        <v>993.84000000000003</v>
      </c>
      <c r="O62" s="14">
        <f>IFERROR(N62/N327, "NA")</f>
      </c>
    </row>
    <row r="63" ht="16.5" customHeight="1">
      <c t="s" r="A63" s="12">
        <v>66</v>
      </c>
      <c r="B63" s="13">
        <v>-166.16</v>
      </c>
      <c r="C63" s="14">
        <f>IFERROR(B63/B327, "NA")</f>
      </c>
      <c r="D63" s="15"/>
      <c r="E63" s="13">
        <v>478.30000000000001</v>
      </c>
      <c r="F63" s="14">
        <f>IFERROR(E63/E327, "NA")</f>
      </c>
      <c r="G63" s="15"/>
      <c r="H63" s="13">
        <v>696.66999999999996</v>
      </c>
      <c r="I63" s="14">
        <f>IFERROR(H63/H327, "NA")</f>
      </c>
      <c r="J63" s="15"/>
      <c r="K63" s="13">
        <v>768.25</v>
      </c>
      <c r="L63" s="14">
        <f>IFERROR(K63/K327, "NA")</f>
      </c>
      <c r="M63" s="15"/>
      <c r="N63" s="13">
        <v>198.22999999999999</v>
      </c>
      <c r="O63" s="14">
        <f>IFERROR(N63/N327, "NA")</f>
      </c>
    </row>
    <row r="64" ht="16.5" customHeight="1">
      <c t="s" r="A64" s="12">
        <v>67</v>
      </c>
      <c r="B64" s="13">
        <v>0</v>
      </c>
      <c r="C64" s="14">
        <f>IFERROR(B64/B327, "NA")</f>
      </c>
      <c r="D64" s="15"/>
      <c r="E64" s="13">
        <v>0</v>
      </c>
      <c r="F64" s="14">
        <f>IFERROR(E64/E327, "NA")</f>
      </c>
      <c r="G64" s="15"/>
      <c r="H64" s="13">
        <v>0</v>
      </c>
      <c r="I64" s="14">
        <f>IFERROR(H64/H327, "NA")</f>
      </c>
      <c r="J64" s="15"/>
      <c r="K64" s="13">
        <v>0</v>
      </c>
      <c r="L64" s="14">
        <f>IFERROR(K64/K327, "NA")</f>
      </c>
      <c r="M64" s="15"/>
      <c r="N64" s="13">
        <v>0</v>
      </c>
      <c r="O64" s="14">
        <f>IFERROR(N64/N327, "NA")</f>
      </c>
    </row>
    <row r="65" ht="16.5" customHeight="1">
      <c t="s" r="A65" s="16">
        <v>68</v>
      </c>
      <c r="B65" s="17">
        <f>IFERROR(B55+B56+B57+B58+B59+B60+B61+B62+B63+B64, "NA")</f>
      </c>
      <c r="C65" s="18">
        <f>IFERROR(B65/B327, "NA")</f>
      </c>
      <c r="D65" s="8"/>
      <c r="E65" s="17">
        <f>IFERROR(E55+E56+E57+E58+E59+E60+E61+E62+E63+E64, "NA")</f>
      </c>
      <c r="F65" s="18">
        <f>IFERROR(E65/E327, "NA")</f>
      </c>
      <c r="G65" s="8"/>
      <c r="H65" s="17">
        <f>IFERROR(H55+H56+H57+H58+H59+H60+H61+H62+H63+H64, "NA")</f>
      </c>
      <c r="I65" s="18">
        <f>IFERROR(H65/H327, "NA")</f>
      </c>
      <c r="J65" s="8"/>
      <c r="K65" s="17">
        <f>IFERROR(K55+K56+K57+K58+K59+K60+K61+K62+K63+K64, "NA")</f>
      </c>
      <c r="L65" s="18">
        <f>IFERROR(K65/K327, "NA")</f>
      </c>
      <c r="M65" s="8"/>
      <c r="N65" s="17">
        <f>IFERROR(N55+N56+N57+N58+N59+N60+N61+N62+N63+N64, "NA")</f>
      </c>
      <c r="O65" s="18">
        <f>IFERROR(N65/N327, "NA")</f>
      </c>
    </row>
    <row r="66" ht="16.5" customHeight="1">
      <c t="s" r="A66" s="19">
        <v>69</v>
      </c>
      <c r="B66" s="13">
        <v>-7.1299999999999999</v>
      </c>
      <c r="C66" s="14">
        <f>IFERROR(B66/B327, "NA")</f>
      </c>
      <c r="D66" s="15"/>
      <c r="E66" s="13">
        <v>2908.75</v>
      </c>
      <c r="F66" s="14">
        <f>IFERROR(E66/E327, "NA")</f>
      </c>
      <c r="G66" s="15"/>
      <c r="H66" s="13">
        <v>3286.73</v>
      </c>
      <c r="I66" s="14">
        <f>IFERROR(H66/H327, "NA")</f>
      </c>
      <c r="J66" s="15"/>
      <c r="K66" s="13">
        <v>3528.3400000000001</v>
      </c>
      <c r="L66" s="14">
        <f>IFERROR(K66/K327, "NA")</f>
      </c>
      <c r="M66" s="15"/>
      <c r="N66" s="13">
        <v>3275.71</v>
      </c>
      <c r="O66" s="14">
        <f>IFERROR(N66/N327, "NA")</f>
      </c>
    </row>
    <row r="67" ht="16.5" customHeight="1">
      <c t="s" r="A67" s="11">
        <v>70</v>
      </c>
      <c r="B67" s="8"/>
      <c r="C67" s="9"/>
      <c r="D67" s="10"/>
      <c r="E67" s="8"/>
      <c r="F67" s="9"/>
      <c r="G67" s="10"/>
      <c r="H67" s="8"/>
      <c r="I67" s="9"/>
      <c r="J67" s="10"/>
      <c r="K67" s="8"/>
      <c r="L67" s="9"/>
      <c r="M67" s="10"/>
      <c r="N67" s="8"/>
      <c r="O67" s="9"/>
    </row>
    <row r="68" ht="16.5" customHeight="1">
      <c t="s" r="A68" s="12">
        <v>71</v>
      </c>
      <c r="B68" s="13">
        <v>0</v>
      </c>
      <c r="C68" s="14">
        <f>IFERROR(B68/B327, "NA")</f>
      </c>
      <c r="D68" s="15"/>
      <c r="E68" s="13">
        <v>0</v>
      </c>
      <c r="F68" s="14">
        <f>IFERROR(E68/E327, "NA")</f>
      </c>
      <c r="G68" s="15"/>
      <c r="H68" s="13">
        <v>0</v>
      </c>
      <c r="I68" s="14">
        <f>IFERROR(H68/H327, "NA")</f>
      </c>
      <c r="J68" s="15"/>
      <c r="K68" s="13">
        <v>0</v>
      </c>
      <c r="L68" s="14">
        <f>IFERROR(K68/K327, "NA")</f>
      </c>
      <c r="M68" s="15"/>
      <c r="N68" s="13">
        <v>0</v>
      </c>
      <c r="O68" s="14">
        <f>IFERROR(N68/N327, "NA")</f>
      </c>
    </row>
    <row r="69" ht="16.5" customHeight="1">
      <c t="s" r="A69" s="12">
        <v>72</v>
      </c>
      <c r="B69" s="13">
        <v>-17.449999999999999</v>
      </c>
      <c r="C69" s="14">
        <f>IFERROR(B69/B327, "NA")</f>
      </c>
      <c r="D69" s="15"/>
      <c r="E69" s="13">
        <v>201.05000000000001</v>
      </c>
      <c r="F69" s="14">
        <f>IFERROR(E69/E327, "NA")</f>
      </c>
      <c r="G69" s="15"/>
      <c r="H69" s="13">
        <v>20.100000000000001</v>
      </c>
      <c r="I69" s="14">
        <f>IFERROR(H69/H327, "NA")</f>
      </c>
      <c r="J69" s="15"/>
      <c r="K69" s="13">
        <v>-6.7699999999999996</v>
      </c>
      <c r="L69" s="14">
        <f>IFERROR(K69/K327, "NA")</f>
      </c>
      <c r="M69" s="15"/>
      <c r="N69" s="13">
        <v>0</v>
      </c>
      <c r="O69" s="14">
        <f>IFERROR(N69/N327, "NA")</f>
      </c>
    </row>
    <row r="70" ht="16.5" customHeight="1">
      <c t="s" r="A70" s="12">
        <v>73</v>
      </c>
      <c r="B70" s="13">
        <v>0</v>
      </c>
      <c r="C70" s="14">
        <f>IFERROR(B70/B327, "NA")</f>
      </c>
      <c r="D70" s="15"/>
      <c r="E70" s="13">
        <v>0</v>
      </c>
      <c r="F70" s="14">
        <f>IFERROR(E70/E327, "NA")</f>
      </c>
      <c r="G70" s="15"/>
      <c r="H70" s="13">
        <v>0</v>
      </c>
      <c r="I70" s="14">
        <f>IFERROR(H70/H327, "NA")</f>
      </c>
      <c r="J70" s="15"/>
      <c r="K70" s="13">
        <v>2463</v>
      </c>
      <c r="L70" s="14">
        <f>IFERROR(K70/K327, "NA")</f>
      </c>
      <c r="M70" s="15"/>
      <c r="N70" s="13">
        <v>0</v>
      </c>
      <c r="O70" s="14">
        <f>IFERROR(N70/N327, "NA")</f>
      </c>
    </row>
    <row r="71" ht="16.5" customHeight="1">
      <c t="s" r="A71" s="12">
        <v>74</v>
      </c>
      <c r="B71" s="13">
        <v>-7825.9899999999998</v>
      </c>
      <c r="C71" s="14">
        <f>IFERROR(B71/B327, "NA")</f>
      </c>
      <c r="D71" s="15"/>
      <c r="E71" s="13">
        <v>11247.48</v>
      </c>
      <c r="F71" s="14">
        <f>IFERROR(E71/E327, "NA")</f>
      </c>
      <c r="G71" s="15"/>
      <c r="H71" s="13">
        <v>8617.3199999999997</v>
      </c>
      <c r="I71" s="14">
        <f>IFERROR(H71/H327, "NA")</f>
      </c>
      <c r="J71" s="15"/>
      <c r="K71" s="13">
        <v>1070.79</v>
      </c>
      <c r="L71" s="14">
        <f>IFERROR(K71/K327, "NA")</f>
      </c>
      <c r="M71" s="15"/>
      <c r="N71" s="13">
        <v>11681</v>
      </c>
      <c r="O71" s="14">
        <f>IFERROR(N71/N327, "NA")</f>
      </c>
    </row>
    <row r="72" ht="16.5" customHeight="1">
      <c t="s" r="A72" s="12">
        <v>75</v>
      </c>
      <c r="B72" s="13">
        <v>0</v>
      </c>
      <c r="C72" s="14">
        <f>IFERROR(B72/B327, "NA")</f>
      </c>
      <c r="D72" s="15"/>
      <c r="E72" s="13">
        <v>0</v>
      </c>
      <c r="F72" s="14">
        <f>IFERROR(E72/E327, "NA")</f>
      </c>
      <c r="G72" s="15"/>
      <c r="H72" s="13">
        <v>0</v>
      </c>
      <c r="I72" s="14">
        <f>IFERROR(H72/H327, "NA")</f>
      </c>
      <c r="J72" s="15"/>
      <c r="K72" s="13">
        <v>0</v>
      </c>
      <c r="L72" s="14">
        <f>IFERROR(K72/K327, "NA")</f>
      </c>
      <c r="M72" s="15"/>
      <c r="N72" s="13">
        <v>0</v>
      </c>
      <c r="O72" s="14">
        <f>IFERROR(N72/N327, "NA")</f>
      </c>
    </row>
    <row r="73" ht="16.5" customHeight="1">
      <c t="s" r="A73" s="12">
        <v>76</v>
      </c>
      <c r="B73" s="13">
        <v>2556.1300000000001</v>
      </c>
      <c r="C73" s="14">
        <f>IFERROR(B73/B327, "NA")</f>
      </c>
      <c r="D73" s="15"/>
      <c r="E73" s="13">
        <v>3657.5100000000002</v>
      </c>
      <c r="F73" s="14">
        <f>IFERROR(E73/E327, "NA")</f>
      </c>
      <c r="G73" s="15"/>
      <c r="H73" s="13">
        <v>3704.21</v>
      </c>
      <c r="I73" s="14">
        <f>IFERROR(H73/H327, "NA")</f>
      </c>
      <c r="J73" s="15"/>
      <c r="K73" s="13">
        <v>5461.1999999999998</v>
      </c>
      <c r="L73" s="14">
        <f>IFERROR(K73/K327, "NA")</f>
      </c>
      <c r="M73" s="15"/>
      <c r="N73" s="13">
        <v>5009.29</v>
      </c>
      <c r="O73" s="14">
        <f>IFERROR(N73/N327, "NA")</f>
      </c>
    </row>
    <row r="74" ht="16.5" customHeight="1">
      <c t="s" r="A74" s="12">
        <v>77</v>
      </c>
      <c r="B74" s="13">
        <v>0</v>
      </c>
      <c r="C74" s="14">
        <f>IFERROR(B74/B327, "NA")</f>
      </c>
      <c r="D74" s="15"/>
      <c r="E74" s="13">
        <v>2494.3699999999999</v>
      </c>
      <c r="F74" s="14">
        <f>IFERROR(E74/E327, "NA")</f>
      </c>
      <c r="G74" s="15"/>
      <c r="H74" s="13">
        <v>3316.5999999999999</v>
      </c>
      <c r="I74" s="14">
        <f>IFERROR(H74/H327, "NA")</f>
      </c>
      <c r="J74" s="15"/>
      <c r="K74" s="13">
        <v>2934.7600000000002</v>
      </c>
      <c r="L74" s="14">
        <f>IFERROR(K74/K327, "NA")</f>
      </c>
      <c r="M74" s="15"/>
      <c r="N74" s="13">
        <v>2681.6399999999999</v>
      </c>
      <c r="O74" s="14">
        <f>IFERROR(N74/N327, "NA")</f>
      </c>
    </row>
    <row r="75" ht="16.5" customHeight="1">
      <c t="s" r="A75" s="12">
        <v>78</v>
      </c>
      <c r="B75" s="13">
        <v>223.02000000000001</v>
      </c>
      <c r="C75" s="14">
        <f>IFERROR(B75/B327, "NA")</f>
      </c>
      <c r="D75" s="15"/>
      <c r="E75" s="13">
        <v>492.22000000000003</v>
      </c>
      <c r="F75" s="14">
        <f>IFERROR(E75/E327, "NA")</f>
      </c>
      <c r="G75" s="15"/>
      <c r="H75" s="13">
        <v>238.56999999999999</v>
      </c>
      <c r="I75" s="14">
        <f>IFERROR(H75/H327, "NA")</f>
      </c>
      <c r="J75" s="15"/>
      <c r="K75" s="13">
        <v>589.91999999999996</v>
      </c>
      <c r="L75" s="14">
        <f>IFERROR(K75/K327, "NA")</f>
      </c>
      <c r="M75" s="15"/>
      <c r="N75" s="13">
        <v>481.38</v>
      </c>
      <c r="O75" s="14">
        <f>IFERROR(N75/N327, "NA")</f>
      </c>
    </row>
    <row r="76" ht="16.5" customHeight="1">
      <c t="s" r="A76" s="16">
        <v>79</v>
      </c>
      <c r="B76" s="17">
        <f>IFERROR(B68+B69+B70+B71+B72+B73+B74+B75, "NA")</f>
      </c>
      <c r="C76" s="18">
        <f>IFERROR(B76/B327, "NA")</f>
      </c>
      <c r="D76" s="8"/>
      <c r="E76" s="17">
        <f>IFERROR(E68+E69+E70+E71+E72+E73+E74+E75, "NA")</f>
      </c>
      <c r="F76" s="18">
        <f>IFERROR(E76/E327, "NA")</f>
      </c>
      <c r="G76" s="8"/>
      <c r="H76" s="17">
        <f>IFERROR(H68+H69+H70+H71+H72+H73+H74+H75, "NA")</f>
      </c>
      <c r="I76" s="18">
        <f>IFERROR(H76/H327, "NA")</f>
      </c>
      <c r="J76" s="8"/>
      <c r="K76" s="17">
        <f>IFERROR(K68+K69+K70+K71+K72+K73+K74+K75, "NA")</f>
      </c>
      <c r="L76" s="18">
        <f>IFERROR(K76/K327, "NA")</f>
      </c>
      <c r="M76" s="8"/>
      <c r="N76" s="17">
        <f>IFERROR(N68+N69+N70+N71+N72+N73+N74+N75, "NA")</f>
      </c>
      <c r="O76" s="18">
        <f>IFERROR(N76/N327, "NA")</f>
      </c>
    </row>
    <row r="77" ht="16.5" customHeight="1">
      <c t="s" r="A77" s="11">
        <v>80</v>
      </c>
      <c r="B77" s="8"/>
      <c r="C77" s="9"/>
      <c r="D77" s="10"/>
      <c r="E77" s="8"/>
      <c r="F77" s="9"/>
      <c r="G77" s="10"/>
      <c r="H77" s="8"/>
      <c r="I77" s="9"/>
      <c r="J77" s="10"/>
      <c r="K77" s="8"/>
      <c r="L77" s="9"/>
      <c r="M77" s="10"/>
      <c r="N77" s="8"/>
      <c r="O77" s="9"/>
    </row>
    <row r="78" ht="16.5" customHeight="1">
      <c t="s" r="A78" s="12">
        <v>81</v>
      </c>
      <c r="B78" s="13">
        <v>0</v>
      </c>
      <c r="C78" s="14">
        <f>IFERROR(B78/B327, "NA")</f>
      </c>
      <c r="D78" s="15"/>
      <c r="E78" s="13">
        <v>0</v>
      </c>
      <c r="F78" s="14">
        <f>IFERROR(E78/E327, "NA")</f>
      </c>
      <c r="G78" s="15"/>
      <c r="H78" s="13">
        <v>0</v>
      </c>
      <c r="I78" s="14">
        <f>IFERROR(H78/H327, "NA")</f>
      </c>
      <c r="J78" s="15"/>
      <c r="K78" s="13">
        <v>0</v>
      </c>
      <c r="L78" s="14">
        <f>IFERROR(K78/K327, "NA")</f>
      </c>
      <c r="M78" s="15"/>
      <c r="N78" s="13">
        <v>0</v>
      </c>
      <c r="O78" s="14">
        <f>IFERROR(N78/N327, "NA")</f>
      </c>
    </row>
    <row r="79" ht="16.5" customHeight="1">
      <c t="s" r="A79" s="12">
        <v>82</v>
      </c>
      <c r="B79" s="13">
        <v>0</v>
      </c>
      <c r="C79" s="14">
        <f>IFERROR(B79/B327, "NA")</f>
      </c>
      <c r="D79" s="15"/>
      <c r="E79" s="13">
        <v>0</v>
      </c>
      <c r="F79" s="14">
        <f>IFERROR(E79/E327, "NA")</f>
      </c>
      <c r="G79" s="15"/>
      <c r="H79" s="13">
        <v>0</v>
      </c>
      <c r="I79" s="14">
        <f>IFERROR(H79/H327, "NA")</f>
      </c>
      <c r="J79" s="15"/>
      <c r="K79" s="13">
        <v>0</v>
      </c>
      <c r="L79" s="14">
        <f>IFERROR(K79/K327, "NA")</f>
      </c>
      <c r="M79" s="15"/>
      <c r="N79" s="13">
        <v>0</v>
      </c>
      <c r="O79" s="14">
        <f>IFERROR(N79/N327, "NA")</f>
      </c>
    </row>
    <row r="80" ht="16.5" customHeight="1">
      <c t="s" r="A80" s="16">
        <v>83</v>
      </c>
      <c r="B80" s="17">
        <f>IFERROR(B78+B79, "NA")</f>
      </c>
      <c r="C80" s="18">
        <f>IFERROR(B80/B327, "NA")</f>
      </c>
      <c r="D80" s="8"/>
      <c r="E80" s="17">
        <f>IFERROR(E78+E79, "NA")</f>
      </c>
      <c r="F80" s="18">
        <f>IFERROR(E80/E327, "NA")</f>
      </c>
      <c r="G80" s="8"/>
      <c r="H80" s="17">
        <f>IFERROR(H78+H79, "NA")</f>
      </c>
      <c r="I80" s="18">
        <f>IFERROR(H80/H327, "NA")</f>
      </c>
      <c r="J80" s="8"/>
      <c r="K80" s="17">
        <f>IFERROR(K78+K79, "NA")</f>
      </c>
      <c r="L80" s="18">
        <f>IFERROR(K80/K327, "NA")</f>
      </c>
      <c r="M80" s="8"/>
      <c r="N80" s="17">
        <f>IFERROR(N78+N79, "NA")</f>
      </c>
      <c r="O80" s="18">
        <f>IFERROR(N80/N327, "NA")</f>
      </c>
    </row>
    <row r="81" ht="16.5" customHeight="1">
      <c t="s" r="A81" s="11">
        <v>84</v>
      </c>
      <c r="B81" s="8"/>
      <c r="C81" s="9"/>
      <c r="D81" s="10"/>
      <c r="E81" s="8"/>
      <c r="F81" s="9"/>
      <c r="G81" s="10"/>
      <c r="H81" s="8"/>
      <c r="I81" s="9"/>
      <c r="J81" s="10"/>
      <c r="K81" s="8"/>
      <c r="L81" s="9"/>
      <c r="M81" s="10"/>
      <c r="N81" s="8"/>
      <c r="O81" s="9"/>
    </row>
    <row r="82" ht="16.5" customHeight="1">
      <c t="s" r="A82" s="12">
        <v>85</v>
      </c>
      <c r="B82" s="13">
        <v>0</v>
      </c>
      <c r="C82" s="14">
        <f>IFERROR(B82/B327, "NA")</f>
      </c>
      <c r="D82" s="15"/>
      <c r="E82" s="13">
        <v>0</v>
      </c>
      <c r="F82" s="14">
        <f>IFERROR(E82/E327, "NA")</f>
      </c>
      <c r="G82" s="15"/>
      <c r="H82" s="13">
        <v>0</v>
      </c>
      <c r="I82" s="14">
        <f>IFERROR(H82/H327, "NA")</f>
      </c>
      <c r="J82" s="15"/>
      <c r="K82" s="13">
        <v>0</v>
      </c>
      <c r="L82" s="14">
        <f>IFERROR(K82/K327, "NA")</f>
      </c>
      <c r="M82" s="15"/>
      <c r="N82" s="13">
        <v>0</v>
      </c>
      <c r="O82" s="14">
        <f>IFERROR(N82/N327, "NA")</f>
      </c>
    </row>
    <row r="83" ht="16.5" customHeight="1">
      <c t="s" r="A83" s="21">
        <v>86</v>
      </c>
      <c r="B83" s="8"/>
      <c r="C83" s="9"/>
      <c r="D83" s="10"/>
      <c r="E83" s="8"/>
      <c r="F83" s="9"/>
      <c r="G83" s="10"/>
      <c r="H83" s="8"/>
      <c r="I83" s="9"/>
      <c r="J83" s="10"/>
      <c r="K83" s="8"/>
      <c r="L83" s="9"/>
      <c r="M83" s="10"/>
      <c r="N83" s="8"/>
      <c r="O83" s="9"/>
    </row>
    <row r="84" ht="16.5" customHeight="1">
      <c t="s" r="A84" s="22">
        <v>87</v>
      </c>
      <c r="B84" s="13">
        <v>0</v>
      </c>
      <c r="C84" s="14">
        <f>IFERROR(B84/B327, "NA")</f>
      </c>
      <c r="D84" s="15"/>
      <c r="E84" s="13">
        <v>0</v>
      </c>
      <c r="F84" s="14">
        <f>IFERROR(E84/E327, "NA")</f>
      </c>
      <c r="G84" s="15"/>
      <c r="H84" s="13">
        <v>0</v>
      </c>
      <c r="I84" s="14">
        <f>IFERROR(H84/H327, "NA")</f>
      </c>
      <c r="J84" s="15"/>
      <c r="K84" s="13">
        <v>0</v>
      </c>
      <c r="L84" s="14">
        <f>IFERROR(K84/K327, "NA")</f>
      </c>
      <c r="M84" s="15"/>
      <c r="N84" s="13">
        <v>0</v>
      </c>
      <c r="O84" s="14">
        <f>IFERROR(N84/N327, "NA")</f>
      </c>
    </row>
    <row r="85" ht="16.5" customHeight="1">
      <c t="s" r="A85" s="22">
        <v>88</v>
      </c>
      <c r="B85" s="13">
        <v>0</v>
      </c>
      <c r="C85" s="14">
        <f>IFERROR(B85/B327, "NA")</f>
      </c>
      <c r="D85" s="15"/>
      <c r="E85" s="13">
        <v>29760.5</v>
      </c>
      <c r="F85" s="14">
        <f>IFERROR(E85/E327, "NA")</f>
      </c>
      <c r="G85" s="15"/>
      <c r="H85" s="13">
        <v>0</v>
      </c>
      <c r="I85" s="14">
        <f>IFERROR(H85/H327, "NA")</f>
      </c>
      <c r="J85" s="15"/>
      <c r="K85" s="13">
        <v>30006.099999999999</v>
      </c>
      <c r="L85" s="14">
        <f>IFERROR(K85/K327, "NA")</f>
      </c>
      <c r="M85" s="15"/>
      <c r="N85" s="13">
        <v>0</v>
      </c>
      <c r="O85" s="14">
        <f>IFERROR(N85/N327, "NA")</f>
      </c>
    </row>
    <row r="86" ht="16.5" customHeight="1">
      <c t="s" r="A86" s="22">
        <v>89</v>
      </c>
      <c r="B86" s="13">
        <v>0</v>
      </c>
      <c r="C86" s="14">
        <f>IFERROR(B86/B327, "NA")</f>
      </c>
      <c r="D86" s="15"/>
      <c r="E86" s="13">
        <v>12789.309999999999</v>
      </c>
      <c r="F86" s="14">
        <f>IFERROR(E86/E327, "NA")</f>
      </c>
      <c r="G86" s="15"/>
      <c r="H86" s="13">
        <v>0</v>
      </c>
      <c r="I86" s="14">
        <f>IFERROR(H86/H327, "NA")</f>
      </c>
      <c r="J86" s="15"/>
      <c r="K86" s="13">
        <v>13245.780000000001</v>
      </c>
      <c r="L86" s="14">
        <f>IFERROR(K86/K327, "NA")</f>
      </c>
      <c r="M86" s="15"/>
      <c r="N86" s="13">
        <v>0</v>
      </c>
      <c r="O86" s="14">
        <f>IFERROR(N86/N327, "NA")</f>
      </c>
    </row>
    <row r="87" ht="16.5" customHeight="1">
      <c t="s" r="A87" s="22">
        <v>90</v>
      </c>
      <c r="B87" s="13">
        <v>0</v>
      </c>
      <c r="C87" s="14">
        <f>IFERROR(B87/B327, "NA")</f>
      </c>
      <c r="D87" s="15"/>
      <c r="E87" s="13">
        <v>3087.29</v>
      </c>
      <c r="F87" s="14">
        <f>IFERROR(E87/E327, "NA")</f>
      </c>
      <c r="G87" s="15"/>
      <c r="H87" s="13">
        <v>0</v>
      </c>
      <c r="I87" s="14">
        <f>IFERROR(H87/H327, "NA")</f>
      </c>
      <c r="J87" s="15"/>
      <c r="K87" s="13">
        <v>3540.6199999999999</v>
      </c>
      <c r="L87" s="14">
        <f>IFERROR(K87/K327, "NA")</f>
      </c>
      <c r="M87" s="15"/>
      <c r="N87" s="13">
        <v>0</v>
      </c>
      <c r="O87" s="14">
        <f>IFERROR(N87/N327, "NA")</f>
      </c>
    </row>
    <row r="88" ht="16.5" customHeight="1">
      <c t="s" r="A88" s="22">
        <v>91</v>
      </c>
      <c r="B88" s="13">
        <v>0</v>
      </c>
      <c r="C88" s="14">
        <f>IFERROR(B88/B327, "NA")</f>
      </c>
      <c r="D88" s="15"/>
      <c r="E88" s="13">
        <v>0</v>
      </c>
      <c r="F88" s="14">
        <f>IFERROR(E88/E327, "NA")</f>
      </c>
      <c r="G88" s="15"/>
      <c r="H88" s="13">
        <v>0</v>
      </c>
      <c r="I88" s="14">
        <f>IFERROR(H88/H327, "NA")</f>
      </c>
      <c r="J88" s="15"/>
      <c r="K88" s="13">
        <v>0</v>
      </c>
      <c r="L88" s="14">
        <f>IFERROR(K88/K327, "NA")</f>
      </c>
      <c r="M88" s="15"/>
      <c r="N88" s="13">
        <v>0</v>
      </c>
      <c r="O88" s="14">
        <f>IFERROR(N88/N327, "NA")</f>
      </c>
    </row>
    <row r="89" ht="16.5" customHeight="1">
      <c t="s" r="A89" s="22">
        <v>92</v>
      </c>
      <c r="B89" s="13">
        <v>0</v>
      </c>
      <c r="C89" s="14">
        <f>IFERROR(B89/B327, "NA")</f>
      </c>
      <c r="D89" s="15"/>
      <c r="E89" s="13">
        <v>11810.940000000001</v>
      </c>
      <c r="F89" s="14">
        <f>IFERROR(E89/E327, "NA")</f>
      </c>
      <c r="G89" s="15"/>
      <c r="H89" s="13">
        <v>0</v>
      </c>
      <c r="I89" s="14">
        <f>IFERROR(H89/H327, "NA")</f>
      </c>
      <c r="J89" s="15"/>
      <c r="K89" s="13">
        <v>15052.93</v>
      </c>
      <c r="L89" s="14">
        <f>IFERROR(K89/K327, "NA")</f>
      </c>
      <c r="M89" s="15"/>
      <c r="N89" s="13">
        <v>0</v>
      </c>
      <c r="O89" s="14">
        <f>IFERROR(N89/N327, "NA")</f>
      </c>
    </row>
    <row r="90" ht="16.5" customHeight="1">
      <c t="s" r="A90" s="22">
        <v>93</v>
      </c>
      <c r="B90" s="13">
        <v>0</v>
      </c>
      <c r="C90" s="14">
        <f>IFERROR(B90/B327, "NA")</f>
      </c>
      <c r="D90" s="15"/>
      <c r="E90" s="13">
        <v>0</v>
      </c>
      <c r="F90" s="14">
        <f>IFERROR(E90/E327, "NA")</f>
      </c>
      <c r="G90" s="15"/>
      <c r="H90" s="13">
        <v>0</v>
      </c>
      <c r="I90" s="14">
        <f>IFERROR(H90/H327, "NA")</f>
      </c>
      <c r="J90" s="15"/>
      <c r="K90" s="13">
        <v>0</v>
      </c>
      <c r="L90" s="14">
        <f>IFERROR(K90/K327, "NA")</f>
      </c>
      <c r="M90" s="15"/>
      <c r="N90" s="13">
        <v>0</v>
      </c>
      <c r="O90" s="14">
        <f>IFERROR(N90/N327, "NA")</f>
      </c>
    </row>
    <row r="91" ht="16.5" customHeight="1">
      <c t="s" r="A91" s="22">
        <v>94</v>
      </c>
      <c r="B91" s="13">
        <v>0</v>
      </c>
      <c r="C91" s="14">
        <f>IFERROR(B91/B327, "NA")</f>
      </c>
      <c r="D91" s="15"/>
      <c r="E91" s="13">
        <v>0</v>
      </c>
      <c r="F91" s="14">
        <f>IFERROR(E91/E327, "NA")</f>
      </c>
      <c r="G91" s="15"/>
      <c r="H91" s="13">
        <v>0</v>
      </c>
      <c r="I91" s="14">
        <f>IFERROR(H91/H327, "NA")</f>
      </c>
      <c r="J91" s="15"/>
      <c r="K91" s="13">
        <v>0</v>
      </c>
      <c r="L91" s="14">
        <f>IFERROR(K91/K327, "NA")</f>
      </c>
      <c r="M91" s="15"/>
      <c r="N91" s="13">
        <v>0</v>
      </c>
      <c r="O91" s="14">
        <f>IFERROR(N91/N327, "NA")</f>
      </c>
    </row>
    <row r="92" ht="16.5" customHeight="1">
      <c t="s" r="A92" s="22">
        <v>95</v>
      </c>
      <c r="B92" s="13">
        <v>0</v>
      </c>
      <c r="C92" s="14">
        <f>IFERROR(B92/B327, "NA")</f>
      </c>
      <c r="D92" s="15"/>
      <c r="E92" s="13">
        <v>8751.1800000000003</v>
      </c>
      <c r="F92" s="14">
        <f>IFERROR(E92/E327, "NA")</f>
      </c>
      <c r="G92" s="15"/>
      <c r="H92" s="13">
        <v>0</v>
      </c>
      <c r="I92" s="14">
        <f>IFERROR(H92/H327, "NA")</f>
      </c>
      <c r="J92" s="15"/>
      <c r="K92" s="13">
        <v>9065.8500000000004</v>
      </c>
      <c r="L92" s="14">
        <f>IFERROR(K92/K327, "NA")</f>
      </c>
      <c r="M92" s="15"/>
      <c r="N92" s="13">
        <v>0</v>
      </c>
      <c r="O92" s="14">
        <f>IFERROR(N92/N327, "NA")</f>
      </c>
    </row>
    <row r="93" ht="16.5" customHeight="1">
      <c t="s" r="A93" s="22">
        <v>96</v>
      </c>
      <c r="B93" s="13">
        <v>0</v>
      </c>
      <c r="C93" s="14">
        <f>IFERROR(B93/B327, "NA")</f>
      </c>
      <c r="D93" s="15"/>
      <c r="E93" s="13">
        <v>2157.3299999999999</v>
      </c>
      <c r="F93" s="14">
        <f>IFERROR(E93/E327, "NA")</f>
      </c>
      <c r="G93" s="15"/>
      <c r="H93" s="13">
        <v>0</v>
      </c>
      <c r="I93" s="14">
        <f>IFERROR(H93/H327, "NA")</f>
      </c>
      <c r="J93" s="15"/>
      <c r="K93" s="13">
        <v>2440.9499999999998</v>
      </c>
      <c r="L93" s="14">
        <f>IFERROR(K93/K327, "NA")</f>
      </c>
      <c r="M93" s="15"/>
      <c r="N93" s="13">
        <v>0</v>
      </c>
      <c r="O93" s="14">
        <f>IFERROR(N93/N327, "NA")</f>
      </c>
    </row>
    <row r="94" ht="16.5" customHeight="1">
      <c t="s" r="A94" s="22">
        <v>97</v>
      </c>
      <c r="B94" s="13">
        <v>0</v>
      </c>
      <c r="C94" s="14">
        <f>IFERROR(B94/B327, "NA")</f>
      </c>
      <c r="D94" s="15"/>
      <c r="E94" s="13">
        <v>0</v>
      </c>
      <c r="F94" s="14">
        <f>IFERROR(E94/E327, "NA")</f>
      </c>
      <c r="G94" s="15"/>
      <c r="H94" s="13">
        <v>0</v>
      </c>
      <c r="I94" s="14">
        <f>IFERROR(H94/H327, "NA")</f>
      </c>
      <c r="J94" s="15"/>
      <c r="K94" s="13">
        <v>0</v>
      </c>
      <c r="L94" s="14">
        <f>IFERROR(K94/K327, "NA")</f>
      </c>
      <c r="M94" s="15"/>
      <c r="N94" s="13">
        <v>0</v>
      </c>
      <c r="O94" s="14">
        <f>IFERROR(N94/N327, "NA")</f>
      </c>
    </row>
    <row r="95" ht="16.5" customHeight="1">
      <c t="s" r="A95" s="22">
        <v>98</v>
      </c>
      <c r="B95" s="13">
        <v>0</v>
      </c>
      <c r="C95" s="14">
        <f>IFERROR(B95/B327, "NA")</f>
      </c>
      <c r="D95" s="15"/>
      <c r="E95" s="13">
        <v>0</v>
      </c>
      <c r="F95" s="14">
        <f>IFERROR(E95/E327, "NA")</f>
      </c>
      <c r="G95" s="15"/>
      <c r="H95" s="13">
        <v>0</v>
      </c>
      <c r="I95" s="14">
        <f>IFERROR(H95/H327, "NA")</f>
      </c>
      <c r="J95" s="15"/>
      <c r="K95" s="13">
        <v>0</v>
      </c>
      <c r="L95" s="14">
        <f>IFERROR(K95/K327, "NA")</f>
      </c>
      <c r="M95" s="15"/>
      <c r="N95" s="13">
        <v>0</v>
      </c>
      <c r="O95" s="14">
        <f>IFERROR(N95/N327, "NA")</f>
      </c>
    </row>
    <row r="96" ht="16.5" customHeight="1">
      <c t="s" r="A96" s="22">
        <v>99</v>
      </c>
      <c r="B96" s="13">
        <v>0</v>
      </c>
      <c r="C96" s="14">
        <f>IFERROR(B96/B327, "NA")</f>
      </c>
      <c r="D96" s="15"/>
      <c r="E96" s="13">
        <v>0</v>
      </c>
      <c r="F96" s="14">
        <f>IFERROR(E96/E327, "NA")</f>
      </c>
      <c r="G96" s="15"/>
      <c r="H96" s="13">
        <v>0</v>
      </c>
      <c r="I96" s="14">
        <f>IFERROR(H96/H327, "NA")</f>
      </c>
      <c r="J96" s="15"/>
      <c r="K96" s="13">
        <v>0</v>
      </c>
      <c r="L96" s="14">
        <f>IFERROR(K96/K327, "NA")</f>
      </c>
      <c r="M96" s="15"/>
      <c r="N96" s="13">
        <v>0</v>
      </c>
      <c r="O96" s="14">
        <f>IFERROR(N96/N327, "NA")</f>
      </c>
    </row>
    <row r="97" ht="16.5" customHeight="1">
      <c t="s" r="A97" s="22">
        <v>100</v>
      </c>
      <c r="B97" s="13">
        <v>0</v>
      </c>
      <c r="C97" s="14">
        <f>IFERROR(B97/B327, "NA")</f>
      </c>
      <c r="D97" s="15"/>
      <c r="E97" s="13">
        <v>5065.8000000000002</v>
      </c>
      <c r="F97" s="14">
        <f>IFERROR(E97/E327, "NA")</f>
      </c>
      <c r="G97" s="15"/>
      <c r="H97" s="13">
        <v>0</v>
      </c>
      <c r="I97" s="14">
        <f>IFERROR(H97/H327, "NA")</f>
      </c>
      <c r="J97" s="15"/>
      <c r="K97" s="13">
        <v>6116.1599999999999</v>
      </c>
      <c r="L97" s="14">
        <f>IFERROR(K97/K327, "NA")</f>
      </c>
      <c r="M97" s="15"/>
      <c r="N97" s="13">
        <v>0</v>
      </c>
      <c r="O97" s="14">
        <f>IFERROR(N97/N327, "NA")</f>
      </c>
    </row>
    <row r="98" ht="16.5" customHeight="1">
      <c t="s" r="A98" s="22">
        <v>101</v>
      </c>
      <c r="B98" s="13">
        <v>1505</v>
      </c>
      <c r="C98" s="14">
        <f>IFERROR(B98/B327, "NA")</f>
      </c>
      <c r="D98" s="15"/>
      <c r="E98" s="13">
        <v>1676</v>
      </c>
      <c r="F98" s="14">
        <f>IFERROR(E98/E327, "NA")</f>
      </c>
      <c r="G98" s="15"/>
      <c r="H98" s="13">
        <v>1820</v>
      </c>
      <c r="I98" s="14">
        <f>IFERROR(H98/H327, "NA")</f>
      </c>
      <c r="J98" s="15"/>
      <c r="K98" s="13">
        <v>2471</v>
      </c>
      <c r="L98" s="14">
        <f>IFERROR(K98/K327, "NA")</f>
      </c>
      <c r="M98" s="15"/>
      <c r="N98" s="13">
        <v>1931</v>
      </c>
      <c r="O98" s="14">
        <f>IFERROR(N98/N327, "NA")</f>
      </c>
    </row>
    <row r="99" ht="16.5" customHeight="1">
      <c t="s" r="A99" s="22">
        <v>102</v>
      </c>
      <c r="B99" s="13">
        <v>0</v>
      </c>
      <c r="C99" s="14">
        <f>IFERROR(B99/B327, "NA")</f>
      </c>
      <c r="D99" s="15"/>
      <c r="E99" s="13">
        <v>0</v>
      </c>
      <c r="F99" s="14">
        <f>IFERROR(E99/E327, "NA")</f>
      </c>
      <c r="G99" s="15"/>
      <c r="H99" s="13">
        <v>0</v>
      </c>
      <c r="I99" s="14">
        <f>IFERROR(H99/H327, "NA")</f>
      </c>
      <c r="J99" s="15"/>
      <c r="K99" s="13">
        <v>0</v>
      </c>
      <c r="L99" s="14">
        <f>IFERROR(K99/K327, "NA")</f>
      </c>
      <c r="M99" s="15"/>
      <c r="N99" s="13">
        <v>0</v>
      </c>
      <c r="O99" s="14">
        <f>IFERROR(N99/N327, "NA")</f>
      </c>
    </row>
    <row r="100" ht="16.5" customHeight="1">
      <c t="s" r="A100" s="22">
        <v>103</v>
      </c>
      <c r="B100" s="13">
        <v>0</v>
      </c>
      <c r="C100" s="14">
        <f>IFERROR(B100/B327, "NA")</f>
      </c>
      <c r="D100" s="15"/>
      <c r="E100" s="13">
        <v>0</v>
      </c>
      <c r="F100" s="14">
        <f>IFERROR(E100/E327, "NA")</f>
      </c>
      <c r="G100" s="15"/>
      <c r="H100" s="13">
        <v>0</v>
      </c>
      <c r="I100" s="14">
        <f>IFERROR(H100/H327, "NA")</f>
      </c>
      <c r="J100" s="15"/>
      <c r="K100" s="13">
        <v>0</v>
      </c>
      <c r="L100" s="14">
        <f>IFERROR(K100/K327, "NA")</f>
      </c>
      <c r="M100" s="15"/>
      <c r="N100" s="13">
        <v>0</v>
      </c>
      <c r="O100" s="14">
        <f>IFERROR(N100/N327, "NA")</f>
      </c>
    </row>
    <row r="101" ht="16.5" customHeight="1">
      <c t="s" r="A101" s="22">
        <v>104</v>
      </c>
      <c r="B101" s="13">
        <v>0</v>
      </c>
      <c r="C101" s="14">
        <f>IFERROR(B101/B327, "NA")</f>
      </c>
      <c r="D101" s="15"/>
      <c r="E101" s="13">
        <v>0</v>
      </c>
      <c r="F101" s="14">
        <f>IFERROR(E101/E327, "NA")</f>
      </c>
      <c r="G101" s="15"/>
      <c r="H101" s="13">
        <v>0</v>
      </c>
      <c r="I101" s="14">
        <f>IFERROR(H101/H327, "NA")</f>
      </c>
      <c r="J101" s="15"/>
      <c r="K101" s="13">
        <v>0</v>
      </c>
      <c r="L101" s="14">
        <f>IFERROR(K101/K327, "NA")</f>
      </c>
      <c r="M101" s="15"/>
      <c r="N101" s="13">
        <v>0</v>
      </c>
      <c r="O101" s="14">
        <f>IFERROR(N101/N327, "NA")</f>
      </c>
    </row>
    <row r="102" ht="16.5" customHeight="1">
      <c t="s" r="A102" s="22">
        <v>105</v>
      </c>
      <c r="B102" s="13">
        <v>0</v>
      </c>
      <c r="C102" s="14">
        <f>IFERROR(B102/B327, "NA")</f>
      </c>
      <c r="D102" s="15"/>
      <c r="E102" s="13">
        <v>0</v>
      </c>
      <c r="F102" s="14">
        <f>IFERROR(E102/E327, "NA")</f>
      </c>
      <c r="G102" s="15"/>
      <c r="H102" s="13">
        <v>0</v>
      </c>
      <c r="I102" s="14">
        <f>IFERROR(H102/H327, "NA")</f>
      </c>
      <c r="J102" s="15"/>
      <c r="K102" s="13">
        <v>0</v>
      </c>
      <c r="L102" s="14">
        <f>IFERROR(K102/K327, "NA")</f>
      </c>
      <c r="M102" s="15"/>
      <c r="N102" s="13">
        <v>0</v>
      </c>
      <c r="O102" s="14">
        <f>IFERROR(N102/N327, "NA")</f>
      </c>
    </row>
    <row r="103" ht="16.5" customHeight="1">
      <c t="s" r="A103" s="22">
        <v>106</v>
      </c>
      <c r="B103" s="13">
        <v>0</v>
      </c>
      <c r="C103" s="14">
        <f>IFERROR(B103/B327, "NA")</f>
      </c>
      <c r="D103" s="15"/>
      <c r="E103" s="13">
        <v>0</v>
      </c>
      <c r="F103" s="14">
        <f>IFERROR(E103/E327, "NA")</f>
      </c>
      <c r="G103" s="15"/>
      <c r="H103" s="13">
        <v>0</v>
      </c>
      <c r="I103" s="14">
        <f>IFERROR(H103/H327, "NA")</f>
      </c>
      <c r="J103" s="15"/>
      <c r="K103" s="13">
        <v>0</v>
      </c>
      <c r="L103" s="14">
        <f>IFERROR(K103/K327, "NA")</f>
      </c>
      <c r="M103" s="15"/>
      <c r="N103" s="13">
        <v>0</v>
      </c>
      <c r="O103" s="14">
        <f>IFERROR(N103/N327, "NA")</f>
      </c>
    </row>
    <row r="104" ht="16.5" customHeight="1">
      <c t="s" r="A104" s="22">
        <v>107</v>
      </c>
      <c r="B104" s="13">
        <v>0</v>
      </c>
      <c r="C104" s="14">
        <f>IFERROR(B104/B327, "NA")</f>
      </c>
      <c r="D104" s="15"/>
      <c r="E104" s="13">
        <v>0</v>
      </c>
      <c r="F104" s="14">
        <f>IFERROR(E104/E327, "NA")</f>
      </c>
      <c r="G104" s="15"/>
      <c r="H104" s="13">
        <v>0</v>
      </c>
      <c r="I104" s="14">
        <f>IFERROR(H104/H327, "NA")</f>
      </c>
      <c r="J104" s="15"/>
      <c r="K104" s="13">
        <v>0</v>
      </c>
      <c r="L104" s="14">
        <f>IFERROR(K104/K327, "NA")</f>
      </c>
      <c r="M104" s="15"/>
      <c r="N104" s="13">
        <v>0</v>
      </c>
      <c r="O104" s="14">
        <f>IFERROR(N104/N327, "NA")</f>
      </c>
    </row>
    <row r="105" ht="16.5" customHeight="1">
      <c t="s" r="A105" s="22">
        <v>108</v>
      </c>
      <c r="B105" s="13">
        <v>0</v>
      </c>
      <c r="C105" s="14">
        <f>IFERROR(B105/B327, "NA")</f>
      </c>
      <c r="D105" s="15"/>
      <c r="E105" s="13">
        <v>0</v>
      </c>
      <c r="F105" s="14">
        <f>IFERROR(E105/E327, "NA")</f>
      </c>
      <c r="G105" s="15"/>
      <c r="H105" s="13">
        <v>0</v>
      </c>
      <c r="I105" s="14">
        <f>IFERROR(H105/H327, "NA")</f>
      </c>
      <c r="J105" s="15"/>
      <c r="K105" s="13">
        <v>0</v>
      </c>
      <c r="L105" s="14">
        <f>IFERROR(K105/K327, "NA")</f>
      </c>
      <c r="M105" s="15"/>
      <c r="N105" s="13">
        <v>0</v>
      </c>
      <c r="O105" s="14">
        <f>IFERROR(N105/N327, "NA")</f>
      </c>
    </row>
    <row r="106" ht="16.5" customHeight="1">
      <c t="s" r="A106" s="22">
        <v>109</v>
      </c>
      <c r="B106" s="13">
        <v>0</v>
      </c>
      <c r="C106" s="14">
        <f>IFERROR(B106/B327, "NA")</f>
      </c>
      <c r="D106" s="15"/>
      <c r="E106" s="13">
        <v>0</v>
      </c>
      <c r="F106" s="14">
        <f>IFERROR(E106/E327, "NA")</f>
      </c>
      <c r="G106" s="15"/>
      <c r="H106" s="13">
        <v>0</v>
      </c>
      <c r="I106" s="14">
        <f>IFERROR(H106/H327, "NA")</f>
      </c>
      <c r="J106" s="15"/>
      <c r="K106" s="13">
        <v>0</v>
      </c>
      <c r="L106" s="14">
        <f>IFERROR(K106/K327, "NA")</f>
      </c>
      <c r="M106" s="15"/>
      <c r="N106" s="13">
        <v>0</v>
      </c>
      <c r="O106" s="14">
        <f>IFERROR(N106/N327, "NA")</f>
      </c>
    </row>
    <row r="107" ht="16.5" customHeight="1">
      <c t="s" r="A107" s="22">
        <v>110</v>
      </c>
      <c r="B107" s="13">
        <v>0</v>
      </c>
      <c r="C107" s="14">
        <f>IFERROR(B107/B327, "NA")</f>
      </c>
      <c r="D107" s="15"/>
      <c r="E107" s="13">
        <v>0</v>
      </c>
      <c r="F107" s="14">
        <f>IFERROR(E107/E327, "NA")</f>
      </c>
      <c r="G107" s="15"/>
      <c r="H107" s="13">
        <v>0</v>
      </c>
      <c r="I107" s="14">
        <f>IFERROR(H107/H327, "NA")</f>
      </c>
      <c r="J107" s="15"/>
      <c r="K107" s="13">
        <v>0</v>
      </c>
      <c r="L107" s="14">
        <f>IFERROR(K107/K327, "NA")</f>
      </c>
      <c r="M107" s="15"/>
      <c r="N107" s="13">
        <v>0</v>
      </c>
      <c r="O107" s="14">
        <f>IFERROR(N107/N327, "NA")</f>
      </c>
    </row>
    <row r="108" ht="16.5" customHeight="1">
      <c t="s" r="A108" s="22">
        <v>111</v>
      </c>
      <c r="B108" s="13">
        <v>0</v>
      </c>
      <c r="C108" s="14">
        <f>IFERROR(B108/B327, "NA")</f>
      </c>
      <c r="D108" s="15"/>
      <c r="E108" s="13">
        <v>0</v>
      </c>
      <c r="F108" s="14">
        <f>IFERROR(E108/E327, "NA")</f>
      </c>
      <c r="G108" s="15"/>
      <c r="H108" s="13">
        <v>0</v>
      </c>
      <c r="I108" s="14">
        <f>IFERROR(H108/H327, "NA")</f>
      </c>
      <c r="J108" s="15"/>
      <c r="K108" s="13">
        <v>0</v>
      </c>
      <c r="L108" s="14">
        <f>IFERROR(K108/K327, "NA")</f>
      </c>
      <c r="M108" s="15"/>
      <c r="N108" s="13">
        <v>0</v>
      </c>
      <c r="O108" s="14">
        <f>IFERROR(N108/N327, "NA")</f>
      </c>
    </row>
    <row r="109" ht="16.5" customHeight="1">
      <c t="s" r="A109" s="22">
        <v>112</v>
      </c>
      <c r="B109" s="13">
        <v>0</v>
      </c>
      <c r="C109" s="14">
        <f>IFERROR(B109/B327, "NA")</f>
      </c>
      <c r="D109" s="15"/>
      <c r="E109" s="13">
        <v>0</v>
      </c>
      <c r="F109" s="14">
        <f>IFERROR(E109/E327, "NA")</f>
      </c>
      <c r="G109" s="15"/>
      <c r="H109" s="13">
        <v>0</v>
      </c>
      <c r="I109" s="14">
        <f>IFERROR(H109/H327, "NA")</f>
      </c>
      <c r="J109" s="15"/>
      <c r="K109" s="13">
        <v>0</v>
      </c>
      <c r="L109" s="14">
        <f>IFERROR(K109/K327, "NA")</f>
      </c>
      <c r="M109" s="15"/>
      <c r="N109" s="13">
        <v>0</v>
      </c>
      <c r="O109" s="14">
        <f>IFERROR(N109/N327, "NA")</f>
      </c>
    </row>
    <row r="110" ht="16.5" customHeight="1">
      <c t="s" r="A110" s="22">
        <v>113</v>
      </c>
      <c r="B110" s="13">
        <v>0</v>
      </c>
      <c r="C110" s="14">
        <f>IFERROR(B110/B327, "NA")</f>
      </c>
      <c r="D110" s="15"/>
      <c r="E110" s="13">
        <v>4935.8999999999996</v>
      </c>
      <c r="F110" s="14">
        <f>IFERROR(E110/E327, "NA")</f>
      </c>
      <c r="G110" s="15"/>
      <c r="H110" s="13">
        <v>0</v>
      </c>
      <c r="I110" s="14">
        <f>IFERROR(H110/H327, "NA")</f>
      </c>
      <c r="J110" s="15"/>
      <c r="K110" s="13">
        <v>5679.1499999999996</v>
      </c>
      <c r="L110" s="14">
        <f>IFERROR(K110/K327, "NA")</f>
      </c>
      <c r="M110" s="15"/>
      <c r="N110" s="13">
        <v>0</v>
      </c>
      <c r="O110" s="14">
        <f>IFERROR(N110/N327, "NA")</f>
      </c>
    </row>
    <row r="111" ht="16.5" customHeight="1">
      <c t="s" r="A111" s="22">
        <v>114</v>
      </c>
      <c r="B111" s="13">
        <v>0</v>
      </c>
      <c r="C111" s="14">
        <f>IFERROR(B111/B327, "NA")</f>
      </c>
      <c r="D111" s="15"/>
      <c r="E111" s="13">
        <v>2004.48</v>
      </c>
      <c r="F111" s="14">
        <f>IFERROR(E111/E327, "NA")</f>
      </c>
      <c r="G111" s="15"/>
      <c r="H111" s="13">
        <v>0</v>
      </c>
      <c r="I111" s="14">
        <f>IFERROR(H111/H327, "NA")</f>
      </c>
      <c r="J111" s="15"/>
      <c r="K111" s="13">
        <v>1687.6800000000001</v>
      </c>
      <c r="L111" s="14">
        <f>IFERROR(K111/K327, "NA")</f>
      </c>
      <c r="M111" s="15"/>
      <c r="N111" s="13">
        <v>0</v>
      </c>
      <c r="O111" s="14">
        <f>IFERROR(N111/N327, "NA")</f>
      </c>
    </row>
    <row r="112" ht="16.5" customHeight="1">
      <c t="s" r="A112" s="22">
        <v>115</v>
      </c>
      <c r="B112" s="13">
        <v>0</v>
      </c>
      <c r="C112" s="14">
        <f>IFERROR(B112/B327, "NA")</f>
      </c>
      <c r="D112" s="15"/>
      <c r="E112" s="13">
        <v>2438.6500000000001</v>
      </c>
      <c r="F112" s="14">
        <f>IFERROR(E112/E327, "NA")</f>
      </c>
      <c r="G112" s="15"/>
      <c r="H112" s="13">
        <v>0</v>
      </c>
      <c r="I112" s="14">
        <f>IFERROR(H112/H327, "NA")</f>
      </c>
      <c r="J112" s="15"/>
      <c r="K112" s="13">
        <v>2508.52</v>
      </c>
      <c r="L112" s="14">
        <f>IFERROR(K112/K327, "NA")</f>
      </c>
      <c r="M112" s="15"/>
      <c r="N112" s="13">
        <v>0</v>
      </c>
      <c r="O112" s="14">
        <f>IFERROR(N112/N327, "NA")</f>
      </c>
    </row>
    <row r="113" ht="16.5" customHeight="1">
      <c t="s" r="A113" s="22">
        <v>116</v>
      </c>
      <c r="B113" s="13">
        <v>0</v>
      </c>
      <c r="C113" s="14">
        <f>IFERROR(B113/B327, "NA")</f>
      </c>
      <c r="D113" s="15"/>
      <c r="E113" s="13">
        <v>0</v>
      </c>
      <c r="F113" s="14">
        <f>IFERROR(E113/E327, "NA")</f>
      </c>
      <c r="G113" s="15"/>
      <c r="H113" s="13">
        <v>0</v>
      </c>
      <c r="I113" s="14">
        <f>IFERROR(H113/H327, "NA")</f>
      </c>
      <c r="J113" s="15"/>
      <c r="K113" s="13">
        <v>0</v>
      </c>
      <c r="L113" s="14">
        <f>IFERROR(K113/K327, "NA")</f>
      </c>
      <c r="M113" s="15"/>
      <c r="N113" s="13">
        <v>0</v>
      </c>
      <c r="O113" s="14">
        <f>IFERROR(N113/N327, "NA")</f>
      </c>
    </row>
    <row r="114" ht="16.5" customHeight="1">
      <c t="s" r="A114" s="22">
        <v>117</v>
      </c>
      <c r="B114" s="13">
        <v>0</v>
      </c>
      <c r="C114" s="14">
        <f>IFERROR(B114/B327, "NA")</f>
      </c>
      <c r="D114" s="15"/>
      <c r="E114" s="13">
        <v>10220.52</v>
      </c>
      <c r="F114" s="14">
        <f>IFERROR(E114/E327, "NA")</f>
      </c>
      <c r="G114" s="15"/>
      <c r="H114" s="13">
        <v>698.66999999999996</v>
      </c>
      <c r="I114" s="14">
        <f>IFERROR(H114/H327, "NA")</f>
      </c>
      <c r="J114" s="15"/>
      <c r="K114" s="13">
        <v>11041.68</v>
      </c>
      <c r="L114" s="14">
        <f>IFERROR(K114/K327, "NA")</f>
      </c>
      <c r="M114" s="15"/>
      <c r="N114" s="13">
        <v>2662.9099999999999</v>
      </c>
      <c r="O114" s="14">
        <f>IFERROR(N114/N327, "NA")</f>
      </c>
    </row>
    <row r="115" ht="16.5" customHeight="1">
      <c t="s" r="A115" s="22">
        <v>118</v>
      </c>
      <c r="B115" s="13">
        <v>0</v>
      </c>
      <c r="C115" s="14">
        <f>IFERROR(B115/B327, "NA")</f>
      </c>
      <c r="D115" s="15"/>
      <c r="E115" s="13">
        <v>0</v>
      </c>
      <c r="F115" s="14">
        <f>IFERROR(E115/E327, "NA")</f>
      </c>
      <c r="G115" s="15"/>
      <c r="H115" s="13">
        <v>0</v>
      </c>
      <c r="I115" s="14">
        <f>IFERROR(H115/H327, "NA")</f>
      </c>
      <c r="J115" s="15"/>
      <c r="K115" s="13">
        <v>0</v>
      </c>
      <c r="L115" s="14">
        <f>IFERROR(K115/K327, "NA")</f>
      </c>
      <c r="M115" s="15"/>
      <c r="N115" s="13">
        <v>0</v>
      </c>
      <c r="O115" s="14">
        <f>IFERROR(N115/N327, "NA")</f>
      </c>
    </row>
    <row r="116" ht="16.5" customHeight="1">
      <c t="s" r="A116" s="22">
        <v>119</v>
      </c>
      <c r="B116" s="13">
        <v>0</v>
      </c>
      <c r="C116" s="14">
        <f>IFERROR(B116/B327, "NA")</f>
      </c>
      <c r="D116" s="15"/>
      <c r="E116" s="13">
        <v>0</v>
      </c>
      <c r="F116" s="14">
        <f>IFERROR(E116/E327, "NA")</f>
      </c>
      <c r="G116" s="15"/>
      <c r="H116" s="13">
        <v>0</v>
      </c>
      <c r="I116" s="14">
        <f>IFERROR(H116/H327, "NA")</f>
      </c>
      <c r="J116" s="15"/>
      <c r="K116" s="13">
        <v>0</v>
      </c>
      <c r="L116" s="14">
        <f>IFERROR(K116/K327, "NA")</f>
      </c>
      <c r="M116" s="15"/>
      <c r="N116" s="13">
        <v>0</v>
      </c>
      <c r="O116" s="14">
        <f>IFERROR(N116/N327, "NA")</f>
      </c>
    </row>
    <row r="117" ht="16.5" customHeight="1">
      <c t="s" r="A117" s="22">
        <v>120</v>
      </c>
      <c r="B117" s="13">
        <v>0</v>
      </c>
      <c r="C117" s="14">
        <f>IFERROR(B117/B327, "NA")</f>
      </c>
      <c r="D117" s="15"/>
      <c r="E117" s="13">
        <v>0</v>
      </c>
      <c r="F117" s="14">
        <f>IFERROR(E117/E327, "NA")</f>
      </c>
      <c r="G117" s="15"/>
      <c r="H117" s="13">
        <v>0</v>
      </c>
      <c r="I117" s="14">
        <f>IFERROR(H117/H327, "NA")</f>
      </c>
      <c r="J117" s="15"/>
      <c r="K117" s="13">
        <v>0</v>
      </c>
      <c r="L117" s="14">
        <f>IFERROR(K117/K327, "NA")</f>
      </c>
      <c r="M117" s="15"/>
      <c r="N117" s="13">
        <v>0</v>
      </c>
      <c r="O117" s="14">
        <f>IFERROR(N117/N327, "NA")</f>
      </c>
    </row>
    <row r="118" ht="16.5" customHeight="1">
      <c t="s" r="A118" s="22">
        <v>121</v>
      </c>
      <c r="B118" s="13">
        <v>0</v>
      </c>
      <c r="C118" s="14">
        <f>IFERROR(B118/B327, "NA")</f>
      </c>
      <c r="D118" s="15"/>
      <c r="E118" s="13">
        <v>6044.7200000000003</v>
      </c>
      <c r="F118" s="14">
        <f>IFERROR(E118/E327, "NA")</f>
      </c>
      <c r="G118" s="15"/>
      <c r="H118" s="13">
        <v>0</v>
      </c>
      <c r="I118" s="14">
        <f>IFERROR(H118/H327, "NA")</f>
      </c>
      <c r="J118" s="15"/>
      <c r="K118" s="13">
        <v>1703</v>
      </c>
      <c r="L118" s="14">
        <f>IFERROR(K118/K327, "NA")</f>
      </c>
      <c r="M118" s="15"/>
      <c r="N118" s="13">
        <v>0</v>
      </c>
      <c r="O118" s="14">
        <f>IFERROR(N118/N327, "NA")</f>
      </c>
    </row>
    <row r="119" ht="16.5" customHeight="1">
      <c t="s" r="A119" s="23">
        <v>122</v>
      </c>
      <c r="B119" s="17">
        <f>IFERROR(B84+B85+B86+B87+B88+B89+B90+B91+B92+B93+B94+B95+B96+B97+B98+B99+B100+B101+B102+B103+B104+B105+B106+B107+B108+B109+B110+B111+B112+B113+B114+B115+B116+B117+B118, "NA")</f>
      </c>
      <c r="C119" s="18">
        <f>IFERROR(B119/B327, "NA")</f>
      </c>
      <c r="D119" s="8"/>
      <c r="E119" s="17">
        <f>IFERROR(E84+E85+E86+E87+E88+E89+E90+E91+E92+E93+E94+E95+E96+E97+E98+E99+E100+E101+E102+E103+E104+E105+E106+E107+E108+E109+E110+E111+E112+E113+E114+E115+E116+E117+E118, "NA")</f>
      </c>
      <c r="F119" s="18">
        <f>IFERROR(E119/E327, "NA")</f>
      </c>
      <c r="G119" s="8"/>
      <c r="H119" s="17">
        <f>IFERROR(H84+H85+H86+H87+H88+H89+H90+H91+H92+H93+H94+H95+H96+H97+H98+H99+H100+H101+H102+H103+H104+H105+H106+H107+H108+H109+H110+H111+H112+H113+H114+H115+H116+H117+H118, "NA")</f>
      </c>
      <c r="I119" s="18">
        <f>IFERROR(H119/H327, "NA")</f>
      </c>
      <c r="J119" s="8"/>
      <c r="K119" s="17">
        <f>IFERROR(K84+K85+K86+K87+K88+K89+K90+K91+K92+K93+K94+K95+K96+K97+K98+K99+K100+K101+K102+K103+K104+K105+K106+K107+K108+K109+K110+K111+K112+K113+K114+K115+K116+K117+K118, "NA")</f>
      </c>
      <c r="L119" s="18">
        <f>IFERROR(K119/K327, "NA")</f>
      </c>
      <c r="M119" s="8"/>
      <c r="N119" s="17">
        <f>IFERROR(N84+N85+N86+N87+N88+N89+N90+N91+N92+N93+N94+N95+N96+N97+N98+N99+N100+N101+N102+N103+N104+N105+N106+N107+N108+N109+N110+N111+N112+N113+N114+N115+N116+N117+N118, "NA")</f>
      </c>
      <c r="O119" s="18">
        <f>IFERROR(N119/N327, "NA")</f>
      </c>
    </row>
    <row r="120" ht="16.5" customHeight="1">
      <c t="s" r="A120" s="16">
        <v>123</v>
      </c>
      <c r="B120" s="17">
        <f>IFERROR(B82+B84+B85+B86+B87+B88+B89+B90+B91+B92+B93+B94+B95+B96+B97+B98+B99+B100+B101+B102+B103+B104+B105+B106+B107+B108+B109+B110+B111+B112+B113+B114+B115+B116+B117+B118, "NA")</f>
      </c>
      <c r="C120" s="18">
        <f>IFERROR(B120/B327, "NA")</f>
      </c>
      <c r="D120" s="8"/>
      <c r="E120" s="17">
        <f>IFERROR(E82+E84+E85+E86+E87+E88+E89+E90+E91+E92+E93+E94+E95+E96+E97+E98+E99+E100+E101+E102+E103+E104+E105+E106+E107+E108+E109+E110+E111+E112+E113+E114+E115+E116+E117+E118, "NA")</f>
      </c>
      <c r="F120" s="18">
        <f>IFERROR(E120/E327, "NA")</f>
      </c>
      <c r="G120" s="8"/>
      <c r="H120" s="17">
        <f>IFERROR(H82+H84+H85+H86+H87+H88+H89+H90+H91+H92+H93+H94+H95+H96+H97+H98+H99+H100+H101+H102+H103+H104+H105+H106+H107+H108+H109+H110+H111+H112+H113+H114+H115+H116+H117+H118, "NA")</f>
      </c>
      <c r="I120" s="18">
        <f>IFERROR(H120/H327, "NA")</f>
      </c>
      <c r="J120" s="8"/>
      <c r="K120" s="17">
        <f>IFERROR(K82+K84+K85+K86+K87+K88+K89+K90+K91+K92+K93+K94+K95+K96+K97+K98+K99+K100+K101+K102+K103+K104+K105+K106+K107+K108+K109+K110+K111+K112+K113+K114+K115+K116+K117+K118, "NA")</f>
      </c>
      <c r="L120" s="18">
        <f>IFERROR(K120/K327, "NA")</f>
      </c>
      <c r="M120" s="8"/>
      <c r="N120" s="17">
        <f>IFERROR(N82+N84+N85+N86+N87+N88+N89+N90+N91+N92+N93+N94+N95+N96+N97+N98+N99+N100+N101+N102+N103+N104+N105+N106+N107+N108+N109+N110+N111+N112+N113+N114+N115+N116+N117+N118, "NA")</f>
      </c>
      <c r="O120" s="18">
        <f>IFERROR(N120/N327, "NA")</f>
      </c>
    </row>
    <row r="121" ht="16.5" customHeight="1">
      <c t="s" r="A121" s="11">
        <v>124</v>
      </c>
      <c r="B121" s="8"/>
      <c r="C121" s="9"/>
      <c r="D121" s="10"/>
      <c r="E121" s="8"/>
      <c r="F121" s="9"/>
      <c r="G121" s="10"/>
      <c r="H121" s="8"/>
      <c r="I121" s="9"/>
      <c r="J121" s="10"/>
      <c r="K121" s="8"/>
      <c r="L121" s="9"/>
      <c r="M121" s="10"/>
      <c r="N121" s="8"/>
      <c r="O121" s="9"/>
    </row>
    <row r="122" ht="16.5" customHeight="1">
      <c t="s" r="A122" s="12">
        <v>125</v>
      </c>
      <c r="B122" s="13">
        <v>0</v>
      </c>
      <c r="C122" s="14">
        <f>IFERROR(B122/B327, "NA")</f>
      </c>
      <c r="D122" s="15"/>
      <c r="E122" s="13">
        <v>0</v>
      </c>
      <c r="F122" s="14">
        <f>IFERROR(E122/E327, "NA")</f>
      </c>
      <c r="G122" s="15"/>
      <c r="H122" s="13">
        <v>0</v>
      </c>
      <c r="I122" s="14">
        <f>IFERROR(H122/H327, "NA")</f>
      </c>
      <c r="J122" s="15"/>
      <c r="K122" s="13">
        <v>0</v>
      </c>
      <c r="L122" s="14">
        <f>IFERROR(K122/K327, "NA")</f>
      </c>
      <c r="M122" s="15"/>
      <c r="N122" s="13">
        <v>0</v>
      </c>
      <c r="O122" s="14">
        <f>IFERROR(N122/N327, "NA")</f>
      </c>
    </row>
    <row r="123" ht="16.5" customHeight="1">
      <c t="s" r="A123" s="12">
        <v>126</v>
      </c>
      <c r="B123" s="13">
        <v>4848.7700000000004</v>
      </c>
      <c r="C123" s="14">
        <f>IFERROR(B123/B327, "NA")</f>
      </c>
      <c r="D123" s="15"/>
      <c r="E123" s="13">
        <v>3730.7800000000002</v>
      </c>
      <c r="F123" s="14">
        <f>IFERROR(E123/E327, "NA")</f>
      </c>
      <c r="G123" s="15"/>
      <c r="H123" s="13">
        <v>4348.7700000000004</v>
      </c>
      <c r="I123" s="14">
        <f>IFERROR(H123/H327, "NA")</f>
      </c>
      <c r="J123" s="15"/>
      <c r="K123" s="13">
        <v>2980.77</v>
      </c>
      <c r="L123" s="14">
        <f>IFERROR(K123/K327, "NA")</f>
      </c>
      <c r="M123" s="15"/>
      <c r="N123" s="13">
        <v>2980.77</v>
      </c>
      <c r="O123" s="14">
        <f>IFERROR(N123/N327, "NA")</f>
      </c>
    </row>
    <row r="124" ht="16.5" customHeight="1">
      <c t="s" r="A124" s="12">
        <v>127</v>
      </c>
      <c r="B124" s="13">
        <v>2019.23</v>
      </c>
      <c r="C124" s="14">
        <f>IFERROR(B124/B327, "NA")</f>
      </c>
      <c r="D124" s="15"/>
      <c r="E124" s="13">
        <v>22538.490000000002</v>
      </c>
      <c r="F124" s="14">
        <f>IFERROR(E124/E327, "NA")</f>
      </c>
      <c r="G124" s="15"/>
      <c r="H124" s="13">
        <v>807.69000000000005</v>
      </c>
      <c r="I124" s="14">
        <f>IFERROR(H124/H327, "NA")</f>
      </c>
      <c r="J124" s="15"/>
      <c r="K124" s="13">
        <v>1672.4300000000001</v>
      </c>
      <c r="L124" s="14">
        <f>IFERROR(K124/K327, "NA")</f>
      </c>
      <c r="M124" s="15"/>
      <c r="N124" s="13">
        <v>0</v>
      </c>
      <c r="O124" s="14">
        <f>IFERROR(N124/N327, "NA")</f>
      </c>
    </row>
    <row r="125" ht="30.75" customHeight="1">
      <c t="s" r="A125" s="12">
        <v>128</v>
      </c>
      <c r="B125" s="13">
        <v>0</v>
      </c>
      <c r="C125" s="14">
        <f>IFERROR(B125/B327, "NA")</f>
      </c>
      <c r="D125" s="15"/>
      <c r="E125" s="13">
        <v>0</v>
      </c>
      <c r="F125" s="14">
        <f>IFERROR(E125/E327, "NA")</f>
      </c>
      <c r="G125" s="15"/>
      <c r="H125" s="13">
        <v>0</v>
      </c>
      <c r="I125" s="14">
        <f>IFERROR(H125/H327, "NA")</f>
      </c>
      <c r="J125" s="15"/>
      <c r="K125" s="13">
        <v>0</v>
      </c>
      <c r="L125" s="14">
        <f>IFERROR(K125/K327, "NA")</f>
      </c>
      <c r="M125" s="15"/>
      <c r="N125" s="13">
        <v>0</v>
      </c>
      <c r="O125" s="14">
        <f>IFERROR(N125/N327, "NA")</f>
      </c>
    </row>
    <row r="126" ht="16.5" customHeight="1">
      <c t="s" r="A126" s="12">
        <v>129</v>
      </c>
      <c r="B126" s="13">
        <v>0</v>
      </c>
      <c r="C126" s="14">
        <f>IFERROR(B126/B327, "NA")</f>
      </c>
      <c r="D126" s="15"/>
      <c r="E126" s="13">
        <v>0</v>
      </c>
      <c r="F126" s="14">
        <f>IFERROR(E126/E327, "NA")</f>
      </c>
      <c r="G126" s="15"/>
      <c r="H126" s="13">
        <v>0</v>
      </c>
      <c r="I126" s="14">
        <f>IFERROR(H126/H327, "NA")</f>
      </c>
      <c r="J126" s="15"/>
      <c r="K126" s="13">
        <v>0</v>
      </c>
      <c r="L126" s="14">
        <f>IFERROR(K126/K327, "NA")</f>
      </c>
      <c r="M126" s="15"/>
      <c r="N126" s="13">
        <v>0</v>
      </c>
      <c r="O126" s="14">
        <f>IFERROR(N126/N327, "NA")</f>
      </c>
    </row>
    <row r="127" ht="16.5" customHeight="1">
      <c t="s" r="A127" s="12">
        <v>130</v>
      </c>
      <c r="B127" s="13">
        <v>0</v>
      </c>
      <c r="C127" s="14">
        <f>IFERROR(B127/B327, "NA")</f>
      </c>
      <c r="D127" s="15"/>
      <c r="E127" s="13">
        <v>0</v>
      </c>
      <c r="F127" s="14">
        <f>IFERROR(E127/E327, "NA")</f>
      </c>
      <c r="G127" s="15"/>
      <c r="H127" s="13">
        <v>0</v>
      </c>
      <c r="I127" s="14">
        <f>IFERROR(H127/H327, "NA")</f>
      </c>
      <c r="J127" s="15"/>
      <c r="K127" s="13">
        <v>0</v>
      </c>
      <c r="L127" s="14">
        <f>IFERROR(K127/K327, "NA")</f>
      </c>
      <c r="M127" s="15"/>
      <c r="N127" s="13">
        <v>0</v>
      </c>
      <c r="O127" s="14">
        <f>IFERROR(N127/N327, "NA")</f>
      </c>
    </row>
    <row r="128" ht="16.5" customHeight="1">
      <c t="s" r="A128" s="12">
        <v>131</v>
      </c>
      <c r="B128" s="13">
        <v>0</v>
      </c>
      <c r="C128" s="14">
        <f>IFERROR(B128/B327, "NA")</f>
      </c>
      <c r="D128" s="15"/>
      <c r="E128" s="13">
        <v>0</v>
      </c>
      <c r="F128" s="14">
        <f>IFERROR(E128/E327, "NA")</f>
      </c>
      <c r="G128" s="15"/>
      <c r="H128" s="13">
        <v>0</v>
      </c>
      <c r="I128" s="14">
        <f>IFERROR(H128/H327, "NA")</f>
      </c>
      <c r="J128" s="15"/>
      <c r="K128" s="13">
        <v>0</v>
      </c>
      <c r="L128" s="14">
        <f>IFERROR(K128/K327, "NA")</f>
      </c>
      <c r="M128" s="15"/>
      <c r="N128" s="13">
        <v>0</v>
      </c>
      <c r="O128" s="14">
        <f>IFERROR(N128/N327, "NA")</f>
      </c>
    </row>
    <row r="129" ht="16.5" customHeight="1">
      <c t="s" r="A129" s="12">
        <v>132</v>
      </c>
      <c r="B129" s="13">
        <v>0</v>
      </c>
      <c r="C129" s="14">
        <f>IFERROR(B129/B327, "NA")</f>
      </c>
      <c r="D129" s="15"/>
      <c r="E129" s="13">
        <v>0</v>
      </c>
      <c r="F129" s="14">
        <f>IFERROR(E129/E327, "NA")</f>
      </c>
      <c r="G129" s="15"/>
      <c r="H129" s="13">
        <v>0</v>
      </c>
      <c r="I129" s="14">
        <f>IFERROR(H129/H327, "NA")</f>
      </c>
      <c r="J129" s="15"/>
      <c r="K129" s="13">
        <v>0</v>
      </c>
      <c r="L129" s="14">
        <f>IFERROR(K129/K327, "NA")</f>
      </c>
      <c r="M129" s="15"/>
      <c r="N129" s="13">
        <v>0</v>
      </c>
      <c r="O129" s="14">
        <f>IFERROR(N129/N327, "NA")</f>
      </c>
    </row>
    <row r="130" ht="16.5" customHeight="1">
      <c t="s" r="A130" s="12">
        <v>133</v>
      </c>
      <c r="B130" s="13">
        <v>0</v>
      </c>
      <c r="C130" s="14">
        <f>IFERROR(B130/B327, "NA")</f>
      </c>
      <c r="D130" s="15"/>
      <c r="E130" s="13">
        <v>0</v>
      </c>
      <c r="F130" s="14">
        <f>IFERROR(E130/E327, "NA")</f>
      </c>
      <c r="G130" s="15"/>
      <c r="H130" s="13">
        <v>0</v>
      </c>
      <c r="I130" s="14">
        <f>IFERROR(H130/H327, "NA")</f>
      </c>
      <c r="J130" s="15"/>
      <c r="K130" s="13">
        <v>0</v>
      </c>
      <c r="L130" s="14">
        <f>IFERROR(K130/K327, "NA")</f>
      </c>
      <c r="M130" s="15"/>
      <c r="N130" s="13">
        <v>0</v>
      </c>
      <c r="O130" s="14">
        <f>IFERROR(N130/N327, "NA")</f>
      </c>
    </row>
    <row r="131" ht="16.5" customHeight="1">
      <c t="s" r="A131" s="12">
        <v>134</v>
      </c>
      <c r="B131" s="13">
        <v>0</v>
      </c>
      <c r="C131" s="14">
        <f>IFERROR(B131/B327, "NA")</f>
      </c>
      <c r="D131" s="15"/>
      <c r="E131" s="13">
        <v>0</v>
      </c>
      <c r="F131" s="14">
        <f>IFERROR(E131/E327, "NA")</f>
      </c>
      <c r="G131" s="15"/>
      <c r="H131" s="13">
        <v>0</v>
      </c>
      <c r="I131" s="14">
        <f>IFERROR(H131/H327, "NA")</f>
      </c>
      <c r="J131" s="15"/>
      <c r="K131" s="13">
        <v>0</v>
      </c>
      <c r="L131" s="14">
        <f>IFERROR(K131/K327, "NA")</f>
      </c>
      <c r="M131" s="15"/>
      <c r="N131" s="13">
        <v>0</v>
      </c>
      <c r="O131" s="14">
        <f>IFERROR(N131/N327, "NA")</f>
      </c>
    </row>
    <row r="132" ht="16.5" customHeight="1">
      <c t="s" r="A132" s="12">
        <v>135</v>
      </c>
      <c r="B132" s="13">
        <v>0</v>
      </c>
      <c r="C132" s="14">
        <f>IFERROR(B132/B327, "NA")</f>
      </c>
      <c r="D132" s="15"/>
      <c r="E132" s="13">
        <v>0</v>
      </c>
      <c r="F132" s="14">
        <f>IFERROR(E132/E327, "NA")</f>
      </c>
      <c r="G132" s="15"/>
      <c r="H132" s="13">
        <v>0</v>
      </c>
      <c r="I132" s="14">
        <f>IFERROR(H132/H327, "NA")</f>
      </c>
      <c r="J132" s="15"/>
      <c r="K132" s="13">
        <v>0</v>
      </c>
      <c r="L132" s="14">
        <f>IFERROR(K132/K327, "NA")</f>
      </c>
      <c r="M132" s="15"/>
      <c r="N132" s="13">
        <v>0</v>
      </c>
      <c r="O132" s="14">
        <f>IFERROR(N132/N327, "NA")</f>
      </c>
    </row>
    <row r="133" ht="16.5" customHeight="1">
      <c t="s" r="A133" s="12">
        <v>136</v>
      </c>
      <c r="B133" s="13">
        <v>0</v>
      </c>
      <c r="C133" s="14">
        <f>IFERROR(B133/B327, "NA")</f>
      </c>
      <c r="D133" s="15"/>
      <c r="E133" s="13">
        <v>0</v>
      </c>
      <c r="F133" s="14">
        <f>IFERROR(E133/E327, "NA")</f>
      </c>
      <c r="G133" s="15"/>
      <c r="H133" s="13">
        <v>0</v>
      </c>
      <c r="I133" s="14">
        <f>IFERROR(H133/H327, "NA")</f>
      </c>
      <c r="J133" s="15"/>
      <c r="K133" s="13">
        <v>0</v>
      </c>
      <c r="L133" s="14">
        <f>IFERROR(K133/K327, "NA")</f>
      </c>
      <c r="M133" s="15"/>
      <c r="N133" s="13">
        <v>0</v>
      </c>
      <c r="O133" s="14">
        <f>IFERROR(N133/N327, "NA")</f>
      </c>
    </row>
    <row r="134" ht="16.5" customHeight="1">
      <c t="s" r="A134" s="12">
        <v>137</v>
      </c>
      <c r="B134" s="13">
        <v>0</v>
      </c>
      <c r="C134" s="14">
        <f>IFERROR(B134/B327, "NA")</f>
      </c>
      <c r="D134" s="15"/>
      <c r="E134" s="13">
        <v>0</v>
      </c>
      <c r="F134" s="14">
        <f>IFERROR(E134/E327, "NA")</f>
      </c>
      <c r="G134" s="15"/>
      <c r="H134" s="13">
        <v>0</v>
      </c>
      <c r="I134" s="14">
        <f>IFERROR(H134/H327, "NA")</f>
      </c>
      <c r="J134" s="15"/>
      <c r="K134" s="13">
        <v>0</v>
      </c>
      <c r="L134" s="14">
        <f>IFERROR(K134/K327, "NA")</f>
      </c>
      <c r="M134" s="15"/>
      <c r="N134" s="13">
        <v>0</v>
      </c>
      <c r="O134" s="14">
        <f>IFERROR(N134/N327, "NA")</f>
      </c>
    </row>
    <row r="135" ht="16.5" customHeight="1">
      <c t="s" r="A135" s="12">
        <v>138</v>
      </c>
      <c r="B135" s="13">
        <v>0</v>
      </c>
      <c r="C135" s="14">
        <f>IFERROR(B135/B327, "NA")</f>
      </c>
      <c r="D135" s="15"/>
      <c r="E135" s="13">
        <v>0</v>
      </c>
      <c r="F135" s="14">
        <f>IFERROR(E135/E327, "NA")</f>
      </c>
      <c r="G135" s="15"/>
      <c r="H135" s="13">
        <v>0</v>
      </c>
      <c r="I135" s="14">
        <f>IFERROR(H135/H327, "NA")</f>
      </c>
      <c r="J135" s="15"/>
      <c r="K135" s="13">
        <v>0</v>
      </c>
      <c r="L135" s="14">
        <f>IFERROR(K135/K327, "NA")</f>
      </c>
      <c r="M135" s="15"/>
      <c r="N135" s="13">
        <v>0</v>
      </c>
      <c r="O135" s="14">
        <f>IFERROR(N135/N327, "NA")</f>
      </c>
    </row>
    <row r="136" ht="16.5" customHeight="1">
      <c t="s" r="A136" s="12">
        <v>139</v>
      </c>
      <c r="B136" s="13">
        <v>0</v>
      </c>
      <c r="C136" s="14">
        <f>IFERROR(B136/B327, "NA")</f>
      </c>
      <c r="D136" s="15"/>
      <c r="E136" s="13">
        <v>0</v>
      </c>
      <c r="F136" s="14">
        <f>IFERROR(E136/E327, "NA")</f>
      </c>
      <c r="G136" s="15"/>
      <c r="H136" s="13">
        <v>0</v>
      </c>
      <c r="I136" s="14">
        <f>IFERROR(H136/H327, "NA")</f>
      </c>
      <c r="J136" s="15"/>
      <c r="K136" s="13">
        <v>0</v>
      </c>
      <c r="L136" s="14">
        <f>IFERROR(K136/K327, "NA")</f>
      </c>
      <c r="M136" s="15"/>
      <c r="N136" s="13">
        <v>0</v>
      </c>
      <c r="O136" s="14">
        <f>IFERROR(N136/N327, "NA")</f>
      </c>
    </row>
    <row r="137" ht="16.5" customHeight="1">
      <c t="s" r="A137" s="12">
        <v>140</v>
      </c>
      <c r="B137" s="13">
        <v>0</v>
      </c>
      <c r="C137" s="14">
        <f>IFERROR(B137/B327, "NA")</f>
      </c>
      <c r="D137" s="15"/>
      <c r="E137" s="13">
        <v>0</v>
      </c>
      <c r="F137" s="14">
        <f>IFERROR(E137/E327, "NA")</f>
      </c>
      <c r="G137" s="15"/>
      <c r="H137" s="13">
        <v>0</v>
      </c>
      <c r="I137" s="14">
        <f>IFERROR(H137/H327, "NA")</f>
      </c>
      <c r="J137" s="15"/>
      <c r="K137" s="13">
        <v>0</v>
      </c>
      <c r="L137" s="14">
        <f>IFERROR(K137/K327, "NA")</f>
      </c>
      <c r="M137" s="15"/>
      <c r="N137" s="13">
        <v>0</v>
      </c>
      <c r="O137" s="14">
        <f>IFERROR(N137/N327, "NA")</f>
      </c>
    </row>
    <row r="138" ht="16.5" customHeight="1">
      <c t="s" r="A138" s="12">
        <v>141</v>
      </c>
      <c r="B138" s="13">
        <v>0</v>
      </c>
      <c r="C138" s="14">
        <f>IFERROR(B138/B327, "NA")</f>
      </c>
      <c r="D138" s="15"/>
      <c r="E138" s="13">
        <v>0</v>
      </c>
      <c r="F138" s="14">
        <f>IFERROR(E138/E327, "NA")</f>
      </c>
      <c r="G138" s="15"/>
      <c r="H138" s="13">
        <v>0</v>
      </c>
      <c r="I138" s="14">
        <f>IFERROR(H138/H327, "NA")</f>
      </c>
      <c r="J138" s="15"/>
      <c r="K138" s="13">
        <v>0</v>
      </c>
      <c r="L138" s="14">
        <f>IFERROR(K138/K327, "NA")</f>
      </c>
      <c r="M138" s="15"/>
      <c r="N138" s="13">
        <v>0</v>
      </c>
      <c r="O138" s="14">
        <f>IFERROR(N138/N327, "NA")</f>
      </c>
    </row>
    <row r="139" ht="16.5" customHeight="1">
      <c t="s" r="A139" s="12">
        <v>142</v>
      </c>
      <c r="B139" s="13">
        <v>12647.01</v>
      </c>
      <c r="C139" s="14">
        <f>IFERROR(B139/B327, "NA")</f>
      </c>
      <c r="D139" s="15"/>
      <c r="E139" s="13">
        <v>12647.01</v>
      </c>
      <c r="F139" s="14">
        <f>IFERROR(E139/E327, "NA")</f>
      </c>
      <c r="G139" s="15"/>
      <c r="H139" s="13">
        <v>12647.01</v>
      </c>
      <c r="I139" s="14">
        <f>IFERROR(H139/H327, "NA")</f>
      </c>
      <c r="J139" s="15"/>
      <c r="K139" s="13">
        <v>12647.01</v>
      </c>
      <c r="L139" s="14">
        <f>IFERROR(K139/K327, "NA")</f>
      </c>
      <c r="M139" s="15"/>
      <c r="N139" s="13">
        <v>12383.09</v>
      </c>
      <c r="O139" s="14">
        <f>IFERROR(N139/N327, "NA")</f>
      </c>
    </row>
    <row r="140" ht="16.5" customHeight="1">
      <c t="s" r="A140" s="12">
        <v>143</v>
      </c>
      <c r="B140" s="13">
        <v>0</v>
      </c>
      <c r="C140" s="14">
        <f>IFERROR(B140/B327, "NA")</f>
      </c>
      <c r="D140" s="15"/>
      <c r="E140" s="13">
        <v>0</v>
      </c>
      <c r="F140" s="14">
        <f>IFERROR(E140/E327, "NA")</f>
      </c>
      <c r="G140" s="15"/>
      <c r="H140" s="13">
        <v>0</v>
      </c>
      <c r="I140" s="14">
        <f>IFERROR(H140/H327, "NA")</f>
      </c>
      <c r="J140" s="15"/>
      <c r="K140" s="13">
        <v>0</v>
      </c>
      <c r="L140" s="14">
        <f>IFERROR(K140/K327, "NA")</f>
      </c>
      <c r="M140" s="15"/>
      <c r="N140" s="13">
        <v>0</v>
      </c>
      <c r="O140" s="14">
        <f>IFERROR(N140/N327, "NA")</f>
      </c>
    </row>
    <row r="141" ht="16.5" customHeight="1">
      <c t="s" r="A141" s="12">
        <v>144</v>
      </c>
      <c r="B141" s="13">
        <v>3384.23</v>
      </c>
      <c r="C141" s="14">
        <f>IFERROR(B141/B327, "NA")</f>
      </c>
      <c r="D141" s="15"/>
      <c r="E141" s="13">
        <v>2991.71</v>
      </c>
      <c r="F141" s="14">
        <f>IFERROR(E141/E327, "NA")</f>
      </c>
      <c r="G141" s="15"/>
      <c r="H141" s="13">
        <v>3384.23</v>
      </c>
      <c r="I141" s="14">
        <f>IFERROR(H141/H327, "NA")</f>
      </c>
      <c r="J141" s="15"/>
      <c r="K141" s="13">
        <v>4021.3000000000002</v>
      </c>
      <c r="L141" s="14">
        <f>IFERROR(K141/K327, "NA")</f>
      </c>
      <c r="M141" s="15"/>
      <c r="N141" s="13">
        <v>2540.23</v>
      </c>
      <c r="O141" s="14">
        <f>IFERROR(N141/N327, "NA")</f>
      </c>
    </row>
    <row r="142" ht="16.5" customHeight="1">
      <c t="s" r="A142" s="12">
        <v>145</v>
      </c>
      <c r="B142" s="13">
        <v>0</v>
      </c>
      <c r="C142" s="14">
        <f>IFERROR(B142/B327, "NA")</f>
      </c>
      <c r="D142" s="15"/>
      <c r="E142" s="13">
        <v>0</v>
      </c>
      <c r="F142" s="14">
        <f>IFERROR(E142/E327, "NA")</f>
      </c>
      <c r="G142" s="15"/>
      <c r="H142" s="13">
        <v>0</v>
      </c>
      <c r="I142" s="14">
        <f>IFERROR(H142/H327, "NA")</f>
      </c>
      <c r="J142" s="15"/>
      <c r="K142" s="13">
        <v>0</v>
      </c>
      <c r="L142" s="14">
        <f>IFERROR(K142/K327, "NA")</f>
      </c>
      <c r="M142" s="15"/>
      <c r="N142" s="13">
        <v>0</v>
      </c>
      <c r="O142" s="14">
        <f>IFERROR(N142/N327, "NA")</f>
      </c>
    </row>
    <row r="143" ht="16.5" customHeight="1">
      <c t="s" r="A143" s="16">
        <v>146</v>
      </c>
      <c r="B143" s="17">
        <f>IFERROR(B122+B123+B124+B125+B126+B127+B128+B129+B130+B131+B132+B133+B134+B135+B136+B137+B138+B139+B140+B141+B142, "NA")</f>
      </c>
      <c r="C143" s="18">
        <f>IFERROR(B143/B327, "NA")</f>
      </c>
      <c r="D143" s="8"/>
      <c r="E143" s="17">
        <f>IFERROR(E122+E123+E124+E125+E126+E127+E128+E129+E130+E131+E132+E133+E134+E135+E136+E137+E138+E139+E140+E141+E142, "NA")</f>
      </c>
      <c r="F143" s="18">
        <f>IFERROR(E143/E327, "NA")</f>
      </c>
      <c r="G143" s="8"/>
      <c r="H143" s="17">
        <f>IFERROR(H122+H123+H124+H125+H126+H127+H128+H129+H130+H131+H132+H133+H134+H135+H136+H137+H138+H139+H140+H141+H142, "NA")</f>
      </c>
      <c r="I143" s="18">
        <f>IFERROR(H143/H327, "NA")</f>
      </c>
      <c r="J143" s="8"/>
      <c r="K143" s="17">
        <f>IFERROR(K122+K123+K124+K125+K126+K127+K128+K129+K130+K131+K132+K133+K134+K135+K136+K137+K138+K139+K140+K141+K142, "NA")</f>
      </c>
      <c r="L143" s="18">
        <f>IFERROR(K143/K327, "NA")</f>
      </c>
      <c r="M143" s="8"/>
      <c r="N143" s="17">
        <f>IFERROR(N122+N123+N124+N125+N126+N127+N128+N129+N130+N131+N132+N133+N134+N135+N136+N137+N138+N139+N140+N141+N142, "NA")</f>
      </c>
      <c r="O143" s="18">
        <f>IFERROR(N143/N327, "NA")</f>
      </c>
    </row>
    <row r="144" ht="16.5" customHeight="1">
      <c t="s" r="A144" s="11">
        <v>147</v>
      </c>
      <c r="B144" s="8"/>
      <c r="C144" s="9"/>
      <c r="D144" s="10"/>
      <c r="E144" s="8"/>
      <c r="F144" s="9"/>
      <c r="G144" s="10"/>
      <c r="H144" s="8"/>
      <c r="I144" s="9"/>
      <c r="J144" s="10"/>
      <c r="K144" s="8"/>
      <c r="L144" s="9"/>
      <c r="M144" s="10"/>
      <c r="N144" s="8"/>
      <c r="O144" s="9"/>
    </row>
    <row r="145" ht="16.5" customHeight="1">
      <c t="s" r="A145" s="12">
        <v>148</v>
      </c>
      <c r="B145" s="13">
        <v>0</v>
      </c>
      <c r="C145" s="14">
        <f>IFERROR(B145/B327, "NA")</f>
      </c>
      <c r="D145" s="15"/>
      <c r="E145" s="13">
        <v>0</v>
      </c>
      <c r="F145" s="14">
        <f>IFERROR(E145/E327, "NA")</f>
      </c>
      <c r="G145" s="15"/>
      <c r="H145" s="13">
        <v>0</v>
      </c>
      <c r="I145" s="14">
        <f>IFERROR(H145/H327, "NA")</f>
      </c>
      <c r="J145" s="15"/>
      <c r="K145" s="13">
        <v>0</v>
      </c>
      <c r="L145" s="14">
        <f>IFERROR(K145/K327, "NA")</f>
      </c>
      <c r="M145" s="15"/>
      <c r="N145" s="13">
        <v>0</v>
      </c>
      <c r="O145" s="14">
        <f>IFERROR(N145/N327, "NA")</f>
      </c>
    </row>
    <row r="146" ht="16.5" customHeight="1">
      <c t="s" r="A146" s="12">
        <v>149</v>
      </c>
      <c r="B146" s="13">
        <v>8480.3899999999994</v>
      </c>
      <c r="C146" s="14">
        <f>IFERROR(B146/B327, "NA")</f>
      </c>
      <c r="D146" s="15"/>
      <c r="E146" s="13">
        <v>8686.8500000000004</v>
      </c>
      <c r="F146" s="14">
        <f>IFERROR(E146/E327, "NA")</f>
      </c>
      <c r="G146" s="15"/>
      <c r="H146" s="13">
        <v>10013.74</v>
      </c>
      <c r="I146" s="14">
        <f>IFERROR(H146/H327, "NA")</f>
      </c>
      <c r="J146" s="15"/>
      <c r="K146" s="13">
        <v>6709.1000000000004</v>
      </c>
      <c r="L146" s="14">
        <f>IFERROR(K146/K327, "NA")</f>
      </c>
      <c r="M146" s="15"/>
      <c r="N146" s="13">
        <v>9179.6000000000004</v>
      </c>
      <c r="O146" s="14">
        <f>IFERROR(N146/N327, "NA")</f>
      </c>
    </row>
    <row r="147" ht="16.5" customHeight="1">
      <c t="s" r="A147" s="12">
        <v>150</v>
      </c>
      <c r="B147" s="13">
        <v>626.77999999999997</v>
      </c>
      <c r="C147" s="14">
        <f>IFERROR(B147/B327, "NA")</f>
      </c>
      <c r="D147" s="15"/>
      <c r="E147" s="13">
        <v>679.82000000000005</v>
      </c>
      <c r="F147" s="14">
        <f>IFERROR(E147/E327, "NA")</f>
      </c>
      <c r="G147" s="15"/>
      <c r="H147" s="13">
        <v>744.88</v>
      </c>
      <c r="I147" s="14">
        <f>IFERROR(H147/H327, "NA")</f>
      </c>
      <c r="J147" s="15"/>
      <c r="K147" s="13">
        <v>722.26999999999998</v>
      </c>
      <c r="L147" s="14">
        <f>IFERROR(K147/K327, "NA")</f>
      </c>
      <c r="M147" s="15"/>
      <c r="N147" s="13">
        <v>709.75999999999999</v>
      </c>
      <c r="O147" s="14">
        <f>IFERROR(N147/N327, "NA")</f>
      </c>
    </row>
    <row r="148" ht="16.5" customHeight="1">
      <c t="s" r="A148" s="12">
        <v>151</v>
      </c>
      <c r="B148" s="13">
        <v>0</v>
      </c>
      <c r="C148" s="14">
        <f>IFERROR(B148/B327, "NA")</f>
      </c>
      <c r="D148" s="15"/>
      <c r="E148" s="13">
        <v>-482.13999999999999</v>
      </c>
      <c r="F148" s="14">
        <f>IFERROR(E148/E327, "NA")</f>
      </c>
      <c r="G148" s="15"/>
      <c r="H148" s="13">
        <v>0</v>
      </c>
      <c r="I148" s="14">
        <f>IFERROR(H148/H327, "NA")</f>
      </c>
      <c r="J148" s="15"/>
      <c r="K148" s="13">
        <v>29.300000000000001</v>
      </c>
      <c r="L148" s="14">
        <f>IFERROR(K148/K327, "NA")</f>
      </c>
      <c r="M148" s="15"/>
      <c r="N148" s="13">
        <v>0</v>
      </c>
      <c r="O148" s="14">
        <f>IFERROR(N148/N327, "NA")</f>
      </c>
    </row>
    <row r="149" ht="16.5" customHeight="1">
      <c t="s" r="A149" s="12">
        <v>152</v>
      </c>
      <c r="B149" s="13">
        <v>1149.0999999999999</v>
      </c>
      <c r="C149" s="14">
        <f>IFERROR(B149/B327, "NA")</f>
      </c>
      <c r="D149" s="15"/>
      <c r="E149" s="13">
        <v>945.99000000000001</v>
      </c>
      <c r="F149" s="14">
        <f>IFERROR(E149/E327, "NA")</f>
      </c>
      <c r="G149" s="15"/>
      <c r="H149" s="13">
        <v>1365.6099999999999</v>
      </c>
      <c r="I149" s="14">
        <f>IFERROR(H149/H327, "NA")</f>
      </c>
      <c r="J149" s="15"/>
      <c r="K149" s="13">
        <v>909.59000000000003</v>
      </c>
      <c r="L149" s="14">
        <f>IFERROR(K149/K327, "NA")</f>
      </c>
      <c r="M149" s="15"/>
      <c r="N149" s="13">
        <v>1301.23</v>
      </c>
      <c r="O149" s="14">
        <f>IFERROR(N149/N327, "NA")</f>
      </c>
    </row>
    <row r="150" ht="16.5" customHeight="1">
      <c t="s" r="A150" s="12">
        <v>153</v>
      </c>
      <c r="B150" s="13">
        <v>1416.9000000000001</v>
      </c>
      <c r="C150" s="14">
        <f>IFERROR(B150/B327, "NA")</f>
      </c>
      <c r="D150" s="15"/>
      <c r="E150" s="13">
        <v>1416.9000000000001</v>
      </c>
      <c r="F150" s="14">
        <f>IFERROR(E150/E327, "NA")</f>
      </c>
      <c r="G150" s="15"/>
      <c r="H150" s="13">
        <v>1416.9000000000001</v>
      </c>
      <c r="I150" s="14">
        <f>IFERROR(H150/H327, "NA")</f>
      </c>
      <c r="J150" s="15"/>
      <c r="K150" s="13">
        <v>1416.9000000000001</v>
      </c>
      <c r="L150" s="14">
        <f>IFERROR(K150/K327, "NA")</f>
      </c>
      <c r="M150" s="15"/>
      <c r="N150" s="13">
        <v>1321.04</v>
      </c>
      <c r="O150" s="14">
        <f>IFERROR(N150/N327, "NA")</f>
      </c>
    </row>
    <row r="151" ht="16.5" customHeight="1">
      <c t="s" r="A151" s="16">
        <v>154</v>
      </c>
      <c r="B151" s="17">
        <f>IFERROR(B145+B146+B147+B148+B149+B150, "NA")</f>
      </c>
      <c r="C151" s="18">
        <f>IFERROR(B151/B327, "NA")</f>
      </c>
      <c r="D151" s="8"/>
      <c r="E151" s="17">
        <f>IFERROR(E145+E146+E147+E148+E149+E150, "NA")</f>
      </c>
      <c r="F151" s="18">
        <f>IFERROR(E151/E327, "NA")</f>
      </c>
      <c r="G151" s="8"/>
      <c r="H151" s="17">
        <f>IFERROR(H145+H146+H147+H148+H149+H150, "NA")</f>
      </c>
      <c r="I151" s="18">
        <f>IFERROR(H151/H327, "NA")</f>
      </c>
      <c r="J151" s="8"/>
      <c r="K151" s="17">
        <f>IFERROR(K145+K146+K147+K148+K149+K150, "NA")</f>
      </c>
      <c r="L151" s="18">
        <f>IFERROR(K151/K327, "NA")</f>
      </c>
      <c r="M151" s="8"/>
      <c r="N151" s="17">
        <f>IFERROR(N145+N146+N147+N148+N149+N150, "NA")</f>
      </c>
      <c r="O151" s="18">
        <f>IFERROR(N151/N327, "NA")</f>
      </c>
    </row>
    <row r="152" ht="16.5" customHeight="1">
      <c t="s" r="A152" s="19">
        <v>155</v>
      </c>
      <c r="B152" s="13">
        <v>0</v>
      </c>
      <c r="C152" s="14">
        <f>IFERROR(B152/B327, "NA")</f>
      </c>
      <c r="D152" s="15"/>
      <c r="E152" s="13">
        <v>0</v>
      </c>
      <c r="F152" s="14">
        <f>IFERROR(E152/E327, "NA")</f>
      </c>
      <c r="G152" s="15"/>
      <c r="H152" s="13">
        <v>0</v>
      </c>
      <c r="I152" s="14">
        <f>IFERROR(H152/H327, "NA")</f>
      </c>
      <c r="J152" s="15"/>
      <c r="K152" s="13">
        <v>0</v>
      </c>
      <c r="L152" s="14">
        <f>IFERROR(K152/K327, "NA")</f>
      </c>
      <c r="M152" s="15"/>
      <c r="N152" s="13">
        <v>0</v>
      </c>
      <c r="O152" s="14">
        <f>IFERROR(N152/N327, "NA")</f>
      </c>
    </row>
    <row r="153" ht="16.5" customHeight="1">
      <c t="s" r="A153" s="19">
        <v>156</v>
      </c>
      <c r="B153" s="13">
        <v>0</v>
      </c>
      <c r="C153" s="14">
        <f>IFERROR(B153/B327, "NA")</f>
      </c>
      <c r="D153" s="15"/>
      <c r="E153" s="13">
        <v>-1415.0799999999999</v>
      </c>
      <c r="F153" s="14">
        <f>IFERROR(E153/E327, "NA")</f>
      </c>
      <c r="G153" s="15"/>
      <c r="H153" s="13">
        <v>0</v>
      </c>
      <c r="I153" s="14">
        <f>IFERROR(H153/H327, "NA")</f>
      </c>
      <c r="J153" s="15"/>
      <c r="K153" s="13">
        <v>6581.5200000000004</v>
      </c>
      <c r="L153" s="14">
        <f>IFERROR(K153/K327, "NA")</f>
      </c>
      <c r="M153" s="15"/>
      <c r="N153" s="13">
        <v>0</v>
      </c>
      <c r="O153" s="14">
        <f>IFERROR(N153/N327, "NA")</f>
      </c>
    </row>
    <row r="154" ht="16.5" customHeight="1">
      <c t="s" r="A154" s="19">
        <v>157</v>
      </c>
      <c r="B154" s="13">
        <v>0</v>
      </c>
      <c r="C154" s="14">
        <f>IFERROR(B154/B327, "NA")</f>
      </c>
      <c r="D154" s="15"/>
      <c r="E154" s="13">
        <v>-235.97</v>
      </c>
      <c r="F154" s="14">
        <f>IFERROR(E154/E327, "NA")</f>
      </c>
      <c r="G154" s="15"/>
      <c r="H154" s="13">
        <v>0</v>
      </c>
      <c r="I154" s="14">
        <f>IFERROR(H154/H327, "NA")</f>
      </c>
      <c r="J154" s="15"/>
      <c r="K154" s="13">
        <v>-247.61000000000001</v>
      </c>
      <c r="L154" s="14">
        <f>IFERROR(K154/K327, "NA")</f>
      </c>
      <c r="M154" s="15"/>
      <c r="N154" s="13">
        <v>0</v>
      </c>
      <c r="O154" s="14">
        <f>IFERROR(N154/N327, "NA")</f>
      </c>
    </row>
    <row r="155" ht="16.5" customHeight="1">
      <c t="s" r="A155" s="19">
        <v>158</v>
      </c>
      <c r="B155" s="13">
        <v>0</v>
      </c>
      <c r="C155" s="14">
        <f>IFERROR(B155/B327, "NA")</f>
      </c>
      <c r="D155" s="15"/>
      <c r="E155" s="13">
        <v>-35.640000000000001</v>
      </c>
      <c r="F155" s="14">
        <f>IFERROR(E155/E327, "NA")</f>
      </c>
      <c r="G155" s="15"/>
      <c r="H155" s="13">
        <v>0</v>
      </c>
      <c r="I155" s="14">
        <f>IFERROR(H155/H327, "NA")</f>
      </c>
      <c r="J155" s="15"/>
      <c r="K155" s="13">
        <v>-29.699999999999999</v>
      </c>
      <c r="L155" s="14">
        <f>IFERROR(K155/K327, "NA")</f>
      </c>
      <c r="M155" s="15"/>
      <c r="N155" s="13">
        <v>0</v>
      </c>
      <c r="O155" s="14">
        <f>IFERROR(N155/N327, "NA")</f>
      </c>
    </row>
    <row r="156" ht="16.5" customHeight="1">
      <c t="s" r="A156" s="19">
        <v>159</v>
      </c>
      <c r="B156" s="13">
        <v>0</v>
      </c>
      <c r="C156" s="14">
        <f>IFERROR(B156/B327, "NA")</f>
      </c>
      <c r="D156" s="15"/>
      <c r="E156" s="13">
        <v>0</v>
      </c>
      <c r="F156" s="14">
        <f>IFERROR(E156/E327, "NA")</f>
      </c>
      <c r="G156" s="15"/>
      <c r="H156" s="13">
        <v>0</v>
      </c>
      <c r="I156" s="14">
        <f>IFERROR(H156/H327, "NA")</f>
      </c>
      <c r="J156" s="15"/>
      <c r="K156" s="13">
        <v>0</v>
      </c>
      <c r="L156" s="14">
        <f>IFERROR(K156/K327, "NA")</f>
      </c>
      <c r="M156" s="15"/>
      <c r="N156" s="13">
        <v>0</v>
      </c>
      <c r="O156" s="14">
        <f>IFERROR(N156/N327, "NA")</f>
      </c>
    </row>
    <row r="157" ht="16.5" customHeight="1">
      <c t="s" r="A157" s="20">
        <v>160</v>
      </c>
      <c r="B157" s="17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</c>
      <c r="C157" s="18">
        <f>IFERROR(B157/B327, "NA")</f>
      </c>
      <c r="D157" s="8"/>
      <c r="E157" s="17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</c>
      <c r="F157" s="18">
        <f>IFERROR(E157/E327, "NA")</f>
      </c>
      <c r="G157" s="8"/>
      <c r="H157" s="17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</c>
      <c r="I157" s="18">
        <f>IFERROR(H157/H327, "NA")</f>
      </c>
      <c r="J157" s="8"/>
      <c r="K157" s="17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</c>
      <c r="L157" s="18">
        <f>IFERROR(K157/K327, "NA")</f>
      </c>
      <c r="M157" s="8"/>
      <c r="N157" s="17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</c>
      <c r="O157" s="18">
        <f>IFERROR(N157/N327, "NA")</f>
      </c>
    </row>
    <row r="158" ht="16.5" customHeight="1">
      <c t="s" r="A158" s="7">
        <v>161</v>
      </c>
      <c r="B158" s="8"/>
      <c r="C158" s="9"/>
      <c r="D158" s="10"/>
      <c r="E158" s="8"/>
      <c r="F158" s="9"/>
      <c r="G158" s="10"/>
      <c r="H158" s="8"/>
      <c r="I158" s="9"/>
      <c r="J158" s="10"/>
      <c r="K158" s="8"/>
      <c r="L158" s="9"/>
      <c r="M158" s="10"/>
      <c r="N158" s="8"/>
      <c r="O158" s="9"/>
    </row>
    <row r="159" ht="16.5" customHeight="1">
      <c t="s" r="A159" s="11">
        <v>162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</row>
    <row r="160" ht="16.5" customHeight="1">
      <c t="s" r="A160" s="12">
        <v>163</v>
      </c>
      <c r="B160" s="13">
        <v>0</v>
      </c>
      <c r="C160" s="14">
        <f>IFERROR(B160/B327, "NA")</f>
      </c>
      <c r="D160" s="15"/>
      <c r="E160" s="13">
        <v>0</v>
      </c>
      <c r="F160" s="14">
        <f>IFERROR(E160/E327, "NA")</f>
      </c>
      <c r="G160" s="15"/>
      <c r="H160" s="13">
        <v>0</v>
      </c>
      <c r="I160" s="14">
        <f>IFERROR(H160/H327, "NA")</f>
      </c>
      <c r="J160" s="15"/>
      <c r="K160" s="13">
        <v>0</v>
      </c>
      <c r="L160" s="14">
        <f>IFERROR(K160/K327, "NA")</f>
      </c>
      <c r="M160" s="15"/>
      <c r="N160" s="13">
        <v>0</v>
      </c>
      <c r="O160" s="14">
        <f>IFERROR(N160/N327, "NA")</f>
      </c>
    </row>
    <row r="161" ht="16.5" customHeight="1">
      <c t="s" r="A161" s="12">
        <v>164</v>
      </c>
      <c r="B161" s="13">
        <v>0</v>
      </c>
      <c r="C161" s="14">
        <f>IFERROR(B161/B327, "NA")</f>
      </c>
      <c r="D161" s="15"/>
      <c r="E161" s="13">
        <v>0</v>
      </c>
      <c r="F161" s="14">
        <f>IFERROR(E161/E327, "NA")</f>
      </c>
      <c r="G161" s="15"/>
      <c r="H161" s="13">
        <v>0</v>
      </c>
      <c r="I161" s="14">
        <f>IFERROR(H161/H327, "NA")</f>
      </c>
      <c r="J161" s="15"/>
      <c r="K161" s="13">
        <v>0</v>
      </c>
      <c r="L161" s="14">
        <f>IFERROR(K161/K327, "NA")</f>
      </c>
      <c r="M161" s="15"/>
      <c r="N161" s="13">
        <v>0</v>
      </c>
      <c r="O161" s="14">
        <f>IFERROR(N161/N327, "NA")</f>
      </c>
    </row>
    <row r="162" ht="16.5" customHeight="1">
      <c t="s" r="A162" s="12">
        <v>165</v>
      </c>
      <c r="B162" s="13">
        <v>0</v>
      </c>
      <c r="C162" s="14">
        <f>IFERROR(B162/B327, "NA")</f>
      </c>
      <c r="D162" s="15"/>
      <c r="E162" s="13">
        <v>0</v>
      </c>
      <c r="F162" s="14">
        <f>IFERROR(E162/E327, "NA")</f>
      </c>
      <c r="G162" s="15"/>
      <c r="H162" s="13">
        <v>6067.5</v>
      </c>
      <c r="I162" s="14">
        <f>IFERROR(H162/H327, "NA")</f>
      </c>
      <c r="J162" s="15"/>
      <c r="K162" s="13">
        <v>101255.78</v>
      </c>
      <c r="L162" s="14">
        <f>IFERROR(K162/K327, "NA")</f>
      </c>
      <c r="M162" s="15"/>
      <c r="N162" s="13">
        <v>0</v>
      </c>
      <c r="O162" s="14">
        <f>IFERROR(N162/N327, "NA")</f>
      </c>
    </row>
    <row r="163" ht="16.5" customHeight="1">
      <c t="s" r="A163" s="12">
        <v>166</v>
      </c>
      <c r="B163" s="13">
        <v>0</v>
      </c>
      <c r="C163" s="14">
        <f>IFERROR(B163/B327, "NA")</f>
      </c>
      <c r="D163" s="15"/>
      <c r="E163" s="13">
        <v>0</v>
      </c>
      <c r="F163" s="14">
        <f>IFERROR(E163/E327, "NA")</f>
      </c>
      <c r="G163" s="15"/>
      <c r="H163" s="13">
        <v>0</v>
      </c>
      <c r="I163" s="14">
        <f>IFERROR(H163/H327, "NA")</f>
      </c>
      <c r="J163" s="15"/>
      <c r="K163" s="13">
        <v>0</v>
      </c>
      <c r="L163" s="14">
        <f>IFERROR(K163/K327, "NA")</f>
      </c>
      <c r="M163" s="15"/>
      <c r="N163" s="13">
        <v>0</v>
      </c>
      <c r="O163" s="14">
        <f>IFERROR(N163/N327, "NA")</f>
      </c>
    </row>
    <row r="164" ht="16.5" customHeight="1">
      <c t="s" r="A164" s="12">
        <v>167</v>
      </c>
      <c r="B164" s="13">
        <v>0</v>
      </c>
      <c r="C164" s="14">
        <f>IFERROR(B164/B327, "NA")</f>
      </c>
      <c r="D164" s="15"/>
      <c r="E164" s="13">
        <v>0</v>
      </c>
      <c r="F164" s="14">
        <f>IFERROR(E164/E327, "NA")</f>
      </c>
      <c r="G164" s="15"/>
      <c r="H164" s="13">
        <v>943.03999999999996</v>
      </c>
      <c r="I164" s="14">
        <f>IFERROR(H164/H327, "NA")</f>
      </c>
      <c r="J164" s="15"/>
      <c r="K164" s="13">
        <v>0</v>
      </c>
      <c r="L164" s="14">
        <f>IFERROR(K164/K327, "NA")</f>
      </c>
      <c r="M164" s="15"/>
      <c r="N164" s="13">
        <v>0</v>
      </c>
      <c r="O164" s="14">
        <f>IFERROR(N164/N327, "NA")</f>
      </c>
    </row>
    <row r="165" ht="16.5" customHeight="1">
      <c t="s" r="A165" s="12">
        <v>168</v>
      </c>
      <c r="B165" s="13">
        <v>0</v>
      </c>
      <c r="C165" s="14">
        <f>IFERROR(B165/B327, "NA")</f>
      </c>
      <c r="D165" s="15"/>
      <c r="E165" s="13">
        <v>0</v>
      </c>
      <c r="F165" s="14">
        <f>IFERROR(E165/E327, "NA")</f>
      </c>
      <c r="G165" s="15"/>
      <c r="H165" s="13">
        <v>54.539999999999999</v>
      </c>
      <c r="I165" s="14">
        <f>IFERROR(H165/H327, "NA")</f>
      </c>
      <c r="J165" s="15"/>
      <c r="K165" s="13">
        <v>250.19999999999999</v>
      </c>
      <c r="L165" s="14">
        <f>IFERROR(K165/K327, "NA")</f>
      </c>
      <c r="M165" s="15"/>
      <c r="N165" s="13">
        <v>0</v>
      </c>
      <c r="O165" s="14">
        <f>IFERROR(N165/N327, "NA")</f>
      </c>
    </row>
    <row r="166" ht="16.5" customHeight="1">
      <c t="s" r="A166" s="12">
        <v>169</v>
      </c>
      <c r="B166" s="13">
        <v>70</v>
      </c>
      <c r="C166" s="14">
        <f>IFERROR(B166/B327, "NA")</f>
      </c>
      <c r="D166" s="15"/>
      <c r="E166" s="13">
        <v>591.39999999999998</v>
      </c>
      <c r="F166" s="14">
        <f>IFERROR(E166/E327, "NA")</f>
      </c>
      <c r="G166" s="15"/>
      <c r="H166" s="13">
        <v>625.89999999999998</v>
      </c>
      <c r="I166" s="14">
        <f>IFERROR(H166/H327, "NA")</f>
      </c>
      <c r="J166" s="15"/>
      <c r="K166" s="13">
        <v>712</v>
      </c>
      <c r="L166" s="14">
        <f>IFERROR(K166/K327, "NA")</f>
      </c>
      <c r="M166" s="15"/>
      <c r="N166" s="13">
        <v>873.5</v>
      </c>
      <c r="O166" s="14">
        <f>IFERROR(N166/N327, "NA")</f>
      </c>
    </row>
    <row r="167" ht="16.5" customHeight="1">
      <c t="s" r="A167" s="12">
        <v>170</v>
      </c>
      <c r="B167" s="13">
        <v>0</v>
      </c>
      <c r="C167" s="14">
        <f>IFERROR(B167/B327, "NA")</f>
      </c>
      <c r="D167" s="15"/>
      <c r="E167" s="13">
        <v>361.35000000000002</v>
      </c>
      <c r="F167" s="14">
        <f>IFERROR(E167/E327, "NA")</f>
      </c>
      <c r="G167" s="15"/>
      <c r="H167" s="13">
        <v>264.75999999999999</v>
      </c>
      <c r="I167" s="14">
        <f>IFERROR(H167/H327, "NA")</f>
      </c>
      <c r="J167" s="15"/>
      <c r="K167" s="13">
        <v>448.38</v>
      </c>
      <c r="L167" s="14">
        <f>IFERROR(K167/K327, "NA")</f>
      </c>
      <c r="M167" s="15"/>
      <c r="N167" s="13">
        <v>277.20999999999998</v>
      </c>
      <c r="O167" s="14">
        <f>IFERROR(N167/N327, "NA")</f>
      </c>
    </row>
    <row r="168" ht="16.5" customHeight="1">
      <c t="s" r="A168" s="12">
        <v>171</v>
      </c>
      <c r="B168" s="13">
        <v>0</v>
      </c>
      <c r="C168" s="14">
        <f>IFERROR(B168/B327, "NA")</f>
      </c>
      <c r="D168" s="15"/>
      <c r="E168" s="13">
        <v>3269.0700000000002</v>
      </c>
      <c r="F168" s="14">
        <f>IFERROR(E168/E327, "NA")</f>
      </c>
      <c r="G168" s="15"/>
      <c r="H168" s="13">
        <v>1447.1900000000001</v>
      </c>
      <c r="I168" s="14">
        <f>IFERROR(H168/H327, "NA")</f>
      </c>
      <c r="J168" s="15"/>
      <c r="K168" s="13">
        <v>2968.5</v>
      </c>
      <c r="L168" s="14">
        <f>IFERROR(K168/K327, "NA")</f>
      </c>
      <c r="M168" s="15"/>
      <c r="N168" s="13">
        <v>2635.6399999999999</v>
      </c>
      <c r="O168" s="14">
        <f>IFERROR(N168/N327, "NA")</f>
      </c>
    </row>
    <row r="169" ht="16.5" customHeight="1">
      <c t="s" r="A169" s="12">
        <v>172</v>
      </c>
      <c r="B169" s="13">
        <v>900.59000000000003</v>
      </c>
      <c r="C169" s="14">
        <f>IFERROR(B169/B327, "NA")</f>
      </c>
      <c r="D169" s="15"/>
      <c r="E169" s="13">
        <v>0</v>
      </c>
      <c r="F169" s="14">
        <f>IFERROR(E169/E327, "NA")</f>
      </c>
      <c r="G169" s="15"/>
      <c r="H169" s="13">
        <v>0</v>
      </c>
      <c r="I169" s="14">
        <f>IFERROR(H169/H327, "NA")</f>
      </c>
      <c r="J169" s="15"/>
      <c r="K169" s="13">
        <v>0</v>
      </c>
      <c r="L169" s="14">
        <f>IFERROR(K169/K327, "NA")</f>
      </c>
      <c r="M169" s="15"/>
      <c r="N169" s="13">
        <v>0</v>
      </c>
      <c r="O169" s="14">
        <f>IFERROR(N169/N327, "NA")</f>
      </c>
    </row>
    <row r="170" ht="16.5" customHeight="1">
      <c t="s" r="A170" s="12">
        <v>173</v>
      </c>
      <c r="B170" s="13">
        <v>287.12</v>
      </c>
      <c r="C170" s="14">
        <f>IFERROR(B170/B327, "NA")</f>
      </c>
      <c r="D170" s="15"/>
      <c r="E170" s="13">
        <v>448.63999999999999</v>
      </c>
      <c r="F170" s="14">
        <f>IFERROR(E170/E327, "NA")</f>
      </c>
      <c r="G170" s="15"/>
      <c r="H170" s="13">
        <v>304.88</v>
      </c>
      <c r="I170" s="14">
        <f>IFERROR(H170/H327, "NA")</f>
      </c>
      <c r="J170" s="15"/>
      <c r="K170" s="13">
        <v>0</v>
      </c>
      <c r="L170" s="14">
        <f>IFERROR(K170/K327, "NA")</f>
      </c>
      <c r="M170" s="15"/>
      <c r="N170" s="13">
        <v>53</v>
      </c>
      <c r="O170" s="14">
        <f>IFERROR(N170/N327, "NA")</f>
      </c>
    </row>
    <row r="171" ht="16.5" customHeight="1">
      <c t="s" r="A171" s="12">
        <v>174</v>
      </c>
      <c r="B171" s="13">
        <v>0</v>
      </c>
      <c r="C171" s="14">
        <f>IFERROR(B171/B327, "NA")</f>
      </c>
      <c r="D171" s="15"/>
      <c r="E171" s="13">
        <v>639.15999999999997</v>
      </c>
      <c r="F171" s="14">
        <f>IFERROR(E171/E327, "NA")</f>
      </c>
      <c r="G171" s="15"/>
      <c r="H171" s="13">
        <v>59.509999999999998</v>
      </c>
      <c r="I171" s="14">
        <f>IFERROR(H171/H327, "NA")</f>
      </c>
      <c r="J171" s="15"/>
      <c r="K171" s="13">
        <v>563.86000000000001</v>
      </c>
      <c r="L171" s="14">
        <f>IFERROR(K171/K327, "NA")</f>
      </c>
      <c r="M171" s="15"/>
      <c r="N171" s="13">
        <v>0</v>
      </c>
      <c r="O171" s="14">
        <f>IFERROR(N171/N327, "NA")</f>
      </c>
    </row>
    <row r="172" ht="16.5" customHeight="1">
      <c t="s" r="A172" s="12">
        <v>175</v>
      </c>
      <c r="B172" s="13">
        <v>0</v>
      </c>
      <c r="C172" s="14">
        <f>IFERROR(B172/B327, "NA")</f>
      </c>
      <c r="D172" s="15"/>
      <c r="E172" s="13">
        <v>0</v>
      </c>
      <c r="F172" s="14">
        <f>IFERROR(E172/E327, "NA")</f>
      </c>
      <c r="G172" s="15"/>
      <c r="H172" s="13">
        <v>0</v>
      </c>
      <c r="I172" s="14">
        <f>IFERROR(H172/H327, "NA")</f>
      </c>
      <c r="J172" s="15"/>
      <c r="K172" s="13">
        <v>0</v>
      </c>
      <c r="L172" s="14">
        <f>IFERROR(K172/K327, "NA")</f>
      </c>
      <c r="M172" s="15"/>
      <c r="N172" s="13">
        <v>0</v>
      </c>
      <c r="O172" s="14">
        <f>IFERROR(N172/N327, "NA")</f>
      </c>
    </row>
    <row r="173" ht="16.5" customHeight="1">
      <c t="s" r="A173" s="12">
        <v>176</v>
      </c>
      <c r="B173" s="13">
        <v>0</v>
      </c>
      <c r="C173" s="14">
        <f>IFERROR(B173/B327, "NA")</f>
      </c>
      <c r="D173" s="15"/>
      <c r="E173" s="13">
        <v>0</v>
      </c>
      <c r="F173" s="14">
        <f>IFERROR(E173/E327, "NA")</f>
      </c>
      <c r="G173" s="15"/>
      <c r="H173" s="13">
        <v>0</v>
      </c>
      <c r="I173" s="14">
        <f>IFERROR(H173/H327, "NA")</f>
      </c>
      <c r="J173" s="15"/>
      <c r="K173" s="13">
        <v>0</v>
      </c>
      <c r="L173" s="14">
        <f>IFERROR(K173/K327, "NA")</f>
      </c>
      <c r="M173" s="15"/>
      <c r="N173" s="13">
        <v>0</v>
      </c>
      <c r="O173" s="14">
        <f>IFERROR(N173/N327, "NA")</f>
      </c>
    </row>
    <row r="174" ht="16.5" customHeight="1">
      <c t="s" r="A174" s="12">
        <v>177</v>
      </c>
      <c r="B174" s="13">
        <v>0</v>
      </c>
      <c r="C174" s="14">
        <f>IFERROR(B174/B327, "NA")</f>
      </c>
      <c r="D174" s="15"/>
      <c r="E174" s="13">
        <v>0</v>
      </c>
      <c r="F174" s="14">
        <f>IFERROR(E174/E327, "NA")</f>
      </c>
      <c r="G174" s="15"/>
      <c r="H174" s="13">
        <v>0</v>
      </c>
      <c r="I174" s="14">
        <f>IFERROR(H174/H327, "NA")</f>
      </c>
      <c r="J174" s="15"/>
      <c r="K174" s="13">
        <v>0</v>
      </c>
      <c r="L174" s="14">
        <f>IFERROR(K174/K327, "NA")</f>
      </c>
      <c r="M174" s="15"/>
      <c r="N174" s="13">
        <v>0</v>
      </c>
      <c r="O174" s="14">
        <f>IFERROR(N174/N327, "NA")</f>
      </c>
    </row>
    <row r="175" ht="16.5" customHeight="1">
      <c t="s" r="A175" s="12">
        <v>178</v>
      </c>
      <c r="B175" s="13">
        <v>0</v>
      </c>
      <c r="C175" s="14">
        <f>IFERROR(B175/B327, "NA")</f>
      </c>
      <c r="D175" s="15"/>
      <c r="E175" s="13">
        <v>936.39999999999998</v>
      </c>
      <c r="F175" s="14">
        <f>IFERROR(E175/E327, "NA")</f>
      </c>
      <c r="G175" s="15"/>
      <c r="H175" s="13">
        <v>169.74000000000001</v>
      </c>
      <c r="I175" s="14">
        <f>IFERROR(H175/H327, "NA")</f>
      </c>
      <c r="J175" s="15"/>
      <c r="K175" s="13">
        <v>782.24000000000001</v>
      </c>
      <c r="L175" s="14">
        <f>IFERROR(K175/K327, "NA")</f>
      </c>
      <c r="M175" s="15"/>
      <c r="N175" s="13">
        <v>738.88999999999999</v>
      </c>
      <c r="O175" s="14">
        <f>IFERROR(N175/N327, "NA")</f>
      </c>
    </row>
    <row r="176" ht="16.5" customHeight="1">
      <c t="s" r="A176" s="12">
        <v>179</v>
      </c>
      <c r="B176" s="13">
        <v>89.340000000000003</v>
      </c>
      <c r="C176" s="14">
        <f>IFERROR(B176/B327, "NA")</f>
      </c>
      <c r="D176" s="15"/>
      <c r="E176" s="13">
        <v>204.90000000000001</v>
      </c>
      <c r="F176" s="14">
        <f>IFERROR(E176/E327, "NA")</f>
      </c>
      <c r="G176" s="15"/>
      <c r="H176" s="13">
        <v>433.75</v>
      </c>
      <c r="I176" s="14">
        <f>IFERROR(H176/H327, "NA")</f>
      </c>
      <c r="J176" s="15"/>
      <c r="K176" s="13">
        <v>1031.46</v>
      </c>
      <c r="L176" s="14">
        <f>IFERROR(K176/K327, "NA")</f>
      </c>
      <c r="M176" s="15"/>
      <c r="N176" s="13">
        <v>164.84999999999999</v>
      </c>
      <c r="O176" s="14">
        <f>IFERROR(N176/N327, "NA")</f>
      </c>
    </row>
    <row r="177" ht="16.5" customHeight="1">
      <c t="s" r="A177" s="12">
        <v>180</v>
      </c>
      <c r="B177" s="13">
        <v>0</v>
      </c>
      <c r="C177" s="14">
        <f>IFERROR(B177/B327, "NA")</f>
      </c>
      <c r="D177" s="15"/>
      <c r="E177" s="13">
        <v>2250.2800000000002</v>
      </c>
      <c r="F177" s="14">
        <f>IFERROR(E177/E327, "NA")</f>
      </c>
      <c r="G177" s="15"/>
      <c r="H177" s="13">
        <v>2434.21</v>
      </c>
      <c r="I177" s="14">
        <f>IFERROR(H177/H327, "NA")</f>
      </c>
      <c r="J177" s="15"/>
      <c r="K177" s="13">
        <v>2531.3699999999999</v>
      </c>
      <c r="L177" s="14">
        <f>IFERROR(K177/K327, "NA")</f>
      </c>
      <c r="M177" s="15"/>
      <c r="N177" s="13">
        <v>2399.1500000000001</v>
      </c>
      <c r="O177" s="14">
        <f>IFERROR(N177/N327, "NA")</f>
      </c>
    </row>
    <row r="178" ht="16.5" customHeight="1">
      <c t="s" r="A178" s="12">
        <v>181</v>
      </c>
      <c r="B178" s="13">
        <v>0</v>
      </c>
      <c r="C178" s="14">
        <f>IFERROR(B178/B327, "NA")</f>
      </c>
      <c r="D178" s="15"/>
      <c r="E178" s="13">
        <v>237.06999999999999</v>
      </c>
      <c r="F178" s="14">
        <f>IFERROR(E178/E327, "NA")</f>
      </c>
      <c r="G178" s="15"/>
      <c r="H178" s="13">
        <v>513.96000000000004</v>
      </c>
      <c r="I178" s="14">
        <f>IFERROR(H178/H327, "NA")</f>
      </c>
      <c r="J178" s="15"/>
      <c r="K178" s="13">
        <v>-403.60000000000002</v>
      </c>
      <c r="L178" s="14">
        <f>IFERROR(K178/K327, "NA")</f>
      </c>
      <c r="M178" s="15"/>
      <c r="N178" s="13">
        <v>0</v>
      </c>
      <c r="O178" s="14">
        <f>IFERROR(N178/N327, "NA")</f>
      </c>
    </row>
    <row r="179" ht="16.5" customHeight="1">
      <c t="s" r="A179" s="12">
        <v>182</v>
      </c>
      <c r="B179" s="13">
        <v>3000</v>
      </c>
      <c r="C179" s="14">
        <f>IFERROR(B179/B327, "NA")</f>
      </c>
      <c r="D179" s="15"/>
      <c r="E179" s="13">
        <v>0</v>
      </c>
      <c r="F179" s="14">
        <f>IFERROR(E179/E327, "NA")</f>
      </c>
      <c r="G179" s="15"/>
      <c r="H179" s="13">
        <v>0</v>
      </c>
      <c r="I179" s="14">
        <f>IFERROR(H179/H327, "NA")</f>
      </c>
      <c r="J179" s="15"/>
      <c r="K179" s="13">
        <v>0</v>
      </c>
      <c r="L179" s="14">
        <f>IFERROR(K179/K327, "NA")</f>
      </c>
      <c r="M179" s="15"/>
      <c r="N179" s="13">
        <v>0</v>
      </c>
      <c r="O179" s="14">
        <f>IFERROR(N179/N327, "NA")</f>
      </c>
    </row>
    <row r="180" ht="16.5" customHeight="1">
      <c t="s" r="A180" s="12">
        <v>183</v>
      </c>
      <c r="B180" s="13">
        <v>0</v>
      </c>
      <c r="C180" s="14">
        <f>IFERROR(B180/B327, "NA")</f>
      </c>
      <c r="D180" s="15"/>
      <c r="E180" s="13">
        <v>0</v>
      </c>
      <c r="F180" s="14">
        <f>IFERROR(E180/E327, "NA")</f>
      </c>
      <c r="G180" s="15"/>
      <c r="H180" s="13">
        <v>0</v>
      </c>
      <c r="I180" s="14">
        <f>IFERROR(H180/H327, "NA")</f>
      </c>
      <c r="J180" s="15"/>
      <c r="K180" s="13">
        <v>0</v>
      </c>
      <c r="L180" s="14">
        <f>IFERROR(K180/K327, "NA")</f>
      </c>
      <c r="M180" s="15"/>
      <c r="N180" s="13">
        <v>0</v>
      </c>
      <c r="O180" s="14">
        <f>IFERROR(N180/N327, "NA")</f>
      </c>
    </row>
    <row r="181" ht="16.5" customHeight="1">
      <c t="s" r="A181" s="12">
        <v>184</v>
      </c>
      <c r="B181" s="13">
        <v>0</v>
      </c>
      <c r="C181" s="14">
        <f>IFERROR(B181/B327, "NA")</f>
      </c>
      <c r="D181" s="15"/>
      <c r="E181" s="13">
        <v>1103.4000000000001</v>
      </c>
      <c r="F181" s="14">
        <f>IFERROR(E181/E327, "NA")</f>
      </c>
      <c r="G181" s="15"/>
      <c r="H181" s="13">
        <v>0</v>
      </c>
      <c r="I181" s="14">
        <f>IFERROR(H181/H327, "NA")</f>
      </c>
      <c r="J181" s="15"/>
      <c r="K181" s="13">
        <v>969.60000000000002</v>
      </c>
      <c r="L181" s="14">
        <f>IFERROR(K181/K327, "NA")</f>
      </c>
      <c r="M181" s="15"/>
      <c r="N181" s="13">
        <v>0</v>
      </c>
      <c r="O181" s="14">
        <f>IFERROR(N181/N327, "NA")</f>
      </c>
    </row>
    <row r="182" ht="16.5" customHeight="1">
      <c t="s" r="A182" s="12">
        <v>185</v>
      </c>
      <c r="B182" s="13">
        <v>0</v>
      </c>
      <c r="C182" s="14">
        <f>IFERROR(B182/B327, "NA")</f>
      </c>
      <c r="D182" s="15"/>
      <c r="E182" s="13">
        <v>0</v>
      </c>
      <c r="F182" s="14">
        <f>IFERROR(E182/E327, "NA")</f>
      </c>
      <c r="G182" s="15"/>
      <c r="H182" s="13">
        <v>0</v>
      </c>
      <c r="I182" s="14">
        <f>IFERROR(H182/H327, "NA")</f>
      </c>
      <c r="J182" s="15"/>
      <c r="K182" s="13">
        <v>240.88</v>
      </c>
      <c r="L182" s="14">
        <f>IFERROR(K182/K327, "NA")</f>
      </c>
      <c r="M182" s="15"/>
      <c r="N182" s="13">
        <v>142.86000000000001</v>
      </c>
      <c r="O182" s="14">
        <f>IFERROR(N182/N327, "NA")</f>
      </c>
    </row>
    <row r="183" ht="16.5" customHeight="1">
      <c t="s" r="A183" s="12">
        <v>186</v>
      </c>
      <c r="B183" s="13">
        <v>0</v>
      </c>
      <c r="C183" s="14">
        <f>IFERROR(B183/B327, "NA")</f>
      </c>
      <c r="D183" s="15"/>
      <c r="E183" s="13">
        <v>1243.8199999999999</v>
      </c>
      <c r="F183" s="14">
        <f>IFERROR(E183/E327, "NA")</f>
      </c>
      <c r="G183" s="15"/>
      <c r="H183" s="13">
        <v>1663.04</v>
      </c>
      <c r="I183" s="14">
        <f>IFERROR(H183/H327, "NA")</f>
      </c>
      <c r="J183" s="15"/>
      <c r="K183" s="13">
        <v>1477.02</v>
      </c>
      <c r="L183" s="14">
        <f>IFERROR(K183/K327, "NA")</f>
      </c>
      <c r="M183" s="15"/>
      <c r="N183" s="13">
        <v>659.75</v>
      </c>
      <c r="O183" s="14">
        <f>IFERROR(N183/N327, "NA")</f>
      </c>
    </row>
    <row r="184" ht="16.5" customHeight="1">
      <c t="s" r="A184" s="12">
        <v>187</v>
      </c>
      <c r="B184" s="13">
        <v>0</v>
      </c>
      <c r="C184" s="14">
        <f>IFERROR(B184/B327, "NA")</f>
      </c>
      <c r="D184" s="15"/>
      <c r="E184" s="13">
        <v>631.10000000000002</v>
      </c>
      <c r="F184" s="14">
        <f>IFERROR(E184/E327, "NA")</f>
      </c>
      <c r="G184" s="15"/>
      <c r="H184" s="13">
        <v>127.43000000000001</v>
      </c>
      <c r="I184" s="14">
        <f>IFERROR(H184/H327, "NA")</f>
      </c>
      <c r="J184" s="15"/>
      <c r="K184" s="13">
        <v>515.23000000000002</v>
      </c>
      <c r="L184" s="14">
        <f>IFERROR(K184/K327, "NA")</f>
      </c>
      <c r="M184" s="15"/>
      <c r="N184" s="13">
        <v>568.27999999999997</v>
      </c>
      <c r="O184" s="14">
        <f>IFERROR(N184/N327, "NA")</f>
      </c>
    </row>
    <row r="185" ht="16.5" customHeight="1">
      <c t="s" r="A185" s="12">
        <v>188</v>
      </c>
      <c r="B185" s="13">
        <v>0</v>
      </c>
      <c r="C185" s="14">
        <f>IFERROR(B185/B327, "NA")</f>
      </c>
      <c r="D185" s="15"/>
      <c r="E185" s="13">
        <v>0</v>
      </c>
      <c r="F185" s="14">
        <f>IFERROR(E185/E327, "NA")</f>
      </c>
      <c r="G185" s="15"/>
      <c r="H185" s="13">
        <v>0</v>
      </c>
      <c r="I185" s="14">
        <f>IFERROR(H185/H327, "NA")</f>
      </c>
      <c r="J185" s="15"/>
      <c r="K185" s="13">
        <v>0</v>
      </c>
      <c r="L185" s="14">
        <f>IFERROR(K185/K327, "NA")</f>
      </c>
      <c r="M185" s="15"/>
      <c r="N185" s="13">
        <v>0</v>
      </c>
      <c r="O185" s="14">
        <f>IFERROR(N185/N327, "NA")</f>
      </c>
    </row>
    <row r="186" ht="16.5" customHeight="1">
      <c t="s" r="A186" s="12">
        <v>189</v>
      </c>
      <c r="B186" s="13">
        <v>0</v>
      </c>
      <c r="C186" s="14">
        <f>IFERROR(B186/B327, "NA")</f>
      </c>
      <c r="D186" s="15"/>
      <c r="E186" s="13">
        <v>0</v>
      </c>
      <c r="F186" s="14">
        <f>IFERROR(E186/E327, "NA")</f>
      </c>
      <c r="G186" s="15"/>
      <c r="H186" s="13">
        <v>0</v>
      </c>
      <c r="I186" s="14">
        <f>IFERROR(H186/H327, "NA")</f>
      </c>
      <c r="J186" s="15"/>
      <c r="K186" s="13">
        <v>0</v>
      </c>
      <c r="L186" s="14">
        <f>IFERROR(K186/K327, "NA")</f>
      </c>
      <c r="M186" s="15"/>
      <c r="N186" s="13">
        <v>0</v>
      </c>
      <c r="O186" s="14">
        <f>IFERROR(N186/N327, "NA")</f>
      </c>
    </row>
    <row r="187" ht="16.5" customHeight="1">
      <c t="s" r="A187" s="12">
        <v>190</v>
      </c>
      <c r="B187" s="13">
        <v>0</v>
      </c>
      <c r="C187" s="14">
        <f>IFERROR(B187/B327, "NA")</f>
      </c>
      <c r="D187" s="15"/>
      <c r="E187" s="13">
        <v>0</v>
      </c>
      <c r="F187" s="14">
        <f>IFERROR(E187/E327, "NA")</f>
      </c>
      <c r="G187" s="15"/>
      <c r="H187" s="13">
        <v>0</v>
      </c>
      <c r="I187" s="14">
        <f>IFERROR(H187/H327, "NA")</f>
      </c>
      <c r="J187" s="15"/>
      <c r="K187" s="13">
        <v>0</v>
      </c>
      <c r="L187" s="14">
        <f>IFERROR(K187/K327, "NA")</f>
      </c>
      <c r="M187" s="15"/>
      <c r="N187" s="13">
        <v>0</v>
      </c>
      <c r="O187" s="14">
        <f>IFERROR(N187/N327, "NA")</f>
      </c>
    </row>
    <row r="188" ht="16.5" customHeight="1">
      <c t="s" r="A188" s="12">
        <v>191</v>
      </c>
      <c r="B188" s="13">
        <v>0</v>
      </c>
      <c r="C188" s="14">
        <f>IFERROR(B188/B327, "NA")</f>
      </c>
      <c r="D188" s="15"/>
      <c r="E188" s="13">
        <v>0</v>
      </c>
      <c r="F188" s="14">
        <f>IFERROR(E188/E327, "NA")</f>
      </c>
      <c r="G188" s="15"/>
      <c r="H188" s="13">
        <v>0</v>
      </c>
      <c r="I188" s="14">
        <f>IFERROR(H188/H327, "NA")</f>
      </c>
      <c r="J188" s="15"/>
      <c r="K188" s="13">
        <v>1110</v>
      </c>
      <c r="L188" s="14">
        <f>IFERROR(K188/K327, "NA")</f>
      </c>
      <c r="M188" s="15"/>
      <c r="N188" s="13">
        <v>679.41999999999996</v>
      </c>
      <c r="O188" s="14">
        <f>IFERROR(N188/N327, "NA")</f>
      </c>
    </row>
    <row r="189" ht="16.5" customHeight="1">
      <c t="s" r="A189" s="12">
        <v>192</v>
      </c>
      <c r="B189" s="13">
        <v>0</v>
      </c>
      <c r="C189" s="14">
        <f>IFERROR(B189/B327, "NA")</f>
      </c>
      <c r="D189" s="15"/>
      <c r="E189" s="13">
        <v>715.05999999999995</v>
      </c>
      <c r="F189" s="14">
        <f>IFERROR(E189/E327, "NA")</f>
      </c>
      <c r="G189" s="15"/>
      <c r="H189" s="13">
        <v>1520.9100000000001</v>
      </c>
      <c r="I189" s="14">
        <f>IFERROR(H189/H327, "NA")</f>
      </c>
      <c r="J189" s="15"/>
      <c r="K189" s="13">
        <v>21.390000000000001</v>
      </c>
      <c r="L189" s="14">
        <f>IFERROR(K189/K327, "NA")</f>
      </c>
      <c r="M189" s="15"/>
      <c r="N189" s="13">
        <v>2407.5</v>
      </c>
      <c r="O189" s="14">
        <f>IFERROR(N189/N327, "NA")</f>
      </c>
    </row>
    <row r="190" ht="16.5" customHeight="1">
      <c t="s" r="A190" s="12">
        <v>193</v>
      </c>
      <c r="B190" s="13">
        <v>0</v>
      </c>
      <c r="C190" s="14">
        <f>IFERROR(B190/B327, "NA")</f>
      </c>
      <c r="D190" s="15"/>
      <c r="E190" s="13">
        <v>0</v>
      </c>
      <c r="F190" s="14">
        <f>IFERROR(E190/E327, "NA")</f>
      </c>
      <c r="G190" s="15"/>
      <c r="H190" s="13">
        <v>0</v>
      </c>
      <c r="I190" s="14">
        <f>IFERROR(H190/H327, "NA")</f>
      </c>
      <c r="J190" s="15"/>
      <c r="K190" s="13">
        <v>0</v>
      </c>
      <c r="L190" s="14">
        <f>IFERROR(K190/K327, "NA")</f>
      </c>
      <c r="M190" s="15"/>
      <c r="N190" s="13">
        <v>0</v>
      </c>
      <c r="O190" s="14">
        <f>IFERROR(N190/N327, "NA")</f>
      </c>
    </row>
    <row r="191" ht="16.5" customHeight="1">
      <c t="s" r="A191" s="12">
        <v>194</v>
      </c>
      <c r="B191" s="13">
        <v>0</v>
      </c>
      <c r="C191" s="14">
        <f>IFERROR(B191/B327, "NA")</f>
      </c>
      <c r="D191" s="15"/>
      <c r="E191" s="13">
        <v>0</v>
      </c>
      <c r="F191" s="14">
        <f>IFERROR(E191/E327, "NA")</f>
      </c>
      <c r="G191" s="15"/>
      <c r="H191" s="13">
        <v>0</v>
      </c>
      <c r="I191" s="14">
        <f>IFERROR(H191/H327, "NA")</f>
      </c>
      <c r="J191" s="15"/>
      <c r="K191" s="13">
        <v>0</v>
      </c>
      <c r="L191" s="14">
        <f>IFERROR(K191/K327, "NA")</f>
      </c>
      <c r="M191" s="15"/>
      <c r="N191" s="13">
        <v>0</v>
      </c>
      <c r="O191" s="14">
        <f>IFERROR(N191/N327, "NA")</f>
      </c>
    </row>
    <row r="192" ht="16.5" customHeight="1">
      <c t="s" r="A192" s="12">
        <v>195</v>
      </c>
      <c r="B192" s="13">
        <v>2378.4299999999998</v>
      </c>
      <c r="C192" s="14">
        <f>IFERROR(B192/B327, "NA")</f>
      </c>
      <c r="D192" s="15"/>
      <c r="E192" s="13">
        <v>0</v>
      </c>
      <c r="F192" s="14">
        <f>IFERROR(E192/E327, "NA")</f>
      </c>
      <c r="G192" s="15"/>
      <c r="H192" s="13">
        <v>1180</v>
      </c>
      <c r="I192" s="14">
        <f>IFERROR(H192/H327, "NA")</f>
      </c>
      <c r="J192" s="15"/>
      <c r="K192" s="13">
        <v>0</v>
      </c>
      <c r="L192" s="14">
        <f>IFERROR(K192/K327, "NA")</f>
      </c>
      <c r="M192" s="15"/>
      <c r="N192" s="13">
        <v>0</v>
      </c>
      <c r="O192" s="14">
        <f>IFERROR(N192/N327, "NA")</f>
      </c>
    </row>
    <row r="193" ht="16.5" customHeight="1">
      <c t="s" r="A193" s="12">
        <v>196</v>
      </c>
      <c r="B193" s="13">
        <v>4183.1999999999998</v>
      </c>
      <c r="C193" s="14">
        <f>IFERROR(B193/B327, "NA")</f>
      </c>
      <c r="D193" s="15"/>
      <c r="E193" s="13">
        <v>4183.1999999999998</v>
      </c>
      <c r="F193" s="14">
        <f>IFERROR(E193/E327, "NA")</f>
      </c>
      <c r="G193" s="15"/>
      <c r="H193" s="13">
        <v>4183.1999999999998</v>
      </c>
      <c r="I193" s="14">
        <f>IFERROR(H193/H327, "NA")</f>
      </c>
      <c r="J193" s="15"/>
      <c r="K193" s="13">
        <v>4183.1999999999998</v>
      </c>
      <c r="L193" s="14">
        <f>IFERROR(K193/K327, "NA")</f>
      </c>
      <c r="M193" s="15"/>
      <c r="N193" s="13">
        <v>4183.1999999999998</v>
      </c>
      <c r="O193" s="14">
        <f>IFERROR(N193/N327, "NA")</f>
      </c>
    </row>
    <row r="194" ht="16.5" customHeight="1">
      <c t="s" r="A194" s="12">
        <v>197</v>
      </c>
      <c r="B194" s="13">
        <v>0</v>
      </c>
      <c r="C194" s="14">
        <f>IFERROR(B194/B327, "NA")</f>
      </c>
      <c r="D194" s="15"/>
      <c r="E194" s="13">
        <v>0</v>
      </c>
      <c r="F194" s="14">
        <f>IFERROR(E194/E327, "NA")</f>
      </c>
      <c r="G194" s="15"/>
      <c r="H194" s="13">
        <v>0</v>
      </c>
      <c r="I194" s="14">
        <f>IFERROR(H194/H327, "NA")</f>
      </c>
      <c r="J194" s="15"/>
      <c r="K194" s="13">
        <v>0</v>
      </c>
      <c r="L194" s="14">
        <f>IFERROR(K194/K327, "NA")</f>
      </c>
      <c r="M194" s="15"/>
      <c r="N194" s="13">
        <v>0</v>
      </c>
      <c r="O194" s="14">
        <f>IFERROR(N194/N327, "NA")</f>
      </c>
    </row>
    <row r="195" ht="16.5" customHeight="1">
      <c t="s" r="A195" s="12">
        <v>198</v>
      </c>
      <c r="B195" s="13">
        <v>0</v>
      </c>
      <c r="C195" s="14">
        <f>IFERROR(B195/B327, "NA")</f>
      </c>
      <c r="D195" s="15"/>
      <c r="E195" s="13">
        <v>0</v>
      </c>
      <c r="F195" s="14">
        <f>IFERROR(E195/E327, "NA")</f>
      </c>
      <c r="G195" s="15"/>
      <c r="H195" s="13">
        <v>0</v>
      </c>
      <c r="I195" s="14">
        <f>IFERROR(H195/H327, "NA")</f>
      </c>
      <c r="J195" s="15"/>
      <c r="K195" s="13">
        <v>153.50999999999999</v>
      </c>
      <c r="L195" s="14">
        <f>IFERROR(K195/K327, "NA")</f>
      </c>
      <c r="M195" s="15"/>
      <c r="N195" s="13">
        <v>180</v>
      </c>
      <c r="O195" s="14">
        <f>IFERROR(N195/N327, "NA")</f>
      </c>
    </row>
    <row r="196" ht="16.5" customHeight="1">
      <c t="s" r="A196" s="12">
        <v>199</v>
      </c>
      <c r="B196" s="13">
        <v>1400</v>
      </c>
      <c r="C196" s="14">
        <f>IFERROR(B196/B327, "NA")</f>
      </c>
      <c r="D196" s="15"/>
      <c r="E196" s="13">
        <v>1400</v>
      </c>
      <c r="F196" s="14">
        <f>IFERROR(E196/E327, "NA")</f>
      </c>
      <c r="G196" s="15"/>
      <c r="H196" s="13">
        <v>0</v>
      </c>
      <c r="I196" s="14">
        <f>IFERROR(H196/H327, "NA")</f>
      </c>
      <c r="J196" s="15"/>
      <c r="K196" s="13">
        <v>3275.0799999999999</v>
      </c>
      <c r="L196" s="14">
        <f>IFERROR(K196/K327, "NA")</f>
      </c>
      <c r="M196" s="15"/>
      <c r="N196" s="13">
        <v>59.920000000000002</v>
      </c>
      <c r="O196" s="14">
        <f>IFERROR(N196/N327, "NA")</f>
      </c>
    </row>
    <row r="197" ht="16.5" customHeight="1">
      <c t="s" r="A197" s="12">
        <v>200</v>
      </c>
      <c r="B197" s="13">
        <v>0</v>
      </c>
      <c r="C197" s="14">
        <f>IFERROR(B197/B327, "NA")</f>
      </c>
      <c r="D197" s="15"/>
      <c r="E197" s="13">
        <v>0</v>
      </c>
      <c r="F197" s="14">
        <f>IFERROR(E197/E327, "NA")</f>
      </c>
      <c r="G197" s="15"/>
      <c r="H197" s="13">
        <v>0</v>
      </c>
      <c r="I197" s="14">
        <f>IFERROR(H197/H327, "NA")</f>
      </c>
      <c r="J197" s="15"/>
      <c r="K197" s="13">
        <v>0</v>
      </c>
      <c r="L197" s="14">
        <f>IFERROR(K197/K327, "NA")</f>
      </c>
      <c r="M197" s="15"/>
      <c r="N197" s="13">
        <v>0</v>
      </c>
      <c r="O197" s="14">
        <f>IFERROR(N197/N327, "NA")</f>
      </c>
    </row>
    <row r="198" ht="16.5" customHeight="1">
      <c t="s" r="A198" s="12">
        <v>201</v>
      </c>
      <c r="B198" s="13">
        <v>0</v>
      </c>
      <c r="C198" s="14">
        <f>IFERROR(B198/B327, "NA")</f>
      </c>
      <c r="D198" s="15"/>
      <c r="E198" s="13">
        <v>0</v>
      </c>
      <c r="F198" s="14">
        <f>IFERROR(E198/E327, "NA")</f>
      </c>
      <c r="G198" s="15"/>
      <c r="H198" s="13">
        <v>0</v>
      </c>
      <c r="I198" s="14">
        <f>IFERROR(H198/H327, "NA")</f>
      </c>
      <c r="J198" s="15"/>
      <c r="K198" s="13">
        <v>0</v>
      </c>
      <c r="L198" s="14">
        <f>IFERROR(K198/K327, "NA")</f>
      </c>
      <c r="M198" s="15"/>
      <c r="N198" s="13">
        <v>0</v>
      </c>
      <c r="O198" s="14">
        <f>IFERROR(N198/N327, "NA")</f>
      </c>
    </row>
    <row r="199" ht="16.5" customHeight="1">
      <c t="s" r="A199" s="12">
        <v>202</v>
      </c>
      <c r="B199" s="13">
        <v>0</v>
      </c>
      <c r="C199" s="14">
        <f>IFERROR(B199/B327, "NA")</f>
      </c>
      <c r="D199" s="15"/>
      <c r="E199" s="13">
        <v>0</v>
      </c>
      <c r="F199" s="14">
        <f>IFERROR(E199/E327, "NA")</f>
      </c>
      <c r="G199" s="15"/>
      <c r="H199" s="13">
        <v>0</v>
      </c>
      <c r="I199" s="14">
        <f>IFERROR(H199/H327, "NA")</f>
      </c>
      <c r="J199" s="15"/>
      <c r="K199" s="13">
        <v>0</v>
      </c>
      <c r="L199" s="14">
        <f>IFERROR(K199/K327, "NA")</f>
      </c>
      <c r="M199" s="15"/>
      <c r="N199" s="13">
        <v>0</v>
      </c>
      <c r="O199" s="14">
        <f>IFERROR(N199/N327, "NA")</f>
      </c>
    </row>
    <row r="200" ht="16.5" customHeight="1">
      <c t="s" r="A200" s="12">
        <v>203</v>
      </c>
      <c r="B200" s="13">
        <v>0</v>
      </c>
      <c r="C200" s="14">
        <f>IFERROR(B200/B327, "NA")</f>
      </c>
      <c r="D200" s="15"/>
      <c r="E200" s="13">
        <v>0</v>
      </c>
      <c r="F200" s="14">
        <f>IFERROR(E200/E327, "NA")</f>
      </c>
      <c r="G200" s="15"/>
      <c r="H200" s="13">
        <v>0</v>
      </c>
      <c r="I200" s="14">
        <f>IFERROR(H200/H327, "NA")</f>
      </c>
      <c r="J200" s="15"/>
      <c r="K200" s="13">
        <v>0</v>
      </c>
      <c r="L200" s="14">
        <f>IFERROR(K200/K327, "NA")</f>
      </c>
      <c r="M200" s="15"/>
      <c r="N200" s="13">
        <v>0</v>
      </c>
      <c r="O200" s="14">
        <f>IFERROR(N200/N327, "NA")</f>
      </c>
    </row>
    <row r="201" ht="16.5" customHeight="1">
      <c t="s" r="A201" s="12">
        <v>204</v>
      </c>
      <c r="B201" s="13">
        <v>0</v>
      </c>
      <c r="C201" s="14">
        <f>IFERROR(B201/B327, "NA")</f>
      </c>
      <c r="D201" s="15"/>
      <c r="E201" s="13">
        <v>0</v>
      </c>
      <c r="F201" s="14">
        <f>IFERROR(E201/E327, "NA")</f>
      </c>
      <c r="G201" s="15"/>
      <c r="H201" s="13">
        <v>0</v>
      </c>
      <c r="I201" s="14">
        <f>IFERROR(H201/H327, "NA")</f>
      </c>
      <c r="J201" s="15"/>
      <c r="K201" s="13">
        <v>363.77999999999997</v>
      </c>
      <c r="L201" s="14">
        <f>IFERROR(K201/K327, "NA")</f>
      </c>
      <c r="M201" s="15"/>
      <c r="N201" s="13">
        <v>0</v>
      </c>
      <c r="O201" s="14">
        <f>IFERROR(N201/N327, "NA")</f>
      </c>
    </row>
    <row r="202" ht="16.5" customHeight="1">
      <c t="s" r="A202" s="12">
        <v>205</v>
      </c>
      <c r="B202" s="13">
        <v>0</v>
      </c>
      <c r="C202" s="14">
        <f>IFERROR(B202/B327, "NA")</f>
      </c>
      <c r="D202" s="15"/>
      <c r="E202" s="13">
        <v>0</v>
      </c>
      <c r="F202" s="14">
        <f>IFERROR(E202/E327, "NA")</f>
      </c>
      <c r="G202" s="15"/>
      <c r="H202" s="13">
        <v>0</v>
      </c>
      <c r="I202" s="14">
        <f>IFERROR(H202/H327, "NA")</f>
      </c>
      <c r="J202" s="15"/>
      <c r="K202" s="13">
        <v>0</v>
      </c>
      <c r="L202" s="14">
        <f>IFERROR(K202/K327, "NA")</f>
      </c>
      <c r="M202" s="15"/>
      <c r="N202" s="13">
        <v>0</v>
      </c>
      <c r="O202" s="14">
        <f>IFERROR(N202/N327, "NA")</f>
      </c>
    </row>
    <row r="203" ht="16.5" customHeight="1">
      <c t="s" r="A203" s="12">
        <v>206</v>
      </c>
      <c r="B203" s="13">
        <v>0</v>
      </c>
      <c r="C203" s="14">
        <f>IFERROR(B203/B327, "NA")</f>
      </c>
      <c r="D203" s="15"/>
      <c r="E203" s="13">
        <v>0</v>
      </c>
      <c r="F203" s="14">
        <f>IFERROR(E203/E327, "NA")</f>
      </c>
      <c r="G203" s="15"/>
      <c r="H203" s="13">
        <v>0</v>
      </c>
      <c r="I203" s="14">
        <f>IFERROR(H203/H327, "NA")</f>
      </c>
      <c r="J203" s="15"/>
      <c r="K203" s="13">
        <v>0</v>
      </c>
      <c r="L203" s="14">
        <f>IFERROR(K203/K327, "NA")</f>
      </c>
      <c r="M203" s="15"/>
      <c r="N203" s="13">
        <v>0</v>
      </c>
      <c r="O203" s="14">
        <f>IFERROR(N203/N327, "NA")</f>
      </c>
    </row>
    <row r="204" ht="16.5" customHeight="1">
      <c t="s" r="A204" s="12">
        <v>207</v>
      </c>
      <c r="B204" s="13">
        <v>0</v>
      </c>
      <c r="C204" s="14">
        <f>IFERROR(B204/B327, "NA")</f>
      </c>
      <c r="D204" s="15"/>
      <c r="E204" s="13">
        <v>0</v>
      </c>
      <c r="F204" s="14">
        <f>IFERROR(E204/E327, "NA")</f>
      </c>
      <c r="G204" s="15"/>
      <c r="H204" s="13">
        <v>0</v>
      </c>
      <c r="I204" s="14">
        <f>IFERROR(H204/H327, "NA")</f>
      </c>
      <c r="J204" s="15"/>
      <c r="K204" s="13">
        <v>0</v>
      </c>
      <c r="L204" s="14">
        <f>IFERROR(K204/K327, "NA")</f>
      </c>
      <c r="M204" s="15"/>
      <c r="N204" s="13">
        <v>0</v>
      </c>
      <c r="O204" s="14">
        <f>IFERROR(N204/N327, "NA")</f>
      </c>
    </row>
    <row r="205" ht="16.5" customHeight="1">
      <c t="s" r="A205" s="12">
        <v>208</v>
      </c>
      <c r="B205" s="13">
        <v>0</v>
      </c>
      <c r="C205" s="14">
        <f>IFERROR(B205/B327, "NA")</f>
      </c>
      <c r="D205" s="15"/>
      <c r="E205" s="13">
        <v>0</v>
      </c>
      <c r="F205" s="14">
        <f>IFERROR(E205/E327, "NA")</f>
      </c>
      <c r="G205" s="15"/>
      <c r="H205" s="13">
        <v>0</v>
      </c>
      <c r="I205" s="14">
        <f>IFERROR(H205/H327, "NA")</f>
      </c>
      <c r="J205" s="15"/>
      <c r="K205" s="13">
        <v>0</v>
      </c>
      <c r="L205" s="14">
        <f>IFERROR(K205/K327, "NA")</f>
      </c>
      <c r="M205" s="15"/>
      <c r="N205" s="13">
        <v>0</v>
      </c>
      <c r="O205" s="14">
        <f>IFERROR(N205/N327, "NA")</f>
      </c>
    </row>
    <row r="206" ht="16.5" customHeight="1">
      <c t="s" r="A206" s="12">
        <v>209</v>
      </c>
      <c r="B206" s="13">
        <v>0</v>
      </c>
      <c r="C206" s="14">
        <f>IFERROR(B206/B327, "NA")</f>
      </c>
      <c r="D206" s="15"/>
      <c r="E206" s="13">
        <v>0</v>
      </c>
      <c r="F206" s="14">
        <f>IFERROR(E206/E327, "NA")</f>
      </c>
      <c r="G206" s="15"/>
      <c r="H206" s="13">
        <v>0</v>
      </c>
      <c r="I206" s="14">
        <f>IFERROR(H206/H327, "NA")</f>
      </c>
      <c r="J206" s="15"/>
      <c r="K206" s="13">
        <v>0</v>
      </c>
      <c r="L206" s="14">
        <f>IFERROR(K206/K327, "NA")</f>
      </c>
      <c r="M206" s="15"/>
      <c r="N206" s="13">
        <v>0</v>
      </c>
      <c r="O206" s="14">
        <f>IFERROR(N206/N327, "NA")</f>
      </c>
    </row>
    <row r="207" ht="16.5" customHeight="1">
      <c t="s" r="A207" s="12">
        <v>210</v>
      </c>
      <c r="B207" s="13">
        <v>0</v>
      </c>
      <c r="C207" s="14">
        <f>IFERROR(B207/B327, "NA")</f>
      </c>
      <c r="D207" s="15"/>
      <c r="E207" s="13">
        <v>0</v>
      </c>
      <c r="F207" s="14">
        <f>IFERROR(E207/E327, "NA")</f>
      </c>
      <c r="G207" s="15"/>
      <c r="H207" s="13">
        <v>0</v>
      </c>
      <c r="I207" s="14">
        <f>IFERROR(H207/H327, "NA")</f>
      </c>
      <c r="J207" s="15"/>
      <c r="K207" s="13">
        <v>0</v>
      </c>
      <c r="L207" s="14">
        <f>IFERROR(K207/K327, "NA")</f>
      </c>
      <c r="M207" s="15"/>
      <c r="N207" s="13">
        <v>0</v>
      </c>
      <c r="O207" s="14">
        <f>IFERROR(N207/N327, "NA")</f>
      </c>
    </row>
    <row r="208" ht="16.5" customHeight="1">
      <c t="s" r="A208" s="12">
        <v>211</v>
      </c>
      <c r="B208" s="13">
        <v>0</v>
      </c>
      <c r="C208" s="14">
        <f>IFERROR(B208/B327, "NA")</f>
      </c>
      <c r="D208" s="15"/>
      <c r="E208" s="13">
        <v>0</v>
      </c>
      <c r="F208" s="14">
        <f>IFERROR(E208/E327, "NA")</f>
      </c>
      <c r="G208" s="15"/>
      <c r="H208" s="13">
        <v>0</v>
      </c>
      <c r="I208" s="14">
        <f>IFERROR(H208/H327, "NA")</f>
      </c>
      <c r="J208" s="15"/>
      <c r="K208" s="13">
        <v>0</v>
      </c>
      <c r="L208" s="14">
        <f>IFERROR(K208/K327, "NA")</f>
      </c>
      <c r="M208" s="15"/>
      <c r="N208" s="13">
        <v>0</v>
      </c>
      <c r="O208" s="14">
        <f>IFERROR(N208/N327, "NA")</f>
      </c>
    </row>
    <row r="209" ht="16.5" customHeight="1">
      <c t="s" r="A209" s="16">
        <v>212</v>
      </c>
      <c r="B209" s="17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</c>
      <c r="C209" s="18">
        <f>IFERROR(B209/B327, "NA")</f>
      </c>
      <c r="D209" s="8"/>
      <c r="E209" s="17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</c>
      <c r="F209" s="18">
        <f>IFERROR(E209/E327, "NA")</f>
      </c>
      <c r="G209" s="8"/>
      <c r="H209" s="17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</c>
      <c r="I209" s="18">
        <f>IFERROR(H209/H327, "NA")</f>
      </c>
      <c r="J209" s="8"/>
      <c r="K209" s="17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</c>
      <c r="L209" s="18">
        <f>IFERROR(K209/K327, "NA")</f>
      </c>
      <c r="M209" s="8"/>
      <c r="N209" s="17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</c>
      <c r="O209" s="18">
        <f>IFERROR(N209/N327, "NA")</f>
      </c>
    </row>
    <row r="210" ht="16.5" customHeight="1">
      <c t="s" r="A210" s="19">
        <v>213</v>
      </c>
      <c r="B210" s="13">
        <v>0</v>
      </c>
      <c r="C210" s="14">
        <f>IFERROR(B210/B327, "NA")</f>
      </c>
      <c r="D210" s="15"/>
      <c r="E210" s="13">
        <v>0</v>
      </c>
      <c r="F210" s="14">
        <f>IFERROR(E210/E327, "NA")</f>
      </c>
      <c r="G210" s="15"/>
      <c r="H210" s="13">
        <v>0</v>
      </c>
      <c r="I210" s="14">
        <f>IFERROR(H210/H327, "NA")</f>
      </c>
      <c r="J210" s="15"/>
      <c r="K210" s="13">
        <v>0</v>
      </c>
      <c r="L210" s="14">
        <f>IFERROR(K210/K327, "NA")</f>
      </c>
      <c r="M210" s="15"/>
      <c r="N210" s="13">
        <v>0</v>
      </c>
      <c r="O210" s="14">
        <f>IFERROR(N210/N327, "NA")</f>
      </c>
    </row>
    <row r="211" ht="16.5" customHeight="1">
      <c t="s" r="A211" s="20">
        <v>214</v>
      </c>
      <c r="B211" s="17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</c>
      <c r="C211" s="18">
        <f>IFERROR(B211/B327, "NA")</f>
      </c>
      <c r="D211" s="8"/>
      <c r="E211" s="17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</c>
      <c r="F211" s="18">
        <f>IFERROR(E211/E327, "NA")</f>
      </c>
      <c r="G211" s="8"/>
      <c r="H211" s="17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</c>
      <c r="I211" s="18">
        <f>IFERROR(H211/H327, "NA")</f>
      </c>
      <c r="J211" s="8"/>
      <c r="K211" s="17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</c>
      <c r="L211" s="18">
        <f>IFERROR(K211/K327, "NA")</f>
      </c>
      <c r="M211" s="8"/>
      <c r="N211" s="17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</c>
      <c r="O211" s="18">
        <f>IFERROR(N211/N327, "NA")</f>
      </c>
    </row>
    <row r="212" ht="16.5" customHeight="1">
      <c t="s" r="A212" s="7">
        <v>215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</row>
    <row r="213" ht="16.5" customHeight="1">
      <c t="s" r="A213" s="11">
        <v>216</v>
      </c>
      <c r="B213" s="8"/>
      <c r="C213" s="9"/>
      <c r="D213" s="10"/>
      <c r="E213" s="8"/>
      <c r="F213" s="9"/>
      <c r="G213" s="10"/>
      <c r="H213" s="8"/>
      <c r="I213" s="9"/>
      <c r="J213" s="10"/>
      <c r="K213" s="8"/>
      <c r="L213" s="9"/>
      <c r="M213" s="10"/>
      <c r="N213" s="8"/>
      <c r="O213" s="9"/>
    </row>
    <row r="214" ht="16.5" customHeight="1">
      <c t="s" r="A214" s="12">
        <v>217</v>
      </c>
      <c r="B214" s="13">
        <v>0</v>
      </c>
      <c r="C214" s="14">
        <f>IFERROR(B214/B327, "NA")</f>
      </c>
      <c r="D214" s="15"/>
      <c r="E214" s="13">
        <v>0</v>
      </c>
      <c r="F214" s="14">
        <f>IFERROR(E214/E327, "NA")</f>
      </c>
      <c r="G214" s="15"/>
      <c r="H214" s="13">
        <v>0</v>
      </c>
      <c r="I214" s="14">
        <f>IFERROR(H214/H327, "NA")</f>
      </c>
      <c r="J214" s="15"/>
      <c r="K214" s="13">
        <v>0</v>
      </c>
      <c r="L214" s="14">
        <f>IFERROR(K214/K327, "NA")</f>
      </c>
      <c r="M214" s="15"/>
      <c r="N214" s="13">
        <v>0</v>
      </c>
      <c r="O214" s="14">
        <f>IFERROR(N214/N327, "NA")</f>
      </c>
    </row>
    <row r="215" ht="16.5" customHeight="1">
      <c t="s" r="A215" s="12">
        <v>218</v>
      </c>
      <c r="B215" s="13">
        <v>944.58000000000004</v>
      </c>
      <c r="C215" s="14">
        <f>IFERROR(B215/B327, "NA")</f>
      </c>
      <c r="D215" s="15"/>
      <c r="E215" s="13">
        <v>7076.1300000000001</v>
      </c>
      <c r="F215" s="14">
        <f>IFERROR(E215/E327, "NA")</f>
      </c>
      <c r="G215" s="15"/>
      <c r="H215" s="13">
        <v>8679.5400000000009</v>
      </c>
      <c r="I215" s="14">
        <f>IFERROR(H215/H327, "NA")</f>
      </c>
      <c r="J215" s="15"/>
      <c r="K215" s="13">
        <v>8771.0200000000004</v>
      </c>
      <c r="L215" s="14">
        <f>IFERROR(K215/K327, "NA")</f>
      </c>
      <c r="M215" s="15"/>
      <c r="N215" s="13">
        <v>8417.1200000000008</v>
      </c>
      <c r="O215" s="14">
        <f>IFERROR(N215/N327, "NA")</f>
      </c>
    </row>
    <row r="216" ht="16.5" customHeight="1">
      <c t="s" r="A216" s="12">
        <v>219</v>
      </c>
      <c r="B216" s="13">
        <v>0</v>
      </c>
      <c r="C216" s="14">
        <f>IFERROR(B216/B327, "NA")</f>
      </c>
      <c r="D216" s="15"/>
      <c r="E216" s="13">
        <v>31</v>
      </c>
      <c r="F216" s="14">
        <f>IFERROR(E216/E327, "NA")</f>
      </c>
      <c r="G216" s="15"/>
      <c r="H216" s="13">
        <v>61.75</v>
      </c>
      <c r="I216" s="14">
        <f>IFERROR(H216/H327, "NA")</f>
      </c>
      <c r="J216" s="15"/>
      <c r="K216" s="13">
        <v>0</v>
      </c>
      <c r="L216" s="14">
        <f>IFERROR(K216/K327, "NA")</f>
      </c>
      <c r="M216" s="15"/>
      <c r="N216" s="13">
        <v>99.599999999999994</v>
      </c>
      <c r="O216" s="14">
        <f>IFERROR(N216/N327, "NA")</f>
      </c>
    </row>
    <row r="217" ht="16.5" customHeight="1">
      <c t="s" r="A217" s="12">
        <v>220</v>
      </c>
      <c r="B217" s="13">
        <v>2557</v>
      </c>
      <c r="C217" s="14">
        <f>IFERROR(B217/B327, "NA")</f>
      </c>
      <c r="D217" s="15"/>
      <c r="E217" s="13">
        <v>2567.4899999999998</v>
      </c>
      <c r="F217" s="14">
        <f>IFERROR(E217/E327, "NA")</f>
      </c>
      <c r="G217" s="15"/>
      <c r="H217" s="13">
        <v>2123.3699999999999</v>
      </c>
      <c r="I217" s="14">
        <f>IFERROR(H217/H327, "NA")</f>
      </c>
      <c r="J217" s="15"/>
      <c r="K217" s="13">
        <v>4714.9399999999996</v>
      </c>
      <c r="L217" s="14">
        <f>IFERROR(K217/K327, "NA")</f>
      </c>
      <c r="M217" s="15"/>
      <c r="N217" s="13">
        <v>935</v>
      </c>
      <c r="O217" s="14">
        <f>IFERROR(N217/N327, "NA")</f>
      </c>
    </row>
    <row r="218" ht="16.5" customHeight="1">
      <c t="s" r="A218" s="12">
        <v>221</v>
      </c>
      <c r="B218" s="13">
        <v>0</v>
      </c>
      <c r="C218" s="14">
        <f>IFERROR(B218/B327, "NA")</f>
      </c>
      <c r="D218" s="15"/>
      <c r="E218" s="13">
        <v>0</v>
      </c>
      <c r="F218" s="14">
        <f>IFERROR(E218/E327, "NA")</f>
      </c>
      <c r="G218" s="15"/>
      <c r="H218" s="13">
        <v>0</v>
      </c>
      <c r="I218" s="14">
        <f>IFERROR(H218/H327, "NA")</f>
      </c>
      <c r="J218" s="15"/>
      <c r="K218" s="13">
        <v>466.25</v>
      </c>
      <c r="L218" s="14">
        <f>IFERROR(K218/K327, "NA")</f>
      </c>
      <c r="M218" s="15"/>
      <c r="N218" s="13">
        <v>0</v>
      </c>
      <c r="O218" s="14">
        <f>IFERROR(N218/N327, "NA")</f>
      </c>
    </row>
    <row r="219" ht="16.5" customHeight="1">
      <c t="s" r="A219" s="12">
        <v>222</v>
      </c>
      <c r="B219" s="13">
        <v>664.75999999999999</v>
      </c>
      <c r="C219" s="14">
        <f>IFERROR(B219/B327, "NA")</f>
      </c>
      <c r="D219" s="15"/>
      <c r="E219" s="13">
        <v>1423.3399999999999</v>
      </c>
      <c r="F219" s="14">
        <f>IFERROR(E219/E327, "NA")</f>
      </c>
      <c r="G219" s="15"/>
      <c r="H219" s="13">
        <v>0</v>
      </c>
      <c r="I219" s="14">
        <f>IFERROR(H219/H327, "NA")</f>
      </c>
      <c r="J219" s="15"/>
      <c r="K219" s="13">
        <v>2139.8200000000002</v>
      </c>
      <c r="L219" s="14">
        <f>IFERROR(K219/K327, "NA")</f>
      </c>
      <c r="M219" s="15"/>
      <c r="N219" s="13">
        <v>0</v>
      </c>
      <c r="O219" s="14">
        <f>IFERROR(N219/N327, "NA")</f>
      </c>
    </row>
    <row r="220" ht="16.5" customHeight="1">
      <c t="s" r="A220" s="12">
        <v>223</v>
      </c>
      <c r="B220" s="13">
        <v>0</v>
      </c>
      <c r="C220" s="14">
        <f>IFERROR(B220/B327, "NA")</f>
      </c>
      <c r="D220" s="15"/>
      <c r="E220" s="13">
        <v>10</v>
      </c>
      <c r="F220" s="14">
        <f>IFERROR(E220/E327, "NA")</f>
      </c>
      <c r="G220" s="15"/>
      <c r="H220" s="13">
        <v>0</v>
      </c>
      <c r="I220" s="14">
        <f>IFERROR(H220/H327, "NA")</f>
      </c>
      <c r="J220" s="15"/>
      <c r="K220" s="13">
        <v>8.9499999999999993</v>
      </c>
      <c r="L220" s="14">
        <f>IFERROR(K220/K327, "NA")</f>
      </c>
      <c r="M220" s="15"/>
      <c r="N220" s="13">
        <v>473.60000000000002</v>
      </c>
      <c r="O220" s="14">
        <f>IFERROR(N220/N327, "NA")</f>
      </c>
    </row>
    <row r="221" ht="16.5" customHeight="1">
      <c t="s" r="A221" s="12">
        <v>224</v>
      </c>
      <c r="B221" s="13">
        <v>0</v>
      </c>
      <c r="C221" s="14">
        <f>IFERROR(B221/B327, "NA")</f>
      </c>
      <c r="D221" s="15"/>
      <c r="E221" s="13">
        <v>425.08999999999997</v>
      </c>
      <c r="F221" s="14">
        <f>IFERROR(E221/E327, "NA")</f>
      </c>
      <c r="G221" s="15"/>
      <c r="H221" s="13">
        <v>0</v>
      </c>
      <c r="I221" s="14">
        <f>IFERROR(H221/H327, "NA")</f>
      </c>
      <c r="J221" s="15"/>
      <c r="K221" s="13">
        <v>0</v>
      </c>
      <c r="L221" s="14">
        <f>IFERROR(K221/K327, "NA")</f>
      </c>
      <c r="M221" s="15"/>
      <c r="N221" s="13">
        <v>0</v>
      </c>
      <c r="O221" s="14">
        <f>IFERROR(N221/N327, "NA")</f>
      </c>
    </row>
    <row r="222" ht="16.5" customHeight="1">
      <c t="s" r="A222" s="12">
        <v>225</v>
      </c>
      <c r="B222" s="13">
        <v>56.25</v>
      </c>
      <c r="C222" s="14">
        <f>IFERROR(B222/B327, "NA")</f>
      </c>
      <c r="D222" s="15"/>
      <c r="E222" s="13">
        <v>0</v>
      </c>
      <c r="F222" s="14">
        <f>IFERROR(E222/E327, "NA")</f>
      </c>
      <c r="G222" s="15"/>
      <c r="H222" s="13">
        <v>46.210000000000001</v>
      </c>
      <c r="I222" s="14">
        <f>IFERROR(H222/H327, "NA")</f>
      </c>
      <c r="J222" s="15"/>
      <c r="K222" s="13">
        <v>0</v>
      </c>
      <c r="L222" s="14">
        <f>IFERROR(K222/K327, "NA")</f>
      </c>
      <c r="M222" s="15"/>
      <c r="N222" s="13">
        <v>0</v>
      </c>
      <c r="O222" s="14">
        <f>IFERROR(N222/N327, "NA")</f>
      </c>
    </row>
    <row r="223" ht="16.5" customHeight="1">
      <c t="s" r="A223" s="12">
        <v>226</v>
      </c>
      <c r="B223" s="13">
        <v>0</v>
      </c>
      <c r="C223" s="14">
        <f>IFERROR(B223/B327, "NA")</f>
      </c>
      <c r="D223" s="15"/>
      <c r="E223" s="13">
        <v>0</v>
      </c>
      <c r="F223" s="14">
        <f>IFERROR(E223/E327, "NA")</f>
      </c>
      <c r="G223" s="15"/>
      <c r="H223" s="13">
        <v>0</v>
      </c>
      <c r="I223" s="14">
        <f>IFERROR(H223/H327, "NA")</f>
      </c>
      <c r="J223" s="15"/>
      <c r="K223" s="13">
        <v>0</v>
      </c>
      <c r="L223" s="14">
        <f>IFERROR(K223/K327, "NA")</f>
      </c>
      <c r="M223" s="15"/>
      <c r="N223" s="13">
        <v>0</v>
      </c>
      <c r="O223" s="14">
        <f>IFERROR(N223/N327, "NA")</f>
      </c>
    </row>
    <row r="224" ht="16.5" customHeight="1">
      <c t="s" r="A224" s="12">
        <v>227</v>
      </c>
      <c r="B224" s="13">
        <v>0</v>
      </c>
      <c r="C224" s="14">
        <f>IFERROR(B224/B327, "NA")</f>
      </c>
      <c r="D224" s="15"/>
      <c r="E224" s="13">
        <v>0</v>
      </c>
      <c r="F224" s="14">
        <f>IFERROR(E224/E327, "NA")</f>
      </c>
      <c r="G224" s="15"/>
      <c r="H224" s="13">
        <v>0</v>
      </c>
      <c r="I224" s="14">
        <f>IFERROR(H224/H327, "NA")</f>
      </c>
      <c r="J224" s="15"/>
      <c r="K224" s="13">
        <v>64.069999999999993</v>
      </c>
      <c r="L224" s="14">
        <f>IFERROR(K224/K327, "NA")</f>
      </c>
      <c r="M224" s="15"/>
      <c r="N224" s="13">
        <v>0</v>
      </c>
      <c r="O224" s="14">
        <f>IFERROR(N224/N327, "NA")</f>
      </c>
    </row>
    <row r="225" ht="16.5" customHeight="1">
      <c t="s" r="A225" s="12">
        <v>228</v>
      </c>
      <c r="B225" s="13">
        <v>937</v>
      </c>
      <c r="C225" s="14">
        <f>IFERROR(B225/B327, "NA")</f>
      </c>
      <c r="D225" s="15"/>
      <c r="E225" s="13">
        <v>0</v>
      </c>
      <c r="F225" s="14">
        <f>IFERROR(E225/E327, "NA")</f>
      </c>
      <c r="G225" s="15"/>
      <c r="H225" s="13">
        <v>0</v>
      </c>
      <c r="I225" s="14">
        <f>IFERROR(H225/H327, "NA")</f>
      </c>
      <c r="J225" s="15"/>
      <c r="K225" s="13">
        <v>0</v>
      </c>
      <c r="L225" s="14">
        <f>IFERROR(K225/K327, "NA")</f>
      </c>
      <c r="M225" s="15"/>
      <c r="N225" s="13">
        <v>0</v>
      </c>
      <c r="O225" s="14">
        <f>IFERROR(N225/N327, "NA")</f>
      </c>
    </row>
    <row r="226" ht="16.5" customHeight="1">
      <c t="s" r="A226" s="12">
        <v>229</v>
      </c>
      <c r="B226" s="13">
        <v>-1.8600000000000001</v>
      </c>
      <c r="C226" s="14">
        <f>IFERROR(B226/B327, "NA")</f>
      </c>
      <c r="D226" s="15"/>
      <c r="E226" s="13">
        <v>-3.0099999999999998</v>
      </c>
      <c r="F226" s="14">
        <f>IFERROR(E226/E327, "NA")</f>
      </c>
      <c r="G226" s="15"/>
      <c r="H226" s="13">
        <v>-8.25</v>
      </c>
      <c r="I226" s="14">
        <f>IFERROR(H226/H327, "NA")</f>
      </c>
      <c r="J226" s="15"/>
      <c r="K226" s="13">
        <v>491.14999999999998</v>
      </c>
      <c r="L226" s="14">
        <f>IFERROR(K226/K327, "NA")</f>
      </c>
      <c r="M226" s="15"/>
      <c r="N226" s="13">
        <v>-503.13</v>
      </c>
      <c r="O226" s="14">
        <f>IFERROR(N226/N327, "NA")</f>
      </c>
    </row>
    <row r="227" ht="16.5" customHeight="1">
      <c t="s" r="A227" s="12">
        <v>230</v>
      </c>
      <c r="B227" s="13">
        <v>0</v>
      </c>
      <c r="C227" s="14">
        <f>IFERROR(B227/B327, "NA")</f>
      </c>
      <c r="D227" s="15"/>
      <c r="E227" s="13">
        <v>0</v>
      </c>
      <c r="F227" s="14">
        <f>IFERROR(E227/E327, "NA")</f>
      </c>
      <c r="G227" s="15"/>
      <c r="H227" s="13">
        <v>0</v>
      </c>
      <c r="I227" s="14">
        <f>IFERROR(H227/H327, "NA")</f>
      </c>
      <c r="J227" s="15"/>
      <c r="K227" s="13">
        <v>0</v>
      </c>
      <c r="L227" s="14">
        <f>IFERROR(K227/K327, "NA")</f>
      </c>
      <c r="M227" s="15"/>
      <c r="N227" s="13">
        <v>0</v>
      </c>
      <c r="O227" s="14">
        <f>IFERROR(N227/N327, "NA")</f>
      </c>
    </row>
    <row r="228" ht="16.5" customHeight="1">
      <c t="s" r="A228" s="12">
        <v>231</v>
      </c>
      <c r="B228" s="13">
        <v>0</v>
      </c>
      <c r="C228" s="14">
        <f>IFERROR(B228/B327, "NA")</f>
      </c>
      <c r="D228" s="15"/>
      <c r="E228" s="13">
        <v>574.13</v>
      </c>
      <c r="F228" s="14">
        <f>IFERROR(E228/E327, "NA")</f>
      </c>
      <c r="G228" s="15"/>
      <c r="H228" s="13">
        <v>0</v>
      </c>
      <c r="I228" s="14">
        <f>IFERROR(H228/H327, "NA")</f>
      </c>
      <c r="J228" s="15"/>
      <c r="K228" s="13">
        <v>362.13</v>
      </c>
      <c r="L228" s="14">
        <f>IFERROR(K228/K327, "NA")</f>
      </c>
      <c r="M228" s="15"/>
      <c r="N228" s="13">
        <v>0</v>
      </c>
      <c r="O228" s="14">
        <f>IFERROR(N228/N327, "NA")</f>
      </c>
    </row>
    <row r="229" ht="16.5" customHeight="1">
      <c t="s" r="A229" s="12">
        <v>232</v>
      </c>
      <c r="B229" s="13">
        <v>0</v>
      </c>
      <c r="C229" s="14">
        <f>IFERROR(B229/B327, "NA")</f>
      </c>
      <c r="D229" s="15"/>
      <c r="E229" s="13">
        <v>0</v>
      </c>
      <c r="F229" s="14">
        <f>IFERROR(E229/E327, "NA")</f>
      </c>
      <c r="G229" s="15"/>
      <c r="H229" s="13">
        <v>0</v>
      </c>
      <c r="I229" s="14">
        <f>IFERROR(H229/H327, "NA")</f>
      </c>
      <c r="J229" s="15"/>
      <c r="K229" s="13">
        <v>0</v>
      </c>
      <c r="L229" s="14">
        <f>IFERROR(K229/K327, "NA")</f>
      </c>
      <c r="M229" s="15"/>
      <c r="N229" s="13">
        <v>0</v>
      </c>
      <c r="O229" s="14">
        <f>IFERROR(N229/N327, "NA")</f>
      </c>
    </row>
    <row r="230" ht="16.5" customHeight="1">
      <c t="s" r="A230" s="12">
        <v>233</v>
      </c>
      <c r="B230" s="13">
        <v>1200</v>
      </c>
      <c r="C230" s="14">
        <f>IFERROR(B230/B327, "NA")</f>
      </c>
      <c r="D230" s="15"/>
      <c r="E230" s="13">
        <v>0</v>
      </c>
      <c r="F230" s="14">
        <f>IFERROR(E230/E327, "NA")</f>
      </c>
      <c r="G230" s="15"/>
      <c r="H230" s="13">
        <v>0</v>
      </c>
      <c r="I230" s="14">
        <f>IFERROR(H230/H327, "NA")</f>
      </c>
      <c r="J230" s="15"/>
      <c r="K230" s="13">
        <v>1500</v>
      </c>
      <c r="L230" s="14">
        <f>IFERROR(K230/K327, "NA")</f>
      </c>
      <c r="M230" s="15"/>
      <c r="N230" s="13">
        <v>0</v>
      </c>
      <c r="O230" s="14">
        <f>IFERROR(N230/N327, "NA")</f>
      </c>
    </row>
    <row r="231" ht="16.5" customHeight="1">
      <c t="s" r="A231" s="12">
        <v>234</v>
      </c>
      <c r="B231" s="13">
        <v>0</v>
      </c>
      <c r="C231" s="14">
        <f>IFERROR(B231/B327, "NA")</f>
      </c>
      <c r="D231" s="15"/>
      <c r="E231" s="13">
        <v>0</v>
      </c>
      <c r="F231" s="14">
        <f>IFERROR(E231/E327, "NA")</f>
      </c>
      <c r="G231" s="15"/>
      <c r="H231" s="13">
        <v>0</v>
      </c>
      <c r="I231" s="14">
        <f>IFERROR(H231/H327, "NA")</f>
      </c>
      <c r="J231" s="15"/>
      <c r="K231" s="13">
        <v>0</v>
      </c>
      <c r="L231" s="14">
        <f>IFERROR(K231/K327, "NA")</f>
      </c>
      <c r="M231" s="15"/>
      <c r="N231" s="13">
        <v>0</v>
      </c>
      <c r="O231" s="14">
        <f>IFERROR(N231/N327, "NA")</f>
      </c>
    </row>
    <row r="232" ht="16.5" customHeight="1">
      <c t="s" r="A232" s="12">
        <v>235</v>
      </c>
      <c r="B232" s="13">
        <v>0</v>
      </c>
      <c r="C232" s="14">
        <f>IFERROR(B232/B327, "NA")</f>
      </c>
      <c r="D232" s="15"/>
      <c r="E232" s="13">
        <v>0</v>
      </c>
      <c r="F232" s="14">
        <f>IFERROR(E232/E327, "NA")</f>
      </c>
      <c r="G232" s="15"/>
      <c r="H232" s="13">
        <v>0</v>
      </c>
      <c r="I232" s="14">
        <f>IFERROR(H232/H327, "NA")</f>
      </c>
      <c r="J232" s="15"/>
      <c r="K232" s="13">
        <v>0</v>
      </c>
      <c r="L232" s="14">
        <f>IFERROR(K232/K327, "NA")</f>
      </c>
      <c r="M232" s="15"/>
      <c r="N232" s="13">
        <v>0</v>
      </c>
      <c r="O232" s="14">
        <f>IFERROR(N232/N327, "NA")</f>
      </c>
    </row>
    <row r="233" ht="16.5" customHeight="1">
      <c t="s" r="A233" s="12">
        <v>236</v>
      </c>
      <c r="B233" s="13">
        <v>0</v>
      </c>
      <c r="C233" s="14">
        <f>IFERROR(B233/B327, "NA")</f>
      </c>
      <c r="D233" s="15"/>
      <c r="E233" s="13">
        <v>0</v>
      </c>
      <c r="F233" s="14">
        <f>IFERROR(E233/E327, "NA")</f>
      </c>
      <c r="G233" s="15"/>
      <c r="H233" s="13">
        <v>0</v>
      </c>
      <c r="I233" s="14">
        <f>IFERROR(H233/H327, "NA")</f>
      </c>
      <c r="J233" s="15"/>
      <c r="K233" s="13">
        <v>0</v>
      </c>
      <c r="L233" s="14">
        <f>IFERROR(K233/K327, "NA")</f>
      </c>
      <c r="M233" s="15"/>
      <c r="N233" s="13">
        <v>0</v>
      </c>
      <c r="O233" s="14">
        <f>IFERROR(N233/N327, "NA")</f>
      </c>
    </row>
    <row r="234" ht="16.5" customHeight="1">
      <c t="s" r="A234" s="12">
        <v>237</v>
      </c>
      <c r="B234" s="13">
        <v>135.41</v>
      </c>
      <c r="C234" s="14">
        <f>IFERROR(B234/B327, "NA")</f>
      </c>
      <c r="D234" s="15"/>
      <c r="E234" s="13">
        <v>0</v>
      </c>
      <c r="F234" s="14">
        <f>IFERROR(E234/E327, "NA")</f>
      </c>
      <c r="G234" s="15"/>
      <c r="H234" s="13">
        <v>135.81</v>
      </c>
      <c r="I234" s="14">
        <f>IFERROR(H234/H327, "NA")</f>
      </c>
      <c r="J234" s="15"/>
      <c r="K234" s="13">
        <v>348.75</v>
      </c>
      <c r="L234" s="14">
        <f>IFERROR(K234/K327, "NA")</f>
      </c>
      <c r="M234" s="15"/>
      <c r="N234" s="13">
        <v>0</v>
      </c>
      <c r="O234" s="14">
        <f>IFERROR(N234/N327, "NA")</f>
      </c>
    </row>
    <row r="235" ht="16.5" customHeight="1">
      <c t="s" r="A235" s="12">
        <v>238</v>
      </c>
      <c r="B235" s="13">
        <v>0</v>
      </c>
      <c r="C235" s="14">
        <f>IFERROR(B235/B327, "NA")</f>
      </c>
      <c r="D235" s="15"/>
      <c r="E235" s="13">
        <v>311.49000000000001</v>
      </c>
      <c r="F235" s="14">
        <f>IFERROR(E235/E327, "NA")</f>
      </c>
      <c r="G235" s="15"/>
      <c r="H235" s="13">
        <v>217.28999999999999</v>
      </c>
      <c r="I235" s="14">
        <f>IFERROR(H235/H327, "NA")</f>
      </c>
      <c r="J235" s="15"/>
      <c r="K235" s="13">
        <v>95.459999999999994</v>
      </c>
      <c r="L235" s="14">
        <f>IFERROR(K235/K327, "NA")</f>
      </c>
      <c r="M235" s="15"/>
      <c r="N235" s="13">
        <v>0</v>
      </c>
      <c r="O235" s="14">
        <f>IFERROR(N235/N327, "NA")</f>
      </c>
    </row>
    <row r="236" ht="16.5" customHeight="1">
      <c t="s" r="A236" s="12">
        <v>239</v>
      </c>
      <c r="B236" s="13">
        <v>0</v>
      </c>
      <c r="C236" s="14">
        <f>IFERROR(B236/B327, "NA")</f>
      </c>
      <c r="D236" s="15"/>
      <c r="E236" s="13">
        <v>0</v>
      </c>
      <c r="F236" s="14">
        <f>IFERROR(E236/E327, "NA")</f>
      </c>
      <c r="G236" s="15"/>
      <c r="H236" s="13">
        <v>0</v>
      </c>
      <c r="I236" s="14">
        <f>IFERROR(H236/H327, "NA")</f>
      </c>
      <c r="J236" s="15"/>
      <c r="K236" s="13">
        <v>0</v>
      </c>
      <c r="L236" s="14">
        <f>IFERROR(K236/K327, "NA")</f>
      </c>
      <c r="M236" s="15"/>
      <c r="N236" s="13">
        <v>34603.980000000003</v>
      </c>
      <c r="O236" s="14">
        <f>IFERROR(N236/N327, "NA")</f>
      </c>
    </row>
    <row r="237" ht="16.5" customHeight="1">
      <c t="s" r="A237" s="12">
        <v>240</v>
      </c>
      <c r="B237" s="13">
        <v>3111.1300000000001</v>
      </c>
      <c r="C237" s="14">
        <f>IFERROR(B237/B327, "NA")</f>
      </c>
      <c r="D237" s="15"/>
      <c r="E237" s="13">
        <v>2758.1500000000001</v>
      </c>
      <c r="F237" s="14">
        <f>IFERROR(E237/E327, "NA")</f>
      </c>
      <c r="G237" s="15"/>
      <c r="H237" s="13">
        <v>345.33999999999997</v>
      </c>
      <c r="I237" s="14">
        <f>IFERROR(H237/H327, "NA")</f>
      </c>
      <c r="J237" s="15"/>
      <c r="K237" s="13">
        <v>0</v>
      </c>
      <c r="L237" s="14">
        <f>IFERROR(K237/K327, "NA")</f>
      </c>
      <c r="M237" s="15"/>
      <c r="N237" s="13">
        <v>152.50999999999999</v>
      </c>
      <c r="O237" s="14">
        <f>IFERROR(N237/N327, "NA")</f>
      </c>
    </row>
    <row r="238" ht="16.5" customHeight="1">
      <c t="s" r="A238" s="12">
        <v>241</v>
      </c>
      <c r="B238" s="13">
        <v>3279.4499999999998</v>
      </c>
      <c r="C238" s="14">
        <f>IFERROR(B238/B327, "NA")</f>
      </c>
      <c r="D238" s="15"/>
      <c r="E238" s="13">
        <v>3232.6999999999998</v>
      </c>
      <c r="F238" s="14">
        <f>IFERROR(E238/E327, "NA")</f>
      </c>
      <c r="G238" s="15"/>
      <c r="H238" s="13">
        <v>155.11000000000001</v>
      </c>
      <c r="I238" s="14">
        <f>IFERROR(H238/H327, "NA")</f>
      </c>
      <c r="J238" s="15"/>
      <c r="K238" s="13">
        <v>6056.0699999999997</v>
      </c>
      <c r="L238" s="14">
        <f>IFERROR(K238/K327, "NA")</f>
      </c>
      <c r="M238" s="15"/>
      <c r="N238" s="13">
        <v>20.899999999999999</v>
      </c>
      <c r="O238" s="14">
        <f>IFERROR(N238/N327, "NA")</f>
      </c>
    </row>
    <row r="239" ht="16.5" customHeight="1">
      <c t="s" r="A239" s="12">
        <v>242</v>
      </c>
      <c r="B239" s="13">
        <v>0</v>
      </c>
      <c r="C239" s="14">
        <f>IFERROR(B239/B327, "NA")</f>
      </c>
      <c r="D239" s="15"/>
      <c r="E239" s="13">
        <v>0</v>
      </c>
      <c r="F239" s="14">
        <f>IFERROR(E239/E327, "NA")</f>
      </c>
      <c r="G239" s="15"/>
      <c r="H239" s="13">
        <v>0</v>
      </c>
      <c r="I239" s="14">
        <f>IFERROR(H239/H327, "NA")</f>
      </c>
      <c r="J239" s="15"/>
      <c r="K239" s="13">
        <v>0</v>
      </c>
      <c r="L239" s="14">
        <f>IFERROR(K239/K327, "NA")</f>
      </c>
      <c r="M239" s="15"/>
      <c r="N239" s="13">
        <v>0</v>
      </c>
      <c r="O239" s="14">
        <f>IFERROR(N239/N327, "NA")</f>
      </c>
    </row>
    <row r="240" ht="16.5" customHeight="1">
      <c t="s" r="A240" s="12">
        <v>243</v>
      </c>
      <c r="B240" s="13">
        <v>0</v>
      </c>
      <c r="C240" s="14">
        <f>IFERROR(B240/B327, "NA")</f>
      </c>
      <c r="D240" s="15"/>
      <c r="E240" s="13">
        <v>0</v>
      </c>
      <c r="F240" s="14">
        <f>IFERROR(E240/E327, "NA")</f>
      </c>
      <c r="G240" s="15"/>
      <c r="H240" s="13">
        <v>0</v>
      </c>
      <c r="I240" s="14">
        <f>IFERROR(H240/H327, "NA")</f>
      </c>
      <c r="J240" s="15"/>
      <c r="K240" s="13">
        <v>0</v>
      </c>
      <c r="L240" s="14">
        <f>IFERROR(K240/K327, "NA")</f>
      </c>
      <c r="M240" s="15"/>
      <c r="N240" s="13">
        <v>0</v>
      </c>
      <c r="O240" s="14">
        <f>IFERROR(N240/N327, "NA")</f>
      </c>
    </row>
    <row r="241" ht="16.5" customHeight="1">
      <c t="s" r="A241" s="16">
        <v>244</v>
      </c>
      <c r="B241" s="17">
        <f>IFERROR(B214+B215+B216+B217+B218+B219+B220+B221+B222+B223+B224+B225+B226+B227+B228+B229+B230+B231+B232+B233+B234+B235+B236+B237+B238+B239+B240, "NA")</f>
      </c>
      <c r="C241" s="18">
        <f>IFERROR(B241/B327, "NA")</f>
      </c>
      <c r="D241" s="8"/>
      <c r="E241" s="17">
        <f>IFERROR(E214+E215+E216+E217+E218+E219+E220+E221+E222+E223+E224+E225+E226+E227+E228+E229+E230+E231+E232+E233+E234+E235+E236+E237+E238+E239+E240, "NA")</f>
      </c>
      <c r="F241" s="18">
        <f>IFERROR(E241/E327, "NA")</f>
      </c>
      <c r="G241" s="8"/>
      <c r="H241" s="17">
        <f>IFERROR(H214+H215+H216+H217+H218+H219+H220+H221+H222+H223+H224+H225+H226+H227+H228+H229+H230+H231+H232+H233+H234+H235+H236+H237+H238+H239+H240, "NA")</f>
      </c>
      <c r="I241" s="18">
        <f>IFERROR(H241/H327, "NA")</f>
      </c>
      <c r="J241" s="8"/>
      <c r="K241" s="17">
        <f>IFERROR(K214+K215+K216+K217+K218+K219+K220+K221+K222+K223+K224+K225+K226+K227+K228+K229+K230+K231+K232+K233+K234+K235+K236+K237+K238+K239+K240, "NA")</f>
      </c>
      <c r="L241" s="18">
        <f>IFERROR(K241/K327, "NA")</f>
      </c>
      <c r="M241" s="8"/>
      <c r="N241" s="17">
        <f>IFERROR(N214+N215+N216+N217+N218+N219+N220+N221+N222+N223+N224+N225+N226+N227+N228+N229+N230+N231+N232+N233+N234+N235+N236+N237+N238+N239+N240, "NA")</f>
      </c>
      <c r="O241" s="18">
        <f>IFERROR(N241/N327, "NA")</f>
      </c>
    </row>
    <row r="242" ht="16.5" customHeight="1">
      <c t="s" r="A242" s="11">
        <v>245</v>
      </c>
      <c r="B242" s="8"/>
      <c r="C242" s="9"/>
      <c r="D242" s="10"/>
      <c r="E242" s="8"/>
      <c r="F242" s="9"/>
      <c r="G242" s="10"/>
      <c r="H242" s="8"/>
      <c r="I242" s="9"/>
      <c r="J242" s="10"/>
      <c r="K242" s="8"/>
      <c r="L242" s="9"/>
      <c r="M242" s="10"/>
      <c r="N242" s="8"/>
      <c r="O242" s="9"/>
    </row>
    <row r="243" ht="16.5" customHeight="1">
      <c t="s" r="A243" s="12">
        <v>246</v>
      </c>
      <c r="B243" s="13">
        <v>0</v>
      </c>
      <c r="C243" s="14">
        <f>IFERROR(B243/B327, "NA")</f>
      </c>
      <c r="D243" s="15"/>
      <c r="E243" s="13">
        <v>0</v>
      </c>
      <c r="F243" s="14">
        <f>IFERROR(E243/E327, "NA")</f>
      </c>
      <c r="G243" s="15"/>
      <c r="H243" s="13">
        <v>0</v>
      </c>
      <c r="I243" s="14">
        <f>IFERROR(H243/H327, "NA")</f>
      </c>
      <c r="J243" s="15"/>
      <c r="K243" s="13">
        <v>0</v>
      </c>
      <c r="L243" s="14">
        <f>IFERROR(K243/K327, "NA")</f>
      </c>
      <c r="M243" s="15"/>
      <c r="N243" s="13">
        <v>0</v>
      </c>
      <c r="O243" s="14">
        <f>IFERROR(N243/N327, "NA")</f>
      </c>
    </row>
    <row r="244" ht="16.5" customHeight="1">
      <c t="s" r="A244" s="12">
        <v>247</v>
      </c>
      <c r="B244" s="13">
        <v>0</v>
      </c>
      <c r="C244" s="14">
        <f>IFERROR(B244/B327, "NA")</f>
      </c>
      <c r="D244" s="15"/>
      <c r="E244" s="13">
        <v>0</v>
      </c>
      <c r="F244" s="14">
        <f>IFERROR(E244/E327, "NA")</f>
      </c>
      <c r="G244" s="15"/>
      <c r="H244" s="13">
        <v>0</v>
      </c>
      <c r="I244" s="14">
        <f>IFERROR(H244/H327, "NA")</f>
      </c>
      <c r="J244" s="15"/>
      <c r="K244" s="13">
        <v>100</v>
      </c>
      <c r="L244" s="14">
        <f>IFERROR(K244/K327, "NA")</f>
      </c>
      <c r="M244" s="15"/>
      <c r="N244" s="13">
        <v>0</v>
      </c>
      <c r="O244" s="14">
        <f>IFERROR(N244/N327, "NA")</f>
      </c>
    </row>
    <row r="245" ht="16.5" customHeight="1">
      <c t="s" r="A245" s="12">
        <v>248</v>
      </c>
      <c r="B245" s="13">
        <v>0</v>
      </c>
      <c r="C245" s="14">
        <f>IFERROR(B245/B327, "NA")</f>
      </c>
      <c r="D245" s="15"/>
      <c r="E245" s="13">
        <v>1105.05</v>
      </c>
      <c r="F245" s="14">
        <f>IFERROR(E245/E327, "NA")</f>
      </c>
      <c r="G245" s="15"/>
      <c r="H245" s="13">
        <v>0</v>
      </c>
      <c r="I245" s="14">
        <f>IFERROR(H245/H327, "NA")</f>
      </c>
      <c r="J245" s="15"/>
      <c r="K245" s="13">
        <v>0</v>
      </c>
      <c r="L245" s="14">
        <f>IFERROR(K245/K327, "NA")</f>
      </c>
      <c r="M245" s="15"/>
      <c r="N245" s="13">
        <v>0</v>
      </c>
      <c r="O245" s="14">
        <f>IFERROR(N245/N327, "NA")</f>
      </c>
    </row>
    <row r="246" ht="16.5" customHeight="1">
      <c t="s" r="A246" s="12">
        <v>249</v>
      </c>
      <c r="B246" s="13">
        <v>0</v>
      </c>
      <c r="C246" s="14">
        <f>IFERROR(B246/B327, "NA")</f>
      </c>
      <c r="D246" s="15"/>
      <c r="E246" s="13">
        <v>0</v>
      </c>
      <c r="F246" s="14">
        <f>IFERROR(E246/E327, "NA")</f>
      </c>
      <c r="G246" s="15"/>
      <c r="H246" s="13">
        <v>0</v>
      </c>
      <c r="I246" s="14">
        <f>IFERROR(H246/H327, "NA")</f>
      </c>
      <c r="J246" s="15"/>
      <c r="K246" s="13">
        <v>0</v>
      </c>
      <c r="L246" s="14">
        <f>IFERROR(K246/K327, "NA")</f>
      </c>
      <c r="M246" s="15"/>
      <c r="N246" s="13">
        <v>0</v>
      </c>
      <c r="O246" s="14">
        <f>IFERROR(N246/N327, "NA")</f>
      </c>
    </row>
    <row r="247" ht="16.5" customHeight="1">
      <c t="s" r="A247" s="12">
        <v>250</v>
      </c>
      <c r="B247" s="13">
        <v>0</v>
      </c>
      <c r="C247" s="14">
        <f>IFERROR(B247/B327, "NA")</f>
      </c>
      <c r="D247" s="15"/>
      <c r="E247" s="13">
        <v>0</v>
      </c>
      <c r="F247" s="14">
        <f>IFERROR(E247/E327, "NA")</f>
      </c>
      <c r="G247" s="15"/>
      <c r="H247" s="13">
        <v>0</v>
      </c>
      <c r="I247" s="14">
        <f>IFERROR(H247/H327, "NA")</f>
      </c>
      <c r="J247" s="15"/>
      <c r="K247" s="13">
        <v>0</v>
      </c>
      <c r="L247" s="14">
        <f>IFERROR(K247/K327, "NA")</f>
      </c>
      <c r="M247" s="15"/>
      <c r="N247" s="13">
        <v>12589.82</v>
      </c>
      <c r="O247" s="14">
        <f>IFERROR(N247/N327, "NA")</f>
      </c>
    </row>
    <row r="248" ht="16.5" customHeight="1">
      <c t="s" r="A248" s="12">
        <v>251</v>
      </c>
      <c r="B248" s="13">
        <v>0</v>
      </c>
      <c r="C248" s="14">
        <f>IFERROR(B248/B327, "NA")</f>
      </c>
      <c r="D248" s="15"/>
      <c r="E248" s="13">
        <v>0</v>
      </c>
      <c r="F248" s="14">
        <f>IFERROR(E248/E327, "NA")</f>
      </c>
      <c r="G248" s="15"/>
      <c r="H248" s="13">
        <v>949.39999999999998</v>
      </c>
      <c r="I248" s="14">
        <f>IFERROR(H248/H327, "NA")</f>
      </c>
      <c r="J248" s="15"/>
      <c r="K248" s="13">
        <v>1698.5799999999999</v>
      </c>
      <c r="L248" s="14">
        <f>IFERROR(K248/K327, "NA")</f>
      </c>
      <c r="M248" s="15"/>
      <c r="N248" s="13">
        <v>0</v>
      </c>
      <c r="O248" s="14">
        <f>IFERROR(N248/N327, "NA")</f>
      </c>
    </row>
    <row r="249" ht="16.5" customHeight="1">
      <c t="s" r="A249" s="12">
        <v>252</v>
      </c>
      <c r="B249" s="13">
        <v>0</v>
      </c>
      <c r="C249" s="14">
        <f>IFERROR(B249/B327, "NA")</f>
      </c>
      <c r="D249" s="15"/>
      <c r="E249" s="13">
        <v>0</v>
      </c>
      <c r="F249" s="14">
        <f>IFERROR(E249/E327, "NA")</f>
      </c>
      <c r="G249" s="15"/>
      <c r="H249" s="13">
        <v>0</v>
      </c>
      <c r="I249" s="14">
        <f>IFERROR(H249/H327, "NA")</f>
      </c>
      <c r="J249" s="15"/>
      <c r="K249" s="13">
        <v>0</v>
      </c>
      <c r="L249" s="14">
        <f>IFERROR(K249/K327, "NA")</f>
      </c>
      <c r="M249" s="15"/>
      <c r="N249" s="13">
        <v>0</v>
      </c>
      <c r="O249" s="14">
        <f>IFERROR(N249/N327, "NA")</f>
      </c>
    </row>
    <row r="250" ht="16.5" customHeight="1">
      <c t="s" r="A250" s="12">
        <v>253</v>
      </c>
      <c r="B250" s="13">
        <v>4036.3499999999999</v>
      </c>
      <c r="C250" s="14">
        <f>IFERROR(B250/B327, "NA")</f>
      </c>
      <c r="D250" s="15"/>
      <c r="E250" s="13">
        <v>0</v>
      </c>
      <c r="F250" s="14">
        <f>IFERROR(E250/E327, "NA")</f>
      </c>
      <c r="G250" s="15"/>
      <c r="H250" s="13">
        <v>0</v>
      </c>
      <c r="I250" s="14">
        <f>IFERROR(H250/H327, "NA")</f>
      </c>
      <c r="J250" s="15"/>
      <c r="K250" s="13">
        <v>0</v>
      </c>
      <c r="L250" s="14">
        <f>IFERROR(K250/K327, "NA")</f>
      </c>
      <c r="M250" s="15"/>
      <c r="N250" s="13">
        <v>0</v>
      </c>
      <c r="O250" s="14">
        <f>IFERROR(N250/N327, "NA")</f>
      </c>
    </row>
    <row r="251" ht="16.5" customHeight="1">
      <c t="s" r="A251" s="12">
        <v>254</v>
      </c>
      <c r="B251" s="13">
        <v>0</v>
      </c>
      <c r="C251" s="14">
        <f>IFERROR(B251/B327, "NA")</f>
      </c>
      <c r="D251" s="15"/>
      <c r="E251" s="13">
        <v>0</v>
      </c>
      <c r="F251" s="14">
        <f>IFERROR(E251/E327, "NA")</f>
      </c>
      <c r="G251" s="15"/>
      <c r="H251" s="13">
        <v>0</v>
      </c>
      <c r="I251" s="14">
        <f>IFERROR(H251/H327, "NA")</f>
      </c>
      <c r="J251" s="15"/>
      <c r="K251" s="13">
        <v>0</v>
      </c>
      <c r="L251" s="14">
        <f>IFERROR(K251/K327, "NA")</f>
      </c>
      <c r="M251" s="15"/>
      <c r="N251" s="13">
        <v>0</v>
      </c>
      <c r="O251" s="14">
        <f>IFERROR(N251/N327, "NA")</f>
      </c>
    </row>
    <row r="252" ht="16.5" customHeight="1">
      <c t="s" r="A252" s="16">
        <v>255</v>
      </c>
      <c r="B252" s="17">
        <f>IFERROR(B243+B244+B245+B246+B247+B248+B249+B250+B251, "NA")</f>
      </c>
      <c r="C252" s="18">
        <f>IFERROR(B252/B327, "NA")</f>
      </c>
      <c r="D252" s="8"/>
      <c r="E252" s="17">
        <f>IFERROR(E243+E244+E245+E246+E247+E248+E249+E250+E251, "NA")</f>
      </c>
      <c r="F252" s="18">
        <f>IFERROR(E252/E327, "NA")</f>
      </c>
      <c r="G252" s="8"/>
      <c r="H252" s="17">
        <f>IFERROR(H243+H244+H245+H246+H247+H248+H249+H250+H251, "NA")</f>
      </c>
      <c r="I252" s="18">
        <f>IFERROR(H252/H327, "NA")</f>
      </c>
      <c r="J252" s="8"/>
      <c r="K252" s="17">
        <f>IFERROR(K243+K244+K245+K246+K247+K248+K249+K250+K251, "NA")</f>
      </c>
      <c r="L252" s="18">
        <f>IFERROR(K252/K327, "NA")</f>
      </c>
      <c r="M252" s="8"/>
      <c r="N252" s="17">
        <f>IFERROR(N243+N244+N245+N246+N247+N248+N249+N250+N251, "NA")</f>
      </c>
      <c r="O252" s="18">
        <f>IFERROR(N252/N327, "NA")</f>
      </c>
    </row>
    <row r="253" ht="16.5" customHeight="1">
      <c t="s" r="A253" s="11">
        <v>256</v>
      </c>
      <c r="B253" s="8"/>
      <c r="C253" s="9"/>
      <c r="D253" s="10"/>
      <c r="E253" s="8"/>
      <c r="F253" s="9"/>
      <c r="G253" s="10"/>
      <c r="H253" s="8"/>
      <c r="I253" s="9"/>
      <c r="J253" s="10"/>
      <c r="K253" s="8"/>
      <c r="L253" s="9"/>
      <c r="M253" s="10"/>
      <c r="N253" s="8"/>
      <c r="O253" s="9"/>
    </row>
    <row r="254" ht="16.5" customHeight="1">
      <c t="s" r="A254" s="12">
        <v>257</v>
      </c>
      <c r="B254" s="13">
        <v>0</v>
      </c>
      <c r="C254" s="14">
        <f>IFERROR(B254/B327, "NA")</f>
      </c>
      <c r="D254" s="15"/>
      <c r="E254" s="13">
        <v>0</v>
      </c>
      <c r="F254" s="14">
        <f>IFERROR(E254/E327, "NA")</f>
      </c>
      <c r="G254" s="15"/>
      <c r="H254" s="13">
        <v>0</v>
      </c>
      <c r="I254" s="14">
        <f>IFERROR(H254/H327, "NA")</f>
      </c>
      <c r="J254" s="15"/>
      <c r="K254" s="13">
        <v>0</v>
      </c>
      <c r="L254" s="14">
        <f>IFERROR(K254/K327, "NA")</f>
      </c>
      <c r="M254" s="15"/>
      <c r="N254" s="13">
        <v>0</v>
      </c>
      <c r="O254" s="14">
        <f>IFERROR(N254/N327, "NA")</f>
      </c>
    </row>
    <row r="255" ht="16.5" customHeight="1">
      <c t="s" r="A255" s="12">
        <v>258</v>
      </c>
      <c r="B255" s="13">
        <v>0</v>
      </c>
      <c r="C255" s="14">
        <f>IFERROR(B255/B327, "NA")</f>
      </c>
      <c r="D255" s="15"/>
      <c r="E255" s="13">
        <v>0</v>
      </c>
      <c r="F255" s="14">
        <f>IFERROR(E255/E327, "NA")</f>
      </c>
      <c r="G255" s="15"/>
      <c r="H255" s="13">
        <v>0</v>
      </c>
      <c r="I255" s="14">
        <f>IFERROR(H255/H327, "NA")</f>
      </c>
      <c r="J255" s="15"/>
      <c r="K255" s="13">
        <v>0</v>
      </c>
      <c r="L255" s="14">
        <f>IFERROR(K255/K327, "NA")</f>
      </c>
      <c r="M255" s="15"/>
      <c r="N255" s="13">
        <v>0</v>
      </c>
      <c r="O255" s="14">
        <f>IFERROR(N255/N327, "NA")</f>
      </c>
    </row>
    <row r="256" ht="16.5" customHeight="1">
      <c t="s" r="A256" s="12">
        <v>259</v>
      </c>
      <c r="B256" s="13">
        <v>0</v>
      </c>
      <c r="C256" s="14">
        <f>IFERROR(B256/B327, "NA")</f>
      </c>
      <c r="D256" s="15"/>
      <c r="E256" s="13">
        <v>0</v>
      </c>
      <c r="F256" s="14">
        <f>IFERROR(E256/E327, "NA")</f>
      </c>
      <c r="G256" s="15"/>
      <c r="H256" s="13">
        <v>0</v>
      </c>
      <c r="I256" s="14">
        <f>IFERROR(H256/H327, "NA")</f>
      </c>
      <c r="J256" s="15"/>
      <c r="K256" s="13">
        <v>0</v>
      </c>
      <c r="L256" s="14">
        <f>IFERROR(K256/K327, "NA")</f>
      </c>
      <c r="M256" s="15"/>
      <c r="N256" s="13">
        <v>0</v>
      </c>
      <c r="O256" s="14">
        <f>IFERROR(N256/N327, "NA")</f>
      </c>
    </row>
    <row r="257" ht="16.5" customHeight="1">
      <c t="s" r="A257" s="12">
        <v>260</v>
      </c>
      <c r="B257" s="13">
        <v>0</v>
      </c>
      <c r="C257" s="14">
        <f>IFERROR(B257/B327, "NA")</f>
      </c>
      <c r="D257" s="15"/>
      <c r="E257" s="13">
        <v>0</v>
      </c>
      <c r="F257" s="14">
        <f>IFERROR(E257/E327, "NA")</f>
      </c>
      <c r="G257" s="15"/>
      <c r="H257" s="13">
        <v>0</v>
      </c>
      <c r="I257" s="14">
        <f>IFERROR(H257/H327, "NA")</f>
      </c>
      <c r="J257" s="15"/>
      <c r="K257" s="13">
        <v>0</v>
      </c>
      <c r="L257" s="14">
        <f>IFERROR(K257/K327, "NA")</f>
      </c>
      <c r="M257" s="15"/>
      <c r="N257" s="13">
        <v>0</v>
      </c>
      <c r="O257" s="14">
        <f>IFERROR(N257/N327, "NA")</f>
      </c>
    </row>
    <row r="258" ht="16.5" customHeight="1">
      <c t="s" r="A258" s="12">
        <v>261</v>
      </c>
      <c r="B258" s="13">
        <v>8182.2299999999996</v>
      </c>
      <c r="C258" s="14">
        <f>IFERROR(B258/B327, "NA")</f>
      </c>
      <c r="D258" s="15"/>
      <c r="E258" s="13">
        <v>0</v>
      </c>
      <c r="F258" s="14">
        <f>IFERROR(E258/E327, "NA")</f>
      </c>
      <c r="G258" s="15"/>
      <c r="H258" s="13">
        <v>0</v>
      </c>
      <c r="I258" s="14">
        <f>IFERROR(H258/H327, "NA")</f>
      </c>
      <c r="J258" s="15"/>
      <c r="K258" s="13">
        <v>0</v>
      </c>
      <c r="L258" s="14">
        <f>IFERROR(K258/K327, "NA")</f>
      </c>
      <c r="M258" s="15"/>
      <c r="N258" s="13">
        <v>0</v>
      </c>
      <c r="O258" s="14">
        <f>IFERROR(N258/N327, "NA")</f>
      </c>
    </row>
    <row r="259" ht="16.5" customHeight="1">
      <c t="s" r="A259" s="12">
        <v>262</v>
      </c>
      <c r="B259" s="13">
        <v>0</v>
      </c>
      <c r="C259" s="14">
        <f>IFERROR(B259/B327, "NA")</f>
      </c>
      <c r="D259" s="15"/>
      <c r="E259" s="13">
        <v>0</v>
      </c>
      <c r="F259" s="14">
        <f>IFERROR(E259/E327, "NA")</f>
      </c>
      <c r="G259" s="15"/>
      <c r="H259" s="13">
        <v>0</v>
      </c>
      <c r="I259" s="14">
        <f>IFERROR(H259/H327, "NA")</f>
      </c>
      <c r="J259" s="15"/>
      <c r="K259" s="13">
        <v>0</v>
      </c>
      <c r="L259" s="14">
        <f>IFERROR(K259/K327, "NA")</f>
      </c>
      <c r="M259" s="15"/>
      <c r="N259" s="13">
        <v>0</v>
      </c>
      <c r="O259" s="14">
        <f>IFERROR(N259/N327, "NA")</f>
      </c>
    </row>
    <row r="260" ht="16.5" customHeight="1">
      <c t="s" r="A260" s="12">
        <v>263</v>
      </c>
      <c r="B260" s="13">
        <v>0</v>
      </c>
      <c r="C260" s="14">
        <f>IFERROR(B260/B327, "NA")</f>
      </c>
      <c r="D260" s="15"/>
      <c r="E260" s="13">
        <v>0</v>
      </c>
      <c r="F260" s="14">
        <f>IFERROR(E260/E327, "NA")</f>
      </c>
      <c r="G260" s="15"/>
      <c r="H260" s="13">
        <v>0</v>
      </c>
      <c r="I260" s="14">
        <f>IFERROR(H260/H327, "NA")</f>
      </c>
      <c r="J260" s="15"/>
      <c r="K260" s="13">
        <v>0</v>
      </c>
      <c r="L260" s="14">
        <f>IFERROR(K260/K327, "NA")</f>
      </c>
      <c r="M260" s="15"/>
      <c r="N260" s="13">
        <v>0</v>
      </c>
      <c r="O260" s="14">
        <f>IFERROR(N260/N327, "NA")</f>
      </c>
    </row>
    <row r="261" ht="16.5" customHeight="1">
      <c t="s" r="A261" s="12">
        <v>264</v>
      </c>
      <c r="B261" s="13">
        <v>0</v>
      </c>
      <c r="C261" s="14">
        <f>IFERROR(B261/B327, "NA")</f>
      </c>
      <c r="D261" s="15"/>
      <c r="E261" s="13">
        <v>0</v>
      </c>
      <c r="F261" s="14">
        <f>IFERROR(E261/E327, "NA")</f>
      </c>
      <c r="G261" s="15"/>
      <c r="H261" s="13">
        <v>0</v>
      </c>
      <c r="I261" s="14">
        <f>IFERROR(H261/H327, "NA")</f>
      </c>
      <c r="J261" s="15"/>
      <c r="K261" s="13">
        <v>27520</v>
      </c>
      <c r="L261" s="14">
        <f>IFERROR(K261/K327, "NA")</f>
      </c>
      <c r="M261" s="15"/>
      <c r="N261" s="13">
        <v>0</v>
      </c>
      <c r="O261" s="14">
        <f>IFERROR(N261/N327, "NA")</f>
      </c>
    </row>
    <row r="262" ht="16.5" customHeight="1">
      <c t="s" r="A262" s="12">
        <v>265</v>
      </c>
      <c r="B262" s="13">
        <v>0</v>
      </c>
      <c r="C262" s="14">
        <f>IFERROR(B262/B327, "NA")</f>
      </c>
      <c r="D262" s="15"/>
      <c r="E262" s="13">
        <v>0</v>
      </c>
      <c r="F262" s="14">
        <f>IFERROR(E262/E327, "NA")</f>
      </c>
      <c r="G262" s="15"/>
      <c r="H262" s="13">
        <v>0</v>
      </c>
      <c r="I262" s="14">
        <f>IFERROR(H262/H327, "NA")</f>
      </c>
      <c r="J262" s="15"/>
      <c r="K262" s="13">
        <v>5708.0600000000004</v>
      </c>
      <c r="L262" s="14">
        <f>IFERROR(K262/K327, "NA")</f>
      </c>
      <c r="M262" s="15"/>
      <c r="N262" s="13">
        <v>0</v>
      </c>
      <c r="O262" s="14">
        <f>IFERROR(N262/N327, "NA")</f>
      </c>
    </row>
    <row r="263" ht="16.5" customHeight="1">
      <c t="s" r="A263" s="16">
        <v>266</v>
      </c>
      <c r="B263" s="17">
        <f>IFERROR(B254+B255+B256+B257+B258+B259+B260+B261+B262, "NA")</f>
      </c>
      <c r="C263" s="18">
        <f>IFERROR(B263/B327, "NA")</f>
      </c>
      <c r="D263" s="8"/>
      <c r="E263" s="17">
        <f>IFERROR(E254+E255+E256+E257+E258+E259+E260+E261+E262, "NA")</f>
      </c>
      <c r="F263" s="18">
        <f>IFERROR(E263/E327, "NA")</f>
      </c>
      <c r="G263" s="8"/>
      <c r="H263" s="17">
        <f>IFERROR(H254+H255+H256+H257+H258+H259+H260+H261+H262, "NA")</f>
      </c>
      <c r="I263" s="18">
        <f>IFERROR(H263/H327, "NA")</f>
      </c>
      <c r="J263" s="8"/>
      <c r="K263" s="17">
        <f>IFERROR(K254+K255+K256+K257+K258+K259+K260+K261+K262, "NA")</f>
      </c>
      <c r="L263" s="18">
        <f>IFERROR(K263/K327, "NA")</f>
      </c>
      <c r="M263" s="8"/>
      <c r="N263" s="17">
        <f>IFERROR(N254+N255+N256+N257+N258+N259+N260+N261+N262, "NA")</f>
      </c>
      <c r="O263" s="18">
        <f>IFERROR(N263/N327, "NA")</f>
      </c>
    </row>
    <row r="264" ht="16.5" customHeight="1">
      <c t="s" r="A264" s="11">
        <v>267</v>
      </c>
      <c r="B264" s="8"/>
      <c r="C264" s="9"/>
      <c r="D264" s="10"/>
      <c r="E264" s="8"/>
      <c r="F264" s="9"/>
      <c r="G264" s="10"/>
      <c r="H264" s="8"/>
      <c r="I264" s="9"/>
      <c r="J264" s="10"/>
      <c r="K264" s="8"/>
      <c r="L264" s="9"/>
      <c r="M264" s="10"/>
      <c r="N264" s="8"/>
      <c r="O264" s="9"/>
    </row>
    <row r="265" ht="16.5" customHeight="1">
      <c t="s" r="A265" s="12">
        <v>268</v>
      </c>
      <c r="B265" s="13">
        <v>0</v>
      </c>
      <c r="C265" s="14">
        <f>IFERROR(B265/B327, "NA")</f>
      </c>
      <c r="D265" s="15"/>
      <c r="E265" s="13">
        <v>0</v>
      </c>
      <c r="F265" s="14">
        <f>IFERROR(E265/E327, "NA")</f>
      </c>
      <c r="G265" s="15"/>
      <c r="H265" s="13">
        <v>0</v>
      </c>
      <c r="I265" s="14">
        <f>IFERROR(H265/H327, "NA")</f>
      </c>
      <c r="J265" s="15"/>
      <c r="K265" s="13">
        <v>0</v>
      </c>
      <c r="L265" s="14">
        <f>IFERROR(K265/K327, "NA")</f>
      </c>
      <c r="M265" s="15"/>
      <c r="N265" s="13">
        <v>0</v>
      </c>
      <c r="O265" s="14">
        <f>IFERROR(N265/N327, "NA")</f>
      </c>
    </row>
    <row r="266" ht="16.5" customHeight="1">
      <c t="s" r="A266" s="12">
        <v>269</v>
      </c>
      <c r="B266" s="13">
        <v>0</v>
      </c>
      <c r="C266" s="14">
        <f>IFERROR(B266/B327, "NA")</f>
      </c>
      <c r="D266" s="15"/>
      <c r="E266" s="13">
        <v>0</v>
      </c>
      <c r="F266" s="14">
        <f>IFERROR(E266/E327, "NA")</f>
      </c>
      <c r="G266" s="15"/>
      <c r="H266" s="13">
        <v>0</v>
      </c>
      <c r="I266" s="14">
        <f>IFERROR(H266/H327, "NA")</f>
      </c>
      <c r="J266" s="15"/>
      <c r="K266" s="13">
        <v>0</v>
      </c>
      <c r="L266" s="14">
        <f>IFERROR(K266/K327, "NA")</f>
      </c>
      <c r="M266" s="15"/>
      <c r="N266" s="13">
        <v>0</v>
      </c>
      <c r="O266" s="14">
        <f>IFERROR(N266/N327, "NA")</f>
      </c>
    </row>
    <row r="267" ht="16.5" customHeight="1">
      <c t="s" r="A267" s="12">
        <v>270</v>
      </c>
      <c r="B267" s="13">
        <v>0</v>
      </c>
      <c r="C267" s="14">
        <f>IFERROR(B267/B327, "NA")</f>
      </c>
      <c r="D267" s="15"/>
      <c r="E267" s="13">
        <v>0</v>
      </c>
      <c r="F267" s="14">
        <f>IFERROR(E267/E327, "NA")</f>
      </c>
      <c r="G267" s="15"/>
      <c r="H267" s="13">
        <v>0</v>
      </c>
      <c r="I267" s="14">
        <f>IFERROR(H267/H327, "NA")</f>
      </c>
      <c r="J267" s="15"/>
      <c r="K267" s="13">
        <v>0</v>
      </c>
      <c r="L267" s="14">
        <f>IFERROR(K267/K327, "NA")</f>
      </c>
      <c r="M267" s="15"/>
      <c r="N267" s="13">
        <v>0</v>
      </c>
      <c r="O267" s="14">
        <f>IFERROR(N267/N327, "NA")</f>
      </c>
    </row>
    <row r="268" ht="16.5" customHeight="1">
      <c t="s" r="A268" s="12">
        <v>271</v>
      </c>
      <c r="B268" s="13">
        <v>0</v>
      </c>
      <c r="C268" s="14">
        <f>IFERROR(B268/B327, "NA")</f>
      </c>
      <c r="D268" s="15"/>
      <c r="E268" s="13">
        <v>-2462.25</v>
      </c>
      <c r="F268" s="14">
        <f>IFERROR(E268/E327, "NA")</f>
      </c>
      <c r="G268" s="15"/>
      <c r="H268" s="13">
        <v>-1500</v>
      </c>
      <c r="I268" s="14">
        <f>IFERROR(H268/H327, "NA")</f>
      </c>
      <c r="J268" s="15"/>
      <c r="K268" s="13">
        <v>-180</v>
      </c>
      <c r="L268" s="14">
        <f>IFERROR(K268/K327, "NA")</f>
      </c>
      <c r="M268" s="15"/>
      <c r="N268" s="13">
        <v>0</v>
      </c>
      <c r="O268" s="14">
        <f>IFERROR(N268/N327, "NA")</f>
      </c>
    </row>
    <row r="269" ht="16.5" customHeight="1">
      <c t="s" r="A269" s="12">
        <v>272</v>
      </c>
      <c r="B269" s="13">
        <v>0</v>
      </c>
      <c r="C269" s="14">
        <f>IFERROR(B269/B327, "NA")</f>
      </c>
      <c r="D269" s="15"/>
      <c r="E269" s="13">
        <v>0</v>
      </c>
      <c r="F269" s="14">
        <f>IFERROR(E269/E327, "NA")</f>
      </c>
      <c r="G269" s="15"/>
      <c r="H269" s="13">
        <v>0</v>
      </c>
      <c r="I269" s="14">
        <f>IFERROR(H269/H327, "NA")</f>
      </c>
      <c r="J269" s="15"/>
      <c r="K269" s="13">
        <v>0</v>
      </c>
      <c r="L269" s="14">
        <f>IFERROR(K269/K327, "NA")</f>
      </c>
      <c r="M269" s="15"/>
      <c r="N269" s="13">
        <v>0</v>
      </c>
      <c r="O269" s="14">
        <f>IFERROR(N269/N327, "NA")</f>
      </c>
    </row>
    <row r="270" ht="16.5" customHeight="1">
      <c t="s" r="A270" s="12">
        <v>273</v>
      </c>
      <c r="B270" s="13">
        <v>0</v>
      </c>
      <c r="C270" s="14">
        <f>IFERROR(B270/B327, "NA")</f>
      </c>
      <c r="D270" s="15"/>
      <c r="E270" s="13">
        <v>0</v>
      </c>
      <c r="F270" s="14">
        <f>IFERROR(E270/E327, "NA")</f>
      </c>
      <c r="G270" s="15"/>
      <c r="H270" s="13">
        <v>0</v>
      </c>
      <c r="I270" s="14">
        <f>IFERROR(H270/H327, "NA")</f>
      </c>
      <c r="J270" s="15"/>
      <c r="K270" s="13">
        <v>0</v>
      </c>
      <c r="L270" s="14">
        <f>IFERROR(K270/K327, "NA")</f>
      </c>
      <c r="M270" s="15"/>
      <c r="N270" s="13">
        <v>0</v>
      </c>
      <c r="O270" s="14">
        <f>IFERROR(N270/N327, "NA")</f>
      </c>
    </row>
    <row r="271" ht="16.5" customHeight="1">
      <c t="s" r="A271" s="12">
        <v>274</v>
      </c>
      <c r="B271" s="13">
        <v>0</v>
      </c>
      <c r="C271" s="14">
        <f>IFERROR(B271/B327, "NA")</f>
      </c>
      <c r="D271" s="15"/>
      <c r="E271" s="13">
        <v>0</v>
      </c>
      <c r="F271" s="14">
        <f>IFERROR(E271/E327, "NA")</f>
      </c>
      <c r="G271" s="15"/>
      <c r="H271" s="13">
        <v>0</v>
      </c>
      <c r="I271" s="14">
        <f>IFERROR(H271/H327, "NA")</f>
      </c>
      <c r="J271" s="15"/>
      <c r="K271" s="13">
        <v>0</v>
      </c>
      <c r="L271" s="14">
        <f>IFERROR(K271/K327, "NA")</f>
      </c>
      <c r="M271" s="15"/>
      <c r="N271" s="13">
        <v>0</v>
      </c>
      <c r="O271" s="14">
        <f>IFERROR(N271/N327, "NA")</f>
      </c>
    </row>
    <row r="272" ht="16.5" customHeight="1">
      <c t="s" r="A272" s="12">
        <v>275</v>
      </c>
      <c r="B272" s="13">
        <v>0</v>
      </c>
      <c r="C272" s="14">
        <f>IFERROR(B272/B327, "NA")</f>
      </c>
      <c r="D272" s="15"/>
      <c r="E272" s="13">
        <v>0</v>
      </c>
      <c r="F272" s="14">
        <f>IFERROR(E272/E327, "NA")</f>
      </c>
      <c r="G272" s="15"/>
      <c r="H272" s="13">
        <v>0</v>
      </c>
      <c r="I272" s="14">
        <f>IFERROR(H272/H327, "NA")</f>
      </c>
      <c r="J272" s="15"/>
      <c r="K272" s="13">
        <v>0</v>
      </c>
      <c r="L272" s="14">
        <f>IFERROR(K272/K327, "NA")</f>
      </c>
      <c r="M272" s="15"/>
      <c r="N272" s="13">
        <v>0</v>
      </c>
      <c r="O272" s="14">
        <f>IFERROR(N272/N327, "NA")</f>
      </c>
    </row>
    <row r="273" ht="16.5" customHeight="1">
      <c t="s" r="A273" s="12">
        <v>276</v>
      </c>
      <c r="B273" s="13">
        <v>0</v>
      </c>
      <c r="C273" s="14">
        <f>IFERROR(B273/B327, "NA")</f>
      </c>
      <c r="D273" s="15"/>
      <c r="E273" s="13">
        <v>0</v>
      </c>
      <c r="F273" s="14">
        <f>IFERROR(E273/E327, "NA")</f>
      </c>
      <c r="G273" s="15"/>
      <c r="H273" s="13">
        <v>0</v>
      </c>
      <c r="I273" s="14">
        <f>IFERROR(H273/H327, "NA")</f>
      </c>
      <c r="J273" s="15"/>
      <c r="K273" s="13">
        <v>0</v>
      </c>
      <c r="L273" s="14">
        <f>IFERROR(K273/K327, "NA")</f>
      </c>
      <c r="M273" s="15"/>
      <c r="N273" s="13">
        <v>0</v>
      </c>
      <c r="O273" s="14">
        <f>IFERROR(N273/N327, "NA")</f>
      </c>
    </row>
    <row r="274" ht="16.5" customHeight="1">
      <c t="s" r="A274" s="12">
        <v>277</v>
      </c>
      <c r="B274" s="13">
        <v>0</v>
      </c>
      <c r="C274" s="14">
        <f>IFERROR(B274/B327, "NA")</f>
      </c>
      <c r="D274" s="15"/>
      <c r="E274" s="13">
        <v>0</v>
      </c>
      <c r="F274" s="14">
        <f>IFERROR(E274/E327, "NA")</f>
      </c>
      <c r="G274" s="15"/>
      <c r="H274" s="13">
        <v>0</v>
      </c>
      <c r="I274" s="14">
        <f>IFERROR(H274/H327, "NA")</f>
      </c>
      <c r="J274" s="15"/>
      <c r="K274" s="13">
        <v>0</v>
      </c>
      <c r="L274" s="14">
        <f>IFERROR(K274/K327, "NA")</f>
      </c>
      <c r="M274" s="15"/>
      <c r="N274" s="13">
        <v>0</v>
      </c>
      <c r="O274" s="14">
        <f>IFERROR(N274/N327, "NA")</f>
      </c>
    </row>
    <row r="275" ht="16.5" customHeight="1">
      <c t="s" r="A275" s="12">
        <v>278</v>
      </c>
      <c r="B275" s="13">
        <v>0</v>
      </c>
      <c r="C275" s="14">
        <f>IFERROR(B275/B327, "NA")</f>
      </c>
      <c r="D275" s="15"/>
      <c r="E275" s="13">
        <v>0</v>
      </c>
      <c r="F275" s="14">
        <f>IFERROR(E275/E327, "NA")</f>
      </c>
      <c r="G275" s="15"/>
      <c r="H275" s="13">
        <v>0</v>
      </c>
      <c r="I275" s="14">
        <f>IFERROR(H275/H327, "NA")</f>
      </c>
      <c r="J275" s="15"/>
      <c r="K275" s="13">
        <v>0</v>
      </c>
      <c r="L275" s="14">
        <f>IFERROR(K275/K327, "NA")</f>
      </c>
      <c r="M275" s="15"/>
      <c r="N275" s="13">
        <v>0</v>
      </c>
      <c r="O275" s="14">
        <f>IFERROR(N275/N327, "NA")</f>
      </c>
    </row>
    <row r="276" ht="16.5" customHeight="1">
      <c t="s" r="A276" s="12">
        <v>279</v>
      </c>
      <c r="B276" s="13">
        <v>0</v>
      </c>
      <c r="C276" s="14">
        <f>IFERROR(B276/B327, "NA")</f>
      </c>
      <c r="D276" s="15"/>
      <c r="E276" s="13">
        <v>0</v>
      </c>
      <c r="F276" s="14">
        <f>IFERROR(E276/E327, "NA")</f>
      </c>
      <c r="G276" s="15"/>
      <c r="H276" s="13">
        <v>0</v>
      </c>
      <c r="I276" s="14">
        <f>IFERROR(H276/H327, "NA")</f>
      </c>
      <c r="J276" s="15"/>
      <c r="K276" s="13">
        <v>0</v>
      </c>
      <c r="L276" s="14">
        <f>IFERROR(K276/K327, "NA")</f>
      </c>
      <c r="M276" s="15"/>
      <c r="N276" s="13">
        <v>0</v>
      </c>
      <c r="O276" s="14">
        <f>IFERROR(N276/N327, "NA")</f>
      </c>
    </row>
    <row r="277" ht="16.5" customHeight="1">
      <c t="s" r="A277" s="12">
        <v>280</v>
      </c>
      <c r="B277" s="13">
        <v>0</v>
      </c>
      <c r="C277" s="14">
        <f>IFERROR(B277/B327, "NA")</f>
      </c>
      <c r="D277" s="15"/>
      <c r="E277" s="13">
        <v>0</v>
      </c>
      <c r="F277" s="14">
        <f>IFERROR(E277/E327, "NA")</f>
      </c>
      <c r="G277" s="15"/>
      <c r="H277" s="13">
        <v>0</v>
      </c>
      <c r="I277" s="14">
        <f>IFERROR(H277/H327, "NA")</f>
      </c>
      <c r="J277" s="15"/>
      <c r="K277" s="13">
        <v>0</v>
      </c>
      <c r="L277" s="14">
        <f>IFERROR(K277/K327, "NA")</f>
      </c>
      <c r="M277" s="15"/>
      <c r="N277" s="13">
        <v>0</v>
      </c>
      <c r="O277" s="14">
        <f>IFERROR(N277/N327, "NA")</f>
      </c>
    </row>
    <row r="278" ht="16.5" customHeight="1">
      <c t="s" r="A278" s="12">
        <v>281</v>
      </c>
      <c r="B278" s="13">
        <v>-2427.4499999999998</v>
      </c>
      <c r="C278" s="14">
        <f>IFERROR(B278/B327, "NA")</f>
      </c>
      <c r="D278" s="15"/>
      <c r="E278" s="13">
        <v>-8661.1299999999992</v>
      </c>
      <c r="F278" s="14">
        <f>IFERROR(E278/E327, "NA")</f>
      </c>
      <c r="G278" s="15"/>
      <c r="H278" s="13">
        <v>-9537.0300000000007</v>
      </c>
      <c r="I278" s="14">
        <f>IFERROR(H278/H327, "NA")</f>
      </c>
      <c r="J278" s="15"/>
      <c r="K278" s="13">
        <v>-9334.3700000000008</v>
      </c>
      <c r="L278" s="14">
        <f>IFERROR(K278/K327, "NA")</f>
      </c>
      <c r="M278" s="15"/>
      <c r="N278" s="13">
        <v>-8948.1200000000008</v>
      </c>
      <c r="O278" s="14">
        <f>IFERROR(N278/N327, "NA")</f>
      </c>
    </row>
    <row r="279" ht="16.5" customHeight="1">
      <c t="s" r="A279" s="12">
        <v>282</v>
      </c>
      <c r="B279" s="13">
        <v>0</v>
      </c>
      <c r="C279" s="14">
        <f>IFERROR(B279/B327, "NA")</f>
      </c>
      <c r="D279" s="15"/>
      <c r="E279" s="13">
        <v>0</v>
      </c>
      <c r="F279" s="14">
        <f>IFERROR(E279/E327, "NA")</f>
      </c>
      <c r="G279" s="15"/>
      <c r="H279" s="13">
        <v>0</v>
      </c>
      <c r="I279" s="14">
        <f>IFERROR(H279/H327, "NA")</f>
      </c>
      <c r="J279" s="15"/>
      <c r="K279" s="13">
        <v>0</v>
      </c>
      <c r="L279" s="14">
        <f>IFERROR(K279/K327, "NA")</f>
      </c>
      <c r="M279" s="15"/>
      <c r="N279" s="13">
        <v>0</v>
      </c>
      <c r="O279" s="14">
        <f>IFERROR(N279/N327, "NA")</f>
      </c>
    </row>
    <row r="280" ht="16.5" customHeight="1">
      <c t="s" r="A280" s="12">
        <v>283</v>
      </c>
      <c r="B280" s="13">
        <v>0</v>
      </c>
      <c r="C280" s="14">
        <f>IFERROR(B280/B327, "NA")</f>
      </c>
      <c r="D280" s="15"/>
      <c r="E280" s="13">
        <v>0</v>
      </c>
      <c r="F280" s="14">
        <f>IFERROR(E280/E327, "NA")</f>
      </c>
      <c r="G280" s="15"/>
      <c r="H280" s="13">
        <v>0</v>
      </c>
      <c r="I280" s="14">
        <f>IFERROR(H280/H327, "NA")</f>
      </c>
      <c r="J280" s="15"/>
      <c r="K280" s="13">
        <v>0</v>
      </c>
      <c r="L280" s="14">
        <f>IFERROR(K280/K327, "NA")</f>
      </c>
      <c r="M280" s="15"/>
      <c r="N280" s="13">
        <v>0</v>
      </c>
      <c r="O280" s="14">
        <f>IFERROR(N280/N327, "NA")</f>
      </c>
    </row>
    <row r="281" ht="16.5" customHeight="1">
      <c t="s" r="A281" s="12">
        <v>284</v>
      </c>
      <c r="B281" s="13">
        <v>0</v>
      </c>
      <c r="C281" s="14">
        <f>IFERROR(B281/B327, "NA")</f>
      </c>
      <c r="D281" s="15"/>
      <c r="E281" s="13">
        <v>0</v>
      </c>
      <c r="F281" s="14">
        <f>IFERROR(E281/E327, "NA")</f>
      </c>
      <c r="G281" s="15"/>
      <c r="H281" s="13">
        <v>0</v>
      </c>
      <c r="I281" s="14">
        <f>IFERROR(H281/H327, "NA")</f>
      </c>
      <c r="J281" s="15"/>
      <c r="K281" s="13">
        <v>0</v>
      </c>
      <c r="L281" s="14">
        <f>IFERROR(K281/K327, "NA")</f>
      </c>
      <c r="M281" s="15"/>
      <c r="N281" s="13">
        <v>0</v>
      </c>
      <c r="O281" s="14">
        <f>IFERROR(N281/N327, "NA")</f>
      </c>
    </row>
    <row r="282" ht="16.5" customHeight="1">
      <c t="s" r="A282" s="12">
        <v>285</v>
      </c>
      <c r="B282" s="13">
        <v>0</v>
      </c>
      <c r="C282" s="14">
        <f>IFERROR(B282/B327, "NA")</f>
      </c>
      <c r="D282" s="15"/>
      <c r="E282" s="13">
        <v>0</v>
      </c>
      <c r="F282" s="14">
        <f>IFERROR(E282/E327, "NA")</f>
      </c>
      <c r="G282" s="15"/>
      <c r="H282" s="13">
        <v>0</v>
      </c>
      <c r="I282" s="14">
        <f>IFERROR(H282/H327, "NA")</f>
      </c>
      <c r="J282" s="15"/>
      <c r="K282" s="13">
        <v>0</v>
      </c>
      <c r="L282" s="14">
        <f>IFERROR(K282/K327, "NA")</f>
      </c>
      <c r="M282" s="15"/>
      <c r="N282" s="13">
        <v>0</v>
      </c>
      <c r="O282" s="14">
        <f>IFERROR(N282/N327, "NA")</f>
      </c>
    </row>
    <row r="283" ht="16.5" customHeight="1">
      <c t="s" r="A283" s="16">
        <v>286</v>
      </c>
      <c r="B283" s="17">
        <f>IFERROR(B265+B266+B267+B268+B269+B270+B271+B272+B273+B274+B275+B276+B277+B278+B279+B280+B281+B282, "NA")</f>
      </c>
      <c r="C283" s="18">
        <f>IFERROR(B283/B327, "NA")</f>
      </c>
      <c r="D283" s="8"/>
      <c r="E283" s="17">
        <f>IFERROR(E265+E266+E267+E268+E269+E270+E271+E272+E273+E274+E275+E276+E277+E278+E279+E280+E281+E282, "NA")</f>
      </c>
      <c r="F283" s="18">
        <f>IFERROR(E283/E327, "NA")</f>
      </c>
      <c r="G283" s="8"/>
      <c r="H283" s="17">
        <f>IFERROR(H265+H266+H267+H268+H269+H270+H271+H272+H273+H274+H275+H276+H277+H278+H279+H280+H281+H282, "NA")</f>
      </c>
      <c r="I283" s="18">
        <f>IFERROR(H283/H327, "NA")</f>
      </c>
      <c r="J283" s="8"/>
      <c r="K283" s="17">
        <f>IFERROR(K265+K266+K267+K268+K269+K270+K271+K272+K273+K274+K275+K276+K277+K278+K279+K280+K281+K282, "NA")</f>
      </c>
      <c r="L283" s="18">
        <f>IFERROR(K283/K327, "NA")</f>
      </c>
      <c r="M283" s="8"/>
      <c r="N283" s="17">
        <f>IFERROR(N265+N266+N267+N268+N269+N270+N271+N272+N273+N274+N275+N276+N277+N278+N279+N280+N281+N282, "NA")</f>
      </c>
      <c r="O283" s="18">
        <f>IFERROR(N283/N327, "NA")</f>
      </c>
    </row>
    <row r="284" ht="16.5" customHeight="1">
      <c t="s" r="A284" s="20">
        <v>287</v>
      </c>
      <c r="B284" s="17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</c>
      <c r="C284" s="18">
        <f>IFERROR(B284/B327, "NA")</f>
      </c>
      <c r="D284" s="8"/>
      <c r="E284" s="17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</c>
      <c r="F284" s="18">
        <f>IFERROR(E284/E327, "NA")</f>
      </c>
      <c r="G284" s="8"/>
      <c r="H284" s="17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</c>
      <c r="I284" s="18">
        <f>IFERROR(H284/H327, "NA")</f>
      </c>
      <c r="J284" s="8"/>
      <c r="K284" s="17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</c>
      <c r="L284" s="18">
        <f>IFERROR(K284/K327, "NA")</f>
      </c>
      <c r="M284" s="8"/>
      <c r="N284" s="17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</c>
      <c r="O284" s="18">
        <f>IFERROR(N284/N327, "NA")</f>
      </c>
    </row>
    <row r="285" ht="16.5" customHeight="1">
      <c t="s" r="A285" s="7">
        <v>288</v>
      </c>
      <c r="B285" s="8"/>
      <c r="C285" s="9"/>
      <c r="D285" s="10"/>
      <c r="E285" s="8"/>
      <c r="F285" s="9"/>
      <c r="G285" s="10"/>
      <c r="H285" s="8"/>
      <c r="I285" s="9"/>
      <c r="J285" s="10"/>
      <c r="K285" s="8"/>
      <c r="L285" s="9"/>
      <c r="M285" s="10"/>
      <c r="N285" s="8"/>
      <c r="O285" s="9"/>
    </row>
    <row r="286" ht="16.5" customHeight="1">
      <c t="s" r="A286" s="11">
        <v>289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</row>
    <row r="287" ht="16.5" customHeight="1">
      <c t="s" r="A287" s="12">
        <v>290</v>
      </c>
      <c r="B287" s="13">
        <v>0</v>
      </c>
      <c r="C287" s="14">
        <f>IFERROR(B287/B327, "NA")</f>
      </c>
      <c r="D287" s="15"/>
      <c r="E287" s="13">
        <v>0</v>
      </c>
      <c r="F287" s="14">
        <f>IFERROR(E287/E327, "NA")</f>
      </c>
      <c r="G287" s="15"/>
      <c r="H287" s="13">
        <v>0</v>
      </c>
      <c r="I287" s="14">
        <f>IFERROR(H287/H327, "NA")</f>
      </c>
      <c r="J287" s="15"/>
      <c r="K287" s="13">
        <v>0</v>
      </c>
      <c r="L287" s="14">
        <f>IFERROR(K287/K327, "NA")</f>
      </c>
      <c r="M287" s="15"/>
      <c r="N287" s="13">
        <v>0</v>
      </c>
      <c r="O287" s="14">
        <f>IFERROR(N287/N327, "NA")</f>
      </c>
    </row>
    <row r="288" ht="16.5" customHeight="1">
      <c t="s" r="A288" s="12">
        <v>291</v>
      </c>
      <c r="B288" s="13">
        <v>0</v>
      </c>
      <c r="C288" s="14">
        <f>IFERROR(B288/B327, "NA")</f>
      </c>
      <c r="D288" s="15"/>
      <c r="E288" s="13">
        <v>0</v>
      </c>
      <c r="F288" s="14">
        <f>IFERROR(E288/E327, "NA")</f>
      </c>
      <c r="G288" s="15"/>
      <c r="H288" s="13">
        <v>0</v>
      </c>
      <c r="I288" s="14">
        <f>IFERROR(H288/H327, "NA")</f>
      </c>
      <c r="J288" s="15"/>
      <c r="K288" s="13">
        <v>0</v>
      </c>
      <c r="L288" s="14">
        <f>IFERROR(K288/K327, "NA")</f>
      </c>
      <c r="M288" s="15"/>
      <c r="N288" s="13">
        <v>0</v>
      </c>
      <c r="O288" s="14">
        <f>IFERROR(N288/N327, "NA")</f>
      </c>
    </row>
    <row r="289" ht="16.5" customHeight="1">
      <c t="s" r="A289" s="12">
        <v>292</v>
      </c>
      <c r="B289" s="13">
        <v>0</v>
      </c>
      <c r="C289" s="14">
        <f>IFERROR(B289/B327, "NA")</f>
      </c>
      <c r="D289" s="15"/>
      <c r="E289" s="13">
        <v>0</v>
      </c>
      <c r="F289" s="14">
        <f>IFERROR(E289/E327, "NA")</f>
      </c>
      <c r="G289" s="15"/>
      <c r="H289" s="13">
        <v>0</v>
      </c>
      <c r="I289" s="14">
        <f>IFERROR(H289/H327, "NA")</f>
      </c>
      <c r="J289" s="15"/>
      <c r="K289" s="13">
        <v>0</v>
      </c>
      <c r="L289" s="14">
        <f>IFERROR(K289/K327, "NA")</f>
      </c>
      <c r="M289" s="15"/>
      <c r="N289" s="13">
        <v>0</v>
      </c>
      <c r="O289" s="14">
        <f>IFERROR(N289/N327, "NA")</f>
      </c>
    </row>
    <row r="290" ht="16.5" customHeight="1">
      <c t="s" r="A290" s="12">
        <v>293</v>
      </c>
      <c r="B290" s="13">
        <v>11525.139999999999</v>
      </c>
      <c r="C290" s="14">
        <f>IFERROR(B290/B327, "NA")</f>
      </c>
      <c r="D290" s="15"/>
      <c r="E290" s="13">
        <v>13583.34</v>
      </c>
      <c r="F290" s="14">
        <f>IFERROR(E290/E327, "NA")</f>
      </c>
      <c r="G290" s="15"/>
      <c r="H290" s="13">
        <v>14956.049999999999</v>
      </c>
      <c r="I290" s="14">
        <f>IFERROR(H290/H327, "NA")</f>
      </c>
      <c r="J290" s="15"/>
      <c r="K290" s="13">
        <v>14620.67</v>
      </c>
      <c r="L290" s="14">
        <f>IFERROR(K290/K327, "NA")</f>
      </c>
      <c r="M290" s="15"/>
      <c r="N290" s="13">
        <v>13943.25</v>
      </c>
      <c r="O290" s="14">
        <f>IFERROR(N290/N327, "NA")</f>
      </c>
    </row>
    <row r="291" ht="16.5" customHeight="1">
      <c t="s" r="A291" s="12">
        <v>294</v>
      </c>
      <c r="B291" s="13">
        <v>0</v>
      </c>
      <c r="C291" s="14">
        <f>IFERROR(B291/B327, "NA")</f>
      </c>
      <c r="D291" s="15"/>
      <c r="E291" s="13">
        <v>0</v>
      </c>
      <c r="F291" s="14">
        <f>IFERROR(E291/E327, "NA")</f>
      </c>
      <c r="G291" s="15"/>
      <c r="H291" s="13">
        <v>25</v>
      </c>
      <c r="I291" s="14">
        <f>IFERROR(H291/H327, "NA")</f>
      </c>
      <c r="J291" s="15"/>
      <c r="K291" s="13">
        <v>0</v>
      </c>
      <c r="L291" s="14">
        <f>IFERROR(K291/K327, "NA")</f>
      </c>
      <c r="M291" s="15"/>
      <c r="N291" s="13">
        <v>0</v>
      </c>
      <c r="O291" s="14">
        <f>IFERROR(N291/N327, "NA")</f>
      </c>
    </row>
    <row r="292" ht="16.5" customHeight="1">
      <c t="s" r="A292" s="12">
        <v>295</v>
      </c>
      <c r="B292" s="13">
        <v>0</v>
      </c>
      <c r="C292" s="14">
        <f>IFERROR(B292/B327, "NA")</f>
      </c>
      <c r="D292" s="15"/>
      <c r="E292" s="13">
        <v>0</v>
      </c>
      <c r="F292" s="14">
        <f>IFERROR(E292/E327, "NA")</f>
      </c>
      <c r="G292" s="15"/>
      <c r="H292" s="13">
        <v>0</v>
      </c>
      <c r="I292" s="14">
        <f>IFERROR(H292/H327, "NA")</f>
      </c>
      <c r="J292" s="15"/>
      <c r="K292" s="13">
        <v>2000</v>
      </c>
      <c r="L292" s="14">
        <f>IFERROR(K292/K327, "NA")</f>
      </c>
      <c r="M292" s="15"/>
      <c r="N292" s="13">
        <v>0</v>
      </c>
      <c r="O292" s="14">
        <f>IFERROR(N292/N327, "NA")</f>
      </c>
    </row>
    <row r="293" ht="16.5" customHeight="1">
      <c t="s" r="A293" s="12">
        <v>296</v>
      </c>
      <c r="B293" s="13">
        <v>360.37</v>
      </c>
      <c r="C293" s="14">
        <f>IFERROR(B293/B327, "NA")</f>
      </c>
      <c r="D293" s="15"/>
      <c r="E293" s="13">
        <v>80.909999999999997</v>
      </c>
      <c r="F293" s="14">
        <f>IFERROR(E293/E327, "NA")</f>
      </c>
      <c r="G293" s="15"/>
      <c r="H293" s="13">
        <v>500</v>
      </c>
      <c r="I293" s="14">
        <f>IFERROR(H293/H327, "NA")</f>
      </c>
      <c r="J293" s="15"/>
      <c r="K293" s="13">
        <v>0</v>
      </c>
      <c r="L293" s="14">
        <f>IFERROR(K293/K327, "NA")</f>
      </c>
      <c r="M293" s="15"/>
      <c r="N293" s="13">
        <v>0</v>
      </c>
      <c r="O293" s="14">
        <f>IFERROR(N293/N327, "NA")</f>
      </c>
    </row>
    <row r="294" ht="16.5" customHeight="1">
      <c t="s" r="A294" s="12">
        <v>297</v>
      </c>
      <c r="B294" s="13">
        <v>1530</v>
      </c>
      <c r="C294" s="14">
        <f>IFERROR(B294/B327, "NA")</f>
      </c>
      <c r="D294" s="15"/>
      <c r="E294" s="13">
        <v>598</v>
      </c>
      <c r="F294" s="14">
        <f>IFERROR(E294/E327, "NA")</f>
      </c>
      <c r="G294" s="15"/>
      <c r="H294" s="13">
        <v>993.29999999999995</v>
      </c>
      <c r="I294" s="14">
        <f>IFERROR(H294/H327, "NA")</f>
      </c>
      <c r="J294" s="15"/>
      <c r="K294" s="13">
        <v>2382.23</v>
      </c>
      <c r="L294" s="14">
        <f>IFERROR(K294/K327, "NA")</f>
      </c>
      <c r="M294" s="15"/>
      <c r="N294" s="13">
        <v>300</v>
      </c>
      <c r="O294" s="14">
        <f>IFERROR(N294/N327, "NA")</f>
      </c>
    </row>
    <row r="295" ht="16.5" customHeight="1">
      <c t="s" r="A295" s="12">
        <v>298</v>
      </c>
      <c r="B295" s="13">
        <v>0</v>
      </c>
      <c r="C295" s="14">
        <f>IFERROR(B295/B327, "NA")</f>
      </c>
      <c r="D295" s="15"/>
      <c r="E295" s="13">
        <v>0</v>
      </c>
      <c r="F295" s="14">
        <f>IFERROR(E295/E327, "NA")</f>
      </c>
      <c r="G295" s="15"/>
      <c r="H295" s="13">
        <v>0</v>
      </c>
      <c r="I295" s="14">
        <f>IFERROR(H295/H327, "NA")</f>
      </c>
      <c r="J295" s="15"/>
      <c r="K295" s="13">
        <v>0</v>
      </c>
      <c r="L295" s="14">
        <f>IFERROR(K295/K327, "NA")</f>
      </c>
      <c r="M295" s="15"/>
      <c r="N295" s="13">
        <v>0</v>
      </c>
      <c r="O295" s="14">
        <f>IFERROR(N295/N327, "NA")</f>
      </c>
    </row>
    <row r="296" ht="16.5" customHeight="1">
      <c t="s" r="A296" s="12">
        <v>299</v>
      </c>
      <c r="B296" s="13">
        <v>0</v>
      </c>
      <c r="C296" s="14">
        <f>IFERROR(B296/B327, "NA")</f>
      </c>
      <c r="D296" s="15"/>
      <c r="E296" s="13">
        <v>0</v>
      </c>
      <c r="F296" s="14">
        <f>IFERROR(E296/E327, "NA")</f>
      </c>
      <c r="G296" s="15"/>
      <c r="H296" s="13">
        <v>0</v>
      </c>
      <c r="I296" s="14">
        <f>IFERROR(H296/H327, "NA")</f>
      </c>
      <c r="J296" s="15"/>
      <c r="K296" s="13">
        <v>0</v>
      </c>
      <c r="L296" s="14">
        <f>IFERROR(K296/K327, "NA")</f>
      </c>
      <c r="M296" s="15"/>
      <c r="N296" s="13">
        <v>0</v>
      </c>
      <c r="O296" s="14">
        <f>IFERROR(N296/N327, "NA")</f>
      </c>
    </row>
    <row r="297" ht="16.5" customHeight="1">
      <c t="s" r="A297" s="12">
        <v>300</v>
      </c>
      <c r="B297" s="13">
        <v>0</v>
      </c>
      <c r="C297" s="14">
        <f>IFERROR(B297/B327, "NA")</f>
      </c>
      <c r="D297" s="15"/>
      <c r="E297" s="13">
        <v>0</v>
      </c>
      <c r="F297" s="14">
        <f>IFERROR(E297/E327, "NA")</f>
      </c>
      <c r="G297" s="15"/>
      <c r="H297" s="13">
        <v>0</v>
      </c>
      <c r="I297" s="14">
        <f>IFERROR(H297/H327, "NA")</f>
      </c>
      <c r="J297" s="15"/>
      <c r="K297" s="13">
        <v>0</v>
      </c>
      <c r="L297" s="14">
        <f>IFERROR(K297/K327, "NA")</f>
      </c>
      <c r="M297" s="15"/>
      <c r="N297" s="13">
        <v>0</v>
      </c>
      <c r="O297" s="14">
        <f>IFERROR(N297/N327, "NA")</f>
      </c>
    </row>
    <row r="298" ht="16.5" customHeight="1">
      <c t="s" r="A298" s="12">
        <v>301</v>
      </c>
      <c r="B298" s="13">
        <v>0</v>
      </c>
      <c r="C298" s="14">
        <f>IFERROR(B298/B327, "NA")</f>
      </c>
      <c r="D298" s="15"/>
      <c r="E298" s="13">
        <v>0</v>
      </c>
      <c r="F298" s="14">
        <f>IFERROR(E298/E327, "NA")</f>
      </c>
      <c r="G298" s="15"/>
      <c r="H298" s="13">
        <v>0</v>
      </c>
      <c r="I298" s="14">
        <f>IFERROR(H298/H327, "NA")</f>
      </c>
      <c r="J298" s="15"/>
      <c r="K298" s="13">
        <v>0</v>
      </c>
      <c r="L298" s="14">
        <f>IFERROR(K298/K327, "NA")</f>
      </c>
      <c r="M298" s="15"/>
      <c r="N298" s="13">
        <v>0</v>
      </c>
      <c r="O298" s="14">
        <f>IFERROR(N298/N327, "NA")</f>
      </c>
    </row>
    <row r="299" ht="16.5" customHeight="1">
      <c t="s" r="A299" s="12">
        <v>302</v>
      </c>
      <c r="B299" s="13">
        <v>0</v>
      </c>
      <c r="C299" s="14">
        <f>IFERROR(B299/B327, "NA")</f>
      </c>
      <c r="D299" s="15"/>
      <c r="E299" s="13">
        <v>0</v>
      </c>
      <c r="F299" s="14">
        <f>IFERROR(E299/E327, "NA")</f>
      </c>
      <c r="G299" s="15"/>
      <c r="H299" s="13">
        <v>0</v>
      </c>
      <c r="I299" s="14">
        <f>IFERROR(H299/H327, "NA")</f>
      </c>
      <c r="J299" s="15"/>
      <c r="K299" s="13">
        <v>0</v>
      </c>
      <c r="L299" s="14">
        <f>IFERROR(K299/K327, "NA")</f>
      </c>
      <c r="M299" s="15"/>
      <c r="N299" s="13">
        <v>0</v>
      </c>
      <c r="O299" s="14">
        <f>IFERROR(N299/N327, "NA")</f>
      </c>
    </row>
    <row r="300" ht="16.5" customHeight="1">
      <c t="s" r="A300" s="12">
        <v>303</v>
      </c>
      <c r="B300" s="13">
        <v>0</v>
      </c>
      <c r="C300" s="14">
        <f>IFERROR(B300/B327, "NA")</f>
      </c>
      <c r="D300" s="15"/>
      <c r="E300" s="13">
        <v>0</v>
      </c>
      <c r="F300" s="14">
        <f>IFERROR(E300/E327, "NA")</f>
      </c>
      <c r="G300" s="15"/>
      <c r="H300" s="13">
        <v>0</v>
      </c>
      <c r="I300" s="14">
        <f>IFERROR(H300/H327, "NA")</f>
      </c>
      <c r="J300" s="15"/>
      <c r="K300" s="13">
        <v>0</v>
      </c>
      <c r="L300" s="14">
        <f>IFERROR(K300/K327, "NA")</f>
      </c>
      <c r="M300" s="15"/>
      <c r="N300" s="13">
        <v>0</v>
      </c>
      <c r="O300" s="14">
        <f>IFERROR(N300/N327, "NA")</f>
      </c>
    </row>
    <row r="301" ht="16.5" customHeight="1">
      <c t="s" r="A301" s="12">
        <v>304</v>
      </c>
      <c r="B301" s="13">
        <v>0</v>
      </c>
      <c r="C301" s="14">
        <f>IFERROR(B301/B327, "NA")</f>
      </c>
      <c r="D301" s="15"/>
      <c r="E301" s="13">
        <v>0</v>
      </c>
      <c r="F301" s="14">
        <f>IFERROR(E301/E327, "NA")</f>
      </c>
      <c r="G301" s="15"/>
      <c r="H301" s="13">
        <v>0</v>
      </c>
      <c r="I301" s="14">
        <f>IFERROR(H301/H327, "NA")</f>
      </c>
      <c r="J301" s="15"/>
      <c r="K301" s="13">
        <v>0</v>
      </c>
      <c r="L301" s="14">
        <f>IFERROR(K301/K327, "NA")</f>
      </c>
      <c r="M301" s="15"/>
      <c r="N301" s="13">
        <v>0</v>
      </c>
      <c r="O301" s="14">
        <f>IFERROR(N301/N327, "NA")</f>
      </c>
    </row>
    <row r="302" ht="16.5" customHeight="1">
      <c t="s" r="A302" s="12">
        <v>305</v>
      </c>
      <c r="B302" s="13">
        <v>0</v>
      </c>
      <c r="C302" s="14">
        <f>IFERROR(B302/B327, "NA")</f>
      </c>
      <c r="D302" s="15"/>
      <c r="E302" s="13">
        <v>0</v>
      </c>
      <c r="F302" s="14">
        <f>IFERROR(E302/E327, "NA")</f>
      </c>
      <c r="G302" s="15"/>
      <c r="H302" s="13">
        <v>0</v>
      </c>
      <c r="I302" s="14">
        <f>IFERROR(H302/H327, "NA")</f>
      </c>
      <c r="J302" s="15"/>
      <c r="K302" s="13">
        <v>0</v>
      </c>
      <c r="L302" s="14">
        <f>IFERROR(K302/K327, "NA")</f>
      </c>
      <c r="M302" s="15"/>
      <c r="N302" s="13">
        <v>0</v>
      </c>
      <c r="O302" s="14">
        <f>IFERROR(N302/N327, "NA")</f>
      </c>
    </row>
    <row r="303" ht="16.5" customHeight="1">
      <c t="s" r="A303" s="12">
        <v>306</v>
      </c>
      <c r="B303" s="13">
        <v>0</v>
      </c>
      <c r="C303" s="14">
        <f>IFERROR(B303/B327, "NA")</f>
      </c>
      <c r="D303" s="15"/>
      <c r="E303" s="13">
        <v>0</v>
      </c>
      <c r="F303" s="14">
        <f>IFERROR(E303/E327, "NA")</f>
      </c>
      <c r="G303" s="15"/>
      <c r="H303" s="13">
        <v>0</v>
      </c>
      <c r="I303" s="14">
        <f>IFERROR(H303/H327, "NA")</f>
      </c>
      <c r="J303" s="15"/>
      <c r="K303" s="13">
        <v>0</v>
      </c>
      <c r="L303" s="14">
        <f>IFERROR(K303/K327, "NA")</f>
      </c>
      <c r="M303" s="15"/>
      <c r="N303" s="13">
        <v>0</v>
      </c>
      <c r="O303" s="14">
        <f>IFERROR(N303/N327, "NA")</f>
      </c>
    </row>
    <row r="304" ht="16.5" customHeight="1">
      <c t="s" r="A304" s="12">
        <v>307</v>
      </c>
      <c r="B304" s="13">
        <v>0</v>
      </c>
      <c r="C304" s="14">
        <f>IFERROR(B304/B327, "NA")</f>
      </c>
      <c r="D304" s="15"/>
      <c r="E304" s="13">
        <v>0</v>
      </c>
      <c r="F304" s="14">
        <f>IFERROR(E304/E327, "NA")</f>
      </c>
      <c r="G304" s="15"/>
      <c r="H304" s="13">
        <v>0</v>
      </c>
      <c r="I304" s="14">
        <f>IFERROR(H304/H327, "NA")</f>
      </c>
      <c r="J304" s="15"/>
      <c r="K304" s="13">
        <v>0</v>
      </c>
      <c r="L304" s="14">
        <f>IFERROR(K304/K327, "NA")</f>
      </c>
      <c r="M304" s="15"/>
      <c r="N304" s="13">
        <v>0</v>
      </c>
      <c r="O304" s="14">
        <f>IFERROR(N304/N327, "NA")</f>
      </c>
    </row>
    <row r="305" ht="16.5" customHeight="1">
      <c t="s" r="A305" s="12">
        <v>308</v>
      </c>
      <c r="B305" s="13">
        <v>0</v>
      </c>
      <c r="C305" s="14">
        <f>IFERROR(B305/B327, "NA")</f>
      </c>
      <c r="D305" s="15"/>
      <c r="E305" s="13">
        <v>0</v>
      </c>
      <c r="F305" s="14">
        <f>IFERROR(E305/E327, "NA")</f>
      </c>
      <c r="G305" s="15"/>
      <c r="H305" s="13">
        <v>0</v>
      </c>
      <c r="I305" s="14">
        <f>IFERROR(H305/H327, "NA")</f>
      </c>
      <c r="J305" s="15"/>
      <c r="K305" s="13">
        <v>0</v>
      </c>
      <c r="L305" s="14">
        <f>IFERROR(K305/K327, "NA")</f>
      </c>
      <c r="M305" s="15"/>
      <c r="N305" s="13">
        <v>0</v>
      </c>
      <c r="O305" s="14">
        <f>IFERROR(N305/N327, "NA")</f>
      </c>
    </row>
    <row r="306" ht="16.5" customHeight="1">
      <c t="s" r="A306" s="12">
        <v>309</v>
      </c>
      <c r="B306" s="13">
        <v>0</v>
      </c>
      <c r="C306" s="14">
        <f>IFERROR(B306/B327, "NA")</f>
      </c>
      <c r="D306" s="15"/>
      <c r="E306" s="13">
        <v>0</v>
      </c>
      <c r="F306" s="14">
        <f>IFERROR(E306/E327, "NA")</f>
      </c>
      <c r="G306" s="15"/>
      <c r="H306" s="13">
        <v>0</v>
      </c>
      <c r="I306" s="14">
        <f>IFERROR(H306/H327, "NA")</f>
      </c>
      <c r="J306" s="15"/>
      <c r="K306" s="13">
        <v>0</v>
      </c>
      <c r="L306" s="14">
        <f>IFERROR(K306/K327, "NA")</f>
      </c>
      <c r="M306" s="15"/>
      <c r="N306" s="13">
        <v>0</v>
      </c>
      <c r="O306" s="14">
        <f>IFERROR(N306/N327, "NA")</f>
      </c>
    </row>
    <row r="307" ht="16.5" customHeight="1">
      <c t="s" r="A307" s="12">
        <v>310</v>
      </c>
      <c r="B307" s="13">
        <v>0</v>
      </c>
      <c r="C307" s="14">
        <f>IFERROR(B307/B327, "NA")</f>
      </c>
      <c r="D307" s="15"/>
      <c r="E307" s="13">
        <v>0</v>
      </c>
      <c r="F307" s="14">
        <f>IFERROR(E307/E327, "NA")</f>
      </c>
      <c r="G307" s="15"/>
      <c r="H307" s="13">
        <v>0</v>
      </c>
      <c r="I307" s="14">
        <f>IFERROR(H307/H327, "NA")</f>
      </c>
      <c r="J307" s="15"/>
      <c r="K307" s="13">
        <v>0</v>
      </c>
      <c r="L307" s="14">
        <f>IFERROR(K307/K327, "NA")</f>
      </c>
      <c r="M307" s="15"/>
      <c r="N307" s="13">
        <v>0</v>
      </c>
      <c r="O307" s="14">
        <f>IFERROR(N307/N327, "NA")</f>
      </c>
    </row>
    <row r="308" ht="16.5" customHeight="1">
      <c t="s" r="A308" s="12">
        <v>311</v>
      </c>
      <c r="B308" s="13">
        <v>0</v>
      </c>
      <c r="C308" s="14">
        <f>IFERROR(B308/B327, "NA")</f>
      </c>
      <c r="D308" s="15"/>
      <c r="E308" s="13">
        <v>0</v>
      </c>
      <c r="F308" s="14">
        <f>IFERROR(E308/E327, "NA")</f>
      </c>
      <c r="G308" s="15"/>
      <c r="H308" s="13">
        <v>0</v>
      </c>
      <c r="I308" s="14">
        <f>IFERROR(H308/H327, "NA")</f>
      </c>
      <c r="J308" s="15"/>
      <c r="K308" s="13">
        <v>0</v>
      </c>
      <c r="L308" s="14">
        <f>IFERROR(K308/K327, "NA")</f>
      </c>
      <c r="M308" s="15"/>
      <c r="N308" s="13">
        <v>0</v>
      </c>
      <c r="O308" s="14">
        <f>IFERROR(N308/N327, "NA")</f>
      </c>
    </row>
    <row r="309" ht="16.5" customHeight="1">
      <c t="s" r="A309" s="12">
        <v>312</v>
      </c>
      <c r="B309" s="13">
        <v>0</v>
      </c>
      <c r="C309" s="14">
        <f>IFERROR(B309/B327, "NA")</f>
      </c>
      <c r="D309" s="15"/>
      <c r="E309" s="13">
        <v>0</v>
      </c>
      <c r="F309" s="14">
        <f>IFERROR(E309/E327, "NA")</f>
      </c>
      <c r="G309" s="15"/>
      <c r="H309" s="13">
        <v>0</v>
      </c>
      <c r="I309" s="14">
        <f>IFERROR(H309/H327, "NA")</f>
      </c>
      <c r="J309" s="15"/>
      <c r="K309" s="13">
        <v>0</v>
      </c>
      <c r="L309" s="14">
        <f>IFERROR(K309/K327, "NA")</f>
      </c>
      <c r="M309" s="15"/>
      <c r="N309" s="13">
        <v>0</v>
      </c>
      <c r="O309" s="14">
        <f>IFERROR(N309/N327, "NA")</f>
      </c>
    </row>
    <row r="310" ht="16.5" customHeight="1">
      <c t="s" r="A310" s="12">
        <v>313</v>
      </c>
      <c r="B310" s="13">
        <v>0</v>
      </c>
      <c r="C310" s="14">
        <f>IFERROR(B310/B327, "NA")</f>
      </c>
      <c r="D310" s="15"/>
      <c r="E310" s="13">
        <v>0</v>
      </c>
      <c r="F310" s="14">
        <f>IFERROR(E310/E327, "NA")</f>
      </c>
      <c r="G310" s="15"/>
      <c r="H310" s="13">
        <v>0</v>
      </c>
      <c r="I310" s="14">
        <f>IFERROR(H310/H327, "NA")</f>
      </c>
      <c r="J310" s="15"/>
      <c r="K310" s="13">
        <v>0</v>
      </c>
      <c r="L310" s="14">
        <f>IFERROR(K310/K327, "NA")</f>
      </c>
      <c r="M310" s="15"/>
      <c r="N310" s="13">
        <v>0</v>
      </c>
      <c r="O310" s="14">
        <f>IFERROR(N310/N327, "NA")</f>
      </c>
    </row>
    <row r="311" ht="16.5" customHeight="1">
      <c t="s" r="A311" s="12">
        <v>314</v>
      </c>
      <c r="B311" s="13">
        <v>0</v>
      </c>
      <c r="C311" s="14">
        <f>IFERROR(B311/B327, "NA")</f>
      </c>
      <c r="D311" s="15"/>
      <c r="E311" s="13">
        <v>0</v>
      </c>
      <c r="F311" s="14">
        <f>IFERROR(E311/E327, "NA")</f>
      </c>
      <c r="G311" s="15"/>
      <c r="H311" s="13">
        <v>0</v>
      </c>
      <c r="I311" s="14">
        <f>IFERROR(H311/H327, "NA")</f>
      </c>
      <c r="J311" s="15"/>
      <c r="K311" s="13">
        <v>0</v>
      </c>
      <c r="L311" s="14">
        <f>IFERROR(K311/K327, "NA")</f>
      </c>
      <c r="M311" s="15"/>
      <c r="N311" s="13">
        <v>0</v>
      </c>
      <c r="O311" s="14">
        <f>IFERROR(N311/N327, "NA")</f>
      </c>
    </row>
    <row r="312" ht="16.5" customHeight="1">
      <c t="s" r="A312" s="12">
        <v>315</v>
      </c>
      <c r="B312" s="13">
        <v>0</v>
      </c>
      <c r="C312" s="14">
        <f>IFERROR(B312/B327, "NA")</f>
      </c>
      <c r="D312" s="15"/>
      <c r="E312" s="13">
        <v>0</v>
      </c>
      <c r="F312" s="14">
        <f>IFERROR(E312/E327, "NA")</f>
      </c>
      <c r="G312" s="15"/>
      <c r="H312" s="13">
        <v>0</v>
      </c>
      <c r="I312" s="14">
        <f>IFERROR(H312/H327, "NA")</f>
      </c>
      <c r="J312" s="15"/>
      <c r="K312" s="13">
        <v>0</v>
      </c>
      <c r="L312" s="14">
        <f>IFERROR(K312/K327, "NA")</f>
      </c>
      <c r="M312" s="15"/>
      <c r="N312" s="13">
        <v>0</v>
      </c>
      <c r="O312" s="14">
        <f>IFERROR(N312/N327, "NA")</f>
      </c>
    </row>
    <row r="313" ht="16.5" customHeight="1">
      <c t="s" r="A313" s="12">
        <v>316</v>
      </c>
      <c r="B313" s="13">
        <v>0</v>
      </c>
      <c r="C313" s="14">
        <f>IFERROR(B313/B327, "NA")</f>
      </c>
      <c r="D313" s="15"/>
      <c r="E313" s="13">
        <v>0</v>
      </c>
      <c r="F313" s="14">
        <f>IFERROR(E313/E327, "NA")</f>
      </c>
      <c r="G313" s="15"/>
      <c r="H313" s="13">
        <v>0</v>
      </c>
      <c r="I313" s="14">
        <f>IFERROR(H313/H327, "NA")</f>
      </c>
      <c r="J313" s="15"/>
      <c r="K313" s="13">
        <v>0</v>
      </c>
      <c r="L313" s="14">
        <f>IFERROR(K313/K327, "NA")</f>
      </c>
      <c r="M313" s="15"/>
      <c r="N313" s="13">
        <v>0</v>
      </c>
      <c r="O313" s="14">
        <f>IFERROR(N313/N327, "NA")</f>
      </c>
    </row>
    <row r="314" ht="16.5" customHeight="1">
      <c t="s" r="A314" s="16">
        <v>317</v>
      </c>
      <c r="B314" s="17">
        <f>IFERROR(B287+B288+B289+B290+B291+B292+B293+B294+B295+B296+B297+B298+B299+B300+B301+B302+B303+B304+B305+B306+B307+B308+B309+B310+B311+B312+B313, "NA")</f>
      </c>
      <c r="C314" s="18">
        <f>IFERROR(B314/B327, "NA")</f>
      </c>
      <c r="D314" s="8"/>
      <c r="E314" s="17">
        <f>IFERROR(E287+E288+E289+E290+E291+E292+E293+E294+E295+E296+E297+E298+E299+E300+E301+E302+E303+E304+E305+E306+E307+E308+E309+E310+E311+E312+E313, "NA")</f>
      </c>
      <c r="F314" s="18">
        <f>IFERROR(E314/E327, "NA")</f>
      </c>
      <c r="G314" s="8"/>
      <c r="H314" s="17">
        <f>IFERROR(H287+H288+H289+H290+H291+H292+H293+H294+H295+H296+H297+H298+H299+H300+H301+H302+H303+H304+H305+H306+H307+H308+H309+H310+H311+H312+H313, "NA")</f>
      </c>
      <c r="I314" s="18">
        <f>IFERROR(H314/H327, "NA")</f>
      </c>
      <c r="J314" s="8"/>
      <c r="K314" s="17">
        <f>IFERROR(K287+K288+K289+K290+K291+K292+K293+K294+K295+K296+K297+K298+K299+K300+K301+K302+K303+K304+K305+K306+K307+K308+K309+K310+K311+K312+K313, "NA")</f>
      </c>
      <c r="L314" s="18">
        <f>IFERROR(K314/K327, "NA")</f>
      </c>
      <c r="M314" s="8"/>
      <c r="N314" s="17">
        <f>IFERROR(N287+N288+N289+N290+N291+N292+N293+N294+N295+N296+N297+N298+N299+N300+N301+N302+N303+N304+N305+N306+N307+N308+N309+N310+N311+N312+N313, "NA")</f>
      </c>
      <c r="O314" s="18">
        <f>IFERROR(N314/N327, "NA")</f>
      </c>
    </row>
    <row r="315" ht="16.5" customHeight="1">
      <c t="s" r="A315" s="11">
        <v>318</v>
      </c>
      <c r="B315" s="8"/>
      <c r="C315" s="9"/>
      <c r="D315" s="10"/>
      <c r="E315" s="8"/>
      <c r="F315" s="9"/>
      <c r="G315" s="10"/>
      <c r="H315" s="8"/>
      <c r="I315" s="9"/>
      <c r="J315" s="10"/>
      <c r="K315" s="8"/>
      <c r="L315" s="9"/>
      <c r="M315" s="10"/>
      <c r="N315" s="8"/>
      <c r="O315" s="9"/>
    </row>
    <row r="316" ht="16.5" customHeight="1">
      <c t="s" r="A316" s="12">
        <v>319</v>
      </c>
      <c r="B316" s="13">
        <v>0</v>
      </c>
      <c r="C316" s="14">
        <f>IFERROR(B316/B327, "NA")</f>
      </c>
      <c r="D316" s="15"/>
      <c r="E316" s="13">
        <v>0</v>
      </c>
      <c r="F316" s="14">
        <f>IFERROR(E316/E327, "NA")</f>
      </c>
      <c r="G316" s="15"/>
      <c r="H316" s="13">
        <v>0</v>
      </c>
      <c r="I316" s="14">
        <f>IFERROR(H316/H327, "NA")</f>
      </c>
      <c r="J316" s="15"/>
      <c r="K316" s="13">
        <v>0</v>
      </c>
      <c r="L316" s="14">
        <f>IFERROR(K316/K327, "NA")</f>
      </c>
      <c r="M316" s="15"/>
      <c r="N316" s="13">
        <v>0</v>
      </c>
      <c r="O316" s="14">
        <f>IFERROR(N316/N327, "NA")</f>
      </c>
    </row>
    <row r="317" ht="16.5" customHeight="1">
      <c t="s" r="A317" s="12">
        <v>320</v>
      </c>
      <c r="B317" s="13">
        <v>0</v>
      </c>
      <c r="C317" s="14">
        <f>IFERROR(B317/B327, "NA")</f>
      </c>
      <c r="D317" s="15"/>
      <c r="E317" s="13">
        <v>0</v>
      </c>
      <c r="F317" s="14">
        <f>IFERROR(E317/E327, "NA")</f>
      </c>
      <c r="G317" s="15"/>
      <c r="H317" s="13">
        <v>0</v>
      </c>
      <c r="I317" s="14">
        <f>IFERROR(H317/H327, "NA")</f>
      </c>
      <c r="J317" s="15"/>
      <c r="K317" s="13">
        <v>0</v>
      </c>
      <c r="L317" s="14">
        <f>IFERROR(K317/K327, "NA")</f>
      </c>
      <c r="M317" s="15"/>
      <c r="N317" s="13">
        <v>0</v>
      </c>
      <c r="O317" s="14">
        <f>IFERROR(N317/N327, "NA")</f>
      </c>
    </row>
    <row r="318" ht="16.5" customHeight="1">
      <c t="s" r="A318" s="12">
        <v>321</v>
      </c>
      <c r="B318" s="13">
        <v>0</v>
      </c>
      <c r="C318" s="14">
        <f>IFERROR(B318/B327, "NA")</f>
      </c>
      <c r="D318" s="15"/>
      <c r="E318" s="13">
        <v>0</v>
      </c>
      <c r="F318" s="14">
        <f>IFERROR(E318/E327, "NA")</f>
      </c>
      <c r="G318" s="15"/>
      <c r="H318" s="13">
        <v>0</v>
      </c>
      <c r="I318" s="14">
        <f>IFERROR(H318/H327, "NA")</f>
      </c>
      <c r="J318" s="15"/>
      <c r="K318" s="13">
        <v>0</v>
      </c>
      <c r="L318" s="14">
        <f>IFERROR(K318/K327, "NA")</f>
      </c>
      <c r="M318" s="15"/>
      <c r="N318" s="13">
        <v>0</v>
      </c>
      <c r="O318" s="14">
        <f>IFERROR(N318/N327, "NA")</f>
      </c>
    </row>
    <row r="319" ht="16.5" customHeight="1">
      <c t="s" r="A319" s="12">
        <v>322</v>
      </c>
      <c r="B319" s="13">
        <v>0</v>
      </c>
      <c r="C319" s="14">
        <f>IFERROR(B319/B327, "NA")</f>
      </c>
      <c r="D319" s="15"/>
      <c r="E319" s="13">
        <v>0</v>
      </c>
      <c r="F319" s="14">
        <f>IFERROR(E319/E327, "NA")</f>
      </c>
      <c r="G319" s="15"/>
      <c r="H319" s="13">
        <v>64.019999999999996</v>
      </c>
      <c r="I319" s="14">
        <f>IFERROR(H319/H327, "NA")</f>
      </c>
      <c r="J319" s="15"/>
      <c r="K319" s="13">
        <v>42.789999999999999</v>
      </c>
      <c r="L319" s="14">
        <f>IFERROR(K319/K327, "NA")</f>
      </c>
      <c r="M319" s="15"/>
      <c r="N319" s="13">
        <v>0</v>
      </c>
      <c r="O319" s="14">
        <f>IFERROR(N319/N327, "NA")</f>
      </c>
    </row>
    <row r="320" ht="16.5" customHeight="1">
      <c t="s" r="A320" s="12">
        <v>323</v>
      </c>
      <c r="B320" s="13">
        <v>0</v>
      </c>
      <c r="C320" s="14">
        <f>IFERROR(B320/B327, "NA")</f>
      </c>
      <c r="D320" s="15"/>
      <c r="E320" s="13">
        <v>0</v>
      </c>
      <c r="F320" s="14">
        <f>IFERROR(E320/E327, "NA")</f>
      </c>
      <c r="G320" s="15"/>
      <c r="H320" s="13">
        <v>0</v>
      </c>
      <c r="I320" s="14">
        <f>IFERROR(H320/H327, "NA")</f>
      </c>
      <c r="J320" s="15"/>
      <c r="K320" s="13">
        <v>0</v>
      </c>
      <c r="L320" s="14">
        <f>IFERROR(K320/K327, "NA")</f>
      </c>
      <c r="M320" s="15"/>
      <c r="N320" s="13">
        <v>0</v>
      </c>
      <c r="O320" s="14">
        <f>IFERROR(N320/N327, "NA")</f>
      </c>
    </row>
    <row r="321" ht="16.5" customHeight="1">
      <c t="s" r="A321" s="12">
        <v>324</v>
      </c>
      <c r="B321" s="13">
        <v>0</v>
      </c>
      <c r="C321" s="14">
        <f>IFERROR(B321/B327, "NA")</f>
      </c>
      <c r="D321" s="15"/>
      <c r="E321" s="13">
        <v>0</v>
      </c>
      <c r="F321" s="14">
        <f>IFERROR(E321/E327, "NA")</f>
      </c>
      <c r="G321" s="15"/>
      <c r="H321" s="13">
        <v>0</v>
      </c>
      <c r="I321" s="14">
        <f>IFERROR(H321/H327, "NA")</f>
      </c>
      <c r="J321" s="15"/>
      <c r="K321" s="13">
        <v>0</v>
      </c>
      <c r="L321" s="14">
        <f>IFERROR(K321/K327, "NA")</f>
      </c>
      <c r="M321" s="15"/>
      <c r="N321" s="13">
        <v>0</v>
      </c>
      <c r="O321" s="14">
        <f>IFERROR(N321/N327, "NA")</f>
      </c>
    </row>
    <row r="322" ht="16.5" customHeight="1">
      <c t="s" r="A322" s="12">
        <v>325</v>
      </c>
      <c r="B322" s="13">
        <v>0</v>
      </c>
      <c r="C322" s="14">
        <f>IFERROR(B322/B327, "NA")</f>
      </c>
      <c r="D322" s="15"/>
      <c r="E322" s="13">
        <v>0</v>
      </c>
      <c r="F322" s="14">
        <f>IFERROR(E322/E327, "NA")</f>
      </c>
      <c r="G322" s="15"/>
      <c r="H322" s="13">
        <v>0</v>
      </c>
      <c r="I322" s="14">
        <f>IFERROR(H322/H327, "NA")</f>
      </c>
      <c r="J322" s="15"/>
      <c r="K322" s="13">
        <v>0</v>
      </c>
      <c r="L322" s="14">
        <f>IFERROR(K322/K327, "NA")</f>
      </c>
      <c r="M322" s="15"/>
      <c r="N322" s="13">
        <v>0</v>
      </c>
      <c r="O322" s="14">
        <f>IFERROR(N322/N327, "NA")</f>
      </c>
    </row>
    <row r="323" ht="16.5" customHeight="1">
      <c t="s" r="A323" s="12">
        <v>326</v>
      </c>
      <c r="B323" s="13">
        <v>0</v>
      </c>
      <c r="C323" s="14">
        <f>IFERROR(B323/B327, "NA")</f>
      </c>
      <c r="D323" s="15"/>
      <c r="E323" s="13">
        <v>0</v>
      </c>
      <c r="F323" s="14">
        <f>IFERROR(E323/E327, "NA")</f>
      </c>
      <c r="G323" s="15"/>
      <c r="H323" s="13">
        <v>0</v>
      </c>
      <c r="I323" s="14">
        <f>IFERROR(H323/H327, "NA")</f>
      </c>
      <c r="J323" s="15"/>
      <c r="K323" s="13">
        <v>0</v>
      </c>
      <c r="L323" s="14">
        <f>IFERROR(K323/K327, "NA")</f>
      </c>
      <c r="M323" s="15"/>
      <c r="N323" s="13">
        <v>0</v>
      </c>
      <c r="O323" s="14">
        <f>IFERROR(N323/N327, "NA")</f>
      </c>
    </row>
    <row r="324" ht="16.5" customHeight="1">
      <c t="s" r="A324" s="16">
        <v>327</v>
      </c>
      <c r="B324" s="17">
        <f>IFERROR(B316+B317+B318+B319+B320+B321+B322+B323, "NA")</f>
      </c>
      <c r="C324" s="18">
        <f>IFERROR(B324/B327, "NA")</f>
      </c>
      <c r="D324" s="8"/>
      <c r="E324" s="17">
        <f>IFERROR(E316+E317+E318+E319+E320+E321+E322+E323, "NA")</f>
      </c>
      <c r="F324" s="18">
        <f>IFERROR(E324/E327, "NA")</f>
      </c>
      <c r="G324" s="8"/>
      <c r="H324" s="17">
        <f>IFERROR(H316+H317+H318+H319+H320+H321+H322+H323, "NA")</f>
      </c>
      <c r="I324" s="18">
        <f>IFERROR(H324/H327, "NA")</f>
      </c>
      <c r="J324" s="8"/>
      <c r="K324" s="17">
        <f>IFERROR(K316+K317+K318+K319+K320+K321+K322+K323, "NA")</f>
      </c>
      <c r="L324" s="18">
        <f>IFERROR(K324/K327, "NA")</f>
      </c>
      <c r="M324" s="8"/>
      <c r="N324" s="17">
        <f>IFERROR(N316+N317+N318+N319+N320+N321+N322+N323, "NA")</f>
      </c>
      <c r="O324" s="18">
        <f>IFERROR(N324/N327, "NA")</f>
      </c>
    </row>
    <row r="325" ht="16.5" customHeight="1">
      <c t="s" r="A325" s="20">
        <v>328</v>
      </c>
      <c r="B325" s="17">
        <f>IFERROR(B287+B288+B289+B290+B291+B292+B293+B294+B295+B296+B297+B298+B299+B300+B301+B302+B303+B304+B305+B306+B307+B308+B309+B310+B311+B312+B313+B316+B317+B318+B319+B320+B321+B322+B323, "NA")</f>
      </c>
      <c r="C325" s="18">
        <f>IFERROR(B325/B327, "NA")</f>
      </c>
      <c r="D325" s="8"/>
      <c r="E325" s="17">
        <f>IFERROR(E287+E288+E289+E290+E291+E292+E293+E294+E295+E296+E297+E298+E299+E300+E301+E302+E303+E304+E305+E306+E307+E308+E309+E310+E311+E312+E313+E316+E317+E318+E319+E320+E321+E322+E323, "NA")</f>
      </c>
      <c r="F325" s="18">
        <f>IFERROR(E325/E327, "NA")</f>
      </c>
      <c r="G325" s="8"/>
      <c r="H325" s="17">
        <f>IFERROR(H287+H288+H289+H290+H291+H292+H293+H294+H295+H296+H297+H298+H299+H300+H301+H302+H303+H304+H305+H306+H307+H308+H309+H310+H311+H312+H313+H316+H317+H318+H319+H320+H321+H322+H323, "NA")</f>
      </c>
      <c r="I325" s="18">
        <f>IFERROR(H325/H327, "NA")</f>
      </c>
      <c r="J325" s="8"/>
      <c r="K325" s="17">
        <f>IFERROR(K287+K288+K289+K290+K291+K292+K293+K294+K295+K296+K297+K298+K299+K300+K301+K302+K303+K304+K305+K306+K307+K308+K309+K310+K311+K312+K313+K316+K317+K318+K319+K320+K321+K322+K323, "NA")</f>
      </c>
      <c r="L325" s="18">
        <f>IFERROR(K325/K327, "NA")</f>
      </c>
      <c r="M325" s="8"/>
      <c r="N325" s="17">
        <f>IFERROR(N287+N288+N289+N290+N291+N292+N293+N294+N295+N296+N297+N298+N299+N300+N301+N302+N303+N304+N305+N306+N307+N308+N309+N310+N311+N312+N313+N316+N317+N318+N319+N320+N321+N322+N323, "NA")</f>
      </c>
      <c r="O325" s="18">
        <f>IFERROR(N325/N327, "NA")</f>
      </c>
    </row>
    <row r="326" ht="16.5" customHeight="1">
      <c t="s" r="A326" s="20">
        <v>329</v>
      </c>
      <c r="B326" s="17">
        <f>IFERROR(+B52-B157-B211-B284-B325, "NA")</f>
      </c>
      <c r="C326" s="18">
        <f>IFERROR(B326/B327, "NA")</f>
      </c>
      <c r="D326" s="8"/>
      <c r="E326" s="17">
        <f>IFERROR(+E52-E157-E211-E284-E325, "NA")</f>
      </c>
      <c r="F326" s="18">
        <f>IFERROR(E326/E327, "NA")</f>
      </c>
      <c r="G326" s="8"/>
      <c r="H326" s="17">
        <f>IFERROR(+H52-H157-H211-H284-H325, "NA")</f>
      </c>
      <c r="I326" s="18">
        <f>IFERROR(H326/H327, "NA")</f>
      </c>
      <c r="J326" s="8"/>
      <c r="K326" s="17">
        <f>IFERROR(+K52-K157-K211-K284-K325, "NA")</f>
      </c>
      <c r="L326" s="18">
        <f>IFERROR(K326/K327, "NA")</f>
      </c>
      <c r="M326" s="8"/>
      <c r="N326" s="17">
        <f>IFERROR(+N52-N157-N211-N284-N325, "NA")</f>
      </c>
      <c r="O326" s="18">
        <f>IFERROR(N326/N327, "NA")</f>
      </c>
    </row>
    <row r="327" hidden="1">
      <c t="s" r="A327" s="24">
        <v>55</v>
      </c>
      <c r="B327" s="13">
        <v>74119.979999999996</v>
      </c>
      <c r="C327" s="25"/>
      <c r="D327" s="15"/>
      <c r="E327" s="13">
        <v>259994.25</v>
      </c>
      <c r="F327" s="25"/>
      <c r="G327" s="15"/>
      <c r="H327" s="13">
        <v>288374.75</v>
      </c>
      <c r="I327" s="25"/>
      <c r="J327" s="15"/>
      <c r="K327" s="13">
        <v>281879.91999999998</v>
      </c>
      <c r="L327" s="25"/>
      <c r="M327" s="15"/>
      <c r="N327" s="13">
        <v>269952.15000000002</v>
      </c>
      <c r="O327" s="25"/>
    </row>
    <row r="328"/>
    <row r="329"/>
    <row r="330">
      <c t="s" r="A330" s="26">
        <v>330</v>
      </c>
    </row>
    <row r="331">
      <c t="s" r="A331" s="26">
        <v>331</v>
      </c>
    </row>
    <row r="332">
      <c t="s" r="A332" s="26">
        <v>332</v>
      </c>
    </row>
  </sheetData>
  <mergeCells count="13">
    <mergeCell ref="A1:O1"/>
    <mergeCell ref="A2:O2"/>
    <mergeCell ref="A3:O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</mergeCells>
  <ignoredErrors>
    <ignoredError sqref="A1:O332" numberStoredAsText="1"/>
  </ignoredErrors>
</worksheet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terms:created xsi:type="dcterms:W3CDTF">2026-09-01T21:37:24Z</dcterms:created>
  <dcterms:modified xsi:type="dcterms:W3CDTF">2026-09-01T21:37:24Z</dcterms:modified>
</cp:coreProperties>
</file>