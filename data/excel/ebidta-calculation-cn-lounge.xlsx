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iasLavenant\Downloads\"/>
    </mc:Choice>
  </mc:AlternateContent>
  <xr:revisionPtr revIDLastSave="0" documentId="13_ncr:1_{0B96F4BE-3915-47B8-98B8-171892EF7F54}" xr6:coauthVersionLast="47" xr6:coauthVersionMax="47" xr10:uidLastSave="{00000000-0000-0000-0000-000000000000}"/>
  <bookViews>
    <workbookView xWindow="-120" yWindow="-120" windowWidth="29040" windowHeight="15720" xr2:uid="{C2EDA614-6673-4EA7-B53D-1FAD471EC239}"/>
  </bookViews>
  <sheets>
    <sheet name="EBIDTA 2" sheetId="1" r:id="rId1"/>
    <sheet name="OPEX DATA 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9" i="1" l="1"/>
  <c r="D47" i="1"/>
  <c r="D46" i="1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8" i="2"/>
  <c r="T327" i="2" l="1"/>
  <c r="Q325" i="2"/>
  <c r="R325" i="2" s="1"/>
  <c r="N325" i="2"/>
  <c r="O325" i="2" s="1"/>
  <c r="K325" i="2"/>
  <c r="L325" i="2" s="1"/>
  <c r="Q324" i="2"/>
  <c r="R324" i="2" s="1"/>
  <c r="N324" i="2"/>
  <c r="T324" i="2" s="1"/>
  <c r="K324" i="2"/>
  <c r="L324" i="2" s="1"/>
  <c r="T323" i="2"/>
  <c r="R323" i="2"/>
  <c r="O323" i="2"/>
  <c r="L323" i="2"/>
  <c r="T322" i="2"/>
  <c r="R322" i="2"/>
  <c r="O322" i="2"/>
  <c r="L322" i="2"/>
  <c r="T321" i="2"/>
  <c r="R321" i="2"/>
  <c r="O321" i="2"/>
  <c r="L321" i="2"/>
  <c r="T320" i="2"/>
  <c r="R320" i="2"/>
  <c r="O320" i="2"/>
  <c r="L320" i="2"/>
  <c r="T319" i="2"/>
  <c r="R319" i="2"/>
  <c r="O319" i="2"/>
  <c r="L319" i="2"/>
  <c r="T318" i="2"/>
  <c r="R318" i="2"/>
  <c r="O318" i="2"/>
  <c r="L318" i="2"/>
  <c r="T317" i="2"/>
  <c r="R317" i="2"/>
  <c r="O317" i="2"/>
  <c r="L317" i="2"/>
  <c r="T316" i="2"/>
  <c r="R316" i="2"/>
  <c r="O316" i="2"/>
  <c r="L316" i="2"/>
  <c r="T315" i="2"/>
  <c r="Q314" i="2"/>
  <c r="N314" i="2"/>
  <c r="O314" i="2" s="1"/>
  <c r="K314" i="2"/>
  <c r="L314" i="2" s="1"/>
  <c r="T313" i="2"/>
  <c r="R313" i="2"/>
  <c r="O313" i="2"/>
  <c r="L313" i="2"/>
  <c r="T312" i="2"/>
  <c r="D199" i="1" s="1"/>
  <c r="R312" i="2"/>
  <c r="O312" i="2"/>
  <c r="L312" i="2"/>
  <c r="T311" i="2"/>
  <c r="D198" i="1" s="1"/>
  <c r="R311" i="2"/>
  <c r="O311" i="2"/>
  <c r="L311" i="2"/>
  <c r="T310" i="2"/>
  <c r="D197" i="1" s="1"/>
  <c r="R310" i="2"/>
  <c r="O310" i="2"/>
  <c r="L310" i="2"/>
  <c r="T309" i="2"/>
  <c r="R309" i="2"/>
  <c r="O309" i="2"/>
  <c r="L309" i="2"/>
  <c r="T308" i="2"/>
  <c r="D195" i="1" s="1"/>
  <c r="R308" i="2"/>
  <c r="O308" i="2"/>
  <c r="L308" i="2"/>
  <c r="T307" i="2"/>
  <c r="D194" i="1" s="1"/>
  <c r="R307" i="2"/>
  <c r="O307" i="2"/>
  <c r="L307" i="2"/>
  <c r="T306" i="2"/>
  <c r="R306" i="2"/>
  <c r="O306" i="2"/>
  <c r="L306" i="2"/>
  <c r="T305" i="2"/>
  <c r="R305" i="2"/>
  <c r="O305" i="2"/>
  <c r="L305" i="2"/>
  <c r="T304" i="2"/>
  <c r="D191" i="1" s="1"/>
  <c r="R304" i="2"/>
  <c r="O304" i="2"/>
  <c r="L304" i="2"/>
  <c r="D190" i="1"/>
  <c r="T303" i="2"/>
  <c r="R303" i="2"/>
  <c r="O303" i="2"/>
  <c r="L303" i="2"/>
  <c r="T302" i="2"/>
  <c r="R302" i="2"/>
  <c r="O302" i="2"/>
  <c r="L302" i="2"/>
  <c r="T301" i="2"/>
  <c r="D188" i="1" s="1"/>
  <c r="R301" i="2"/>
  <c r="O301" i="2"/>
  <c r="L301" i="2"/>
  <c r="T300" i="2"/>
  <c r="D187" i="1" s="1"/>
  <c r="R300" i="2"/>
  <c r="O300" i="2"/>
  <c r="L300" i="2"/>
  <c r="T299" i="2"/>
  <c r="R299" i="2"/>
  <c r="O299" i="2"/>
  <c r="L299" i="2"/>
  <c r="T298" i="2"/>
  <c r="D185" i="1" s="1"/>
  <c r="R298" i="2"/>
  <c r="O298" i="2"/>
  <c r="L298" i="2"/>
  <c r="T297" i="2"/>
  <c r="R297" i="2"/>
  <c r="O297" i="2"/>
  <c r="L297" i="2"/>
  <c r="D183" i="1"/>
  <c r="T296" i="2"/>
  <c r="R296" i="2"/>
  <c r="O296" i="2"/>
  <c r="L296" i="2"/>
  <c r="T295" i="2"/>
  <c r="D182" i="1" s="1"/>
  <c r="R295" i="2"/>
  <c r="O295" i="2"/>
  <c r="L295" i="2"/>
  <c r="T294" i="2"/>
  <c r="R294" i="2"/>
  <c r="O294" i="2"/>
  <c r="L294" i="2"/>
  <c r="T293" i="2"/>
  <c r="D180" i="1" s="1"/>
  <c r="R293" i="2"/>
  <c r="O293" i="2"/>
  <c r="L293" i="2"/>
  <c r="T292" i="2"/>
  <c r="R292" i="2"/>
  <c r="O292" i="2"/>
  <c r="L292" i="2"/>
  <c r="T291" i="2"/>
  <c r="D178" i="1" s="1"/>
  <c r="R291" i="2"/>
  <c r="O291" i="2"/>
  <c r="L291" i="2"/>
  <c r="D177" i="1"/>
  <c r="T290" i="2"/>
  <c r="R290" i="2"/>
  <c r="O290" i="2"/>
  <c r="L290" i="2"/>
  <c r="T289" i="2"/>
  <c r="R289" i="2"/>
  <c r="O289" i="2"/>
  <c r="L289" i="2"/>
  <c r="T288" i="2"/>
  <c r="D175" i="1" s="1"/>
  <c r="R288" i="2"/>
  <c r="O288" i="2"/>
  <c r="L288" i="2"/>
  <c r="T287" i="2"/>
  <c r="R287" i="2"/>
  <c r="O287" i="2"/>
  <c r="L287" i="2"/>
  <c r="T286" i="2"/>
  <c r="T285" i="2"/>
  <c r="Q284" i="2"/>
  <c r="R284" i="2" s="1"/>
  <c r="O284" i="2"/>
  <c r="N284" i="2"/>
  <c r="K284" i="2"/>
  <c r="T284" i="2" s="1"/>
  <c r="Q283" i="2"/>
  <c r="T283" i="2" s="1"/>
  <c r="O283" i="2"/>
  <c r="N283" i="2"/>
  <c r="K283" i="2"/>
  <c r="L283" i="2" s="1"/>
  <c r="T282" i="2"/>
  <c r="R282" i="2"/>
  <c r="O282" i="2"/>
  <c r="L282" i="2"/>
  <c r="T281" i="2"/>
  <c r="R281" i="2"/>
  <c r="O281" i="2"/>
  <c r="L281" i="2"/>
  <c r="T280" i="2"/>
  <c r="D169" i="1" s="1"/>
  <c r="R280" i="2"/>
  <c r="O280" i="2"/>
  <c r="L280" i="2"/>
  <c r="D168" i="1"/>
  <c r="T279" i="2"/>
  <c r="R279" i="2"/>
  <c r="O279" i="2"/>
  <c r="L279" i="2"/>
  <c r="T278" i="2"/>
  <c r="R278" i="2"/>
  <c r="O278" i="2"/>
  <c r="L278" i="2"/>
  <c r="T277" i="2"/>
  <c r="R277" i="2"/>
  <c r="O277" i="2"/>
  <c r="L277" i="2"/>
  <c r="T276" i="2"/>
  <c r="D165" i="1" s="1"/>
  <c r="R276" i="2"/>
  <c r="O276" i="2"/>
  <c r="L276" i="2"/>
  <c r="T275" i="2"/>
  <c r="R275" i="2"/>
  <c r="O275" i="2"/>
  <c r="L275" i="2"/>
  <c r="T274" i="2"/>
  <c r="D163" i="1" s="1"/>
  <c r="R274" i="2"/>
  <c r="O274" i="2"/>
  <c r="L274" i="2"/>
  <c r="T273" i="2"/>
  <c r="R273" i="2"/>
  <c r="O273" i="2"/>
  <c r="L273" i="2"/>
  <c r="D161" i="1"/>
  <c r="T272" i="2"/>
  <c r="R272" i="2"/>
  <c r="O272" i="2"/>
  <c r="L272" i="2"/>
  <c r="T271" i="2"/>
  <c r="D160" i="1" s="1"/>
  <c r="R271" i="2"/>
  <c r="O271" i="2"/>
  <c r="L271" i="2"/>
  <c r="T270" i="2"/>
  <c r="R270" i="2"/>
  <c r="O270" i="2"/>
  <c r="L270" i="2"/>
  <c r="T269" i="2"/>
  <c r="D158" i="1" s="1"/>
  <c r="R269" i="2"/>
  <c r="O269" i="2"/>
  <c r="L269" i="2"/>
  <c r="T268" i="2"/>
  <c r="R268" i="2"/>
  <c r="O268" i="2"/>
  <c r="L268" i="2"/>
  <c r="T267" i="2"/>
  <c r="D156" i="1" s="1"/>
  <c r="R267" i="2"/>
  <c r="O267" i="2"/>
  <c r="L267" i="2"/>
  <c r="D155" i="1"/>
  <c r="T266" i="2"/>
  <c r="R266" i="2"/>
  <c r="O266" i="2"/>
  <c r="L266" i="2"/>
  <c r="T265" i="2"/>
  <c r="R265" i="2"/>
  <c r="O265" i="2"/>
  <c r="L265" i="2"/>
  <c r="T264" i="2"/>
  <c r="Q263" i="2"/>
  <c r="R263" i="2" s="1"/>
  <c r="O263" i="2"/>
  <c r="N263" i="2"/>
  <c r="L263" i="2"/>
  <c r="K263" i="2"/>
  <c r="T263" i="2" s="1"/>
  <c r="T262" i="2"/>
  <c r="D151" i="1" s="1"/>
  <c r="R262" i="2"/>
  <c r="O262" i="2"/>
  <c r="L262" i="2"/>
  <c r="T261" i="2"/>
  <c r="R261" i="2"/>
  <c r="O261" i="2"/>
  <c r="L261" i="2"/>
  <c r="T260" i="2"/>
  <c r="D149" i="1" s="1"/>
  <c r="R260" i="2"/>
  <c r="O260" i="2"/>
  <c r="L260" i="2"/>
  <c r="T259" i="2"/>
  <c r="D148" i="1" s="1"/>
  <c r="R259" i="2"/>
  <c r="O259" i="2"/>
  <c r="L259" i="2"/>
  <c r="T258" i="2"/>
  <c r="R258" i="2"/>
  <c r="O258" i="2"/>
  <c r="L258" i="2"/>
  <c r="T257" i="2"/>
  <c r="R257" i="2"/>
  <c r="O257" i="2"/>
  <c r="L257" i="2"/>
  <c r="T256" i="2"/>
  <c r="R256" i="2"/>
  <c r="O256" i="2"/>
  <c r="L256" i="2"/>
  <c r="T255" i="2"/>
  <c r="D144" i="1" s="1"/>
  <c r="R255" i="2"/>
  <c r="O255" i="2"/>
  <c r="L255" i="2"/>
  <c r="T254" i="2"/>
  <c r="R254" i="2"/>
  <c r="O254" i="2"/>
  <c r="L254" i="2"/>
  <c r="T253" i="2"/>
  <c r="Q252" i="2"/>
  <c r="T252" i="2" s="1"/>
  <c r="O252" i="2"/>
  <c r="N252" i="2"/>
  <c r="K252" i="2"/>
  <c r="L252" i="2" s="1"/>
  <c r="T251" i="2"/>
  <c r="D140" i="1" s="1"/>
  <c r="R251" i="2"/>
  <c r="O251" i="2"/>
  <c r="L251" i="2"/>
  <c r="T250" i="2"/>
  <c r="D139" i="1" s="1"/>
  <c r="R250" i="2"/>
  <c r="O250" i="2"/>
  <c r="L250" i="2"/>
  <c r="T249" i="2"/>
  <c r="R249" i="2"/>
  <c r="O249" i="2"/>
  <c r="L249" i="2"/>
  <c r="D137" i="1"/>
  <c r="T248" i="2"/>
  <c r="R248" i="2"/>
  <c r="O248" i="2"/>
  <c r="L248" i="2"/>
  <c r="T247" i="2"/>
  <c r="D136" i="1" s="1"/>
  <c r="R247" i="2"/>
  <c r="O247" i="2"/>
  <c r="L247" i="2"/>
  <c r="T246" i="2"/>
  <c r="R246" i="2"/>
  <c r="O246" i="2"/>
  <c r="L246" i="2"/>
  <c r="T245" i="2"/>
  <c r="D134" i="1" s="1"/>
  <c r="R245" i="2"/>
  <c r="O245" i="2"/>
  <c r="L245" i="2"/>
  <c r="T244" i="2"/>
  <c r="R244" i="2"/>
  <c r="O244" i="2"/>
  <c r="L244" i="2"/>
  <c r="T243" i="2"/>
  <c r="R243" i="2"/>
  <c r="O243" i="2"/>
  <c r="L243" i="2"/>
  <c r="T242" i="2"/>
  <c r="R241" i="2"/>
  <c r="Q241" i="2"/>
  <c r="O241" i="2"/>
  <c r="N241" i="2"/>
  <c r="K241" i="2"/>
  <c r="T241" i="2" s="1"/>
  <c r="D129" i="1"/>
  <c r="T240" i="2"/>
  <c r="R240" i="2"/>
  <c r="O240" i="2"/>
  <c r="L240" i="2"/>
  <c r="T239" i="2"/>
  <c r="R239" i="2"/>
  <c r="O239" i="2"/>
  <c r="L239" i="2"/>
  <c r="T238" i="2"/>
  <c r="D127" i="1" s="1"/>
  <c r="R238" i="2"/>
  <c r="O238" i="2"/>
  <c r="L238" i="2"/>
  <c r="T237" i="2"/>
  <c r="R237" i="2"/>
  <c r="O237" i="2"/>
  <c r="L237" i="2"/>
  <c r="T236" i="2"/>
  <c r="D125" i="1" s="1"/>
  <c r="R236" i="2"/>
  <c r="O236" i="2"/>
  <c r="L236" i="2"/>
  <c r="T235" i="2"/>
  <c r="D124" i="1" s="1"/>
  <c r="R235" i="2"/>
  <c r="O235" i="2"/>
  <c r="L235" i="2"/>
  <c r="T234" i="2"/>
  <c r="R234" i="2"/>
  <c r="O234" i="2"/>
  <c r="L234" i="2"/>
  <c r="T233" i="2"/>
  <c r="R233" i="2"/>
  <c r="O233" i="2"/>
  <c r="L233" i="2"/>
  <c r="T232" i="2"/>
  <c r="R232" i="2"/>
  <c r="O232" i="2"/>
  <c r="L232" i="2"/>
  <c r="T231" i="2"/>
  <c r="D120" i="1" s="1"/>
  <c r="R231" i="2"/>
  <c r="O231" i="2"/>
  <c r="L231" i="2"/>
  <c r="T230" i="2"/>
  <c r="R230" i="2"/>
  <c r="O230" i="2"/>
  <c r="L230" i="2"/>
  <c r="T229" i="2"/>
  <c r="D118" i="1" s="1"/>
  <c r="R229" i="2"/>
  <c r="O229" i="2"/>
  <c r="L229" i="2"/>
  <c r="T228" i="2"/>
  <c r="R228" i="2"/>
  <c r="O228" i="2"/>
  <c r="L228" i="2"/>
  <c r="T227" i="2"/>
  <c r="D116" i="1" s="1"/>
  <c r="R227" i="2"/>
  <c r="O227" i="2"/>
  <c r="L227" i="2"/>
  <c r="D115" i="1"/>
  <c r="T226" i="2"/>
  <c r="R226" i="2"/>
  <c r="O226" i="2"/>
  <c r="L226" i="2"/>
  <c r="T225" i="2"/>
  <c r="R225" i="2"/>
  <c r="O225" i="2"/>
  <c r="L225" i="2"/>
  <c r="T224" i="2"/>
  <c r="D113" i="1" s="1"/>
  <c r="R224" i="2"/>
  <c r="O224" i="2"/>
  <c r="L224" i="2"/>
  <c r="T223" i="2"/>
  <c r="D112" i="1" s="1"/>
  <c r="R223" i="2"/>
  <c r="O223" i="2"/>
  <c r="L223" i="2"/>
  <c r="T222" i="2"/>
  <c r="R222" i="2"/>
  <c r="O222" i="2"/>
  <c r="L222" i="2"/>
  <c r="T221" i="2"/>
  <c r="D110" i="1" s="1"/>
  <c r="R221" i="2"/>
  <c r="O221" i="2"/>
  <c r="L221" i="2"/>
  <c r="T220" i="2"/>
  <c r="R220" i="2"/>
  <c r="O220" i="2"/>
  <c r="L220" i="2"/>
  <c r="D108" i="1"/>
  <c r="T219" i="2"/>
  <c r="R219" i="2"/>
  <c r="O219" i="2"/>
  <c r="L219" i="2"/>
  <c r="T218" i="2"/>
  <c r="R218" i="2"/>
  <c r="O218" i="2"/>
  <c r="L218" i="2"/>
  <c r="T217" i="2"/>
  <c r="R217" i="2"/>
  <c r="O217" i="2"/>
  <c r="L217" i="2"/>
  <c r="T216" i="2"/>
  <c r="R216" i="2"/>
  <c r="O216" i="2"/>
  <c r="L216" i="2"/>
  <c r="T215" i="2"/>
  <c r="R215" i="2"/>
  <c r="O215" i="2"/>
  <c r="L215" i="2"/>
  <c r="T214" i="2"/>
  <c r="R214" i="2"/>
  <c r="O214" i="2"/>
  <c r="L214" i="2"/>
  <c r="T213" i="2"/>
  <c r="T212" i="2"/>
  <c r="R211" i="2"/>
  <c r="Q211" i="2"/>
  <c r="N211" i="2"/>
  <c r="N326" i="2" s="1"/>
  <c r="O326" i="2" s="1"/>
  <c r="K211" i="2"/>
  <c r="T211" i="2" s="1"/>
  <c r="T210" i="2"/>
  <c r="R210" i="2"/>
  <c r="O210" i="2"/>
  <c r="L210" i="2"/>
  <c r="R209" i="2"/>
  <c r="Q209" i="2"/>
  <c r="T209" i="2" s="1"/>
  <c r="N209" i="2"/>
  <c r="O209" i="2" s="1"/>
  <c r="L209" i="2"/>
  <c r="K209" i="2"/>
  <c r="T208" i="2"/>
  <c r="R208" i="2"/>
  <c r="O208" i="2"/>
  <c r="L208" i="2"/>
  <c r="T207" i="2"/>
  <c r="D99" i="1" s="1"/>
  <c r="R207" i="2"/>
  <c r="O207" i="2"/>
  <c r="L207" i="2"/>
  <c r="T206" i="2"/>
  <c r="R206" i="2"/>
  <c r="O206" i="2"/>
  <c r="L206" i="2"/>
  <c r="T205" i="2"/>
  <c r="R205" i="2"/>
  <c r="O205" i="2"/>
  <c r="L205" i="2"/>
  <c r="T204" i="2"/>
  <c r="R204" i="2"/>
  <c r="O204" i="2"/>
  <c r="L204" i="2"/>
  <c r="T203" i="2"/>
  <c r="D95" i="1" s="1"/>
  <c r="R203" i="2"/>
  <c r="O203" i="2"/>
  <c r="L203" i="2"/>
  <c r="D94" i="1"/>
  <c r="T202" i="2"/>
  <c r="R202" i="2"/>
  <c r="O202" i="2"/>
  <c r="L202" i="2"/>
  <c r="T201" i="2"/>
  <c r="R201" i="2"/>
  <c r="O201" i="2"/>
  <c r="L201" i="2"/>
  <c r="T200" i="2"/>
  <c r="D92" i="1" s="1"/>
  <c r="R200" i="2"/>
  <c r="O200" i="2"/>
  <c r="L200" i="2"/>
  <c r="T199" i="2"/>
  <c r="D91" i="1" s="1"/>
  <c r="R199" i="2"/>
  <c r="O199" i="2"/>
  <c r="L199" i="2"/>
  <c r="T198" i="2"/>
  <c r="R198" i="2"/>
  <c r="O198" i="2"/>
  <c r="L198" i="2"/>
  <c r="T197" i="2"/>
  <c r="D89" i="1" s="1"/>
  <c r="R197" i="2"/>
  <c r="O197" i="2"/>
  <c r="L197" i="2"/>
  <c r="T196" i="2"/>
  <c r="R196" i="2"/>
  <c r="O196" i="2"/>
  <c r="L196" i="2"/>
  <c r="D87" i="1"/>
  <c r="T195" i="2"/>
  <c r="R195" i="2"/>
  <c r="O195" i="2"/>
  <c r="L195" i="2"/>
  <c r="T194" i="2"/>
  <c r="R194" i="2"/>
  <c r="O194" i="2"/>
  <c r="L194" i="2"/>
  <c r="T193" i="2"/>
  <c r="R193" i="2"/>
  <c r="O193" i="2"/>
  <c r="L193" i="2"/>
  <c r="T192" i="2"/>
  <c r="R192" i="2"/>
  <c r="O192" i="2"/>
  <c r="L192" i="2"/>
  <c r="T191" i="2"/>
  <c r="R191" i="2"/>
  <c r="O191" i="2"/>
  <c r="L191" i="2"/>
  <c r="T190" i="2"/>
  <c r="D82" i="1" s="1"/>
  <c r="R190" i="2"/>
  <c r="O190" i="2"/>
  <c r="L190" i="2"/>
  <c r="T189" i="2"/>
  <c r="R189" i="2"/>
  <c r="O189" i="2"/>
  <c r="L189" i="2"/>
  <c r="T188" i="2"/>
  <c r="R188" i="2"/>
  <c r="O188" i="2"/>
  <c r="L188" i="2"/>
  <c r="T187" i="2"/>
  <c r="D79" i="1" s="1"/>
  <c r="R187" i="2"/>
  <c r="O187" i="2"/>
  <c r="L187" i="2"/>
  <c r="T186" i="2"/>
  <c r="R186" i="2"/>
  <c r="O186" i="2"/>
  <c r="L186" i="2"/>
  <c r="T185" i="2"/>
  <c r="D77" i="1" s="1"/>
  <c r="R185" i="2"/>
  <c r="O185" i="2"/>
  <c r="L185" i="2"/>
  <c r="T184" i="2"/>
  <c r="D76" i="1" s="1"/>
  <c r="R184" i="2"/>
  <c r="O184" i="2"/>
  <c r="L184" i="2"/>
  <c r="T183" i="2"/>
  <c r="R183" i="2"/>
  <c r="O183" i="2"/>
  <c r="L183" i="2"/>
  <c r="T182" i="2"/>
  <c r="R182" i="2"/>
  <c r="O182" i="2"/>
  <c r="L182" i="2"/>
  <c r="T181" i="2"/>
  <c r="R181" i="2"/>
  <c r="O181" i="2"/>
  <c r="L181" i="2"/>
  <c r="T180" i="2"/>
  <c r="D72" i="1" s="1"/>
  <c r="R180" i="2"/>
  <c r="O180" i="2"/>
  <c r="L180" i="2"/>
  <c r="T179" i="2"/>
  <c r="D71" i="1" s="1"/>
  <c r="R179" i="2"/>
  <c r="O179" i="2"/>
  <c r="L179" i="2"/>
  <c r="T178" i="2"/>
  <c r="D70" i="1" s="1"/>
  <c r="R178" i="2"/>
  <c r="O178" i="2"/>
  <c r="L178" i="2"/>
  <c r="T177" i="2"/>
  <c r="R177" i="2"/>
  <c r="O177" i="2"/>
  <c r="L177" i="2"/>
  <c r="T176" i="2"/>
  <c r="R176" i="2"/>
  <c r="O176" i="2"/>
  <c r="L176" i="2"/>
  <c r="T175" i="2"/>
  <c r="R175" i="2"/>
  <c r="O175" i="2"/>
  <c r="L175" i="2"/>
  <c r="T174" i="2"/>
  <c r="R174" i="2"/>
  <c r="O174" i="2"/>
  <c r="L174" i="2"/>
  <c r="T173" i="2"/>
  <c r="D65" i="1" s="1"/>
  <c r="R173" i="2"/>
  <c r="O173" i="2"/>
  <c r="L173" i="2"/>
  <c r="T172" i="2"/>
  <c r="R172" i="2"/>
  <c r="O172" i="2"/>
  <c r="L172" i="2"/>
  <c r="T171" i="2"/>
  <c r="D63" i="1" s="1"/>
  <c r="R171" i="2"/>
  <c r="O171" i="2"/>
  <c r="L171" i="2"/>
  <c r="T170" i="2"/>
  <c r="R170" i="2"/>
  <c r="O170" i="2"/>
  <c r="L170" i="2"/>
  <c r="T169" i="2"/>
  <c r="D61" i="1" s="1"/>
  <c r="R169" i="2"/>
  <c r="O169" i="2"/>
  <c r="L169" i="2"/>
  <c r="T168" i="2"/>
  <c r="R168" i="2"/>
  <c r="O168" i="2"/>
  <c r="L168" i="2"/>
  <c r="T167" i="2"/>
  <c r="R167" i="2"/>
  <c r="O167" i="2"/>
  <c r="L167" i="2"/>
  <c r="T166" i="2"/>
  <c r="D58" i="1" s="1"/>
  <c r="R166" i="2"/>
  <c r="O166" i="2"/>
  <c r="L166" i="2"/>
  <c r="T165" i="2"/>
  <c r="R165" i="2"/>
  <c r="O165" i="2"/>
  <c r="L165" i="2"/>
  <c r="T164" i="2"/>
  <c r="D56" i="1" s="1"/>
  <c r="R164" i="2"/>
  <c r="O164" i="2"/>
  <c r="L164" i="2"/>
  <c r="T163" i="2"/>
  <c r="D55" i="1" s="1"/>
  <c r="R163" i="2"/>
  <c r="O163" i="2"/>
  <c r="L163" i="2"/>
  <c r="T162" i="2"/>
  <c r="R162" i="2"/>
  <c r="O162" i="2"/>
  <c r="L162" i="2"/>
  <c r="D53" i="1"/>
  <c r="T161" i="2"/>
  <c r="R161" i="2"/>
  <c r="O161" i="2"/>
  <c r="L161" i="2"/>
  <c r="T160" i="2"/>
  <c r="R160" i="2"/>
  <c r="O160" i="2"/>
  <c r="L160" i="2"/>
  <c r="T159" i="2"/>
  <c r="T158" i="2"/>
  <c r="T157" i="2"/>
  <c r="Q157" i="2"/>
  <c r="R157" i="2" s="1"/>
  <c r="N157" i="2"/>
  <c r="O157" i="2" s="1"/>
  <c r="K157" i="2"/>
  <c r="L157" i="2" s="1"/>
  <c r="T156" i="2"/>
  <c r="R156" i="2"/>
  <c r="O156" i="2"/>
  <c r="L156" i="2"/>
  <c r="T155" i="2"/>
  <c r="R155" i="2"/>
  <c r="O155" i="2"/>
  <c r="L155" i="2"/>
  <c r="T154" i="2"/>
  <c r="R154" i="2"/>
  <c r="O154" i="2"/>
  <c r="L154" i="2"/>
  <c r="T153" i="2"/>
  <c r="R153" i="2"/>
  <c r="O153" i="2"/>
  <c r="L153" i="2"/>
  <c r="T152" i="2"/>
  <c r="R152" i="2"/>
  <c r="O152" i="2"/>
  <c r="L152" i="2"/>
  <c r="R151" i="2"/>
  <c r="Q151" i="2"/>
  <c r="T151" i="2" s="1"/>
  <c r="O151" i="2"/>
  <c r="N151" i="2"/>
  <c r="L151" i="2"/>
  <c r="K151" i="2"/>
  <c r="T150" i="2"/>
  <c r="R150" i="2"/>
  <c r="O150" i="2"/>
  <c r="L150" i="2"/>
  <c r="T149" i="2"/>
  <c r="R149" i="2"/>
  <c r="O149" i="2"/>
  <c r="L149" i="2"/>
  <c r="T148" i="2"/>
  <c r="R148" i="2"/>
  <c r="O148" i="2"/>
  <c r="L148" i="2"/>
  <c r="T147" i="2"/>
  <c r="R147" i="2"/>
  <c r="O147" i="2"/>
  <c r="L147" i="2"/>
  <c r="T146" i="2"/>
  <c r="R146" i="2"/>
  <c r="O146" i="2"/>
  <c r="L146" i="2"/>
  <c r="T145" i="2"/>
  <c r="R145" i="2"/>
  <c r="O145" i="2"/>
  <c r="L145" i="2"/>
  <c r="T144" i="2"/>
  <c r="R143" i="2"/>
  <c r="Q143" i="2"/>
  <c r="O143" i="2"/>
  <c r="N143" i="2"/>
  <c r="K143" i="2"/>
  <c r="T143" i="2" s="1"/>
  <c r="T142" i="2"/>
  <c r="R142" i="2"/>
  <c r="O142" i="2"/>
  <c r="L142" i="2"/>
  <c r="T141" i="2"/>
  <c r="R141" i="2"/>
  <c r="O141" i="2"/>
  <c r="L141" i="2"/>
  <c r="T140" i="2"/>
  <c r="R140" i="2"/>
  <c r="O140" i="2"/>
  <c r="L140" i="2"/>
  <c r="T139" i="2"/>
  <c r="R139" i="2"/>
  <c r="O139" i="2"/>
  <c r="L139" i="2"/>
  <c r="T138" i="2"/>
  <c r="R138" i="2"/>
  <c r="O138" i="2"/>
  <c r="L138" i="2"/>
  <c r="T137" i="2"/>
  <c r="R137" i="2"/>
  <c r="O137" i="2"/>
  <c r="L137" i="2"/>
  <c r="T136" i="2"/>
  <c r="R136" i="2"/>
  <c r="O136" i="2"/>
  <c r="L136" i="2"/>
  <c r="T135" i="2"/>
  <c r="R135" i="2"/>
  <c r="O135" i="2"/>
  <c r="L135" i="2"/>
  <c r="T134" i="2"/>
  <c r="R134" i="2"/>
  <c r="O134" i="2"/>
  <c r="L134" i="2"/>
  <c r="T133" i="2"/>
  <c r="R133" i="2"/>
  <c r="O133" i="2"/>
  <c r="L133" i="2"/>
  <c r="T132" i="2"/>
  <c r="R132" i="2"/>
  <c r="O132" i="2"/>
  <c r="L132" i="2"/>
  <c r="T131" i="2"/>
  <c r="R131" i="2"/>
  <c r="O131" i="2"/>
  <c r="L131" i="2"/>
  <c r="T130" i="2"/>
  <c r="R130" i="2"/>
  <c r="O130" i="2"/>
  <c r="L130" i="2"/>
  <c r="T129" i="2"/>
  <c r="R129" i="2"/>
  <c r="O129" i="2"/>
  <c r="L129" i="2"/>
  <c r="T128" i="2"/>
  <c r="R128" i="2"/>
  <c r="O128" i="2"/>
  <c r="L128" i="2"/>
  <c r="T127" i="2"/>
  <c r="R127" i="2"/>
  <c r="O127" i="2"/>
  <c r="L127" i="2"/>
  <c r="T126" i="2"/>
  <c r="R126" i="2"/>
  <c r="O126" i="2"/>
  <c r="L126" i="2"/>
  <c r="T125" i="2"/>
  <c r="R125" i="2"/>
  <c r="O125" i="2"/>
  <c r="L125" i="2"/>
  <c r="T124" i="2"/>
  <c r="R124" i="2"/>
  <c r="O124" i="2"/>
  <c r="L124" i="2"/>
  <c r="T123" i="2"/>
  <c r="R123" i="2"/>
  <c r="O123" i="2"/>
  <c r="L123" i="2"/>
  <c r="T122" i="2"/>
  <c r="R122" i="2"/>
  <c r="O122" i="2"/>
  <c r="L122" i="2"/>
  <c r="T121" i="2"/>
  <c r="T120" i="2"/>
  <c r="R120" i="2"/>
  <c r="Q120" i="2"/>
  <c r="O120" i="2"/>
  <c r="N120" i="2"/>
  <c r="K120" i="2"/>
  <c r="L120" i="2" s="1"/>
  <c r="Q119" i="2"/>
  <c r="R119" i="2" s="1"/>
  <c r="N119" i="2"/>
  <c r="O119" i="2" s="1"/>
  <c r="K119" i="2"/>
  <c r="T118" i="2"/>
  <c r="R118" i="2"/>
  <c r="O118" i="2"/>
  <c r="L118" i="2"/>
  <c r="T117" i="2"/>
  <c r="R117" i="2"/>
  <c r="O117" i="2"/>
  <c r="L117" i="2"/>
  <c r="T116" i="2"/>
  <c r="R116" i="2"/>
  <c r="O116" i="2"/>
  <c r="L116" i="2"/>
  <c r="T115" i="2"/>
  <c r="R115" i="2"/>
  <c r="O115" i="2"/>
  <c r="L115" i="2"/>
  <c r="T114" i="2"/>
  <c r="R114" i="2"/>
  <c r="O114" i="2"/>
  <c r="L114" i="2"/>
  <c r="T113" i="2"/>
  <c r="R113" i="2"/>
  <c r="O113" i="2"/>
  <c r="L113" i="2"/>
  <c r="T112" i="2"/>
  <c r="R112" i="2"/>
  <c r="O112" i="2"/>
  <c r="L112" i="2"/>
  <c r="T111" i="2"/>
  <c r="R111" i="2"/>
  <c r="O111" i="2"/>
  <c r="L111" i="2"/>
  <c r="T110" i="2"/>
  <c r="R110" i="2"/>
  <c r="O110" i="2"/>
  <c r="L110" i="2"/>
  <c r="T109" i="2"/>
  <c r="R109" i="2"/>
  <c r="O109" i="2"/>
  <c r="L109" i="2"/>
  <c r="T108" i="2"/>
  <c r="R108" i="2"/>
  <c r="O108" i="2"/>
  <c r="L108" i="2"/>
  <c r="T107" i="2"/>
  <c r="R107" i="2"/>
  <c r="O107" i="2"/>
  <c r="L107" i="2"/>
  <c r="T106" i="2"/>
  <c r="R106" i="2"/>
  <c r="O106" i="2"/>
  <c r="L106" i="2"/>
  <c r="T105" i="2"/>
  <c r="R105" i="2"/>
  <c r="O105" i="2"/>
  <c r="L105" i="2"/>
  <c r="T104" i="2"/>
  <c r="R104" i="2"/>
  <c r="O104" i="2"/>
  <c r="L104" i="2"/>
  <c r="T103" i="2"/>
  <c r="R103" i="2"/>
  <c r="O103" i="2"/>
  <c r="L103" i="2"/>
  <c r="T102" i="2"/>
  <c r="R102" i="2"/>
  <c r="O102" i="2"/>
  <c r="L102" i="2"/>
  <c r="T101" i="2"/>
  <c r="R101" i="2"/>
  <c r="O101" i="2"/>
  <c r="L101" i="2"/>
  <c r="T100" i="2"/>
  <c r="R100" i="2"/>
  <c r="O100" i="2"/>
  <c r="L100" i="2"/>
  <c r="T99" i="2"/>
  <c r="R99" i="2"/>
  <c r="O99" i="2"/>
  <c r="L99" i="2"/>
  <c r="T98" i="2"/>
  <c r="R98" i="2"/>
  <c r="O98" i="2"/>
  <c r="L98" i="2"/>
  <c r="T97" i="2"/>
  <c r="R97" i="2"/>
  <c r="O97" i="2"/>
  <c r="L97" i="2"/>
  <c r="T96" i="2"/>
  <c r="R96" i="2"/>
  <c r="O96" i="2"/>
  <c r="L96" i="2"/>
  <c r="T95" i="2"/>
  <c r="R95" i="2"/>
  <c r="O95" i="2"/>
  <c r="L95" i="2"/>
  <c r="T94" i="2"/>
  <c r="R94" i="2"/>
  <c r="O94" i="2"/>
  <c r="L94" i="2"/>
  <c r="T93" i="2"/>
  <c r="R93" i="2"/>
  <c r="O93" i="2"/>
  <c r="L93" i="2"/>
  <c r="T92" i="2"/>
  <c r="R92" i="2"/>
  <c r="O92" i="2"/>
  <c r="L92" i="2"/>
  <c r="T91" i="2"/>
  <c r="R91" i="2"/>
  <c r="O91" i="2"/>
  <c r="L91" i="2"/>
  <c r="T90" i="2"/>
  <c r="R90" i="2"/>
  <c r="O90" i="2"/>
  <c r="L90" i="2"/>
  <c r="T89" i="2"/>
  <c r="R89" i="2"/>
  <c r="O89" i="2"/>
  <c r="L89" i="2"/>
  <c r="T88" i="2"/>
  <c r="R88" i="2"/>
  <c r="O88" i="2"/>
  <c r="L88" i="2"/>
  <c r="T87" i="2"/>
  <c r="R87" i="2"/>
  <c r="O87" i="2"/>
  <c r="L87" i="2"/>
  <c r="T86" i="2"/>
  <c r="R86" i="2"/>
  <c r="O86" i="2"/>
  <c r="L86" i="2"/>
  <c r="T85" i="2"/>
  <c r="R85" i="2"/>
  <c r="O85" i="2"/>
  <c r="L85" i="2"/>
  <c r="T84" i="2"/>
  <c r="R84" i="2"/>
  <c r="O84" i="2"/>
  <c r="L84" i="2"/>
  <c r="T83" i="2"/>
  <c r="T82" i="2"/>
  <c r="R82" i="2"/>
  <c r="O82" i="2"/>
  <c r="L82" i="2"/>
  <c r="T81" i="2"/>
  <c r="Q80" i="2"/>
  <c r="R80" i="2" s="1"/>
  <c r="O80" i="2"/>
  <c r="N80" i="2"/>
  <c r="K80" i="2"/>
  <c r="T79" i="2"/>
  <c r="R79" i="2"/>
  <c r="O79" i="2"/>
  <c r="L79" i="2"/>
  <c r="T78" i="2"/>
  <c r="R78" i="2"/>
  <c r="O78" i="2"/>
  <c r="L78" i="2"/>
  <c r="T77" i="2"/>
  <c r="Q76" i="2"/>
  <c r="R76" i="2" s="1"/>
  <c r="N76" i="2"/>
  <c r="O76" i="2" s="1"/>
  <c r="K76" i="2"/>
  <c r="L76" i="2" s="1"/>
  <c r="T75" i="2"/>
  <c r="R75" i="2"/>
  <c r="O75" i="2"/>
  <c r="L75" i="2"/>
  <c r="T74" i="2"/>
  <c r="R74" i="2"/>
  <c r="O74" i="2"/>
  <c r="L74" i="2"/>
  <c r="T73" i="2"/>
  <c r="R73" i="2"/>
  <c r="O73" i="2"/>
  <c r="L73" i="2"/>
  <c r="T72" i="2"/>
  <c r="R72" i="2"/>
  <c r="O72" i="2"/>
  <c r="L72" i="2"/>
  <c r="T71" i="2"/>
  <c r="R71" i="2"/>
  <c r="O71" i="2"/>
  <c r="L71" i="2"/>
  <c r="T70" i="2"/>
  <c r="R70" i="2"/>
  <c r="O70" i="2"/>
  <c r="L70" i="2"/>
  <c r="T69" i="2"/>
  <c r="R69" i="2"/>
  <c r="O69" i="2"/>
  <c r="L69" i="2"/>
  <c r="T68" i="2"/>
  <c r="R68" i="2"/>
  <c r="O68" i="2"/>
  <c r="L68" i="2"/>
  <c r="T67" i="2"/>
  <c r="T66" i="2"/>
  <c r="R66" i="2"/>
  <c r="O66" i="2"/>
  <c r="L66" i="2"/>
  <c r="Q65" i="2"/>
  <c r="R65" i="2" s="1"/>
  <c r="N65" i="2"/>
  <c r="L65" i="2"/>
  <c r="K65" i="2"/>
  <c r="T64" i="2"/>
  <c r="R64" i="2"/>
  <c r="O64" i="2"/>
  <c r="L64" i="2"/>
  <c r="T63" i="2"/>
  <c r="R63" i="2"/>
  <c r="O63" i="2"/>
  <c r="L63" i="2"/>
  <c r="T62" i="2"/>
  <c r="R62" i="2"/>
  <c r="O62" i="2"/>
  <c r="L62" i="2"/>
  <c r="T61" i="2"/>
  <c r="R61" i="2"/>
  <c r="O61" i="2"/>
  <c r="L61" i="2"/>
  <c r="T60" i="2"/>
  <c r="R60" i="2"/>
  <c r="O60" i="2"/>
  <c r="L60" i="2"/>
  <c r="T59" i="2"/>
  <c r="R59" i="2"/>
  <c r="O59" i="2"/>
  <c r="L59" i="2"/>
  <c r="T58" i="2"/>
  <c r="R58" i="2"/>
  <c r="O58" i="2"/>
  <c r="L58" i="2"/>
  <c r="T57" i="2"/>
  <c r="R57" i="2"/>
  <c r="O57" i="2"/>
  <c r="L57" i="2"/>
  <c r="T56" i="2"/>
  <c r="R56" i="2"/>
  <c r="O56" i="2"/>
  <c r="L56" i="2"/>
  <c r="T55" i="2"/>
  <c r="R55" i="2"/>
  <c r="O55" i="2"/>
  <c r="L55" i="2"/>
  <c r="T54" i="2"/>
  <c r="T53" i="2"/>
  <c r="Q52" i="2"/>
  <c r="T52" i="2" s="1"/>
  <c r="O52" i="2"/>
  <c r="N52" i="2"/>
  <c r="K52" i="2"/>
  <c r="L52" i="2" s="1"/>
  <c r="Q51" i="2"/>
  <c r="R51" i="2" s="1"/>
  <c r="N51" i="2"/>
  <c r="O51" i="2" s="1"/>
  <c r="K51" i="2"/>
  <c r="T51" i="2" s="1"/>
  <c r="T50" i="2"/>
  <c r="R50" i="2"/>
  <c r="O50" i="2"/>
  <c r="L50" i="2"/>
  <c r="T49" i="2"/>
  <c r="R49" i="2"/>
  <c r="O49" i="2"/>
  <c r="L49" i="2"/>
  <c r="T48" i="2"/>
  <c r="R48" i="2"/>
  <c r="O48" i="2"/>
  <c r="L48" i="2"/>
  <c r="T47" i="2"/>
  <c r="R47" i="2"/>
  <c r="O47" i="2"/>
  <c r="L47" i="2"/>
  <c r="T46" i="2"/>
  <c r="R46" i="2"/>
  <c r="O46" i="2"/>
  <c r="L46" i="2"/>
  <c r="T45" i="2"/>
  <c r="R45" i="2"/>
  <c r="O45" i="2"/>
  <c r="L45" i="2"/>
  <c r="T44" i="2"/>
  <c r="R44" i="2"/>
  <c r="O44" i="2"/>
  <c r="L44" i="2"/>
  <c r="T43" i="2"/>
  <c r="R43" i="2"/>
  <c r="O43" i="2"/>
  <c r="L43" i="2"/>
  <c r="T42" i="2"/>
  <c r="R42" i="2"/>
  <c r="O42" i="2"/>
  <c r="L42" i="2"/>
  <c r="T41" i="2"/>
  <c r="R41" i="2"/>
  <c r="O41" i="2"/>
  <c r="L41" i="2"/>
  <c r="T40" i="2"/>
  <c r="R40" i="2"/>
  <c r="O40" i="2"/>
  <c r="L40" i="2"/>
  <c r="T39" i="2"/>
  <c r="R39" i="2"/>
  <c r="O39" i="2"/>
  <c r="L39" i="2"/>
  <c r="T38" i="2"/>
  <c r="R37" i="2"/>
  <c r="Q37" i="2"/>
  <c r="O37" i="2"/>
  <c r="N37" i="2"/>
  <c r="K37" i="2"/>
  <c r="T37" i="2" s="1"/>
  <c r="T36" i="2"/>
  <c r="R36" i="2"/>
  <c r="O36" i="2"/>
  <c r="L36" i="2"/>
  <c r="T35" i="2"/>
  <c r="R35" i="2"/>
  <c r="O35" i="2"/>
  <c r="L35" i="2"/>
  <c r="T34" i="2"/>
  <c r="R34" i="2"/>
  <c r="O34" i="2"/>
  <c r="L34" i="2"/>
  <c r="T33" i="2"/>
  <c r="R33" i="2"/>
  <c r="O33" i="2"/>
  <c r="L33" i="2"/>
  <c r="T32" i="2"/>
  <c r="R32" i="2"/>
  <c r="O32" i="2"/>
  <c r="L32" i="2"/>
  <c r="T31" i="2"/>
  <c r="Q30" i="2"/>
  <c r="R30" i="2" s="1"/>
  <c r="N30" i="2"/>
  <c r="O30" i="2" s="1"/>
  <c r="K30" i="2"/>
  <c r="T29" i="2"/>
  <c r="R29" i="2"/>
  <c r="O29" i="2"/>
  <c r="L29" i="2"/>
  <c r="T28" i="2"/>
  <c r="R28" i="2"/>
  <c r="O28" i="2"/>
  <c r="L28" i="2"/>
  <c r="T27" i="2"/>
  <c r="R27" i="2"/>
  <c r="O27" i="2"/>
  <c r="L27" i="2"/>
  <c r="T26" i="2"/>
  <c r="R26" i="2"/>
  <c r="O26" i="2"/>
  <c r="L26" i="2"/>
  <c r="T25" i="2"/>
  <c r="R25" i="2"/>
  <c r="O25" i="2"/>
  <c r="L25" i="2"/>
  <c r="T24" i="2"/>
  <c r="R24" i="2"/>
  <c r="O24" i="2"/>
  <c r="L24" i="2"/>
  <c r="T23" i="2"/>
  <c r="R23" i="2"/>
  <c r="O23" i="2"/>
  <c r="L23" i="2"/>
  <c r="T22" i="2"/>
  <c r="R22" i="2"/>
  <c r="O22" i="2"/>
  <c r="L22" i="2"/>
  <c r="T21" i="2"/>
  <c r="R21" i="2"/>
  <c r="O21" i="2"/>
  <c r="L21" i="2"/>
  <c r="T20" i="2"/>
  <c r="Q19" i="2"/>
  <c r="T19" i="2" s="1"/>
  <c r="O19" i="2"/>
  <c r="N19" i="2"/>
  <c r="K19" i="2"/>
  <c r="L19" i="2" s="1"/>
  <c r="T18" i="2"/>
  <c r="R18" i="2"/>
  <c r="O18" i="2"/>
  <c r="L18" i="2"/>
  <c r="T17" i="2"/>
  <c r="R17" i="2"/>
  <c r="O17" i="2"/>
  <c r="L17" i="2"/>
  <c r="T16" i="2"/>
  <c r="R16" i="2"/>
  <c r="O16" i="2"/>
  <c r="L16" i="2"/>
  <c r="T15" i="2"/>
  <c r="R15" i="2"/>
  <c r="O15" i="2"/>
  <c r="L15" i="2"/>
  <c r="T14" i="2"/>
  <c r="R14" i="2"/>
  <c r="O14" i="2"/>
  <c r="L14" i="2"/>
  <c r="T13" i="2"/>
  <c r="R13" i="2"/>
  <c r="O13" i="2"/>
  <c r="L13" i="2"/>
  <c r="T12" i="2"/>
  <c r="T11" i="2"/>
  <c r="R11" i="2"/>
  <c r="O11" i="2"/>
  <c r="L11" i="2"/>
  <c r="Q10" i="2"/>
  <c r="R10" i="2" s="1"/>
  <c r="O10" i="2"/>
  <c r="N10" i="2"/>
  <c r="K10" i="2"/>
  <c r="L10" i="2" s="1"/>
  <c r="T9" i="2"/>
  <c r="R9" i="2"/>
  <c r="O9" i="2"/>
  <c r="L9" i="2"/>
  <c r="T8" i="2"/>
  <c r="R8" i="2"/>
  <c r="O8" i="2"/>
  <c r="L8" i="2"/>
  <c r="V1" i="2"/>
  <c r="D192" i="1" s="1"/>
  <c r="D250" i="1"/>
  <c r="B250" i="1"/>
  <c r="D249" i="1"/>
  <c r="B249" i="1"/>
  <c r="D248" i="1"/>
  <c r="B248" i="1"/>
  <c r="D247" i="1"/>
  <c r="B247" i="1"/>
  <c r="D246" i="1"/>
  <c r="B246" i="1"/>
  <c r="D245" i="1"/>
  <c r="B245" i="1"/>
  <c r="D244" i="1"/>
  <c r="B244" i="1"/>
  <c r="D243" i="1"/>
  <c r="B243" i="1"/>
  <c r="D242" i="1"/>
  <c r="B242" i="1"/>
  <c r="D241" i="1"/>
  <c r="B241" i="1"/>
  <c r="D240" i="1"/>
  <c r="B240" i="1"/>
  <c r="D239" i="1"/>
  <c r="B239" i="1"/>
  <c r="D238" i="1"/>
  <c r="B238" i="1"/>
  <c r="D237" i="1"/>
  <c r="B237" i="1"/>
  <c r="D236" i="1"/>
  <c r="B236" i="1"/>
  <c r="D235" i="1"/>
  <c r="B235" i="1"/>
  <c r="D234" i="1"/>
  <c r="B234" i="1"/>
  <c r="D233" i="1"/>
  <c r="B233" i="1"/>
  <c r="D232" i="1"/>
  <c r="B232" i="1"/>
  <c r="D231" i="1"/>
  <c r="B231" i="1"/>
  <c r="D230" i="1"/>
  <c r="B230" i="1"/>
  <c r="D229" i="1"/>
  <c r="B229" i="1"/>
  <c r="D228" i="1"/>
  <c r="B228" i="1"/>
  <c r="D227" i="1"/>
  <c r="B227" i="1"/>
  <c r="D226" i="1"/>
  <c r="B226" i="1"/>
  <c r="D225" i="1"/>
  <c r="B225" i="1"/>
  <c r="D224" i="1"/>
  <c r="B224" i="1"/>
  <c r="D223" i="1"/>
  <c r="B223" i="1"/>
  <c r="D222" i="1"/>
  <c r="B222" i="1"/>
  <c r="D221" i="1"/>
  <c r="B221" i="1"/>
  <c r="D220" i="1"/>
  <c r="B220" i="1"/>
  <c r="D219" i="1"/>
  <c r="B219" i="1"/>
  <c r="D218" i="1"/>
  <c r="B218" i="1"/>
  <c r="D217" i="1"/>
  <c r="B217" i="1"/>
  <c r="D216" i="1"/>
  <c r="B216" i="1"/>
  <c r="D215" i="1"/>
  <c r="B215" i="1"/>
  <c r="D214" i="1"/>
  <c r="B214" i="1"/>
  <c r="D213" i="1"/>
  <c r="B213" i="1"/>
  <c r="D212" i="1"/>
  <c r="B212" i="1"/>
  <c r="D211" i="1"/>
  <c r="B211" i="1"/>
  <c r="D210" i="1"/>
  <c r="B210" i="1"/>
  <c r="D209" i="1"/>
  <c r="B209" i="1"/>
  <c r="D208" i="1"/>
  <c r="B208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2" i="1"/>
  <c r="B171" i="1"/>
  <c r="B170" i="1"/>
  <c r="B169" i="1"/>
  <c r="B168" i="1"/>
  <c r="B167" i="1"/>
  <c r="D166" i="1"/>
  <c r="B166" i="1"/>
  <c r="B165" i="1"/>
  <c r="D164" i="1"/>
  <c r="B164" i="1"/>
  <c r="B163" i="1"/>
  <c r="B162" i="1"/>
  <c r="B161" i="1"/>
  <c r="B160" i="1"/>
  <c r="B159" i="1"/>
  <c r="B158" i="1"/>
  <c r="B157" i="1"/>
  <c r="B156" i="1"/>
  <c r="B155" i="1"/>
  <c r="B154" i="1"/>
  <c r="B152" i="1"/>
  <c r="B151" i="1"/>
  <c r="B150" i="1"/>
  <c r="B149" i="1"/>
  <c r="B148" i="1"/>
  <c r="B147" i="1"/>
  <c r="B146" i="1"/>
  <c r="B145" i="1"/>
  <c r="B144" i="1"/>
  <c r="B143" i="1"/>
  <c r="B141" i="1"/>
  <c r="B140" i="1"/>
  <c r="B139" i="1"/>
  <c r="B138" i="1"/>
  <c r="B137" i="1"/>
  <c r="B136" i="1"/>
  <c r="B135" i="1"/>
  <c r="B134" i="1"/>
  <c r="B133" i="1"/>
  <c r="B132" i="1"/>
  <c r="B130" i="1"/>
  <c r="B129" i="1"/>
  <c r="B128" i="1"/>
  <c r="B127" i="1"/>
  <c r="D126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D105" i="1"/>
  <c r="B105" i="1"/>
  <c r="B104" i="1"/>
  <c r="B103" i="1"/>
  <c r="B101" i="1"/>
  <c r="B100" i="1"/>
  <c r="B99" i="1"/>
  <c r="B98" i="1"/>
  <c r="D97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D84" i="1"/>
  <c r="B84" i="1"/>
  <c r="B83" i="1"/>
  <c r="B82" i="1"/>
  <c r="B81" i="1"/>
  <c r="B80" i="1"/>
  <c r="B79" i="1"/>
  <c r="B78" i="1"/>
  <c r="B77" i="1"/>
  <c r="B76" i="1"/>
  <c r="B75" i="1"/>
  <c r="D74" i="1"/>
  <c r="B74" i="1"/>
  <c r="B73" i="1"/>
  <c r="B72" i="1"/>
  <c r="B71" i="1"/>
  <c r="B70" i="1"/>
  <c r="B69" i="1"/>
  <c r="D68" i="1"/>
  <c r="B68" i="1"/>
  <c r="B67" i="1"/>
  <c r="B66" i="1"/>
  <c r="B65" i="1"/>
  <c r="B64" i="1"/>
  <c r="B63" i="1"/>
  <c r="B62" i="1"/>
  <c r="B61" i="1"/>
  <c r="D60" i="1"/>
  <c r="B60" i="1"/>
  <c r="B59" i="1"/>
  <c r="B58" i="1"/>
  <c r="B57" i="1"/>
  <c r="B56" i="1"/>
  <c r="B55" i="1"/>
  <c r="B54" i="1"/>
  <c r="B53" i="1"/>
  <c r="B52" i="1"/>
  <c r="E34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C22" i="1"/>
  <c r="C16" i="1"/>
  <c r="C15" i="1"/>
  <c r="C12" i="1"/>
  <c r="C11" i="1"/>
  <c r="C9" i="1"/>
  <c r="C8" i="1"/>
  <c r="C5" i="1"/>
  <c r="C4" i="1"/>
  <c r="D2" i="1"/>
  <c r="D15" i="1" s="1"/>
  <c r="D22" i="1" l="1"/>
  <c r="D4" i="1"/>
  <c r="D23" i="1"/>
  <c r="D9" i="1"/>
  <c r="D11" i="1"/>
  <c r="D25" i="1"/>
  <c r="D29" i="1"/>
  <c r="L51" i="2"/>
  <c r="T314" i="2"/>
  <c r="R314" i="2"/>
  <c r="T30" i="2"/>
  <c r="L30" i="2"/>
  <c r="D50" i="1"/>
  <c r="T65" i="2"/>
  <c r="O65" i="2"/>
  <c r="T119" i="2"/>
  <c r="D24" i="1"/>
  <c r="E16" i="1"/>
  <c r="D205" i="1"/>
  <c r="B207" i="1"/>
  <c r="D26" i="1"/>
  <c r="D28" i="1"/>
  <c r="D12" i="1"/>
  <c r="D27" i="1"/>
  <c r="T10" i="2"/>
  <c r="L119" i="2"/>
  <c r="D100" i="1"/>
  <c r="D121" i="1"/>
  <c r="D145" i="1"/>
  <c r="D196" i="1"/>
  <c r="L143" i="2"/>
  <c r="L211" i="2"/>
  <c r="D186" i="1"/>
  <c r="B25" i="1"/>
  <c r="R19" i="2"/>
  <c r="D64" i="1"/>
  <c r="D85" i="1"/>
  <c r="D98" i="1"/>
  <c r="D106" i="1"/>
  <c r="D119" i="1"/>
  <c r="L241" i="2"/>
  <c r="R283" i="2"/>
  <c r="K326" i="2"/>
  <c r="T325" i="2"/>
  <c r="D5" i="1"/>
  <c r="D59" i="1"/>
  <c r="O211" i="2"/>
  <c r="D114" i="1"/>
  <c r="D176" i="1"/>
  <c r="D189" i="1"/>
  <c r="T76" i="2"/>
  <c r="D67" i="1"/>
  <c r="D80" i="1"/>
  <c r="D109" i="1"/>
  <c r="D122" i="1"/>
  <c r="D138" i="1"/>
  <c r="D146" i="1"/>
  <c r="D184" i="1"/>
  <c r="O324" i="2"/>
  <c r="T80" i="2"/>
  <c r="D62" i="1"/>
  <c r="D75" i="1"/>
  <c r="D83" i="1"/>
  <c r="D96" i="1"/>
  <c r="D117" i="1"/>
  <c r="D133" i="1"/>
  <c r="D157" i="1"/>
  <c r="D170" i="1"/>
  <c r="D179" i="1"/>
  <c r="D200" i="1"/>
  <c r="E26" i="1"/>
  <c r="B24" i="1"/>
  <c r="B26" i="1"/>
  <c r="E23" i="1"/>
  <c r="L37" i="2"/>
  <c r="R52" i="2"/>
  <c r="L80" i="2"/>
  <c r="R252" i="2"/>
  <c r="L284" i="2"/>
  <c r="Q326" i="2"/>
  <c r="R326" i="2" s="1"/>
  <c r="B23" i="1"/>
  <c r="D162" i="1"/>
  <c r="D150" i="1"/>
  <c r="D93" i="1"/>
  <c r="D81" i="1"/>
  <c r="D69" i="1"/>
  <c r="D57" i="1"/>
  <c r="D181" i="1"/>
  <c r="D171" i="1"/>
  <c r="D147" i="1"/>
  <c r="D111" i="1"/>
  <c r="D90" i="1"/>
  <c r="D66" i="1"/>
  <c r="D193" i="1"/>
  <c r="D123" i="1"/>
  <c r="D54" i="1"/>
  <c r="D159" i="1"/>
  <c r="D135" i="1"/>
  <c r="D78" i="1"/>
  <c r="D73" i="1"/>
  <c r="D86" i="1"/>
  <c r="D107" i="1"/>
  <c r="D128" i="1"/>
  <c r="E25" i="1" l="1"/>
  <c r="E29" i="1"/>
  <c r="B29" i="1" s="1"/>
  <c r="E24" i="1"/>
  <c r="E30" i="1" s="1"/>
  <c r="D19" i="1" s="1"/>
  <c r="E28" i="1"/>
  <c r="B28" i="1" s="1"/>
  <c r="E27" i="1"/>
  <c r="B27" i="1" s="1"/>
  <c r="D16" i="1"/>
  <c r="D88" i="1"/>
  <c r="T326" i="2"/>
  <c r="L326" i="2"/>
  <c r="D141" i="1"/>
  <c r="D201" i="1"/>
  <c r="D30" i="1" l="1"/>
  <c r="D20" i="1"/>
  <c r="D8" i="1"/>
  <c r="D101" i="1"/>
  <c r="D10" i="1" l="1"/>
  <c r="D6" i="1"/>
  <c r="D36" i="1" l="1"/>
  <c r="D167" i="1"/>
  <c r="D172" i="1" s="1"/>
  <c r="D152" i="1"/>
  <c r="D104" i="1"/>
  <c r="D130" i="1" s="1"/>
  <c r="E130" i="1" s="1"/>
  <c r="E48" i="1"/>
  <c r="E95" i="1"/>
  <c r="E71" i="1"/>
  <c r="D35" i="1"/>
  <c r="D40" i="1" s="1"/>
  <c r="D34" i="1"/>
  <c r="D39" i="1" s="1"/>
  <c r="E77" i="1"/>
  <c r="E47" i="1"/>
  <c r="E63" i="1"/>
  <c r="D33" i="1"/>
  <c r="D38" i="1" s="1"/>
  <c r="E53" i="1"/>
  <c r="E87" i="1"/>
  <c r="E61" i="1"/>
  <c r="E192" i="1"/>
  <c r="E55" i="1"/>
  <c r="E139" i="1"/>
  <c r="E182" i="1"/>
  <c r="E89" i="1"/>
  <c r="E113" i="1"/>
  <c r="E72" i="1"/>
  <c r="E116" i="1"/>
  <c r="E105" i="1"/>
  <c r="E56" i="1"/>
  <c r="E58" i="1"/>
  <c r="E99" i="1"/>
  <c r="E112" i="1"/>
  <c r="E178" i="1"/>
  <c r="E149" i="1"/>
  <c r="E120" i="1"/>
  <c r="E137" i="1"/>
  <c r="E74" i="1"/>
  <c r="E188" i="1"/>
  <c r="E151" i="1"/>
  <c r="E97" i="1"/>
  <c r="E60" i="1"/>
  <c r="E158" i="1"/>
  <c r="E165" i="1"/>
  <c r="E129" i="1"/>
  <c r="E169" i="1"/>
  <c r="E163" i="1"/>
  <c r="E76" i="1"/>
  <c r="E136" i="1"/>
  <c r="E126" i="1"/>
  <c r="E194" i="1"/>
  <c r="E94" i="1"/>
  <c r="E175" i="1"/>
  <c r="E144" i="1"/>
  <c r="E177" i="1"/>
  <c r="E155" i="1"/>
  <c r="E161" i="1"/>
  <c r="E84" i="1"/>
  <c r="E183" i="1"/>
  <c r="E68" i="1"/>
  <c r="E134" i="1"/>
  <c r="E148" i="1"/>
  <c r="E65" i="1"/>
  <c r="E190" i="1"/>
  <c r="E168" i="1"/>
  <c r="E191" i="1"/>
  <c r="E125" i="1"/>
  <c r="E118" i="1"/>
  <c r="E46" i="1"/>
  <c r="E127" i="1"/>
  <c r="E82" i="1"/>
  <c r="E180" i="1"/>
  <c r="E92" i="1"/>
  <c r="E197" i="1"/>
  <c r="E115" i="1"/>
  <c r="E70" i="1"/>
  <c r="E195" i="1"/>
  <c r="E187" i="1"/>
  <c r="E199" i="1"/>
  <c r="E164" i="1"/>
  <c r="E140" i="1"/>
  <c r="E91" i="1"/>
  <c r="E108" i="1"/>
  <c r="E156" i="1"/>
  <c r="E79" i="1"/>
  <c r="E166" i="1"/>
  <c r="E110" i="1"/>
  <c r="E124" i="1"/>
  <c r="E198" i="1"/>
  <c r="E185" i="1"/>
  <c r="E160" i="1"/>
  <c r="E49" i="1"/>
  <c r="E157" i="1"/>
  <c r="E133" i="1"/>
  <c r="E128" i="1"/>
  <c r="E114" i="1"/>
  <c r="E186" i="1"/>
  <c r="E123" i="1"/>
  <c r="E50" i="1"/>
  <c r="E100" i="1"/>
  <c r="E111" i="1"/>
  <c r="E75" i="1"/>
  <c r="E159" i="1"/>
  <c r="E93" i="1"/>
  <c r="E67" i="1"/>
  <c r="E78" i="1"/>
  <c r="E146" i="1"/>
  <c r="E57" i="1"/>
  <c r="E145" i="1"/>
  <c r="E80" i="1"/>
  <c r="E170" i="1"/>
  <c r="E62" i="1"/>
  <c r="E176" i="1"/>
  <c r="E122" i="1"/>
  <c r="E59" i="1"/>
  <c r="E90" i="1"/>
  <c r="E85" i="1"/>
  <c r="E119" i="1"/>
  <c r="E162" i="1"/>
  <c r="E171" i="1"/>
  <c r="E109" i="1"/>
  <c r="E193" i="1"/>
  <c r="E196" i="1"/>
  <c r="E106" i="1"/>
  <c r="E121" i="1"/>
  <c r="E117" i="1"/>
  <c r="E200" i="1"/>
  <c r="E73" i="1"/>
  <c r="E64" i="1"/>
  <c r="E86" i="1"/>
  <c r="E54" i="1"/>
  <c r="E66" i="1"/>
  <c r="E107" i="1"/>
  <c r="E96" i="1"/>
  <c r="E135" i="1"/>
  <c r="E189" i="1"/>
  <c r="E147" i="1"/>
  <c r="E179" i="1"/>
  <c r="E184" i="1"/>
  <c r="E98" i="1"/>
  <c r="E150" i="1"/>
  <c r="E138" i="1"/>
  <c r="E181" i="1"/>
  <c r="E83" i="1"/>
  <c r="E81" i="1"/>
  <c r="E69" i="1"/>
  <c r="E172" i="1"/>
  <c r="E88" i="1"/>
  <c r="E141" i="1"/>
  <c r="E201" i="1"/>
  <c r="E101" i="1"/>
  <c r="D41" i="1" l="1"/>
  <c r="E41" i="1" s="1"/>
  <c r="D43" i="1"/>
  <c r="D203" i="1" l="1"/>
  <c r="E203" i="1" s="1"/>
  <c r="D207" i="1" s="1"/>
  <c r="E43" i="1"/>
</calcChain>
</file>

<file path=xl/sharedStrings.xml><?xml version="1.0" encoding="utf-8"?>
<sst xmlns="http://schemas.openxmlformats.org/spreadsheetml/2006/main" count="369" uniqueCount="354">
  <si>
    <t>DJ Cost</t>
  </si>
  <si>
    <t>Dj Cost / Sales Ratio</t>
  </si>
  <si>
    <t>Brunch Sales</t>
  </si>
  <si>
    <t>Dinner Sales</t>
  </si>
  <si>
    <t>Total Sales</t>
  </si>
  <si>
    <t>Budgeted Sales</t>
  </si>
  <si>
    <t>Holiday</t>
  </si>
  <si>
    <t>Brunch Sales Breakdown</t>
  </si>
  <si>
    <t>Dining Sales</t>
  </si>
  <si>
    <t>Bottle Service Sales</t>
  </si>
  <si>
    <t>Table Minimum Breakdown</t>
  </si>
  <si>
    <t># tables</t>
  </si>
  <si>
    <t>Avg. Minimum / Table</t>
  </si>
  <si>
    <t>LBW Sales</t>
  </si>
  <si>
    <t>Food Sales</t>
  </si>
  <si>
    <t>Beverage Sales</t>
  </si>
  <si>
    <t>LBW Cost</t>
  </si>
  <si>
    <t>Food Cost</t>
  </si>
  <si>
    <t>Beverage Cost</t>
  </si>
  <si>
    <t>COGS</t>
  </si>
  <si>
    <t>Gross Profit</t>
  </si>
  <si>
    <t>Payroll Expenses</t>
  </si>
  <si>
    <t>Management</t>
  </si>
  <si>
    <t>FOH Hourly</t>
  </si>
  <si>
    <t>BOH Hourly</t>
  </si>
  <si>
    <t>Payroll Taxes &amp; Other</t>
  </si>
  <si>
    <t>Total Payroll Expenses</t>
  </si>
  <si>
    <t>EBITDA</t>
  </si>
  <si>
    <t>DO NOT TOUCH</t>
  </si>
  <si>
    <t>`</t>
  </si>
  <si>
    <t># Weeks:</t>
  </si>
  <si>
    <t/>
  </si>
  <si>
    <t>Period 4, 2026</t>
  </si>
  <si>
    <t>Period 5, 2026</t>
  </si>
  <si>
    <t>PTD 6, 2026</t>
  </si>
  <si>
    <t>YTD</t>
  </si>
  <si>
    <t>Daily Costs</t>
  </si>
  <si>
    <t>Sales</t>
  </si>
  <si>
    <t>4010 - Food Sales</t>
  </si>
  <si>
    <t>4015 - Commissary sales</t>
  </si>
  <si>
    <t>Total Food Sales</t>
  </si>
  <si>
    <t>4020 - N/A Beverage Sales</t>
  </si>
  <si>
    <t>4100 - LBW Sales</t>
  </si>
  <si>
    <t>4105 - Liquor Sales</t>
  </si>
  <si>
    <t>4165 - Beer Sales</t>
  </si>
  <si>
    <t>4180 - Wine Sales</t>
  </si>
  <si>
    <t>4181 - Wine BTG Sales</t>
  </si>
  <si>
    <t>4182 - Wine Reserve Sales</t>
  </si>
  <si>
    <t>Total LBW Sales</t>
  </si>
  <si>
    <t>Other Sales</t>
  </si>
  <si>
    <t>4209 - Other Sales</t>
  </si>
  <si>
    <t>4210 - Retail Sales</t>
  </si>
  <si>
    <t>4211 - No show / Min not met</t>
  </si>
  <si>
    <t>4215 - Yacht sales</t>
  </si>
  <si>
    <t>4216 - Docking fees Revenue</t>
  </si>
  <si>
    <t>4220 - Membership Revenue</t>
  </si>
  <si>
    <t>4221 - Application Fee Revenue</t>
  </si>
  <si>
    <t>4230 - Retained Service Charge</t>
  </si>
  <si>
    <t>4250 - Service Sales</t>
  </si>
  <si>
    <t>Total Other Sales</t>
  </si>
  <si>
    <t>Hotel Sales</t>
  </si>
  <si>
    <t>4399 - Hotel Sales</t>
  </si>
  <si>
    <t>4301 - Accommodation</t>
  </si>
  <si>
    <t>4310 - Mini Bar</t>
  </si>
  <si>
    <t>4320 - Destination Fee</t>
  </si>
  <si>
    <t>4340 - Other Accommodation</t>
  </si>
  <si>
    <t>Total Hotel Sales</t>
  </si>
  <si>
    <t>Comps &amp; Promotions</t>
  </si>
  <si>
    <t>4900 - Comps &amp; Promotions</t>
  </si>
  <si>
    <t>4910 - Employee Discount</t>
  </si>
  <si>
    <t>4915 - Manager Meal</t>
  </si>
  <si>
    <t>4920 - Positive Comp</t>
  </si>
  <si>
    <t>4924 - Marketing/Promotions</t>
  </si>
  <si>
    <t>4925 - Customer Discounts</t>
  </si>
  <si>
    <t>4926 - Promo G/C</t>
  </si>
  <si>
    <t>4927 - Entertainment staff meal</t>
  </si>
  <si>
    <t>4930 - Negative Comp</t>
  </si>
  <si>
    <t>4933 - Training &amp; Tasting</t>
  </si>
  <si>
    <t>4934 - Corporate Comp</t>
  </si>
  <si>
    <t>4935 - Exec Comp</t>
  </si>
  <si>
    <t>Total Comps &amp; Promotions</t>
  </si>
  <si>
    <t>Prime Cost</t>
  </si>
  <si>
    <t>5009 - Food Cost</t>
  </si>
  <si>
    <t>5010 - Purchase Produce</t>
  </si>
  <si>
    <t>5020 - Purchase Dairy</t>
  </si>
  <si>
    <t>5030 - Purchase Meat</t>
  </si>
  <si>
    <t>5033 - Purchase Poultry</t>
  </si>
  <si>
    <t>5040 - Purchase Seafood</t>
  </si>
  <si>
    <t>5050 - Purchase Dry Goods</t>
  </si>
  <si>
    <t>5060 - Purchase Bread</t>
  </si>
  <si>
    <t>5070 - Purchase Food Commissary</t>
  </si>
  <si>
    <t>5090 - Purchase Family Meal DNU old</t>
  </si>
  <si>
    <t>Total Food Cost</t>
  </si>
  <si>
    <t>5080 - Purchase N/A Beverages</t>
  </si>
  <si>
    <t>5110 - LBW Cost</t>
  </si>
  <si>
    <t>5120 - Purchase Beer</t>
  </si>
  <si>
    <t>5130 - Purchase Wine BTG</t>
  </si>
  <si>
    <t>5131 - Purchase Wine</t>
  </si>
  <si>
    <t>5132 - Purchase Wine Reserve</t>
  </si>
  <si>
    <t>5170 - Purchase Liquor</t>
  </si>
  <si>
    <t>5174 - Purchase Beverage Commissary</t>
  </si>
  <si>
    <t>5175 - Purchase Bar Consumables</t>
  </si>
  <si>
    <t>Total LBW Cost</t>
  </si>
  <si>
    <t>Purchase Retail</t>
  </si>
  <si>
    <t>5200 - Purchase Retail</t>
  </si>
  <si>
    <t>5210 - Purchase Mini Bar</t>
  </si>
  <si>
    <t>Total Purchase Retail</t>
  </si>
  <si>
    <t>5400 - Payroll Expenses</t>
  </si>
  <si>
    <t>Houlry Labor</t>
  </si>
  <si>
    <t>5445 - Houlry Labor</t>
  </si>
  <si>
    <t>5430 - Line Cook</t>
  </si>
  <si>
    <t>5431 - Prep Cook</t>
  </si>
  <si>
    <t>5432 - Pastry Cook</t>
  </si>
  <si>
    <t>5433 - Sushi Cook</t>
  </si>
  <si>
    <t>5435 - Chef de Partie</t>
  </si>
  <si>
    <t>5436 - Butcher</t>
  </si>
  <si>
    <t>5439 - Food EXPO BOH</t>
  </si>
  <si>
    <t>5440 - Dishwashers</t>
  </si>
  <si>
    <t>5447 - Receiver</t>
  </si>
  <si>
    <t>5449 - BOH Contract Labor</t>
  </si>
  <si>
    <t>5450 - Bonus BOH Hourly</t>
  </si>
  <si>
    <t>5451 - Vacation BOH</t>
  </si>
  <si>
    <t>5455 - Host</t>
  </si>
  <si>
    <t>5456 - Reservationist</t>
  </si>
  <si>
    <t>5457 - Receptionnist</t>
  </si>
  <si>
    <t>5460 - Servers</t>
  </si>
  <si>
    <t>5463 - Captain</t>
  </si>
  <si>
    <t>5464 - Sommelier</t>
  </si>
  <si>
    <t>5480 - Server Assistant</t>
  </si>
  <si>
    <t>5481 - Expo FOH</t>
  </si>
  <si>
    <t>5482 - Runner</t>
  </si>
  <si>
    <t>5483 - Bartender</t>
  </si>
  <si>
    <t>5484 - Polisher</t>
  </si>
  <si>
    <t>5485 - Barback</t>
  </si>
  <si>
    <t>5486 - Barista</t>
  </si>
  <si>
    <t>5487 - Maitre d'</t>
  </si>
  <si>
    <t>5488 - Door Person</t>
  </si>
  <si>
    <t>5489 - Bathroom Attendant</t>
  </si>
  <si>
    <t>5492 - Bar Prep</t>
  </si>
  <si>
    <t>5495 - FOH Training</t>
  </si>
  <si>
    <t>5499 - FOH Contract Labor</t>
  </si>
  <si>
    <t>5600 - Dock Master</t>
  </si>
  <si>
    <t>5690 - Commissary Rebilling Labor</t>
  </si>
  <si>
    <t>5700 - 7i make up</t>
  </si>
  <si>
    <t>Total Houlry Labor</t>
  </si>
  <si>
    <t>Salaries and Wages</t>
  </si>
  <si>
    <t>5800 - Salaries and Wages</t>
  </si>
  <si>
    <t>5810 - FOH Wages</t>
  </si>
  <si>
    <t>5811 - BOH Wages</t>
  </si>
  <si>
    <t>5820 - Reservation and Guest Relations Wages</t>
  </si>
  <si>
    <t>5821 - Marketing and Events Wages</t>
  </si>
  <si>
    <t>5822 - Finance Wages</t>
  </si>
  <si>
    <t>5823 - HR Wages</t>
  </si>
  <si>
    <t>5824 - Membership Wages</t>
  </si>
  <si>
    <t>5825 - OPS Multi-Unit Wages</t>
  </si>
  <si>
    <t>5826 - Construction  Wages</t>
  </si>
  <si>
    <t>5827 - F&amp;B dept Wages</t>
  </si>
  <si>
    <t>5828 - IT dept Wages</t>
  </si>
  <si>
    <t>5829 - Asset Management Wages</t>
  </si>
  <si>
    <t>5830 - Executive Wages</t>
  </si>
  <si>
    <t>5831 - RDG Founders Fees</t>
  </si>
  <si>
    <t>5835 - Vacation/PTO/Sick</t>
  </si>
  <si>
    <t>5837 - Severance Pay</t>
  </si>
  <si>
    <t>5840 - RDG Rebilling Management</t>
  </si>
  <si>
    <t>5845 - Contract Labor</t>
  </si>
  <si>
    <t>5850 - Multi-Floor Management</t>
  </si>
  <si>
    <t>5860 - Bonus Management</t>
  </si>
  <si>
    <t>Total Salaries and Wages</t>
  </si>
  <si>
    <t>Payroll Taxes</t>
  </si>
  <si>
    <t>5950 - Payroll Taxes</t>
  </si>
  <si>
    <t>5951 - Payroll Tax Expense</t>
  </si>
  <si>
    <t>5952 - Unemployment Taxes</t>
  </si>
  <si>
    <t>5955 - Retirement plan 401K</t>
  </si>
  <si>
    <t>5960 - Workers Compensation</t>
  </si>
  <si>
    <t>5980 - Rebill Payroll Taxes &amp; Other</t>
  </si>
  <si>
    <t>Total Payroll Taxes</t>
  </si>
  <si>
    <t>5965 - Fringe Benefit - Moving Expense</t>
  </si>
  <si>
    <t>5970 - Group Health Insurance</t>
  </si>
  <si>
    <t>5971 - Group Dental Insurance</t>
  </si>
  <si>
    <t>5972 - Group Vision Insurance</t>
  </si>
  <si>
    <t>5975 - Group Life and other Insurance</t>
  </si>
  <si>
    <t>Total Prime Cost</t>
  </si>
  <si>
    <t>Operating Expense</t>
  </si>
  <si>
    <t>Direct Operating Expenses</t>
  </si>
  <si>
    <t>6100 - Direct Operating Expenses</t>
  </si>
  <si>
    <t>6105 - Automobile</t>
  </si>
  <si>
    <t>6110 - China</t>
  </si>
  <si>
    <t>6120 - Glass</t>
  </si>
  <si>
    <t>6130 - Silverware</t>
  </si>
  <si>
    <t>6200 - Bar Supplies</t>
  </si>
  <si>
    <t>6201 - Ice Expense</t>
  </si>
  <si>
    <t>6210 - Cleaning Supplies</t>
  </si>
  <si>
    <t>6230 - Kitchen Supplies</t>
  </si>
  <si>
    <t>6235 - Kitchen Equipment - Ops</t>
  </si>
  <si>
    <t>6240 - Restaurant Supplies</t>
  </si>
  <si>
    <t>6245 - Restaurant Equipment</t>
  </si>
  <si>
    <t>6246 - Hotel Amenities</t>
  </si>
  <si>
    <t>6247 - Hotel Equipment</t>
  </si>
  <si>
    <t>6250 - Menu supplies</t>
  </si>
  <si>
    <t>6260 - Chemicals/Dish Machine</t>
  </si>
  <si>
    <t>6270 - Disposable Paper Products</t>
  </si>
  <si>
    <t>6280 - Linen</t>
  </si>
  <si>
    <t>6285 - Uniforms</t>
  </si>
  <si>
    <t>6290 - Decorations &amp; Flowers</t>
  </si>
  <si>
    <t>6300 - Commission third party</t>
  </si>
  <si>
    <t>6301 - Commission on Membership</t>
  </si>
  <si>
    <t>6310 - Employee incentive</t>
  </si>
  <si>
    <t>6320 - Family Meal</t>
  </si>
  <si>
    <t>6330 - Menu Research</t>
  </si>
  <si>
    <t>6350 - Buy Out - Event Expenses</t>
  </si>
  <si>
    <t>6500 - Facility Maintenance</t>
  </si>
  <si>
    <t>6505 - Sales incentives</t>
  </si>
  <si>
    <t>6520 - Repairs - Kitchen</t>
  </si>
  <si>
    <t>6530 - Repairs - Facility</t>
  </si>
  <si>
    <t>6532 - Repair - Electrical</t>
  </si>
  <si>
    <t>6534 - Repair - HVAC</t>
  </si>
  <si>
    <t>6540 - Maintenance Contracts</t>
  </si>
  <si>
    <t>6550 - Janitorial</t>
  </si>
  <si>
    <t>6600 - Commissary Direct Opex</t>
  </si>
  <si>
    <t>6610 - License &amp; Permits</t>
  </si>
  <si>
    <t>6750 - Live Entertainment</t>
  </si>
  <si>
    <t>6755 - Members Entertainment</t>
  </si>
  <si>
    <t>6760 - MM at Sea</t>
  </si>
  <si>
    <t>6761 - Docking fees expenses</t>
  </si>
  <si>
    <t>6762 - Operating Yachting Cost</t>
  </si>
  <si>
    <t>6770 - Printing Expense</t>
  </si>
  <si>
    <t>6780 - AVA Coconut Grove</t>
  </si>
  <si>
    <t>6781 - E11even</t>
  </si>
  <si>
    <t>6782 - Vanquish CN</t>
  </si>
  <si>
    <t>6783 - Mila Cannes</t>
  </si>
  <si>
    <t>6784 - GP (Casa Neos)</t>
  </si>
  <si>
    <t>6785 - AVA research and Development</t>
  </si>
  <si>
    <t>6800 - COVID Expenses</t>
  </si>
  <si>
    <t>Total Direct Operating Expenses</t>
  </si>
  <si>
    <t>7205 - 7205(deleted)</t>
  </si>
  <si>
    <t>Total Operating Expense</t>
  </si>
  <si>
    <t>Non Controllable Expense</t>
  </si>
  <si>
    <t>General and Administrative</t>
  </si>
  <si>
    <t>7000 - General and Administrative</t>
  </si>
  <si>
    <t>7010 - Credit Card Fees</t>
  </si>
  <si>
    <t>7015 - Open Table Fees</t>
  </si>
  <si>
    <t>7020 - Dues and Subscriptions</t>
  </si>
  <si>
    <t>7040 - Payroll Processing Fees</t>
  </si>
  <si>
    <t>7050 - Fire &amp; Security</t>
  </si>
  <si>
    <t>7060 - Postage &amp; Delivery</t>
  </si>
  <si>
    <t>7070 - Storage facility</t>
  </si>
  <si>
    <t>7080 - Office Supplies</t>
  </si>
  <si>
    <t>7090 - Computer Supplies</t>
  </si>
  <si>
    <t>7091 - IT Support</t>
  </si>
  <si>
    <t>7092 - IT AI solutions</t>
  </si>
  <si>
    <t>7100 - Cash Short (Over)</t>
  </si>
  <si>
    <t>7110 - Bank Fees</t>
  </si>
  <si>
    <t>7120 - Bad Debts</t>
  </si>
  <si>
    <t>7130 - Business Taxes</t>
  </si>
  <si>
    <t>7140 - Personnel &amp; Recruiting Expenses</t>
  </si>
  <si>
    <t>7145 - Employee settlement</t>
  </si>
  <si>
    <t>7146 - Guest Settlement/Dispute</t>
  </si>
  <si>
    <t>7150 - Training &amp; Seminars</t>
  </si>
  <si>
    <t>7160 - Travel</t>
  </si>
  <si>
    <t>7170 - Meals</t>
  </si>
  <si>
    <t>7175 - General Liability Insurance</t>
  </si>
  <si>
    <t>7176 - Equipment Rental</t>
  </si>
  <si>
    <t>7177 - Parking - Team</t>
  </si>
  <si>
    <t>7178 - Parking - Customer</t>
  </si>
  <si>
    <t>7180 - Commissary General Administrative</t>
  </si>
  <si>
    <t>Total General and Administrative</t>
  </si>
  <si>
    <t>Utilities</t>
  </si>
  <si>
    <t>7500 - Utilities</t>
  </si>
  <si>
    <t>7510 - Telephone</t>
  </si>
  <si>
    <t>7520 - Internet</t>
  </si>
  <si>
    <t>7530 - Cable &amp; Music</t>
  </si>
  <si>
    <t>7540 - Electricity</t>
  </si>
  <si>
    <t>7550 - Gas</t>
  </si>
  <si>
    <t>7570 - Garbage/Recycle</t>
  </si>
  <si>
    <t>7580 - Water &amp; Sewer</t>
  </si>
  <si>
    <t>7700 - Commissary Utilities</t>
  </si>
  <si>
    <t>Total Utilities</t>
  </si>
  <si>
    <t>Occupancy</t>
  </si>
  <si>
    <t>7900 - Occupancy</t>
  </si>
  <si>
    <t>7910 - Rent</t>
  </si>
  <si>
    <t>7911 - Percentage Rent</t>
  </si>
  <si>
    <t>7912 - Prior Year Rent Exp</t>
  </si>
  <si>
    <t>7920 - CAM Charges</t>
  </si>
  <si>
    <t>7930 - Commissary Occupancy</t>
  </si>
  <si>
    <t>7940 - Property Tax</t>
  </si>
  <si>
    <t>9212 - Depreciation ROU</t>
  </si>
  <si>
    <t>9213 - Interest ROU</t>
  </si>
  <si>
    <t>Total Occupancy</t>
  </si>
  <si>
    <t>Other (Income) Expenses</t>
  </si>
  <si>
    <t>8000 - Other (Income) Expenses</t>
  </si>
  <si>
    <t>8010 - Interest Income</t>
  </si>
  <si>
    <t>8020 - Net Rental Real Estate Income/(Loss)</t>
  </si>
  <si>
    <t>8030 - Miscellaneous Income</t>
  </si>
  <si>
    <t>8051 - Mgmt Fee Income - MILA</t>
  </si>
  <si>
    <t>8052 - Mgmt Fee Income - MILA II</t>
  </si>
  <si>
    <t>8053 - Mgmt Fee Income - AVA</t>
  </si>
  <si>
    <t>8054 - Mgmt Fee Income - Baoli</t>
  </si>
  <si>
    <t>8055 - Mgmt Fee Income - CASA NEOS</t>
  </si>
  <si>
    <t>8056 - Mgmt Fee Income - CLAUDIE</t>
  </si>
  <si>
    <t>8057 - Mgmt Fee Income - MMembers</t>
  </si>
  <si>
    <t>8058 - Mgmt Fee Income - AVA CG</t>
  </si>
  <si>
    <t>8059 - Mgmt Fee Income - CN LOUNGE</t>
  </si>
  <si>
    <t>8090 - Service Charge Retained</t>
  </si>
  <si>
    <t>8094 - Private Event Income</t>
  </si>
  <si>
    <t>8095 - Private Event COMM Paid (Wages)</t>
  </si>
  <si>
    <t>8098 - Auto Gratuity Received</t>
  </si>
  <si>
    <t>8099 - Auto Gratuity Wages</t>
  </si>
  <si>
    <t>Total Other (Income) Expenses</t>
  </si>
  <si>
    <t>Total Non Controllable Expense</t>
  </si>
  <si>
    <t>Corporate Overhead &amp; Other</t>
  </si>
  <si>
    <t>Corporate Overhead</t>
  </si>
  <si>
    <t>9000 - Corporate Overhead</t>
  </si>
  <si>
    <t>9010 - Interest Expense</t>
  </si>
  <si>
    <t>9020 - Professional Fees</t>
  </si>
  <si>
    <t>9030 - Management Fee Expense</t>
  </si>
  <si>
    <t>9045 - Donation</t>
  </si>
  <si>
    <t>9050 - Public Relations</t>
  </si>
  <si>
    <t>9055 - Advertising</t>
  </si>
  <si>
    <t>9060 - Marketing</t>
  </si>
  <si>
    <t>9061 - Promotion Branded Items</t>
  </si>
  <si>
    <t>9062 - New Market Development</t>
  </si>
  <si>
    <t>9065 - Accounting Fees</t>
  </si>
  <si>
    <t>9070 - Executive Bonus</t>
  </si>
  <si>
    <t>9071 - Stock Options Compensation</t>
  </si>
  <si>
    <t>9075 - Federal Tax Expense</t>
  </si>
  <si>
    <t>9080 - Royalty fees</t>
  </si>
  <si>
    <t>9100 - Loan Fees - RDG</t>
  </si>
  <si>
    <t>9205 - Depreciation Expense</t>
  </si>
  <si>
    <t>9210 - (Gain)/Loss on Asset Disposal</t>
  </si>
  <si>
    <t>9211 - Deferred Rent Expense (GAAP)</t>
  </si>
  <si>
    <t>9221 - Guaranteed Payments</t>
  </si>
  <si>
    <t>9222 - GP - Medical</t>
  </si>
  <si>
    <t>9225 - Tax Expense State</t>
  </si>
  <si>
    <t>9312 - Executive Salary G&amp;A</t>
  </si>
  <si>
    <t>9345 - Life Insurance</t>
  </si>
  <si>
    <t>9346 - Penalties and fines</t>
  </si>
  <si>
    <t>9500 - Equity in Earnings of Subs</t>
  </si>
  <si>
    <t>9501 - Income Tax Expense (GAAP)</t>
  </si>
  <si>
    <t>Total Corporate Overhead</t>
  </si>
  <si>
    <t>New Location</t>
  </si>
  <si>
    <t>9400 - New Location</t>
  </si>
  <si>
    <t>9410 - New Location COGS</t>
  </si>
  <si>
    <t>9420 - New Location Labor</t>
  </si>
  <si>
    <t>9430 - New Location Operating Cost</t>
  </si>
  <si>
    <t>9440 - New Location Marketing</t>
  </si>
  <si>
    <t>9450 - New Location G&amp;A</t>
  </si>
  <si>
    <t>9460 - New Location Other Expenses</t>
  </si>
  <si>
    <t>9470 - New Location Revenue</t>
  </si>
  <si>
    <t>Total New Location</t>
  </si>
  <si>
    <t>Total Corporate Overhead &amp; Other</t>
  </si>
  <si>
    <t>Net Profit</t>
  </si>
  <si>
    <t>Powered by Restaurant365</t>
  </si>
  <si>
    <t>1</t>
  </si>
  <si>
    <t>08/24/2026 07:31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</si>
</sst>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0.0%"/>
    <numFmt numFmtId="166" formatCode="&quot;$&quot;#,##0"/>
    <numFmt numFmtId="167" formatCode="0.0"/>
    <numFmt numFmtId="168" formatCode="#,##0.0%"/>
    <numFmt numFmtId="169" formatCode="#,##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4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i/>
      <sz val="12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sz val="12"/>
      <color theme="9" tint="-0.499984740745262"/>
      <name val="Aptos Narrow"/>
      <family val="2"/>
      <scheme val="minor"/>
    </font>
    <font>
      <b/>
      <sz val="12"/>
      <color theme="9" tint="-0.499984740745262"/>
      <name val="Aptos Narrow"/>
      <family val="2"/>
      <scheme val="minor"/>
    </font>
    <font>
      <b/>
      <sz val="12"/>
      <color rgb="FF156082"/>
      <name val="Aptos Narrow"/>
      <family val="2"/>
      <scheme val="minor"/>
    </font>
    <font>
      <b/>
      <sz val="12"/>
      <color rgb="FF696969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8"/>
      <name val="Aptos Narrow"/>
      <family val="2"/>
      <scheme val="minor"/>
    </font>
    <font>
      <i/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05D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B9D7FC"/>
      </patternFill>
    </fill>
    <fill>
      <patternFill patternType="solid">
        <fgColor rgb="FFB9D7F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4" fillId="2" borderId="0" xfId="0" applyNumberFormat="1" applyFont="1" applyFill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65" fontId="5" fillId="2" borderId="0" xfId="1" applyNumberFormat="1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6" fontId="7" fillId="2" borderId="0" xfId="1" applyNumberFormat="1" applyFont="1" applyFill="1" applyAlignment="1">
      <alignment horizontal="center" vertical="center"/>
    </xf>
    <xf numFmtId="2" fontId="7" fillId="2" borderId="0" xfId="1" applyNumberFormat="1" applyFont="1" applyFill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0" fontId="6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166" fontId="6" fillId="2" borderId="0" xfId="0" applyNumberFormat="1" applyFont="1" applyFill="1" applyAlignment="1">
      <alignment vertical="center"/>
    </xf>
    <xf numFmtId="165" fontId="7" fillId="2" borderId="0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166" fontId="9" fillId="2" borderId="0" xfId="0" applyNumberFormat="1" applyFont="1" applyFill="1" applyAlignment="1">
      <alignment vertical="center"/>
    </xf>
    <xf numFmtId="165" fontId="10" fillId="2" borderId="0" xfId="1" applyNumberFormat="1" applyFont="1" applyFill="1" applyAlignment="1">
      <alignment horizontal="center" vertical="center"/>
    </xf>
    <xf numFmtId="166" fontId="0" fillId="2" borderId="0" xfId="0" applyNumberFormat="1" applyFill="1" applyAlignment="1">
      <alignment vertical="center"/>
    </xf>
    <xf numFmtId="167" fontId="11" fillId="3" borderId="5" xfId="1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" fontId="1" fillId="2" borderId="0" xfId="0" applyNumberFormat="1" applyFont="1" applyFill="1" applyAlignment="1">
      <alignment horizontal="center" vertical="center"/>
    </xf>
    <xf numFmtId="1" fontId="8" fillId="2" borderId="0" xfId="1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6" fontId="6" fillId="2" borderId="6" xfId="0" applyNumberFormat="1" applyFont="1" applyFill="1" applyBorder="1" applyAlignment="1">
      <alignment vertical="center"/>
    </xf>
    <xf numFmtId="1" fontId="6" fillId="2" borderId="6" xfId="0" applyNumberFormat="1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vertical="center"/>
    </xf>
    <xf numFmtId="165" fontId="7" fillId="4" borderId="4" xfId="1" applyNumberFormat="1" applyFont="1" applyFill="1" applyBorder="1" applyAlignment="1">
      <alignment horizontal="center" vertical="center"/>
    </xf>
    <xf numFmtId="4" fontId="6" fillId="6" borderId="4" xfId="0" applyNumberFormat="1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center" vertical="center"/>
    </xf>
    <xf numFmtId="166" fontId="6" fillId="6" borderId="4" xfId="0" applyNumberFormat="1" applyFont="1" applyFill="1" applyBorder="1" applyAlignment="1">
      <alignment vertical="center"/>
    </xf>
    <xf numFmtId="165" fontId="7" fillId="6" borderId="4" xfId="1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center" vertical="center"/>
    </xf>
    <xf numFmtId="166" fontId="6" fillId="4" borderId="7" xfId="0" applyNumberFormat="1" applyFont="1" applyFill="1" applyBorder="1" applyAlignment="1">
      <alignment vertical="center"/>
    </xf>
    <xf numFmtId="165" fontId="7" fillId="4" borderId="7" xfId="1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166" fontId="6" fillId="4" borderId="0" xfId="0" applyNumberFormat="1" applyFont="1" applyFill="1" applyAlignment="1">
      <alignment vertical="center"/>
    </xf>
    <xf numFmtId="165" fontId="7" fillId="4" borderId="0" xfId="1" applyNumberFormat="1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4" fontId="0" fillId="2" borderId="5" xfId="0" applyNumberForma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0" fontId="13" fillId="7" borderId="0" xfId="0" applyFont="1" applyFill="1" applyAlignment="1">
      <alignment horizontal="right"/>
    </xf>
    <xf numFmtId="0" fontId="13" fillId="7" borderId="0" xfId="0" applyFont="1" applyFill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14" fillId="9" borderId="0" xfId="0" applyFont="1" applyFill="1" applyAlignment="1">
      <alignment horizont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4" fontId="15" fillId="0" borderId="0" xfId="0" applyNumberFormat="1" applyFont="1" applyAlignment="1">
      <alignment vertical="center"/>
    </xf>
    <xf numFmtId="168" fontId="16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4" fontId="9" fillId="0" borderId="0" xfId="0" applyNumberFormat="1" applyFont="1" applyAlignment="1">
      <alignment vertical="center"/>
    </xf>
    <xf numFmtId="168" fontId="17" fillId="0" borderId="0" xfId="0" applyNumberFormat="1" applyFont="1" applyAlignment="1">
      <alignment horizontal="right" vertical="center"/>
    </xf>
    <xf numFmtId="4" fontId="0" fillId="0" borderId="0" xfId="0" applyNumberFormat="1"/>
    <xf numFmtId="4" fontId="15" fillId="0" borderId="0" xfId="0" applyNumberFormat="1" applyFont="1" applyAlignment="1">
      <alignment horizontal="left" vertical="center" wrapText="1" indent="1"/>
    </xf>
    <xf numFmtId="4" fontId="15" fillId="0" borderId="0" xfId="0" applyNumberFormat="1" applyFont="1" applyAlignment="1">
      <alignment horizontal="right" vertical="center"/>
    </xf>
    <xf numFmtId="168" fontId="16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 indent="1"/>
    </xf>
    <xf numFmtId="4" fontId="15" fillId="0" borderId="0" xfId="0" applyNumberFormat="1" applyFont="1" applyAlignment="1">
      <alignment horizontal="left" vertical="center" wrapText="1"/>
    </xf>
    <xf numFmtId="0" fontId="15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3"/>
    </xf>
    <xf numFmtId="4" fontId="15" fillId="0" borderId="0" xfId="0" applyNumberFormat="1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/>
    </xf>
    <xf numFmtId="169" fontId="17" fillId="0" borderId="0" xfId="0" applyNumberFormat="1" applyFont="1" applyAlignment="1">
      <alignment vertical="center"/>
    </xf>
    <xf numFmtId="0" fontId="9" fillId="0" borderId="0" xfId="0" applyFont="1"/>
    <xf numFmtId="164" fontId="0" fillId="2" borderId="0" xfId="0" applyNumberFormat="1" applyFill="1" applyAlignment="1">
      <alignment horizontal="center" vertical="center"/>
    </xf>
    <xf numFmtId="166" fontId="6" fillId="4" borderId="4" xfId="0" applyNumberFormat="1" applyFont="1" applyFill="1" applyBorder="1" applyAlignment="1">
      <alignment horizontal="center" vertical="center"/>
    </xf>
    <xf numFmtId="166" fontId="6" fillId="5" borderId="4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166" fontId="12" fillId="3" borderId="5" xfId="0" applyNumberFormat="1" applyFont="1" applyFill="1" applyBorder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166" fontId="6" fillId="3" borderId="3" xfId="0" applyNumberFormat="1" applyFont="1" applyFill="1" applyBorder="1" applyAlignment="1">
      <alignment horizontal="center" vertical="center"/>
    </xf>
    <xf numFmtId="2" fontId="6" fillId="3" borderId="2" xfId="1" applyNumberFormat="1" applyFont="1" applyFill="1" applyBorder="1" applyAlignment="1">
      <alignment horizontal="center" vertical="center"/>
    </xf>
    <xf numFmtId="2" fontId="6" fillId="3" borderId="3" xfId="1" applyNumberFormat="1" applyFon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4" fontId="14" fillId="8" borderId="0" xfId="0" applyNumberFormat="1" applyFont="1" applyFill="1" applyAlignment="1">
      <alignment horizontal="center" vertical="center" wrapText="1"/>
    </xf>
    <xf numFmtId="168" fontId="14" fillId="8" borderId="0" xfId="0" applyNumberFormat="1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rivieradininggroup.sharepoint.com/sites/RivieraDiningGroup/Shared%20Documents/Finance/ACCOUNTING/CONTROLLER/2%20-%20FP&amp;A/1%20-%20FP&amp;A/10%20-%20RDG/10%20-%20Sales/ROI%20MINIMUM%20FLASH/CASA%20NEOS/CASA%20NEOS%20DJ%20ROI%20-%20Minimums%20-%202026.xlsx" TargetMode="External"/><Relationship Id="rId2" Type="http://schemas.microsoft.com/office/2019/04/relationships/externalLinkLongPath" Target="https://rivieradininggroup.sharepoint.com/sites/RivieraDiningGroup/Shared%20Documents/Finance/ACCOUNTING/CONTROLLER/2%20-%20FP&amp;A/1%20-%20FP&amp;A/10%20-%20RDG/10%20-%20Sales/ROI%20MINIMUM%20FLASH/CASA%20NEOS/CASA%20NEOS%20DJ%20ROI%20-%20Minimums%20-%202026.xlsx?3E2C4827" TargetMode="External"/><Relationship Id="rId1" Type="http://schemas.openxmlformats.org/officeDocument/2006/relationships/externalLinkPath" Target="file:///\\3E2C4827\CASA%20NEOS%20DJ%20ROI%20-%20Minimums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C7zg-pyRUWD1dffX6ZYFmEABhQBbZhNrnNTTTFffo-sxdBNOnRvRLBDbQKsYGY8" itemId="01NVXZN74N7PSWDM3XFZH23NAK3BSOTF5S">
      <xxl21:absoluteUrl r:id="rId3"/>
    </xxl21:alternateUrls>
    <sheetNames>
      <sheetName val="HUGO &amp; CHRISTOPHE -&gt;"/>
      <sheetName val="Sheet4"/>
      <sheetName val="Sheet1"/>
      <sheetName val="DATA DJ"/>
      <sheetName val="2025 data"/>
      <sheetName val="DJ DATABASE"/>
      <sheetName val="MATTHIAS -&gt;"/>
      <sheetName val="PAST "/>
      <sheetName val="MoM Performance"/>
      <sheetName val="SALES DROP"/>
      <sheetName val="Act. Vs. For. Reporting"/>
      <sheetName val="Overview 2026"/>
      <sheetName val="EBIDTA TABLE ( BUDGET )"/>
      <sheetName val="DJ Minimum Tiers"/>
      <sheetName val="Floor Plan Bottle Service"/>
      <sheetName val="Sheet5"/>
      <sheetName val="EBIDTA TABLE ( ACTUAL )"/>
      <sheetName val="EBIDTA 2"/>
      <sheetName val="LEX &amp; AGENTS -&gt;"/>
      <sheetName val="FLASH LEX"/>
      <sheetName val="DROP FOURVENUES"/>
      <sheetName val="Minimum Reporting"/>
      <sheetName val="Sheet3"/>
      <sheetName val="Sheet2"/>
      <sheetName val="Budget"/>
      <sheetName val="NYE Week"/>
      <sheetName val="DJ VISIBILITY -&gt;"/>
      <sheetName val="REF"/>
      <sheetName val="Bottle Service"/>
      <sheetName val="OPEX Data"/>
      <sheetName val="OPEX DATA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C3">
            <v>2</v>
          </cell>
          <cell r="D3">
            <v>3</v>
          </cell>
          <cell r="F3">
            <v>5</v>
          </cell>
          <cell r="H3">
            <v>7</v>
          </cell>
          <cell r="J3">
            <v>9</v>
          </cell>
          <cell r="L3">
            <v>11</v>
          </cell>
          <cell r="O3">
            <v>14</v>
          </cell>
          <cell r="R3">
            <v>17</v>
          </cell>
          <cell r="W3">
            <v>22</v>
          </cell>
          <cell r="X3">
            <v>23</v>
          </cell>
          <cell r="Y3">
            <v>24</v>
          </cell>
          <cell r="Z3">
            <v>25</v>
          </cell>
          <cell r="AA3">
            <v>26</v>
          </cell>
          <cell r="AB3">
            <v>27</v>
          </cell>
          <cell r="AC3">
            <v>28</v>
          </cell>
        </row>
        <row r="6">
          <cell r="Q6" t="str">
            <v>Minimum</v>
          </cell>
          <cell r="R6" t="str">
            <v>Location</v>
          </cell>
          <cell r="U6" t="str">
            <v>Total</v>
          </cell>
          <cell r="V6" t="str">
            <v>Over / Short</v>
          </cell>
          <cell r="W6">
            <v>3</v>
          </cell>
          <cell r="X6">
            <v>2</v>
          </cell>
          <cell r="Y6">
            <v>13</v>
          </cell>
          <cell r="Z6">
            <v>5</v>
          </cell>
          <cell r="AA6">
            <v>5</v>
          </cell>
          <cell r="AB6">
            <v>19</v>
          </cell>
          <cell r="AC6">
            <v>0</v>
          </cell>
        </row>
        <row r="7">
          <cell r="B7">
            <v>46026</v>
          </cell>
          <cell r="D7">
            <v>0</v>
          </cell>
          <cell r="E7">
            <v>233500</v>
          </cell>
          <cell r="F7">
            <v>81000</v>
          </cell>
          <cell r="G7">
            <v>85000</v>
          </cell>
          <cell r="H7">
            <v>67500</v>
          </cell>
          <cell r="J7" t="str">
            <v xml:space="preserve">JAN BLOMQVIST </v>
          </cell>
          <cell r="K7" t="str">
            <v>Booked</v>
          </cell>
          <cell r="L7">
            <v>42500</v>
          </cell>
          <cell r="M7">
            <v>0.5</v>
          </cell>
          <cell r="N7">
            <v>0.34791443560721924</v>
          </cell>
          <cell r="O7">
            <v>2</v>
          </cell>
          <cell r="Q7">
            <v>85000</v>
          </cell>
          <cell r="R7" t="str">
            <v>Beach Club</v>
          </cell>
          <cell r="S7">
            <v>28</v>
          </cell>
          <cell r="T7">
            <v>3035.7142857142858</v>
          </cell>
          <cell r="U7">
            <v>161500</v>
          </cell>
          <cell r="V7">
            <v>76500</v>
          </cell>
          <cell r="W7">
            <v>8500</v>
          </cell>
          <cell r="X7">
            <v>7000</v>
          </cell>
          <cell r="Y7">
            <v>6500</v>
          </cell>
          <cell r="Z7">
            <v>4500</v>
          </cell>
          <cell r="AA7">
            <v>3000</v>
          </cell>
        </row>
        <row r="8">
          <cell r="B8">
            <v>46032</v>
          </cell>
          <cell r="D8">
            <v>0</v>
          </cell>
          <cell r="E8">
            <v>271500</v>
          </cell>
          <cell r="F8">
            <v>20000</v>
          </cell>
          <cell r="G8">
            <v>150000</v>
          </cell>
          <cell r="H8">
            <v>101500</v>
          </cell>
          <cell r="J8" t="str">
            <v>GORDO</v>
          </cell>
          <cell r="K8" t="str">
            <v>Booked</v>
          </cell>
          <cell r="L8">
            <v>75000</v>
          </cell>
          <cell r="M8">
            <v>0.5</v>
          </cell>
          <cell r="N8">
            <v>0.2527481425940542</v>
          </cell>
          <cell r="O8">
            <v>2</v>
          </cell>
          <cell r="Q8">
            <v>150000</v>
          </cell>
          <cell r="R8" t="str">
            <v>Beach Club</v>
          </cell>
          <cell r="S8">
            <v>28</v>
          </cell>
          <cell r="T8">
            <v>5357.1428571428569</v>
          </cell>
          <cell r="U8">
            <v>154000</v>
          </cell>
          <cell r="V8">
            <v>4000</v>
          </cell>
          <cell r="W8">
            <v>8500</v>
          </cell>
          <cell r="X8">
            <v>6500</v>
          </cell>
          <cell r="Y8">
            <v>6000</v>
          </cell>
          <cell r="Z8">
            <v>4500</v>
          </cell>
          <cell r="AA8">
            <v>3000</v>
          </cell>
        </row>
        <row r="9">
          <cell r="B9">
            <v>46033</v>
          </cell>
          <cell r="D9">
            <v>0</v>
          </cell>
          <cell r="E9">
            <v>241500</v>
          </cell>
          <cell r="F9">
            <v>67500</v>
          </cell>
          <cell r="G9">
            <v>120000</v>
          </cell>
          <cell r="H9">
            <v>54000</v>
          </cell>
          <cell r="J9" t="str">
            <v xml:space="preserve">DENNIS CRUZ </v>
          </cell>
          <cell r="K9" t="str">
            <v>Booked</v>
          </cell>
          <cell r="L9">
            <v>60000</v>
          </cell>
          <cell r="M9">
            <v>0.5</v>
          </cell>
          <cell r="N9">
            <v>0.28887958887902998</v>
          </cell>
          <cell r="O9">
            <v>2</v>
          </cell>
          <cell r="Q9">
            <v>120000</v>
          </cell>
          <cell r="R9" t="str">
            <v>Beach Club</v>
          </cell>
          <cell r="S9">
            <v>28</v>
          </cell>
          <cell r="T9">
            <v>4285.7142857142853</v>
          </cell>
          <cell r="U9">
            <v>188000</v>
          </cell>
          <cell r="V9">
            <v>68000</v>
          </cell>
          <cell r="W9">
            <v>9000</v>
          </cell>
          <cell r="X9">
            <v>7500</v>
          </cell>
          <cell r="Y9">
            <v>7000</v>
          </cell>
          <cell r="Z9">
            <v>6500</v>
          </cell>
          <cell r="AA9">
            <v>4500</v>
          </cell>
        </row>
        <row r="10">
          <cell r="B10">
            <v>46039</v>
          </cell>
          <cell r="D10">
            <v>0</v>
          </cell>
          <cell r="E10">
            <v>136500</v>
          </cell>
          <cell r="F10">
            <v>20000</v>
          </cell>
          <cell r="G10">
            <v>15000</v>
          </cell>
          <cell r="H10">
            <v>101500</v>
          </cell>
          <cell r="J10" t="str">
            <v>AABEL / SCENARIO</v>
          </cell>
          <cell r="K10" t="str">
            <v>Booked</v>
          </cell>
          <cell r="L10">
            <v>3000</v>
          </cell>
          <cell r="M10">
            <v>0.2</v>
          </cell>
          <cell r="N10">
            <v>0.34921553636839342</v>
          </cell>
          <cell r="O10">
            <v>5</v>
          </cell>
          <cell r="Q10">
            <v>15000</v>
          </cell>
          <cell r="R10" t="str">
            <v>Beach Club</v>
          </cell>
          <cell r="S10">
            <v>28</v>
          </cell>
          <cell r="T10">
            <v>535.71428571428567</v>
          </cell>
          <cell r="U10">
            <v>78000</v>
          </cell>
          <cell r="V10">
            <v>63000</v>
          </cell>
          <cell r="W10">
            <v>4000</v>
          </cell>
          <cell r="X10">
            <v>3500</v>
          </cell>
          <cell r="Y10">
            <v>3000</v>
          </cell>
          <cell r="Z10">
            <v>2500</v>
          </cell>
          <cell r="AA10">
            <v>1500</v>
          </cell>
        </row>
        <row r="11">
          <cell r="B11">
            <v>46040</v>
          </cell>
          <cell r="D11">
            <v>0</v>
          </cell>
          <cell r="E11">
            <v>282000</v>
          </cell>
          <cell r="F11">
            <v>81000</v>
          </cell>
          <cell r="G11">
            <v>120000</v>
          </cell>
          <cell r="H11">
            <v>81000</v>
          </cell>
          <cell r="J11" t="str">
            <v xml:space="preserve">NOTRE DAME </v>
          </cell>
          <cell r="K11" t="str">
            <v>Booked</v>
          </cell>
          <cell r="L11">
            <v>20000</v>
          </cell>
          <cell r="M11">
            <v>0.16666666666666666</v>
          </cell>
          <cell r="N11">
            <v>0.46522223657548128</v>
          </cell>
          <cell r="O11">
            <v>6</v>
          </cell>
          <cell r="Q11">
            <v>120000</v>
          </cell>
          <cell r="R11" t="str">
            <v>Beach Club</v>
          </cell>
          <cell r="S11">
            <v>28</v>
          </cell>
          <cell r="T11">
            <v>4285.7142857142853</v>
          </cell>
          <cell r="U11">
            <v>129500</v>
          </cell>
          <cell r="V11">
            <v>9500</v>
          </cell>
          <cell r="W11">
            <v>7000</v>
          </cell>
          <cell r="X11">
            <v>5500</v>
          </cell>
          <cell r="Y11">
            <v>5000</v>
          </cell>
          <cell r="Z11">
            <v>4000</v>
          </cell>
          <cell r="AA11">
            <v>2500</v>
          </cell>
        </row>
        <row r="12">
          <cell r="B12">
            <v>46046</v>
          </cell>
          <cell r="D12">
            <v>0</v>
          </cell>
          <cell r="E12">
            <v>201500</v>
          </cell>
          <cell r="F12">
            <v>20000</v>
          </cell>
          <cell r="G12">
            <v>80000</v>
          </cell>
          <cell r="H12">
            <v>101500</v>
          </cell>
          <cell r="J12" t="str">
            <v>STEVE LAWLER</v>
          </cell>
          <cell r="K12" t="str">
            <v>Booked</v>
          </cell>
          <cell r="L12">
            <v>8000</v>
          </cell>
          <cell r="M12">
            <v>0.1</v>
          </cell>
          <cell r="N12">
            <v>0.42485146756469344</v>
          </cell>
          <cell r="O12">
            <v>10</v>
          </cell>
          <cell r="Q12">
            <v>80000</v>
          </cell>
          <cell r="R12" t="str">
            <v>Beach Club</v>
          </cell>
          <cell r="S12">
            <v>28</v>
          </cell>
          <cell r="T12">
            <v>2857.1428571428573</v>
          </cell>
          <cell r="U12">
            <v>83500</v>
          </cell>
          <cell r="V12">
            <v>3500</v>
          </cell>
          <cell r="W12">
            <v>5500</v>
          </cell>
          <cell r="X12">
            <v>4000</v>
          </cell>
          <cell r="Y12">
            <v>3000</v>
          </cell>
          <cell r="Z12">
            <v>2500</v>
          </cell>
          <cell r="AA12">
            <v>1500</v>
          </cell>
        </row>
        <row r="13">
          <cell r="B13">
            <v>46047</v>
          </cell>
          <cell r="D13">
            <v>0</v>
          </cell>
          <cell r="E13">
            <v>210000</v>
          </cell>
          <cell r="F13">
            <v>81000</v>
          </cell>
          <cell r="G13">
            <v>48000</v>
          </cell>
          <cell r="H13">
            <v>81000</v>
          </cell>
          <cell r="J13" t="str">
            <v xml:space="preserve">SINEGO </v>
          </cell>
          <cell r="K13" t="str">
            <v>Booked</v>
          </cell>
          <cell r="L13">
            <v>6000</v>
          </cell>
          <cell r="M13">
            <v>0.125</v>
          </cell>
          <cell r="N13">
            <v>0.46255938435374144</v>
          </cell>
          <cell r="O13">
            <v>8</v>
          </cell>
          <cell r="Q13">
            <v>48000</v>
          </cell>
          <cell r="R13" t="str">
            <v>Beach Club</v>
          </cell>
          <cell r="S13">
            <v>28</v>
          </cell>
          <cell r="T13">
            <v>1714.2857142857142</v>
          </cell>
          <cell r="U13">
            <v>109000</v>
          </cell>
          <cell r="V13">
            <v>61000</v>
          </cell>
          <cell r="W13">
            <v>6000</v>
          </cell>
          <cell r="X13">
            <v>5000</v>
          </cell>
          <cell r="Y13">
            <v>4500</v>
          </cell>
          <cell r="Z13">
            <v>3000</v>
          </cell>
          <cell r="AA13">
            <v>1500</v>
          </cell>
        </row>
        <row r="14">
          <cell r="B14">
            <v>46053</v>
          </cell>
          <cell r="D14">
            <v>0</v>
          </cell>
          <cell r="E14">
            <v>201500</v>
          </cell>
          <cell r="F14">
            <v>20000</v>
          </cell>
          <cell r="G14">
            <v>80000</v>
          </cell>
          <cell r="H14">
            <v>101500</v>
          </cell>
          <cell r="J14" t="str">
            <v xml:space="preserve">CALUSSA </v>
          </cell>
          <cell r="K14" t="str">
            <v>Booked</v>
          </cell>
          <cell r="L14">
            <v>10000</v>
          </cell>
          <cell r="M14">
            <v>0.125</v>
          </cell>
          <cell r="N14">
            <v>0.43792590925203811</v>
          </cell>
          <cell r="O14">
            <v>8</v>
          </cell>
          <cell r="Q14">
            <v>80000</v>
          </cell>
          <cell r="R14" t="str">
            <v>Beach Club</v>
          </cell>
          <cell r="S14">
            <v>28</v>
          </cell>
          <cell r="T14">
            <v>2857.1428571428573</v>
          </cell>
          <cell r="U14">
            <v>83500</v>
          </cell>
          <cell r="V14">
            <v>3500</v>
          </cell>
          <cell r="W14">
            <v>5500</v>
          </cell>
          <cell r="X14">
            <v>4000</v>
          </cell>
          <cell r="Y14">
            <v>3000</v>
          </cell>
          <cell r="Z14">
            <v>2500</v>
          </cell>
          <cell r="AA14">
            <v>1500</v>
          </cell>
        </row>
        <row r="15">
          <cell r="B15">
            <v>46054</v>
          </cell>
          <cell r="D15">
            <v>0</v>
          </cell>
          <cell r="E15">
            <v>242000</v>
          </cell>
          <cell r="F15">
            <v>81000</v>
          </cell>
          <cell r="G15">
            <v>80000</v>
          </cell>
          <cell r="H15">
            <v>81000</v>
          </cell>
          <cell r="J15" t="str">
            <v xml:space="preserve">VALERON </v>
          </cell>
          <cell r="K15" t="str">
            <v>Booked</v>
          </cell>
          <cell r="L15">
            <v>10000</v>
          </cell>
          <cell r="M15">
            <v>0.125</v>
          </cell>
          <cell r="N15">
            <v>0.48955070543093265</v>
          </cell>
          <cell r="O15">
            <v>8</v>
          </cell>
          <cell r="Q15">
            <v>80000</v>
          </cell>
          <cell r="R15" t="str">
            <v>Beach Club</v>
          </cell>
          <cell r="S15">
            <v>28</v>
          </cell>
          <cell r="T15">
            <v>2857.1428571428573</v>
          </cell>
          <cell r="U15">
            <v>109000</v>
          </cell>
          <cell r="V15">
            <v>29000</v>
          </cell>
          <cell r="W15">
            <v>6000</v>
          </cell>
          <cell r="X15">
            <v>5000</v>
          </cell>
          <cell r="Y15">
            <v>4500</v>
          </cell>
          <cell r="Z15">
            <v>3000</v>
          </cell>
          <cell r="AA15">
            <v>1500</v>
          </cell>
        </row>
        <row r="16">
          <cell r="B16">
            <v>46060</v>
          </cell>
          <cell r="D16">
            <v>0</v>
          </cell>
          <cell r="E16">
            <v>177500</v>
          </cell>
          <cell r="F16">
            <v>20000</v>
          </cell>
          <cell r="G16">
            <v>56000</v>
          </cell>
          <cell r="H16">
            <v>101500</v>
          </cell>
          <cell r="J16" t="str">
            <v xml:space="preserve">TOM&amp;COLLINS </v>
          </cell>
          <cell r="K16" t="str">
            <v>Booked</v>
          </cell>
          <cell r="L16">
            <v>7000</v>
          </cell>
          <cell r="M16">
            <v>0.125</v>
          </cell>
          <cell r="N16">
            <v>0.41311814486921533</v>
          </cell>
          <cell r="O16">
            <v>8</v>
          </cell>
          <cell r="Q16">
            <v>56000</v>
          </cell>
          <cell r="R16" t="str">
            <v>Beach Club</v>
          </cell>
          <cell r="S16">
            <v>28</v>
          </cell>
          <cell r="T16">
            <v>2000</v>
          </cell>
          <cell r="U16">
            <v>83500</v>
          </cell>
          <cell r="V16">
            <v>27500</v>
          </cell>
          <cell r="W16">
            <v>5500</v>
          </cell>
          <cell r="X16">
            <v>4000</v>
          </cell>
          <cell r="Y16">
            <v>3000</v>
          </cell>
          <cell r="Z16">
            <v>2500</v>
          </cell>
          <cell r="AA16">
            <v>1500</v>
          </cell>
        </row>
        <row r="17">
          <cell r="B17">
            <v>46061</v>
          </cell>
          <cell r="D17">
            <v>0</v>
          </cell>
          <cell r="E17">
            <v>242000</v>
          </cell>
          <cell r="F17">
            <v>81000</v>
          </cell>
          <cell r="G17">
            <v>80000</v>
          </cell>
          <cell r="H17">
            <v>81000</v>
          </cell>
          <cell r="J17" t="str">
            <v xml:space="preserve">FRANKY RIZARDO </v>
          </cell>
          <cell r="K17" t="str">
            <v>Booked</v>
          </cell>
          <cell r="L17">
            <v>40000</v>
          </cell>
          <cell r="M17">
            <v>0.5</v>
          </cell>
          <cell r="N17">
            <v>0.36558376328217229</v>
          </cell>
          <cell r="O17">
            <v>2</v>
          </cell>
          <cell r="Q17">
            <v>80000</v>
          </cell>
          <cell r="R17" t="str">
            <v>Beach Club</v>
          </cell>
          <cell r="S17">
            <v>28</v>
          </cell>
          <cell r="T17">
            <v>2857.1428571428573</v>
          </cell>
          <cell r="U17">
            <v>161500</v>
          </cell>
          <cell r="V17">
            <v>81500</v>
          </cell>
          <cell r="W17">
            <v>8500</v>
          </cell>
          <cell r="X17">
            <v>7000</v>
          </cell>
          <cell r="Y17">
            <v>6500</v>
          </cell>
          <cell r="Z17">
            <v>4500</v>
          </cell>
          <cell r="AA17">
            <v>3000</v>
          </cell>
        </row>
        <row r="18">
          <cell r="B18">
            <v>46067</v>
          </cell>
          <cell r="D18">
            <v>0</v>
          </cell>
          <cell r="E18">
            <v>223500</v>
          </cell>
          <cell r="F18">
            <v>20000</v>
          </cell>
          <cell r="G18">
            <v>102000</v>
          </cell>
          <cell r="H18">
            <v>101500</v>
          </cell>
          <cell r="J18" t="str">
            <v>DJEFF B2B AWEN</v>
          </cell>
          <cell r="K18" t="str">
            <v>Booked</v>
          </cell>
          <cell r="L18">
            <v>17000</v>
          </cell>
          <cell r="M18">
            <v>0.16666666666666666</v>
          </cell>
          <cell r="N18">
            <v>0.43697033876637897</v>
          </cell>
          <cell r="O18">
            <v>6</v>
          </cell>
          <cell r="Q18">
            <v>102000</v>
          </cell>
          <cell r="R18" t="str">
            <v>Beach Club</v>
          </cell>
          <cell r="S18">
            <v>28</v>
          </cell>
          <cell r="T18">
            <v>3642.8571428571427</v>
          </cell>
          <cell r="U18">
            <v>96000</v>
          </cell>
          <cell r="V18">
            <v>-6000</v>
          </cell>
          <cell r="W18">
            <v>5500</v>
          </cell>
          <cell r="X18">
            <v>4500</v>
          </cell>
          <cell r="Y18">
            <v>3500</v>
          </cell>
          <cell r="Z18">
            <v>3000</v>
          </cell>
          <cell r="AA18">
            <v>2000</v>
          </cell>
        </row>
        <row r="19">
          <cell r="B19">
            <v>46068</v>
          </cell>
          <cell r="D19">
            <v>0</v>
          </cell>
          <cell r="E19">
            <v>242000</v>
          </cell>
          <cell r="F19">
            <v>81000</v>
          </cell>
          <cell r="G19">
            <v>80000</v>
          </cell>
          <cell r="H19">
            <v>81000</v>
          </cell>
          <cell r="J19" t="str">
            <v>SILVIE LOTTO</v>
          </cell>
          <cell r="K19" t="str">
            <v>Booked</v>
          </cell>
          <cell r="L19">
            <v>8000</v>
          </cell>
          <cell r="M19">
            <v>0.1</v>
          </cell>
          <cell r="N19">
            <v>0.49781516824084998</v>
          </cell>
          <cell r="O19">
            <v>10</v>
          </cell>
          <cell r="Q19">
            <v>80000</v>
          </cell>
          <cell r="R19" t="str">
            <v>Beach Club</v>
          </cell>
          <cell r="S19">
            <v>28</v>
          </cell>
          <cell r="T19">
            <v>2857.1428571428573</v>
          </cell>
          <cell r="U19">
            <v>109000</v>
          </cell>
          <cell r="V19">
            <v>29000</v>
          </cell>
          <cell r="W19">
            <v>6000</v>
          </cell>
          <cell r="X19">
            <v>5000</v>
          </cell>
          <cell r="Y19">
            <v>4500</v>
          </cell>
          <cell r="Z19">
            <v>3000</v>
          </cell>
          <cell r="AA19">
            <v>1500</v>
          </cell>
        </row>
        <row r="20">
          <cell r="B20">
            <v>46074</v>
          </cell>
          <cell r="D20">
            <v>0</v>
          </cell>
          <cell r="E20">
            <v>221500</v>
          </cell>
          <cell r="F20">
            <v>20000</v>
          </cell>
          <cell r="G20">
            <v>100000</v>
          </cell>
          <cell r="H20">
            <v>101500</v>
          </cell>
          <cell r="J20" t="str">
            <v>PABLO FIERRO</v>
          </cell>
          <cell r="K20" t="str">
            <v>Booked</v>
          </cell>
          <cell r="L20">
            <v>25000</v>
          </cell>
          <cell r="M20">
            <v>0.25</v>
          </cell>
          <cell r="N20">
            <v>0.39805900999677513</v>
          </cell>
          <cell r="O20">
            <v>4</v>
          </cell>
          <cell r="Q20">
            <v>100000</v>
          </cell>
          <cell r="R20" t="str">
            <v>Beach Club</v>
          </cell>
          <cell r="S20">
            <v>28</v>
          </cell>
          <cell r="T20">
            <v>3571.4285714285716</v>
          </cell>
          <cell r="U20">
            <v>96000</v>
          </cell>
          <cell r="V20">
            <v>-4000</v>
          </cell>
          <cell r="W20">
            <v>5500</v>
          </cell>
          <cell r="X20">
            <v>4500</v>
          </cell>
          <cell r="Y20">
            <v>3500</v>
          </cell>
          <cell r="Z20">
            <v>3000</v>
          </cell>
          <cell r="AA20">
            <v>2000</v>
          </cell>
        </row>
        <row r="21">
          <cell r="B21">
            <v>46075</v>
          </cell>
          <cell r="D21">
            <v>0</v>
          </cell>
          <cell r="E21">
            <v>302000</v>
          </cell>
          <cell r="F21">
            <v>81000</v>
          </cell>
          <cell r="G21">
            <v>140000</v>
          </cell>
          <cell r="H21">
            <v>81000</v>
          </cell>
          <cell r="J21" t="str">
            <v>BEDOUIN</v>
          </cell>
          <cell r="K21" t="str">
            <v>Booked</v>
          </cell>
          <cell r="L21">
            <v>70000</v>
          </cell>
          <cell r="M21">
            <v>0.5</v>
          </cell>
          <cell r="N21">
            <v>0.34190486991485336</v>
          </cell>
          <cell r="O21">
            <v>2</v>
          </cell>
          <cell r="Q21">
            <v>140000</v>
          </cell>
          <cell r="R21" t="str">
            <v>Beach Club</v>
          </cell>
          <cell r="S21">
            <v>28</v>
          </cell>
          <cell r="T21">
            <v>5000</v>
          </cell>
          <cell r="U21">
            <v>193000</v>
          </cell>
          <cell r="V21">
            <v>53000</v>
          </cell>
          <cell r="W21">
            <v>9500</v>
          </cell>
          <cell r="X21">
            <v>8500</v>
          </cell>
          <cell r="Y21">
            <v>7500</v>
          </cell>
          <cell r="Z21">
            <v>6000</v>
          </cell>
          <cell r="AA21">
            <v>4000</v>
          </cell>
        </row>
        <row r="22">
          <cell r="B22">
            <v>46081</v>
          </cell>
          <cell r="D22">
            <v>0</v>
          </cell>
          <cell r="E22">
            <v>241500</v>
          </cell>
          <cell r="F22">
            <v>20000</v>
          </cell>
          <cell r="G22">
            <v>120000</v>
          </cell>
          <cell r="H22">
            <v>101500</v>
          </cell>
          <cell r="J22" t="str">
            <v>DAMIAN LAZARUS</v>
          </cell>
          <cell r="K22" t="str">
            <v>Booked</v>
          </cell>
          <cell r="L22">
            <v>60000</v>
          </cell>
          <cell r="M22">
            <v>0.5</v>
          </cell>
          <cell r="N22">
            <v>0.2819795888790298</v>
          </cell>
          <cell r="O22">
            <v>2</v>
          </cell>
          <cell r="Q22">
            <v>120000</v>
          </cell>
          <cell r="R22" t="str">
            <v>Beach Club</v>
          </cell>
          <cell r="S22">
            <v>28</v>
          </cell>
          <cell r="T22">
            <v>4285.7142857142853</v>
          </cell>
          <cell r="U22">
            <v>133500</v>
          </cell>
          <cell r="V22">
            <v>13500</v>
          </cell>
          <cell r="W22">
            <v>7500</v>
          </cell>
          <cell r="X22">
            <v>6000</v>
          </cell>
          <cell r="Y22">
            <v>5500</v>
          </cell>
          <cell r="Z22">
            <v>3500</v>
          </cell>
          <cell r="AA22">
            <v>2000</v>
          </cell>
        </row>
        <row r="23">
          <cell r="B23">
            <v>46082</v>
          </cell>
          <cell r="D23">
            <v>0</v>
          </cell>
          <cell r="E23">
            <v>402000</v>
          </cell>
          <cell r="F23">
            <v>81000</v>
          </cell>
          <cell r="G23">
            <v>240000</v>
          </cell>
          <cell r="H23">
            <v>81000</v>
          </cell>
          <cell r="J23" t="str">
            <v>MARCO CAROLA</v>
          </cell>
          <cell r="K23" t="str">
            <v>Booked</v>
          </cell>
          <cell r="L23">
            <v>120000</v>
          </cell>
          <cell r="M23">
            <v>0.5</v>
          </cell>
          <cell r="N23">
            <v>0.31814743958777542</v>
          </cell>
          <cell r="O23">
            <v>2</v>
          </cell>
          <cell r="Q23">
            <v>240000</v>
          </cell>
          <cell r="R23" t="str">
            <v>Beach Club</v>
          </cell>
          <cell r="S23">
            <v>28</v>
          </cell>
          <cell r="T23">
            <v>8571.4285714285706</v>
          </cell>
          <cell r="U23">
            <v>248760</v>
          </cell>
          <cell r="V23">
            <v>8760</v>
          </cell>
          <cell r="W23">
            <v>14160</v>
          </cell>
          <cell r="X23">
            <v>11280</v>
          </cell>
          <cell r="Y23">
            <v>9840</v>
          </cell>
          <cell r="Z23">
            <v>6960</v>
          </cell>
          <cell r="AA23">
            <v>4200</v>
          </cell>
        </row>
        <row r="24">
          <cell r="B24">
            <v>46025</v>
          </cell>
          <cell r="D24">
            <v>0</v>
          </cell>
          <cell r="E24">
            <v>321500</v>
          </cell>
          <cell r="F24">
            <v>20000</v>
          </cell>
          <cell r="G24">
            <v>200000</v>
          </cell>
          <cell r="H24">
            <v>101500</v>
          </cell>
          <cell r="J24" t="str">
            <v>CLOONEE</v>
          </cell>
          <cell r="K24" t="str">
            <v>Booked</v>
          </cell>
          <cell r="L24">
            <v>100000</v>
          </cell>
          <cell r="M24">
            <v>0.5</v>
          </cell>
          <cell r="N24">
            <v>0.2754261919573428</v>
          </cell>
          <cell r="O24">
            <v>2</v>
          </cell>
          <cell r="Q24">
            <v>200000</v>
          </cell>
          <cell r="R24" t="str">
            <v>Beach Club</v>
          </cell>
          <cell r="S24">
            <v>28</v>
          </cell>
          <cell r="T24">
            <v>7142.8571428571431</v>
          </cell>
          <cell r="U24">
            <v>207300</v>
          </cell>
          <cell r="V24">
            <v>7300</v>
          </cell>
          <cell r="W24">
            <v>11800</v>
          </cell>
          <cell r="X24">
            <v>9400</v>
          </cell>
          <cell r="Y24">
            <v>8200</v>
          </cell>
          <cell r="Z24">
            <v>5800</v>
          </cell>
          <cell r="AA24">
            <v>3500.0000000000005</v>
          </cell>
        </row>
        <row r="25">
          <cell r="B25">
            <v>46088</v>
          </cell>
          <cell r="D25">
            <v>0</v>
          </cell>
          <cell r="E25">
            <v>127900</v>
          </cell>
          <cell r="F25">
            <v>26400</v>
          </cell>
          <cell r="G25">
            <v>0</v>
          </cell>
          <cell r="H25">
            <v>101500</v>
          </cell>
          <cell r="J25" t="str">
            <v>BC CLOSED</v>
          </cell>
          <cell r="K25" t="str">
            <v>Not Booked</v>
          </cell>
          <cell r="L25">
            <v>0</v>
          </cell>
          <cell r="M25" t="str">
            <v/>
          </cell>
          <cell r="N25">
            <v>0.33860070925946606</v>
          </cell>
          <cell r="O25">
            <v>0</v>
          </cell>
          <cell r="Q25">
            <v>0</v>
          </cell>
          <cell r="R25" t="str">
            <v>Beach Club</v>
          </cell>
          <cell r="S25">
            <v>28</v>
          </cell>
          <cell r="T25">
            <v>0</v>
          </cell>
          <cell r="U25" t="e">
            <v>#VALUE!</v>
          </cell>
          <cell r="V25">
            <v>0</v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</row>
        <row r="26">
          <cell r="B26">
            <v>46089</v>
          </cell>
          <cell r="D26">
            <v>0</v>
          </cell>
          <cell r="E26">
            <v>332000</v>
          </cell>
          <cell r="F26">
            <v>81000</v>
          </cell>
          <cell r="G26">
            <v>170000</v>
          </cell>
          <cell r="H26">
            <v>81000</v>
          </cell>
          <cell r="J26" t="str">
            <v>BOB MOSES</v>
          </cell>
          <cell r="K26" t="str">
            <v>Booked</v>
          </cell>
          <cell r="L26">
            <v>85000</v>
          </cell>
          <cell r="M26">
            <v>0.5</v>
          </cell>
          <cell r="N26">
            <v>0.33327491179001717</v>
          </cell>
          <cell r="O26">
            <v>2</v>
          </cell>
          <cell r="Q26">
            <v>170000</v>
          </cell>
          <cell r="R26" t="str">
            <v>Beach Club</v>
          </cell>
          <cell r="S26">
            <v>28</v>
          </cell>
          <cell r="T26">
            <v>6071.4285714285716</v>
          </cell>
          <cell r="U26">
            <v>223500</v>
          </cell>
          <cell r="V26">
            <v>53500</v>
          </cell>
          <cell r="W26">
            <v>15000</v>
          </cell>
          <cell r="X26">
            <v>9000</v>
          </cell>
          <cell r="Y26">
            <v>8500</v>
          </cell>
          <cell r="Z26">
            <v>5500</v>
          </cell>
          <cell r="AA26">
            <v>4500</v>
          </cell>
        </row>
        <row r="27">
          <cell r="B27">
            <v>46095</v>
          </cell>
          <cell r="D27">
            <v>0</v>
          </cell>
          <cell r="E27">
            <v>213300</v>
          </cell>
          <cell r="F27">
            <v>26400</v>
          </cell>
          <cell r="G27">
            <v>82500</v>
          </cell>
          <cell r="H27">
            <v>104400</v>
          </cell>
          <cell r="J27" t="str">
            <v>MIGUELLE &amp; TONS</v>
          </cell>
          <cell r="K27" t="str">
            <v>Booked</v>
          </cell>
          <cell r="L27">
            <v>15000</v>
          </cell>
          <cell r="M27">
            <v>0.18181818181818182</v>
          </cell>
          <cell r="N27">
            <v>0.43154988614292406</v>
          </cell>
          <cell r="O27">
            <v>5.5</v>
          </cell>
          <cell r="Q27">
            <v>82500</v>
          </cell>
          <cell r="R27" t="str">
            <v>Beach Club</v>
          </cell>
          <cell r="S27">
            <v>28</v>
          </cell>
          <cell r="T27">
            <v>2946.4285714285716</v>
          </cell>
          <cell r="U27">
            <v>83500</v>
          </cell>
          <cell r="V27">
            <v>1000</v>
          </cell>
          <cell r="W27">
            <v>5500</v>
          </cell>
          <cell r="X27">
            <v>4000</v>
          </cell>
          <cell r="Y27">
            <v>3000</v>
          </cell>
          <cell r="Z27">
            <v>2500</v>
          </cell>
          <cell r="AA27">
            <v>1500</v>
          </cell>
        </row>
        <row r="28">
          <cell r="B28">
            <v>46096</v>
          </cell>
          <cell r="D28">
            <v>0</v>
          </cell>
          <cell r="E28">
            <v>319500</v>
          </cell>
          <cell r="F28">
            <v>81000</v>
          </cell>
          <cell r="G28">
            <v>157500</v>
          </cell>
          <cell r="H28">
            <v>81000</v>
          </cell>
          <cell r="J28" t="str">
            <v>MITA GAMI</v>
          </cell>
          <cell r="K28" t="str">
            <v>Booked</v>
          </cell>
          <cell r="L28">
            <v>45000</v>
          </cell>
          <cell r="M28">
            <v>0.2857142857142857</v>
          </cell>
          <cell r="N28">
            <v>0.44230757657053427</v>
          </cell>
          <cell r="O28">
            <v>3.5</v>
          </cell>
          <cell r="Q28">
            <v>157500</v>
          </cell>
          <cell r="R28" t="str">
            <v>Beach Club</v>
          </cell>
          <cell r="S28">
            <v>28</v>
          </cell>
          <cell r="T28">
            <v>5625</v>
          </cell>
          <cell r="U28">
            <v>161500</v>
          </cell>
          <cell r="V28">
            <v>4000</v>
          </cell>
          <cell r="W28">
            <v>8500</v>
          </cell>
          <cell r="X28">
            <v>7000</v>
          </cell>
          <cell r="Y28">
            <v>6500</v>
          </cell>
          <cell r="Z28">
            <v>4500</v>
          </cell>
          <cell r="AA28">
            <v>3000</v>
          </cell>
        </row>
        <row r="29">
          <cell r="B29">
            <v>46102</v>
          </cell>
          <cell r="D29">
            <v>0</v>
          </cell>
          <cell r="E29">
            <v>203900</v>
          </cell>
          <cell r="F29">
            <v>26400</v>
          </cell>
          <cell r="G29">
            <v>68750</v>
          </cell>
          <cell r="H29">
            <v>108750</v>
          </cell>
          <cell r="J29" t="str">
            <v>ANDREA OLIVA</v>
          </cell>
          <cell r="K29" t="str">
            <v>Booked</v>
          </cell>
          <cell r="L29">
            <v>12500</v>
          </cell>
          <cell r="M29">
            <v>0.18181818181818182</v>
          </cell>
          <cell r="N29">
            <v>0.4292958838366146</v>
          </cell>
          <cell r="O29">
            <v>5.5</v>
          </cell>
          <cell r="Q29">
            <v>68750</v>
          </cell>
          <cell r="R29" t="str">
            <v>Beach Club</v>
          </cell>
          <cell r="S29">
            <v>28</v>
          </cell>
          <cell r="T29">
            <v>2455.3571428571427</v>
          </cell>
          <cell r="U29">
            <v>83500</v>
          </cell>
          <cell r="V29">
            <v>14750</v>
          </cell>
          <cell r="W29">
            <v>5500</v>
          </cell>
          <cell r="X29">
            <v>4000</v>
          </cell>
          <cell r="Y29">
            <v>3000</v>
          </cell>
          <cell r="Z29">
            <v>2500</v>
          </cell>
          <cell r="AA29">
            <v>1500</v>
          </cell>
        </row>
        <row r="30">
          <cell r="B30">
            <v>46103</v>
          </cell>
          <cell r="D30">
            <v>0</v>
          </cell>
          <cell r="E30">
            <v>267000</v>
          </cell>
          <cell r="F30">
            <v>81000</v>
          </cell>
          <cell r="G30">
            <v>105000</v>
          </cell>
          <cell r="H30">
            <v>81000</v>
          </cell>
          <cell r="J30" t="str">
            <v>ROGER SANCHEZ</v>
          </cell>
          <cell r="K30" t="str">
            <v>Booked</v>
          </cell>
          <cell r="L30">
            <v>15000</v>
          </cell>
          <cell r="M30">
            <v>0.14285714285714285</v>
          </cell>
          <cell r="N30">
            <v>0.49487367308721236</v>
          </cell>
          <cell r="O30">
            <v>7</v>
          </cell>
          <cell r="Q30">
            <v>105000</v>
          </cell>
          <cell r="R30" t="str">
            <v>Beach Club</v>
          </cell>
          <cell r="S30">
            <v>28</v>
          </cell>
          <cell r="T30">
            <v>3750</v>
          </cell>
          <cell r="U30">
            <v>109000</v>
          </cell>
          <cell r="V30">
            <v>4000</v>
          </cell>
          <cell r="W30">
            <v>6000</v>
          </cell>
          <cell r="X30">
            <v>5000</v>
          </cell>
          <cell r="Y30">
            <v>4500</v>
          </cell>
          <cell r="Z30">
            <v>3000</v>
          </cell>
          <cell r="AA30">
            <v>1500</v>
          </cell>
        </row>
        <row r="31">
          <cell r="B31">
            <v>46109</v>
          </cell>
          <cell r="D31">
            <v>0</v>
          </cell>
          <cell r="E31">
            <v>299500</v>
          </cell>
          <cell r="F31">
            <v>26400</v>
          </cell>
          <cell r="G31">
            <v>160000</v>
          </cell>
          <cell r="H31">
            <v>113100</v>
          </cell>
          <cell r="J31" t="str">
            <v>CAMELPHAT</v>
          </cell>
          <cell r="K31" t="str">
            <v>Booked</v>
          </cell>
          <cell r="L31">
            <v>80000</v>
          </cell>
          <cell r="M31">
            <v>0.5</v>
          </cell>
          <cell r="N31">
            <v>0.30513946816122106</v>
          </cell>
          <cell r="O31">
            <v>2</v>
          </cell>
          <cell r="Q31">
            <v>160000</v>
          </cell>
          <cell r="R31" t="str">
            <v>Beach Club</v>
          </cell>
          <cell r="S31">
            <v>28</v>
          </cell>
          <cell r="T31">
            <v>5714.2857142857147</v>
          </cell>
          <cell r="U31">
            <v>174500</v>
          </cell>
          <cell r="V31">
            <v>14500</v>
          </cell>
          <cell r="W31">
            <v>10000</v>
          </cell>
          <cell r="X31">
            <v>8000</v>
          </cell>
          <cell r="Y31">
            <v>7000</v>
          </cell>
          <cell r="Z31">
            <v>4500</v>
          </cell>
          <cell r="AA31">
            <v>3000</v>
          </cell>
        </row>
        <row r="32">
          <cell r="B32">
            <v>46110</v>
          </cell>
          <cell r="D32">
            <v>0</v>
          </cell>
          <cell r="E32">
            <v>337000</v>
          </cell>
          <cell r="F32">
            <v>81000</v>
          </cell>
          <cell r="G32">
            <v>175000</v>
          </cell>
          <cell r="H32">
            <v>81000</v>
          </cell>
          <cell r="J32" t="str">
            <v>LUCIANO</v>
          </cell>
          <cell r="K32" t="str">
            <v>Booked</v>
          </cell>
          <cell r="L32">
            <v>70000</v>
          </cell>
          <cell r="M32">
            <v>0.4</v>
          </cell>
          <cell r="N32">
            <v>0.38391474989402286</v>
          </cell>
          <cell r="O32">
            <v>2.5</v>
          </cell>
          <cell r="Q32">
            <v>175000</v>
          </cell>
          <cell r="R32" t="str">
            <v>Beach Club</v>
          </cell>
          <cell r="S32">
            <v>28</v>
          </cell>
          <cell r="T32">
            <v>6250</v>
          </cell>
          <cell r="U32">
            <v>193000</v>
          </cell>
          <cell r="V32">
            <v>18000</v>
          </cell>
          <cell r="W32">
            <v>9500</v>
          </cell>
          <cell r="X32">
            <v>8500</v>
          </cell>
          <cell r="Y32">
            <v>7500</v>
          </cell>
          <cell r="Z32">
            <v>6000</v>
          </cell>
          <cell r="AA32">
            <v>4000</v>
          </cell>
        </row>
        <row r="33">
          <cell r="B33">
            <v>46116</v>
          </cell>
          <cell r="D33">
            <v>0</v>
          </cell>
          <cell r="E33">
            <v>194500</v>
          </cell>
          <cell r="F33">
            <v>26400</v>
          </cell>
          <cell r="G33">
            <v>55000</v>
          </cell>
          <cell r="H33">
            <v>113100</v>
          </cell>
          <cell r="J33" t="str">
            <v>ZEEBA &amp; AVI</v>
          </cell>
          <cell r="K33" t="str">
            <v>Booked</v>
          </cell>
          <cell r="L33">
            <v>10000</v>
          </cell>
          <cell r="M33">
            <v>0.18181818181818182</v>
          </cell>
          <cell r="N33">
            <v>0.42682401395519648</v>
          </cell>
          <cell r="O33">
            <v>5.5</v>
          </cell>
          <cell r="Q33">
            <v>55000</v>
          </cell>
          <cell r="R33" t="str">
            <v>Beach Club</v>
          </cell>
          <cell r="S33">
            <v>28</v>
          </cell>
          <cell r="T33">
            <v>1964.2857142857142</v>
          </cell>
          <cell r="U33">
            <v>83500</v>
          </cell>
          <cell r="V33">
            <v>28500</v>
          </cell>
          <cell r="W33">
            <v>5500</v>
          </cell>
          <cell r="X33">
            <v>4000</v>
          </cell>
          <cell r="Y33">
            <v>3000</v>
          </cell>
          <cell r="Z33">
            <v>2500</v>
          </cell>
          <cell r="AA33">
            <v>1500</v>
          </cell>
        </row>
        <row r="34">
          <cell r="B34">
            <v>46117</v>
          </cell>
          <cell r="D34">
            <v>0</v>
          </cell>
          <cell r="E34">
            <v>302000</v>
          </cell>
          <cell r="F34">
            <v>81000</v>
          </cell>
          <cell r="G34">
            <v>140000</v>
          </cell>
          <cell r="H34">
            <v>81000</v>
          </cell>
          <cell r="J34" t="str">
            <v>SHIMZA</v>
          </cell>
          <cell r="K34" t="str">
            <v>Booked</v>
          </cell>
          <cell r="L34">
            <v>40000</v>
          </cell>
          <cell r="M34">
            <v>0.2857142857142857</v>
          </cell>
          <cell r="N34">
            <v>0.44124261825922417</v>
          </cell>
          <cell r="O34">
            <v>3.5</v>
          </cell>
          <cell r="Q34">
            <v>140000</v>
          </cell>
          <cell r="R34" t="str">
            <v>Beach Club</v>
          </cell>
          <cell r="S34">
            <v>28</v>
          </cell>
          <cell r="T34">
            <v>5000</v>
          </cell>
          <cell r="U34">
            <v>161500</v>
          </cell>
          <cell r="V34">
            <v>21500</v>
          </cell>
          <cell r="W34">
            <v>8500</v>
          </cell>
          <cell r="X34">
            <v>7000</v>
          </cell>
          <cell r="Y34">
            <v>6500</v>
          </cell>
          <cell r="Z34">
            <v>4500</v>
          </cell>
          <cell r="AA34">
            <v>3000</v>
          </cell>
        </row>
        <row r="35">
          <cell r="B35">
            <v>46123</v>
          </cell>
          <cell r="D35">
            <v>0</v>
          </cell>
          <cell r="E35">
            <v>206000</v>
          </cell>
          <cell r="F35">
            <v>81000</v>
          </cell>
          <cell r="G35">
            <v>44000</v>
          </cell>
          <cell r="H35">
            <v>81000</v>
          </cell>
          <cell r="J35" t="str">
            <v>VANJEE</v>
          </cell>
          <cell r="K35" t="str">
            <v>Booked</v>
          </cell>
          <cell r="L35">
            <v>8000</v>
          </cell>
          <cell r="M35">
            <v>0.18181818181818182</v>
          </cell>
          <cell r="N35">
            <v>0.45437315880721213</v>
          </cell>
          <cell r="O35">
            <v>5.5</v>
          </cell>
          <cell r="Q35">
            <v>44000</v>
          </cell>
          <cell r="R35" t="str">
            <v>Beach Club</v>
          </cell>
          <cell r="S35">
            <v>28</v>
          </cell>
          <cell r="T35">
            <v>1571.4285714285713</v>
          </cell>
          <cell r="U35">
            <v>121500</v>
          </cell>
          <cell r="V35">
            <v>77500</v>
          </cell>
          <cell r="W35">
            <v>5500</v>
          </cell>
          <cell r="X35">
            <v>4000</v>
          </cell>
          <cell r="Y35">
            <v>3000</v>
          </cell>
          <cell r="Z35">
            <v>2500</v>
          </cell>
          <cell r="AA35">
            <v>1500</v>
          </cell>
          <cell r="AB35">
            <v>2000</v>
          </cell>
        </row>
        <row r="36">
          <cell r="B36">
            <v>46124</v>
          </cell>
          <cell r="D36">
            <v>0</v>
          </cell>
          <cell r="E36">
            <v>218000</v>
          </cell>
          <cell r="F36">
            <v>81000</v>
          </cell>
          <cell r="G36">
            <v>56000</v>
          </cell>
          <cell r="H36">
            <v>81000</v>
          </cell>
          <cell r="J36" t="str">
            <v>DARMON B2B BARON</v>
          </cell>
          <cell r="K36" t="str">
            <v>Booked</v>
          </cell>
          <cell r="L36">
            <v>8000</v>
          </cell>
          <cell r="M36">
            <v>0.14285714285714285</v>
          </cell>
          <cell r="N36">
            <v>0.47044803079947584</v>
          </cell>
          <cell r="O36">
            <v>7</v>
          </cell>
          <cell r="Q36">
            <v>56000</v>
          </cell>
          <cell r="R36" t="str">
            <v>Beach Club</v>
          </cell>
          <cell r="S36">
            <v>28</v>
          </cell>
          <cell r="T36">
            <v>2000</v>
          </cell>
          <cell r="U36">
            <v>109000</v>
          </cell>
          <cell r="V36">
            <v>53000</v>
          </cell>
          <cell r="W36">
            <v>6000</v>
          </cell>
          <cell r="X36">
            <v>5000</v>
          </cell>
          <cell r="Y36">
            <v>4500</v>
          </cell>
          <cell r="Z36">
            <v>3000</v>
          </cell>
          <cell r="AA36">
            <v>1500</v>
          </cell>
        </row>
        <row r="37">
          <cell r="B37">
            <v>46130</v>
          </cell>
          <cell r="D37">
            <v>0</v>
          </cell>
          <cell r="E37">
            <v>217000</v>
          </cell>
          <cell r="F37">
            <v>81000</v>
          </cell>
          <cell r="G37">
            <v>55000</v>
          </cell>
          <cell r="H37">
            <v>81000</v>
          </cell>
          <cell r="J37" t="str">
            <v>NICO DE ANDREA</v>
          </cell>
          <cell r="K37" t="str">
            <v>Booked</v>
          </cell>
          <cell r="L37">
            <v>10000</v>
          </cell>
          <cell r="M37">
            <v>0.18181818181818182</v>
          </cell>
          <cell r="N37">
            <v>0.4599597728768926</v>
          </cell>
          <cell r="O37">
            <v>5.5</v>
          </cell>
          <cell r="Q37">
            <v>55000</v>
          </cell>
          <cell r="R37" t="str">
            <v>Beach Club</v>
          </cell>
          <cell r="S37">
            <v>28</v>
          </cell>
          <cell r="T37">
            <v>1964.2857142857142</v>
          </cell>
          <cell r="U37">
            <v>121500</v>
          </cell>
          <cell r="V37">
            <v>66500</v>
          </cell>
          <cell r="W37">
            <v>5500</v>
          </cell>
          <cell r="X37">
            <v>4000</v>
          </cell>
          <cell r="Y37">
            <v>3000</v>
          </cell>
          <cell r="Z37">
            <v>2500</v>
          </cell>
          <cell r="AA37">
            <v>1500</v>
          </cell>
          <cell r="AB37">
            <v>2000</v>
          </cell>
        </row>
        <row r="38">
          <cell r="B38">
            <v>46131</v>
          </cell>
          <cell r="D38">
            <v>0</v>
          </cell>
          <cell r="E38">
            <v>262000</v>
          </cell>
          <cell r="F38">
            <v>81000</v>
          </cell>
          <cell r="G38">
            <v>100000</v>
          </cell>
          <cell r="H38">
            <v>81000</v>
          </cell>
          <cell r="J38" t="str">
            <v>ENOO NAPA B2B CAIIRO</v>
          </cell>
          <cell r="K38" t="str">
            <v>Booked</v>
          </cell>
          <cell r="L38">
            <v>20000</v>
          </cell>
          <cell r="M38">
            <v>0.2</v>
          </cell>
          <cell r="N38">
            <v>0.47098958287895304</v>
          </cell>
          <cell r="O38">
            <v>5</v>
          </cell>
          <cell r="Q38">
            <v>100000</v>
          </cell>
          <cell r="R38" t="str">
            <v>Beach Club</v>
          </cell>
          <cell r="S38">
            <v>28</v>
          </cell>
          <cell r="T38">
            <v>3571.4285714285716</v>
          </cell>
          <cell r="U38">
            <v>129500</v>
          </cell>
          <cell r="V38">
            <v>29500</v>
          </cell>
          <cell r="W38">
            <v>7000</v>
          </cell>
          <cell r="X38">
            <v>5500</v>
          </cell>
          <cell r="Y38">
            <v>5000</v>
          </cell>
          <cell r="Z38">
            <v>4000</v>
          </cell>
          <cell r="AA38">
            <v>2500</v>
          </cell>
        </row>
        <row r="39">
          <cell r="B39">
            <v>46137</v>
          </cell>
          <cell r="D39">
            <v>0</v>
          </cell>
          <cell r="E39">
            <v>282000</v>
          </cell>
          <cell r="F39">
            <v>81000</v>
          </cell>
          <cell r="G39">
            <v>120000</v>
          </cell>
          <cell r="H39">
            <v>81000</v>
          </cell>
          <cell r="J39" t="str">
            <v>PATRICK TOPPING</v>
          </cell>
          <cell r="K39" t="str">
            <v>Booked</v>
          </cell>
          <cell r="L39">
            <v>60000</v>
          </cell>
          <cell r="M39">
            <v>0.5</v>
          </cell>
          <cell r="N39">
            <v>0.34867826494427556</v>
          </cell>
          <cell r="O39">
            <v>2</v>
          </cell>
          <cell r="Q39">
            <v>120000</v>
          </cell>
          <cell r="R39" t="str">
            <v>Beach Club</v>
          </cell>
          <cell r="S39">
            <v>28</v>
          </cell>
          <cell r="T39">
            <v>4285.7142857142853</v>
          </cell>
          <cell r="U39">
            <v>133500</v>
          </cell>
          <cell r="V39">
            <v>13500</v>
          </cell>
          <cell r="W39">
            <v>7500</v>
          </cell>
          <cell r="X39">
            <v>6000</v>
          </cell>
          <cell r="Y39">
            <v>5500</v>
          </cell>
          <cell r="Z39">
            <v>3500</v>
          </cell>
          <cell r="AA39">
            <v>2000</v>
          </cell>
        </row>
        <row r="40">
          <cell r="B40">
            <v>46138</v>
          </cell>
          <cell r="D40">
            <v>0</v>
          </cell>
          <cell r="E40">
            <v>262000</v>
          </cell>
          <cell r="F40">
            <v>81000</v>
          </cell>
          <cell r="G40">
            <v>100000</v>
          </cell>
          <cell r="H40">
            <v>81000</v>
          </cell>
          <cell r="J40" t="str">
            <v>BORA UZER</v>
          </cell>
          <cell r="K40" t="str">
            <v>Booked</v>
          </cell>
          <cell r="L40">
            <v>20000</v>
          </cell>
          <cell r="M40">
            <v>0.2</v>
          </cell>
          <cell r="N40">
            <v>0.47098958287895304</v>
          </cell>
          <cell r="O40">
            <v>5</v>
          </cell>
          <cell r="Q40">
            <v>100000</v>
          </cell>
          <cell r="R40" t="str">
            <v>Beach Club</v>
          </cell>
          <cell r="S40">
            <v>28</v>
          </cell>
          <cell r="T40">
            <v>3571.4285714285716</v>
          </cell>
          <cell r="U40">
            <v>129500</v>
          </cell>
          <cell r="V40">
            <v>29500</v>
          </cell>
          <cell r="W40">
            <v>7000</v>
          </cell>
          <cell r="X40">
            <v>5500</v>
          </cell>
          <cell r="Y40">
            <v>5000</v>
          </cell>
          <cell r="Z40">
            <v>4000</v>
          </cell>
          <cell r="AA40">
            <v>2500</v>
          </cell>
        </row>
        <row r="41">
          <cell r="B41">
            <v>46143</v>
          </cell>
          <cell r="D41">
            <v>0</v>
          </cell>
          <cell r="E41">
            <v>462000</v>
          </cell>
          <cell r="F41">
            <v>81000</v>
          </cell>
          <cell r="G41">
            <v>300000</v>
          </cell>
          <cell r="H41">
            <v>81000</v>
          </cell>
          <cell r="J41" t="str">
            <v>ADRIATIQUE</v>
          </cell>
          <cell r="K41" t="str">
            <v>Booked</v>
          </cell>
          <cell r="L41">
            <v>150000</v>
          </cell>
          <cell r="M41">
            <v>0.5</v>
          </cell>
          <cell r="N41" t="str">
            <v/>
          </cell>
          <cell r="O41">
            <v>2</v>
          </cell>
          <cell r="Q41">
            <v>300000</v>
          </cell>
          <cell r="R41" t="str">
            <v>Beach Club</v>
          </cell>
          <cell r="S41">
            <v>28</v>
          </cell>
          <cell r="T41">
            <v>10714.285714285714</v>
          </cell>
          <cell r="U41">
            <v>310950</v>
          </cell>
          <cell r="V41">
            <v>10950</v>
          </cell>
          <cell r="W41">
            <v>17700</v>
          </cell>
          <cell r="X41">
            <v>14100</v>
          </cell>
          <cell r="Y41">
            <v>12300</v>
          </cell>
          <cell r="Z41">
            <v>8700</v>
          </cell>
          <cell r="AA41">
            <v>5250.0000000000009</v>
          </cell>
        </row>
        <row r="42">
          <cell r="B42">
            <v>46144</v>
          </cell>
          <cell r="D42">
            <v>0</v>
          </cell>
          <cell r="E42">
            <v>387000</v>
          </cell>
          <cell r="F42">
            <v>81000</v>
          </cell>
          <cell r="G42">
            <v>225000</v>
          </cell>
          <cell r="H42">
            <v>81000</v>
          </cell>
          <cell r="J42" t="str">
            <v>MESTIZA</v>
          </cell>
          <cell r="K42" t="str">
            <v>Booked</v>
          </cell>
          <cell r="L42">
            <v>45000</v>
          </cell>
          <cell r="M42">
            <v>0.2</v>
          </cell>
          <cell r="N42">
            <v>0.49534695275009222</v>
          </cell>
          <cell r="O42">
            <v>5</v>
          </cell>
          <cell r="Q42">
            <v>225000</v>
          </cell>
          <cell r="R42" t="str">
            <v>Beach Club</v>
          </cell>
          <cell r="S42">
            <v>28</v>
          </cell>
          <cell r="T42">
            <v>8035.7142857142853</v>
          </cell>
          <cell r="U42">
            <v>245300</v>
          </cell>
          <cell r="V42">
            <v>20300</v>
          </cell>
          <cell r="W42">
            <v>11800</v>
          </cell>
          <cell r="X42">
            <v>9400</v>
          </cell>
          <cell r="Y42">
            <v>8200</v>
          </cell>
          <cell r="Z42">
            <v>5800</v>
          </cell>
          <cell r="AA42">
            <v>3500.0000000000005</v>
          </cell>
          <cell r="AB42">
            <v>2000</v>
          </cell>
        </row>
        <row r="43">
          <cell r="B43">
            <v>46145</v>
          </cell>
          <cell r="D43">
            <v>0</v>
          </cell>
          <cell r="E43">
            <v>460000</v>
          </cell>
          <cell r="F43">
            <v>120000</v>
          </cell>
          <cell r="G43">
            <v>240000</v>
          </cell>
          <cell r="H43">
            <v>100000</v>
          </cell>
          <cell r="J43" t="str">
            <v>SETH TROXLER</v>
          </cell>
          <cell r="K43" t="str">
            <v>Booked</v>
          </cell>
          <cell r="L43">
            <v>60000</v>
          </cell>
          <cell r="M43">
            <v>0.25</v>
          </cell>
          <cell r="N43">
            <v>0.50257928416149067</v>
          </cell>
          <cell r="O43">
            <v>4</v>
          </cell>
          <cell r="Q43">
            <v>240000</v>
          </cell>
          <cell r="R43" t="str">
            <v>Beach Club</v>
          </cell>
          <cell r="S43">
            <v>28</v>
          </cell>
          <cell r="T43">
            <v>8571.4285714285706</v>
          </cell>
          <cell r="U43">
            <v>245300</v>
          </cell>
          <cell r="V43">
            <v>5300</v>
          </cell>
          <cell r="W43">
            <v>11800</v>
          </cell>
          <cell r="X43">
            <v>9400</v>
          </cell>
          <cell r="Y43">
            <v>8200</v>
          </cell>
          <cell r="Z43">
            <v>5800</v>
          </cell>
          <cell r="AA43">
            <v>3500.0000000000005</v>
          </cell>
          <cell r="AB43">
            <v>2000</v>
          </cell>
        </row>
        <row r="44">
          <cell r="B44">
            <v>46151</v>
          </cell>
          <cell r="D44">
            <v>0</v>
          </cell>
          <cell r="E44">
            <v>203000</v>
          </cell>
          <cell r="F44">
            <v>81000</v>
          </cell>
          <cell r="G44">
            <v>37000</v>
          </cell>
          <cell r="H44">
            <v>85000</v>
          </cell>
          <cell r="J44" t="str">
            <v>AMOG</v>
          </cell>
          <cell r="K44" t="str">
            <v>Not Booked</v>
          </cell>
          <cell r="L44">
            <v>2000</v>
          </cell>
          <cell r="M44">
            <v>5.4054054054054057E-2</v>
          </cell>
          <cell r="N44">
            <v>0.47961414144968334</v>
          </cell>
          <cell r="O44">
            <v>18.5</v>
          </cell>
          <cell r="Q44">
            <v>37000</v>
          </cell>
          <cell r="R44" t="str">
            <v>Beach Club</v>
          </cell>
          <cell r="S44">
            <v>28</v>
          </cell>
          <cell r="T44">
            <v>1321.4285714285713</v>
          </cell>
          <cell r="U44">
            <v>78000</v>
          </cell>
          <cell r="V44">
            <v>41000</v>
          </cell>
          <cell r="W44">
            <v>4000</v>
          </cell>
          <cell r="X44">
            <v>3500</v>
          </cell>
          <cell r="Y44">
            <v>3000</v>
          </cell>
          <cell r="Z44">
            <v>2500</v>
          </cell>
          <cell r="AA44">
            <v>1500</v>
          </cell>
        </row>
        <row r="45">
          <cell r="B45">
            <v>46152</v>
          </cell>
          <cell r="D45">
            <v>0</v>
          </cell>
          <cell r="E45">
            <v>193000</v>
          </cell>
          <cell r="F45">
            <v>81000</v>
          </cell>
          <cell r="G45">
            <v>42000</v>
          </cell>
          <cell r="H45">
            <v>70000</v>
          </cell>
          <cell r="J45" t="str">
            <v>APACHE</v>
          </cell>
          <cell r="K45" t="str">
            <v>Booked</v>
          </cell>
          <cell r="L45">
            <v>6000</v>
          </cell>
          <cell r="M45">
            <v>0.14285714285714285</v>
          </cell>
          <cell r="N45">
            <v>0.44506565136935611</v>
          </cell>
          <cell r="O45">
            <v>7</v>
          </cell>
          <cell r="Q45">
            <v>42000</v>
          </cell>
          <cell r="S45" t="str">
            <v/>
          </cell>
          <cell r="T45" t="str">
            <v/>
          </cell>
          <cell r="U45">
            <v>109000</v>
          </cell>
          <cell r="V45">
            <v>67000</v>
          </cell>
          <cell r="W45">
            <v>6000</v>
          </cell>
          <cell r="X45">
            <v>5000</v>
          </cell>
          <cell r="Y45">
            <v>4500</v>
          </cell>
          <cell r="Z45">
            <v>3000</v>
          </cell>
          <cell r="AA45">
            <v>1500</v>
          </cell>
        </row>
        <row r="46">
          <cell r="B46">
            <v>46158</v>
          </cell>
          <cell r="D46">
            <v>0</v>
          </cell>
          <cell r="E46">
            <v>221000</v>
          </cell>
          <cell r="F46">
            <v>81000</v>
          </cell>
          <cell r="G46">
            <v>55000</v>
          </cell>
          <cell r="H46">
            <v>85000</v>
          </cell>
          <cell r="J46" t="str">
            <v>KIMONOS</v>
          </cell>
          <cell r="K46" t="str">
            <v>Booked</v>
          </cell>
          <cell r="L46">
            <v>10000</v>
          </cell>
          <cell r="M46">
            <v>0.18181818181818182</v>
          </cell>
          <cell r="N46" t="str">
            <v/>
          </cell>
          <cell r="O46">
            <v>5.5</v>
          </cell>
          <cell r="Q46">
            <v>55000</v>
          </cell>
          <cell r="R46" t="str">
            <v>Beach Club</v>
          </cell>
          <cell r="S46">
            <v>28</v>
          </cell>
          <cell r="T46">
            <v>1964.2857142857142</v>
          </cell>
          <cell r="U46">
            <v>121500</v>
          </cell>
          <cell r="V46">
            <v>66500</v>
          </cell>
          <cell r="W46">
            <v>5500</v>
          </cell>
          <cell r="X46">
            <v>4000</v>
          </cell>
          <cell r="Y46">
            <v>3000</v>
          </cell>
          <cell r="Z46">
            <v>2500</v>
          </cell>
          <cell r="AA46">
            <v>1500</v>
          </cell>
          <cell r="AB46">
            <v>2000</v>
          </cell>
        </row>
        <row r="47">
          <cell r="B47">
            <v>46159</v>
          </cell>
          <cell r="D47">
            <v>0</v>
          </cell>
          <cell r="E47">
            <v>402000</v>
          </cell>
          <cell r="F47">
            <v>0</v>
          </cell>
          <cell r="G47">
            <v>200000</v>
          </cell>
          <cell r="H47">
            <v>202000</v>
          </cell>
          <cell r="J47" t="str">
            <v>MONOLINK</v>
          </cell>
          <cell r="K47" t="str">
            <v>Booked</v>
          </cell>
          <cell r="L47">
            <v>100000</v>
          </cell>
          <cell r="M47">
            <v>0.5</v>
          </cell>
          <cell r="N47" t="str">
            <v/>
          </cell>
          <cell r="O47">
            <v>2</v>
          </cell>
          <cell r="Q47">
            <v>200000</v>
          </cell>
          <cell r="R47" t="str">
            <v>Beach Club</v>
          </cell>
          <cell r="S47">
            <v>28</v>
          </cell>
          <cell r="T47">
            <v>7142.8571428571431</v>
          </cell>
          <cell r="U47">
            <v>245300</v>
          </cell>
          <cell r="V47">
            <v>45300</v>
          </cell>
          <cell r="W47">
            <v>11800</v>
          </cell>
          <cell r="X47">
            <v>9400</v>
          </cell>
          <cell r="Y47">
            <v>8200</v>
          </cell>
          <cell r="Z47">
            <v>5800</v>
          </cell>
          <cell r="AA47">
            <v>3500.0000000000005</v>
          </cell>
          <cell r="AB47">
            <v>2000</v>
          </cell>
        </row>
        <row r="48">
          <cell r="B48">
            <v>46165</v>
          </cell>
          <cell r="D48">
            <v>0</v>
          </cell>
          <cell r="E48">
            <v>133000</v>
          </cell>
          <cell r="F48">
            <v>81000</v>
          </cell>
          <cell r="G48">
            <v>52000</v>
          </cell>
          <cell r="J48" t="str">
            <v>STEVE LAWLER</v>
          </cell>
          <cell r="K48" t="str">
            <v>Booked</v>
          </cell>
          <cell r="L48">
            <v>8000</v>
          </cell>
          <cell r="M48">
            <v>0.15384615384615385</v>
          </cell>
          <cell r="N48" t="str">
            <v/>
          </cell>
          <cell r="O48">
            <v>6.5</v>
          </cell>
          <cell r="Q48">
            <v>52000</v>
          </cell>
          <cell r="R48" t="str">
            <v>Beach Club</v>
          </cell>
          <cell r="S48">
            <v>28</v>
          </cell>
          <cell r="T48">
            <v>1857.1428571428571</v>
          </cell>
          <cell r="U48">
            <v>83500</v>
          </cell>
          <cell r="V48">
            <v>31500</v>
          </cell>
          <cell r="W48">
            <v>5500</v>
          </cell>
          <cell r="X48">
            <v>4000</v>
          </cell>
          <cell r="Y48">
            <v>3000</v>
          </cell>
          <cell r="Z48">
            <v>2500</v>
          </cell>
          <cell r="AA48">
            <v>1500</v>
          </cell>
        </row>
        <row r="49">
          <cell r="B49">
            <v>46166</v>
          </cell>
          <cell r="D49">
            <v>0</v>
          </cell>
          <cell r="E49">
            <v>251000</v>
          </cell>
          <cell r="F49">
            <v>81000</v>
          </cell>
          <cell r="G49">
            <v>70000</v>
          </cell>
          <cell r="H49">
            <v>100000</v>
          </cell>
          <cell r="J49" t="str">
            <v>TOM &amp; COLLINS</v>
          </cell>
          <cell r="K49" t="str">
            <v>Not Booked</v>
          </cell>
          <cell r="L49">
            <v>7000</v>
          </cell>
          <cell r="M49">
            <v>0.1</v>
          </cell>
          <cell r="N49" t="str">
            <v/>
          </cell>
          <cell r="O49">
            <v>10</v>
          </cell>
          <cell r="Q49">
            <v>70000</v>
          </cell>
          <cell r="R49" t="str">
            <v>Beach Club</v>
          </cell>
          <cell r="S49">
            <v>28</v>
          </cell>
          <cell r="T49">
            <v>2500</v>
          </cell>
          <cell r="U49">
            <v>109000</v>
          </cell>
          <cell r="V49">
            <v>39000</v>
          </cell>
          <cell r="W49">
            <v>6000</v>
          </cell>
          <cell r="X49">
            <v>5000</v>
          </cell>
          <cell r="Y49">
            <v>4500</v>
          </cell>
          <cell r="Z49">
            <v>3000</v>
          </cell>
          <cell r="AA49">
            <v>1500</v>
          </cell>
        </row>
        <row r="50">
          <cell r="B50">
            <v>46167</v>
          </cell>
          <cell r="D50">
            <v>0</v>
          </cell>
          <cell r="E50">
            <v>255001</v>
          </cell>
          <cell r="F50">
            <v>81000</v>
          </cell>
          <cell r="G50">
            <v>74000</v>
          </cell>
          <cell r="H50">
            <v>100001</v>
          </cell>
          <cell r="J50" t="str">
            <v>PABLO FIERRO</v>
          </cell>
          <cell r="K50" t="str">
            <v>Booked</v>
          </cell>
          <cell r="L50">
            <v>20000</v>
          </cell>
          <cell r="M50">
            <v>0.27027027027027029</v>
          </cell>
          <cell r="N50" t="str">
            <v/>
          </cell>
          <cell r="O50">
            <v>3.7</v>
          </cell>
          <cell r="Q50">
            <v>74000</v>
          </cell>
          <cell r="R50" t="str">
            <v>Beach Club</v>
          </cell>
          <cell r="S50">
            <v>28</v>
          </cell>
          <cell r="T50">
            <v>2642.8571428571427</v>
          </cell>
          <cell r="U50">
            <v>129500</v>
          </cell>
          <cell r="V50">
            <v>55500</v>
          </cell>
          <cell r="W50">
            <v>7000</v>
          </cell>
          <cell r="X50">
            <v>5500</v>
          </cell>
          <cell r="Y50">
            <v>5000</v>
          </cell>
          <cell r="Z50">
            <v>4000</v>
          </cell>
          <cell r="AA50">
            <v>2500</v>
          </cell>
        </row>
        <row r="51">
          <cell r="B51">
            <v>46172</v>
          </cell>
          <cell r="D51">
            <v>0</v>
          </cell>
          <cell r="E51">
            <v>247000</v>
          </cell>
          <cell r="F51">
            <v>81000</v>
          </cell>
          <cell r="G51">
            <v>66000</v>
          </cell>
          <cell r="H51">
            <v>100000</v>
          </cell>
          <cell r="J51" t="str">
            <v>Vanjee</v>
          </cell>
          <cell r="K51" t="str">
            <v>Not Booked</v>
          </cell>
          <cell r="L51">
            <v>12000</v>
          </cell>
          <cell r="M51">
            <v>0.18181818181818182</v>
          </cell>
          <cell r="N51" t="str">
            <v/>
          </cell>
          <cell r="O51">
            <v>5.5</v>
          </cell>
          <cell r="Q51">
            <v>66000</v>
          </cell>
          <cell r="R51" t="str">
            <v>Beach Club</v>
          </cell>
          <cell r="S51">
            <v>28</v>
          </cell>
          <cell r="T51">
            <v>2357.1428571428573</v>
          </cell>
          <cell r="U51">
            <v>121500</v>
          </cell>
          <cell r="V51">
            <v>55500</v>
          </cell>
          <cell r="W51">
            <v>5500</v>
          </cell>
          <cell r="X51">
            <v>4000</v>
          </cell>
          <cell r="Y51">
            <v>3000</v>
          </cell>
          <cell r="Z51">
            <v>2500</v>
          </cell>
          <cell r="AA51">
            <v>1500</v>
          </cell>
          <cell r="AB51">
            <v>2000</v>
          </cell>
        </row>
        <row r="52">
          <cell r="B52">
            <v>46173</v>
          </cell>
          <cell r="D52">
            <v>0</v>
          </cell>
          <cell r="E52">
            <v>226000</v>
          </cell>
          <cell r="F52">
            <v>81000</v>
          </cell>
          <cell r="G52">
            <v>60000</v>
          </cell>
          <cell r="H52">
            <v>85000</v>
          </cell>
          <cell r="J52" t="str">
            <v>BONTAN</v>
          </cell>
          <cell r="K52" t="str">
            <v>Booked</v>
          </cell>
          <cell r="L52">
            <v>10000</v>
          </cell>
          <cell r="M52">
            <v>0.16666666666666666</v>
          </cell>
          <cell r="N52" t="str">
            <v/>
          </cell>
          <cell r="O52">
            <v>6</v>
          </cell>
          <cell r="Q52">
            <v>60000</v>
          </cell>
          <cell r="R52" t="str">
            <v>Beach Club</v>
          </cell>
          <cell r="S52">
            <v>28</v>
          </cell>
          <cell r="T52">
            <v>2142.8571428571427</v>
          </cell>
          <cell r="U52">
            <v>109000</v>
          </cell>
          <cell r="V52">
            <v>49000</v>
          </cell>
          <cell r="W52">
            <v>6000</v>
          </cell>
          <cell r="X52">
            <v>5000</v>
          </cell>
          <cell r="Y52">
            <v>4500</v>
          </cell>
          <cell r="Z52">
            <v>3000</v>
          </cell>
          <cell r="AA52">
            <v>1500</v>
          </cell>
        </row>
      </sheetData>
      <sheetData sheetId="12"/>
      <sheetData sheetId="13"/>
      <sheetData sheetId="14">
        <row r="29">
          <cell r="R29" t="str">
            <v>Beach Club</v>
          </cell>
          <cell r="S29" t="str">
            <v>Tier 1</v>
          </cell>
          <cell r="T29" t="str">
            <v>Tier 2</v>
          </cell>
          <cell r="U29" t="str">
            <v>Tier 3</v>
          </cell>
          <cell r="V29" t="str">
            <v>Tier 4</v>
          </cell>
          <cell r="W29" t="str">
            <v>Tier 5</v>
          </cell>
          <cell r="X29" t="str">
            <v/>
          </cell>
          <cell r="Y29" t="str">
            <v/>
          </cell>
        </row>
        <row r="30">
          <cell r="R30" t="str">
            <v>Full Ground Fl.</v>
          </cell>
          <cell r="S30" t="str">
            <v>Tier 1</v>
          </cell>
          <cell r="T30" t="str">
            <v>Tier 2</v>
          </cell>
          <cell r="U30" t="str">
            <v>Tier 3</v>
          </cell>
          <cell r="V30" t="str">
            <v>Tier 4</v>
          </cell>
          <cell r="W30" t="str">
            <v>Tier 5</v>
          </cell>
          <cell r="X30" t="str">
            <v>Tier 6</v>
          </cell>
          <cell r="Y30" t="str">
            <v>Tier 7</v>
          </cell>
        </row>
        <row r="33">
          <cell r="R33" t="str">
            <v>Beach Club</v>
          </cell>
          <cell r="S33">
            <v>3</v>
          </cell>
          <cell r="T33">
            <v>2</v>
          </cell>
          <cell r="U33">
            <v>13</v>
          </cell>
          <cell r="V33">
            <v>5</v>
          </cell>
          <cell r="W33">
            <v>5</v>
          </cell>
        </row>
        <row r="34">
          <cell r="R34" t="str">
            <v>Full Ground Fl.</v>
          </cell>
          <cell r="S34">
            <v>3</v>
          </cell>
          <cell r="T34">
            <v>2</v>
          </cell>
          <cell r="U34">
            <v>13</v>
          </cell>
          <cell r="V34">
            <v>4</v>
          </cell>
          <cell r="W34">
            <v>5</v>
          </cell>
          <cell r="X34">
            <v>19</v>
          </cell>
          <cell r="Y34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30C9-5C2A-4332-BCEE-F05CCB645BC3}">
  <sheetPr>
    <tabColor rgb="FFE8E05D"/>
  </sheetPr>
  <dimension ref="B1:FS250"/>
  <sheetViews>
    <sheetView tabSelected="1" topLeftCell="A11" zoomScale="80" zoomScaleNormal="80" workbookViewId="0">
      <pane xSplit="3" topLeftCell="D1" activePane="topRight" state="frozen"/>
      <selection activeCell="N40" sqref="N40"/>
      <selection pane="topRight" activeCell="M40" sqref="M40"/>
    </sheetView>
  </sheetViews>
  <sheetFormatPr defaultColWidth="10.875" defaultRowHeight="15.75" outlineLevelRow="1" x14ac:dyDescent="0.25"/>
  <cols>
    <col min="1" max="1" width="3.875" style="1" customWidth="1"/>
    <col min="2" max="2" width="37.125" style="1" bestFit="1" customWidth="1"/>
    <col min="3" max="3" width="2.875" style="2" bestFit="1" customWidth="1"/>
    <col min="4" max="4" width="12.625" style="1" customWidth="1"/>
    <col min="5" max="5" width="12.5" style="13" customWidth="1"/>
    <col min="6" max="6" width="2.125" style="13" customWidth="1"/>
    <col min="7" max="7" width="7.5" style="13" customWidth="1"/>
    <col min="10" max="10" width="2.125" customWidth="1"/>
    <col min="11" max="11" width="7.5" customWidth="1"/>
    <col min="14" max="14" width="2.125" customWidth="1"/>
    <col min="15" max="15" width="7.5" customWidth="1"/>
    <col min="18" max="18" width="2.125" customWidth="1"/>
    <col min="19" max="19" width="7.5" customWidth="1"/>
    <col min="20" max="20" width="10.875" customWidth="1"/>
    <col min="21" max="21" width="12.5" customWidth="1"/>
    <col min="22" max="22" width="2.125" customWidth="1"/>
    <col min="23" max="23" width="7.5" customWidth="1"/>
    <col min="26" max="26" width="2.125" customWidth="1"/>
    <col min="27" max="27" width="7.5" customWidth="1"/>
    <col min="30" max="30" width="2.125" customWidth="1"/>
    <col min="31" max="31" width="7.5" customWidth="1"/>
    <col min="34" max="34" width="2.125" customWidth="1"/>
    <col min="35" max="35" width="7.5" customWidth="1"/>
    <col min="38" max="38" width="2.125" customWidth="1"/>
    <col min="39" max="39" width="7.5" customWidth="1"/>
    <col min="42" max="42" width="2.125" customWidth="1"/>
    <col min="43" max="43" width="7.5" customWidth="1"/>
    <col min="46" max="46" width="2.125" customWidth="1"/>
    <col min="47" max="47" width="7.5" customWidth="1"/>
    <col min="50" max="50" width="2.125" customWidth="1"/>
    <col min="51" max="51" width="7.5" customWidth="1"/>
    <col min="54" max="54" width="2.125" customWidth="1"/>
    <col min="55" max="55" width="7.5" customWidth="1"/>
    <col min="58" max="58" width="2.125" customWidth="1"/>
    <col min="59" max="59" width="7.5" customWidth="1"/>
    <col min="62" max="62" width="2.125" customWidth="1"/>
    <col min="63" max="63" width="7.5" customWidth="1"/>
    <col min="66" max="66" width="2.125" customWidth="1"/>
    <col min="67" max="67" width="7.5" customWidth="1"/>
    <col min="70" max="70" width="2.125" customWidth="1"/>
    <col min="71" max="71" width="7.5" customWidth="1"/>
    <col min="74" max="74" width="2.125" customWidth="1"/>
    <col min="75" max="75" width="7.5" customWidth="1"/>
    <col min="78" max="78" width="2.125" customWidth="1"/>
    <col min="79" max="79" width="7.5" customWidth="1"/>
    <col min="82" max="82" width="2.125" customWidth="1"/>
    <col min="83" max="83" width="7.5" customWidth="1"/>
    <col min="86" max="86" width="2.125" customWidth="1"/>
    <col min="87" max="87" width="7.5" customWidth="1"/>
    <col min="89" max="89" width="11.875" customWidth="1"/>
    <col min="90" max="90" width="2.125" customWidth="1"/>
    <col min="91" max="91" width="7.5" customWidth="1"/>
    <col min="94" max="94" width="2.125" customWidth="1"/>
    <col min="95" max="95" width="7.5" customWidth="1"/>
    <col min="98" max="98" width="2.125" customWidth="1"/>
    <col min="99" max="99" width="7.5" customWidth="1"/>
    <col min="100" max="101" width="11.5" customWidth="1"/>
    <col min="102" max="102" width="2.125" customWidth="1"/>
    <col min="103" max="103" width="7.5" customWidth="1"/>
    <col min="106" max="106" width="2.125" customWidth="1"/>
    <col min="107" max="107" width="7.5" customWidth="1"/>
    <col min="108" max="109" width="11.5" customWidth="1"/>
    <col min="110" max="110" width="2.125" customWidth="1"/>
    <col min="111" max="111" width="7.5" customWidth="1"/>
    <col min="114" max="114" width="2.125" customWidth="1"/>
    <col min="115" max="115" width="7.5" customWidth="1"/>
    <col min="116" max="117" width="11.5" customWidth="1"/>
    <col min="118" max="118" width="2.125" customWidth="1"/>
    <col min="119" max="119" width="7.5" customWidth="1"/>
    <col min="122" max="122" width="2.125" customWidth="1"/>
    <col min="123" max="123" width="7.5" customWidth="1"/>
    <col min="124" max="125" width="11.5" customWidth="1"/>
    <col min="126" max="126" width="2.125" customWidth="1"/>
    <col min="127" max="127" width="7.5" customWidth="1"/>
    <col min="130" max="130" width="2.125" customWidth="1"/>
    <col min="131" max="131" width="7.5" customWidth="1"/>
    <col min="132" max="133" width="11.5" customWidth="1"/>
    <col min="134" max="134" width="2.125" customWidth="1"/>
    <col min="135" max="135" width="7.5" customWidth="1"/>
    <col min="138" max="138" width="2.125" customWidth="1"/>
    <col min="139" max="140" width="11.5" customWidth="1"/>
    <col min="141" max="141" width="7.5" customWidth="1"/>
    <col min="142" max="143" width="11.5" customWidth="1"/>
    <col min="144" max="144" width="2.125" customWidth="1"/>
    <col min="145" max="145" width="7.5" customWidth="1"/>
    <col min="148" max="148" width="2.125" customWidth="1"/>
    <col min="149" max="149" width="7.5" customWidth="1"/>
    <col min="150" max="151" width="11.5" customWidth="1"/>
    <col min="152" max="152" width="2.125" customWidth="1"/>
    <col min="153" max="153" width="7.5" customWidth="1"/>
    <col min="156" max="156" width="2.125" customWidth="1"/>
    <col min="157" max="157" width="7.5" customWidth="1"/>
    <col min="158" max="159" width="11.5" customWidth="1"/>
    <col min="160" max="160" width="2.125" customWidth="1"/>
    <col min="161" max="161" width="7.5" customWidth="1"/>
    <col min="164" max="164" width="2.125" customWidth="1"/>
    <col min="165" max="165" width="7.5" customWidth="1"/>
    <col min="166" max="167" width="11.5" customWidth="1"/>
    <col min="168" max="168" width="2.125" customWidth="1"/>
    <col min="169" max="169" width="7.5" customWidth="1"/>
    <col min="172" max="172" width="2.125" customWidth="1"/>
    <col min="173" max="173" width="7.5" customWidth="1"/>
    <col min="174" max="175" width="11.5" customWidth="1"/>
    <col min="176" max="16384" width="10.875" style="1"/>
  </cols>
  <sheetData>
    <row r="1" spans="2:175" x14ac:dyDescent="0.25">
      <c r="E1" s="1"/>
      <c r="F1" s="1"/>
      <c r="G1" s="1"/>
    </row>
    <row r="2" spans="2:175" s="3" customFormat="1" x14ac:dyDescent="0.25">
      <c r="C2" s="2"/>
      <c r="D2" s="83">
        <f>'[1]Overview 2026'!B24</f>
        <v>46025</v>
      </c>
      <c r="E2" s="83"/>
      <c r="F2" s="5"/>
      <c r="G2" s="5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</row>
    <row r="3" spans="2:175" s="3" customFormat="1" ht="6.95" customHeight="1" x14ac:dyDescent="0.25">
      <c r="C3" s="2"/>
      <c r="D3" s="4"/>
      <c r="E3" s="4"/>
      <c r="F3" s="5"/>
      <c r="G3" s="5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</row>
    <row r="4" spans="2:175" s="6" customFormat="1" ht="20.100000000000001" customHeight="1" x14ac:dyDescent="0.25">
      <c r="C4" s="2">
        <f>'[1]Overview 2026'!J3</f>
        <v>9</v>
      </c>
      <c r="D4" s="84" t="str">
        <f>VLOOKUP(D$2,'[1]Overview 2026'!$B$7:$AC$52,$C4,FALSE)</f>
        <v>CLOONEE</v>
      </c>
      <c r="E4" s="84"/>
      <c r="F4" s="7"/>
      <c r="G4" s="7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</row>
    <row r="5" spans="2:175" s="8" customFormat="1" x14ac:dyDescent="0.25">
      <c r="B5" s="8" t="s">
        <v>0</v>
      </c>
      <c r="C5" s="2">
        <f>'[1]Overview 2026'!L3</f>
        <v>11</v>
      </c>
      <c r="D5" s="85">
        <f>VLOOKUP(D$2,'[1]Overview 2026'!$B$7:$AC$52,$C5,FALSE)</f>
        <v>100000</v>
      </c>
      <c r="E5" s="86"/>
      <c r="F5" s="9"/>
      <c r="G5" s="9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</row>
    <row r="6" spans="2:175" s="8" customFormat="1" x14ac:dyDescent="0.25">
      <c r="B6" s="8" t="s">
        <v>1</v>
      </c>
      <c r="C6" s="2"/>
      <c r="D6" s="87">
        <f>IFERROR(D5/D8,"")</f>
        <v>0.45454545454545453</v>
      </c>
      <c r="E6" s="88"/>
      <c r="F6" s="10"/>
      <c r="G6" s="10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</row>
    <row r="7" spans="2:175" s="8" customFormat="1" x14ac:dyDescent="0.25">
      <c r="C7" s="2"/>
      <c r="D7" s="11"/>
      <c r="E7" s="11"/>
      <c r="F7" s="12"/>
      <c r="G7" s="12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</row>
    <row r="8" spans="2:175" x14ac:dyDescent="0.25">
      <c r="B8" s="1" t="s">
        <v>2</v>
      </c>
      <c r="C8" s="2">
        <f>'[1]Overview 2026'!F3</f>
        <v>5</v>
      </c>
      <c r="D8" s="89">
        <f>D15+D16</f>
        <v>220000</v>
      </c>
      <c r="E8" s="89"/>
    </row>
    <row r="9" spans="2:175" x14ac:dyDescent="0.25">
      <c r="B9" s="1" t="s">
        <v>3</v>
      </c>
      <c r="C9" s="2">
        <f>'[1]Overview 2026'!H3</f>
        <v>7</v>
      </c>
      <c r="D9" s="89">
        <f>VLOOKUP(D$2,'[1]Overview 2026'!$B$7:$AC$52,$C9,FALSE)</f>
        <v>101500</v>
      </c>
      <c r="E9" s="89"/>
    </row>
    <row r="10" spans="2:175" x14ac:dyDescent="0.25">
      <c r="B10" s="14" t="s">
        <v>4</v>
      </c>
      <c r="C10" s="15"/>
      <c r="D10" s="78">
        <f>SUM(D8:E9)</f>
        <v>321500</v>
      </c>
      <c r="E10" s="78"/>
    </row>
    <row r="11" spans="2:175" x14ac:dyDescent="0.25">
      <c r="B11" s="16" t="s">
        <v>5</v>
      </c>
      <c r="C11" s="17">
        <f>'[1]Overview 2026'!D3</f>
        <v>3</v>
      </c>
      <c r="D11" s="79" t="str">
        <f>IF(VLOOKUP(D$2,'[1]Overview 2026'!$B6:$AC$52,$C11,FALSE)=0,"",VLOOKUP(D$2,'[1]Overview 2026'!$B6:$AC$52,$C11,FALSE))</f>
        <v/>
      </c>
      <c r="E11" s="79"/>
    </row>
    <row r="12" spans="2:175" x14ac:dyDescent="0.25">
      <c r="B12" s="16" t="s">
        <v>6</v>
      </c>
      <c r="C12" s="17">
        <f>'[1]Overview 2026'!C3</f>
        <v>2</v>
      </c>
      <c r="D12" s="79" t="str">
        <f>IF(VLOOKUP(D$2,'[1]Overview 2026'!$B7:$AC$52,$C12,FALSE)=0,"",VLOOKUP(D$2,'[1]Overview 2026'!$B7:$AC$52,$C12,FALSE))</f>
        <v/>
      </c>
      <c r="E12" s="79"/>
    </row>
    <row r="13" spans="2:175" x14ac:dyDescent="0.25">
      <c r="B13" s="18"/>
      <c r="D13" s="19"/>
      <c r="E13" s="20"/>
    </row>
    <row r="14" spans="2:175" x14ac:dyDescent="0.25">
      <c r="B14" s="21" t="s">
        <v>7</v>
      </c>
      <c r="D14" s="19"/>
      <c r="E14" s="20"/>
    </row>
    <row r="15" spans="2:175" x14ac:dyDescent="0.25">
      <c r="B15" s="22" t="s">
        <v>8</v>
      </c>
      <c r="C15" s="2">
        <f>'[1]Overview 2026'!F3</f>
        <v>5</v>
      </c>
      <c r="D15" s="23">
        <f>VLOOKUP(D$2,'[1]Overview 2026'!$B7:$AC$52,$C15,FALSE)</f>
        <v>20000</v>
      </c>
      <c r="E15" s="20"/>
      <c r="F15" s="24"/>
      <c r="G15" s="24"/>
    </row>
    <row r="16" spans="2:175" x14ac:dyDescent="0.25">
      <c r="B16" s="22" t="s">
        <v>9</v>
      </c>
      <c r="C16" s="2">
        <f>'[1]Overview 2026'!O3</f>
        <v>14</v>
      </c>
      <c r="D16" s="25">
        <f>IFERROR(D5*E16,0)</f>
        <v>200000</v>
      </c>
      <c r="E16" s="26">
        <f>VLOOKUP(D$2,'[1]Overview 2026'!$B$7:$AC$52,$C16,FALSE)</f>
        <v>2</v>
      </c>
    </row>
    <row r="17" spans="2:7" x14ac:dyDescent="0.25">
      <c r="B17" s="18"/>
      <c r="D17" s="19"/>
      <c r="E17" s="20"/>
    </row>
    <row r="18" spans="2:7" x14ac:dyDescent="0.25">
      <c r="B18" s="21" t="s">
        <v>10</v>
      </c>
      <c r="D18" s="19"/>
      <c r="E18" s="20"/>
    </row>
    <row r="19" spans="2:7" x14ac:dyDescent="0.25">
      <c r="B19" s="27" t="s">
        <v>11</v>
      </c>
      <c r="D19" s="80">
        <f>E30</f>
        <v>28</v>
      </c>
      <c r="E19" s="80"/>
      <c r="F19" s="29"/>
      <c r="G19" s="29"/>
    </row>
    <row r="20" spans="2:7" x14ac:dyDescent="0.25">
      <c r="B20" s="27" t="s">
        <v>12</v>
      </c>
      <c r="D20" s="81">
        <f>D16/D19</f>
        <v>7142.8571428571431</v>
      </c>
      <c r="E20" s="81"/>
    </row>
    <row r="21" spans="2:7" x14ac:dyDescent="0.25">
      <c r="B21" s="18"/>
      <c r="D21" s="19"/>
      <c r="E21" s="20"/>
    </row>
    <row r="22" spans="2:7" x14ac:dyDescent="0.25">
      <c r="B22" s="18"/>
      <c r="C22" s="2">
        <f>'[1]Overview 2026'!R3</f>
        <v>17</v>
      </c>
      <c r="D22" s="82" t="str">
        <f>IF(VLOOKUP(D$2,'[1]Overview 2026'!$B$7:$AC$52,$C22,FALSE)=0,"Beach Club",VLOOKUP(D$2,'[1]Overview 2026'!$B$7:$AC$52,$C22,FALSE))</f>
        <v>Beach Club</v>
      </c>
      <c r="E22" s="82"/>
    </row>
    <row r="23" spans="2:7" x14ac:dyDescent="0.25">
      <c r="B23" s="18" t="str">
        <f>VLOOKUP(D$22,'[1]Floor Plan Bottle Service'!$R$29:$Y$31,2,FALSE)</f>
        <v>Tier 1</v>
      </c>
      <c r="C23" s="2">
        <f>'[1]Overview 2026'!W3</f>
        <v>22</v>
      </c>
      <c r="D23" s="30">
        <f>VLOOKUP(D$2,'[1]Overview 2026'!$B$7:$AC$52,$C23,FALSE)</f>
        <v>11800</v>
      </c>
      <c r="E23" s="28">
        <f>IF(VLOOKUP(D$22,'[1]Floor Plan Bottle Service'!$R$33:$X$34,2,FALSE)=0,"",VLOOKUP(D$22,'[1]Floor Plan Bottle Service'!$R$33:$X$34,2,FALSE))</f>
        <v>3</v>
      </c>
      <c r="G23" s="18" t="e">
        <f>VLOOKUP(H$22,'[1]Floor Plan Bottle Service'!$R$29:$Y$31,2,FALSE)</f>
        <v>#N/A</v>
      </c>
    </row>
    <row r="24" spans="2:7" x14ac:dyDescent="0.25">
      <c r="B24" s="18" t="str">
        <f>VLOOKUP(D$22,'[1]Floor Plan Bottle Service'!$R$29:$Y$31,3,FALSE)</f>
        <v>Tier 2</v>
      </c>
      <c r="C24" s="2">
        <f>'[1]Overview 2026'!X3</f>
        <v>23</v>
      </c>
      <c r="D24" s="30">
        <f>VLOOKUP(D$2,'[1]Overview 2026'!$B$7:$AC$52,$C24,FALSE)</f>
        <v>9400</v>
      </c>
      <c r="E24" s="28">
        <f>VLOOKUP(D$22,'[1]Floor Plan Bottle Service'!$R$33:$Y$34,3,FALSE)</f>
        <v>2</v>
      </c>
      <c r="G24" s="18" t="e">
        <f>VLOOKUP(H$22,'[1]Floor Plan Bottle Service'!$R$29:$Y$31,3,FALSE)</f>
        <v>#N/A</v>
      </c>
    </row>
    <row r="25" spans="2:7" x14ac:dyDescent="0.25">
      <c r="B25" s="18" t="str">
        <f>VLOOKUP(D$22,'[1]Floor Plan Bottle Service'!$R$29:$Y$31,4,FALSE)</f>
        <v>Tier 3</v>
      </c>
      <c r="C25" s="2">
        <f>'[1]Overview 2026'!Y3</f>
        <v>24</v>
      </c>
      <c r="D25" s="30">
        <f>VLOOKUP(D$2,'[1]Overview 2026'!$B$7:$AC$52,$C25,FALSE)</f>
        <v>8200</v>
      </c>
      <c r="E25" s="28">
        <f>VLOOKUP(D$22,'[1]Floor Plan Bottle Service'!$R$33:$Y$34,4,FALSE)</f>
        <v>13</v>
      </c>
      <c r="G25" s="18" t="e">
        <f>VLOOKUP(H$22,'[1]Floor Plan Bottle Service'!$R$29:$Y$31,4,FALSE)</f>
        <v>#N/A</v>
      </c>
    </row>
    <row r="26" spans="2:7" x14ac:dyDescent="0.25">
      <c r="B26" s="18" t="str">
        <f>VLOOKUP(D$22,'[1]Floor Plan Bottle Service'!$R$29:$Y$31,5,FALSE)</f>
        <v>Tier 4</v>
      </c>
      <c r="C26" s="2">
        <f>'[1]Overview 2026'!Z3</f>
        <v>25</v>
      </c>
      <c r="D26" s="30">
        <f>VLOOKUP(D$2,'[1]Overview 2026'!$B$7:$AC$52,$C26,FALSE)</f>
        <v>5800</v>
      </c>
      <c r="E26" s="28">
        <f>VLOOKUP(D$22,'[1]Floor Plan Bottle Service'!$R$33:$Y$34,5,FALSE)</f>
        <v>5</v>
      </c>
      <c r="G26" s="18" t="e">
        <f>VLOOKUP(H$22,'[1]Floor Plan Bottle Service'!$R$29:$Y$31,5,FALSE)</f>
        <v>#N/A</v>
      </c>
    </row>
    <row r="27" spans="2:7" x14ac:dyDescent="0.25">
      <c r="B27" s="18" t="str">
        <f>IF(E27=0,"",VLOOKUP(D$22,'[1]Floor Plan Bottle Service'!$R$29:$Y$31,6,FALSE))</f>
        <v>Tier 5</v>
      </c>
      <c r="C27" s="2">
        <f>'[1]Overview 2026'!AA3</f>
        <v>26</v>
      </c>
      <c r="D27" s="30">
        <f>VLOOKUP(D$2,'[1]Overview 2026'!$B$7:$AC$52,$C27,FALSE)</f>
        <v>3500.0000000000005</v>
      </c>
      <c r="E27" s="28">
        <f>VLOOKUP(D$22,'[1]Floor Plan Bottle Service'!$R$33:$Y$34,6,FALSE)</f>
        <v>5</v>
      </c>
      <c r="G27" s="18" t="str">
        <f>IF(I27=0,"",VLOOKUP(H$22,'[1]Floor Plan Bottle Service'!$R$29:$Y$31,6,FALSE))</f>
        <v/>
      </c>
    </row>
    <row r="28" spans="2:7" x14ac:dyDescent="0.25">
      <c r="B28" s="18" t="str">
        <f>IF(E28=0,"",VLOOKUP(D$22,'[1]Floor Plan Bottle Service'!$R$29:$Y$31,7,FALSE))</f>
        <v/>
      </c>
      <c r="C28" s="2">
        <f>'[1]Overview 2026'!AB3</f>
        <v>27</v>
      </c>
      <c r="D28" s="30">
        <f>VLOOKUP(D$2,'[1]Overview 2026'!$B$7:$AC$52,$C28,FALSE)</f>
        <v>0</v>
      </c>
      <c r="E28" s="28">
        <f>VLOOKUP(D$22,'[1]Floor Plan Bottle Service'!$R$33:$Y$34,7,FALSE)</f>
        <v>0</v>
      </c>
      <c r="G28" s="18" t="str">
        <f>IF(I28=0,"",VLOOKUP(H$22,'[1]Floor Plan Bottle Service'!$R$29:$Y$31,7,FALSE))</f>
        <v/>
      </c>
    </row>
    <row r="29" spans="2:7" ht="16.5" thickBot="1" x14ac:dyDescent="0.3">
      <c r="B29" s="18" t="str">
        <f>IF(E29=0,"",VLOOKUP(D$22,'[1]Floor Plan Bottle Service'!$R$29:$Y$31,8,FALSE))</f>
        <v/>
      </c>
      <c r="C29" s="2">
        <f>'[1]Overview 2026'!AC3</f>
        <v>28</v>
      </c>
      <c r="D29" s="30">
        <f>VLOOKUP(D$2,'[1]Overview 2026'!$B$7:$AC$52,$C29,FALSE)</f>
        <v>0</v>
      </c>
      <c r="E29" s="28">
        <f>VLOOKUP(D$22,'[1]Floor Plan Bottle Service'!$R$33:$Y$34,8,FALSE)</f>
        <v>0</v>
      </c>
      <c r="G29" s="18" t="str">
        <f>IF(I29=0,"",VLOOKUP(H$22,'[1]Floor Plan Bottle Service'!$R$29:$Y$31,8,FALSE))</f>
        <v/>
      </c>
    </row>
    <row r="30" spans="2:7" x14ac:dyDescent="0.25">
      <c r="B30" s="18"/>
      <c r="D30" s="31">
        <f>(D23*E23)+(D24*E24)+(D25*E25)+(D26*E26)+(D27*E27)+(D29*E29)+(D28*E28)</f>
        <v>207300</v>
      </c>
      <c r="E30" s="32">
        <f>SUM(E23:E29)</f>
        <v>28</v>
      </c>
    </row>
    <row r="31" spans="2:7" x14ac:dyDescent="0.25">
      <c r="B31" s="18"/>
      <c r="D31" s="19"/>
      <c r="E31" s="20"/>
    </row>
    <row r="33" spans="2:175" outlineLevel="1" x14ac:dyDescent="0.25">
      <c r="B33" s="1" t="s">
        <v>13</v>
      </c>
      <c r="D33" s="25">
        <f>D$36*E33</f>
        <v>199330</v>
      </c>
      <c r="E33" s="13">
        <v>0.62</v>
      </c>
    </row>
    <row r="34" spans="2:175" outlineLevel="1" x14ac:dyDescent="0.25">
      <c r="B34" s="1" t="s">
        <v>14</v>
      </c>
      <c r="D34" s="25">
        <f t="shared" ref="D34" si="0">D$36*E34</f>
        <v>109310.00000000001</v>
      </c>
      <c r="E34" s="13">
        <f>E36-E33-E35</f>
        <v>0.34</v>
      </c>
    </row>
    <row r="35" spans="2:175" outlineLevel="1" x14ac:dyDescent="0.25">
      <c r="B35" s="1" t="s">
        <v>15</v>
      </c>
      <c r="D35" s="25">
        <f>D$36*E35</f>
        <v>12860</v>
      </c>
      <c r="E35" s="13">
        <v>0.04</v>
      </c>
    </row>
    <row r="36" spans="2:175" x14ac:dyDescent="0.25">
      <c r="B36" s="14" t="s">
        <v>4</v>
      </c>
      <c r="C36" s="15"/>
      <c r="D36" s="33">
        <f>D10</f>
        <v>321500</v>
      </c>
      <c r="E36" s="34">
        <v>1</v>
      </c>
    </row>
    <row r="37" spans="2:175" ht="5.0999999999999996" customHeight="1" x14ac:dyDescent="0.25">
      <c r="D37" s="25"/>
    </row>
    <row r="38" spans="2:175" outlineLevel="1" x14ac:dyDescent="0.25">
      <c r="B38" s="1" t="s">
        <v>16</v>
      </c>
      <c r="D38" s="25">
        <f>E38*D33</f>
        <v>29899.5</v>
      </c>
      <c r="E38" s="13">
        <v>0.15</v>
      </c>
    </row>
    <row r="39" spans="2:175" outlineLevel="1" x14ac:dyDescent="0.25">
      <c r="B39" s="1" t="s">
        <v>17</v>
      </c>
      <c r="D39" s="25">
        <f t="shared" ref="D39:D40" si="1">E39*D34</f>
        <v>28967.150000000005</v>
      </c>
      <c r="E39" s="13">
        <v>0.26500000000000001</v>
      </c>
    </row>
    <row r="40" spans="2:175" outlineLevel="1" x14ac:dyDescent="0.25">
      <c r="B40" s="1" t="s">
        <v>18</v>
      </c>
      <c r="D40" s="25">
        <f t="shared" si="1"/>
        <v>3600.8</v>
      </c>
      <c r="E40" s="13">
        <v>0.28000000000000003</v>
      </c>
    </row>
    <row r="41" spans="2:175" x14ac:dyDescent="0.25">
      <c r="B41" s="14" t="s">
        <v>19</v>
      </c>
      <c r="C41" s="15"/>
      <c r="D41" s="33">
        <f>SUM(D38:D40)</f>
        <v>62467.450000000012</v>
      </c>
      <c r="E41" s="34">
        <f>D41/D36</f>
        <v>0.19430000000000003</v>
      </c>
    </row>
    <row r="42" spans="2:175" ht="5.0999999999999996" customHeight="1" x14ac:dyDescent="0.25">
      <c r="D42" s="25"/>
    </row>
    <row r="43" spans="2:175" x14ac:dyDescent="0.25">
      <c r="B43" s="14" t="s">
        <v>20</v>
      </c>
      <c r="C43" s="15"/>
      <c r="D43" s="33">
        <f>D36-D41</f>
        <v>259032.55</v>
      </c>
      <c r="E43" s="34">
        <f>D43/D36</f>
        <v>0.80569999999999997</v>
      </c>
    </row>
    <row r="45" spans="2:175" s="8" customFormat="1" x14ac:dyDescent="0.25">
      <c r="B45" s="8" t="s">
        <v>21</v>
      </c>
      <c r="C45" s="2"/>
      <c r="E45" s="12"/>
      <c r="F45" s="12"/>
      <c r="G45" s="12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</row>
    <row r="46" spans="2:175" outlineLevel="1" x14ac:dyDescent="0.25">
      <c r="B46" s="1" t="s">
        <v>22</v>
      </c>
      <c r="D46" s="25">
        <f>'OPEX DATA 2'!U143</f>
        <v>4809.2311538461536</v>
      </c>
      <c r="E46" s="13">
        <f>D46/D$36</f>
        <v>1.4958728316784303E-2</v>
      </c>
    </row>
    <row r="47" spans="2:175" outlineLevel="1" x14ac:dyDescent="0.25">
      <c r="B47" s="1" t="s">
        <v>23</v>
      </c>
      <c r="D47" s="25">
        <f>'OPEX DATA 2'!U119</f>
        <v>2065.1092307692311</v>
      </c>
      <c r="E47" s="13">
        <f t="shared" ref="E47:E50" si="2">D47/D$36</f>
        <v>6.4233568608685256E-3</v>
      </c>
    </row>
    <row r="48" spans="2:175" outlineLevel="1" x14ac:dyDescent="0.25">
      <c r="B48" s="1" t="s">
        <v>24</v>
      </c>
      <c r="D48" s="25"/>
      <c r="E48" s="13">
        <f t="shared" si="2"/>
        <v>0</v>
      </c>
    </row>
    <row r="49" spans="2:175" outlineLevel="1" x14ac:dyDescent="0.25">
      <c r="B49" s="1" t="s">
        <v>25</v>
      </c>
      <c r="D49" s="25">
        <f>'OPEX DATA 2'!U151</f>
        <v>2629.4965384615384</v>
      </c>
      <c r="E49" s="13">
        <f t="shared" si="2"/>
        <v>8.178838377796387E-3</v>
      </c>
    </row>
    <row r="50" spans="2:175" x14ac:dyDescent="0.25">
      <c r="B50" s="14" t="s">
        <v>26</v>
      </c>
      <c r="C50" s="15"/>
      <c r="D50" s="33">
        <f>SUM(D46:D49)</f>
        <v>9503.836923076924</v>
      </c>
      <c r="E50" s="34">
        <f t="shared" si="2"/>
        <v>2.9560923555449221E-2</v>
      </c>
    </row>
    <row r="52" spans="2:175" s="8" customFormat="1" x14ac:dyDescent="0.25">
      <c r="B52" s="8" t="str">
        <f>'OPEX DATA 2'!A159</f>
        <v>Direct Operating Expenses</v>
      </c>
      <c r="C52" s="2"/>
      <c r="D52" s="19"/>
      <c r="E52" s="12"/>
      <c r="F52" s="12"/>
      <c r="G52" s="1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</row>
    <row r="53" spans="2:175" outlineLevel="1" x14ac:dyDescent="0.25">
      <c r="B53" s="1" t="str">
        <f>'OPEX DATA 2'!A161</f>
        <v>6105 - Automobile</v>
      </c>
      <c r="D53" s="25">
        <f>'OPEX DATA 2'!U161</f>
        <v>0.24153846153846154</v>
      </c>
      <c r="E53" s="13">
        <f t="shared" ref="E53:E101" si="3">D53/D$36</f>
        <v>7.5128603899988033E-7</v>
      </c>
    </row>
    <row r="54" spans="2:175" outlineLevel="1" x14ac:dyDescent="0.25">
      <c r="B54" s="1" t="str">
        <f>'OPEX DATA 2'!A162</f>
        <v>6110 - China</v>
      </c>
      <c r="D54" s="25">
        <f>'OPEX DATA 2'!U162</f>
        <v>315.81653846153847</v>
      </c>
      <c r="E54" s="13">
        <f t="shared" si="3"/>
        <v>9.8232204809187715E-4</v>
      </c>
    </row>
    <row r="55" spans="2:175" outlineLevel="1" x14ac:dyDescent="0.25">
      <c r="B55" s="1" t="str">
        <f>'OPEX DATA 2'!A163</f>
        <v>6120 - Glass</v>
      </c>
      <c r="D55" s="25">
        <f>'OPEX DATA 2'!U163</f>
        <v>121.49442307692306</v>
      </c>
      <c r="E55" s="13">
        <f t="shared" si="3"/>
        <v>3.7789867208996283E-4</v>
      </c>
    </row>
    <row r="56" spans="2:175" outlineLevel="1" x14ac:dyDescent="0.25">
      <c r="B56" s="1" t="str">
        <f>'OPEX DATA 2'!A164</f>
        <v>6130 - Silverware</v>
      </c>
      <c r="D56" s="25">
        <f>'OPEX DATA 2'!U164</f>
        <v>38.287307692307692</v>
      </c>
      <c r="E56" s="13">
        <f t="shared" si="3"/>
        <v>1.1908960401961957E-4</v>
      </c>
    </row>
    <row r="57" spans="2:175" outlineLevel="1" x14ac:dyDescent="0.25">
      <c r="B57" s="1" t="str">
        <f>'OPEX DATA 2'!A165</f>
        <v>6200 - Bar Supplies</v>
      </c>
      <c r="D57" s="25">
        <f>'OPEX DATA 2'!U165</f>
        <v>54.47538461538462</v>
      </c>
      <c r="E57" s="13">
        <f t="shared" si="3"/>
        <v>1.6944132073214502E-4</v>
      </c>
    </row>
    <row r="58" spans="2:175" outlineLevel="1" x14ac:dyDescent="0.25">
      <c r="B58" s="1" t="str">
        <f>'OPEX DATA 2'!A166</f>
        <v>6201 - Ice Expense</v>
      </c>
      <c r="D58" s="25">
        <f>'OPEX DATA 2'!U166</f>
        <v>174.56384615384616</v>
      </c>
      <c r="E58" s="13">
        <f t="shared" si="3"/>
        <v>5.4296686206484028E-4</v>
      </c>
    </row>
    <row r="59" spans="2:175" outlineLevel="1" x14ac:dyDescent="0.25">
      <c r="B59" s="1" t="str">
        <f>'OPEX DATA 2'!A167</f>
        <v>6210 - Cleaning Supplies</v>
      </c>
      <c r="D59" s="25">
        <f>'OPEX DATA 2'!U167</f>
        <v>147.65269230769232</v>
      </c>
      <c r="E59" s="13">
        <f t="shared" si="3"/>
        <v>4.5926187342983614E-4</v>
      </c>
    </row>
    <row r="60" spans="2:175" outlineLevel="1" x14ac:dyDescent="0.25">
      <c r="B60" s="1" t="str">
        <f>'OPEX DATA 2'!A168</f>
        <v>6230 - Kitchen Supplies</v>
      </c>
      <c r="D60" s="25">
        <f>'OPEX DATA 2'!U168</f>
        <v>251.86307692307693</v>
      </c>
      <c r="E60" s="13">
        <f t="shared" si="3"/>
        <v>7.8339992822107915E-4</v>
      </c>
    </row>
    <row r="61" spans="2:175" outlineLevel="1" x14ac:dyDescent="0.25">
      <c r="B61" s="1" t="str">
        <f>'OPEX DATA 2'!A169</f>
        <v>6235 - Kitchen Equipment - Ops</v>
      </c>
      <c r="D61" s="25">
        <f>'OPEX DATA 2'!U169</f>
        <v>22.196346153846154</v>
      </c>
      <c r="E61" s="13">
        <f t="shared" si="3"/>
        <v>6.9039956932647449E-5</v>
      </c>
    </row>
    <row r="62" spans="2:175" outlineLevel="1" x14ac:dyDescent="0.25">
      <c r="B62" s="1" t="str">
        <f>'OPEX DATA 2'!A170</f>
        <v>6240 - Restaurant Supplies</v>
      </c>
      <c r="D62" s="25">
        <f>'OPEX DATA 2'!U170</f>
        <v>375.3194230769231</v>
      </c>
      <c r="E62" s="13">
        <f t="shared" si="3"/>
        <v>1.1674010049048931E-3</v>
      </c>
    </row>
    <row r="63" spans="2:175" outlineLevel="1" x14ac:dyDescent="0.25">
      <c r="B63" s="1" t="str">
        <f>'OPEX DATA 2'!A171</f>
        <v>6245 - Restaurant Equipment</v>
      </c>
      <c r="D63" s="25">
        <f>'OPEX DATA 2'!U171</f>
        <v>195.05365384615385</v>
      </c>
      <c r="E63" s="13">
        <f t="shared" si="3"/>
        <v>6.0669876779519084E-4</v>
      </c>
    </row>
    <row r="64" spans="2:175" outlineLevel="1" x14ac:dyDescent="0.25">
      <c r="B64" s="1" t="str">
        <f>'OPEX DATA 2'!A172</f>
        <v>6246 - Hotel Amenities</v>
      </c>
      <c r="D64" s="25">
        <f>'OPEX DATA 2'!U172</f>
        <v>0</v>
      </c>
      <c r="E64" s="13">
        <f t="shared" si="3"/>
        <v>0</v>
      </c>
    </row>
    <row r="65" spans="2:5" outlineLevel="1" x14ac:dyDescent="0.25">
      <c r="B65" s="1" t="str">
        <f>'OPEX DATA 2'!A173</f>
        <v>6247 - Hotel Equipment</v>
      </c>
      <c r="D65" s="25">
        <f>'OPEX DATA 2'!U173</f>
        <v>0</v>
      </c>
      <c r="E65" s="13">
        <f t="shared" si="3"/>
        <v>0</v>
      </c>
    </row>
    <row r="66" spans="2:5" outlineLevel="1" x14ac:dyDescent="0.25">
      <c r="B66" s="1" t="str">
        <f>'OPEX DATA 2'!A174</f>
        <v>6250 - Menu supplies</v>
      </c>
      <c r="D66" s="25">
        <f>'OPEX DATA 2'!U174</f>
        <v>0</v>
      </c>
      <c r="E66" s="13">
        <f t="shared" si="3"/>
        <v>0</v>
      </c>
    </row>
    <row r="67" spans="2:5" outlineLevel="1" x14ac:dyDescent="0.25">
      <c r="B67" s="1" t="str">
        <f>'OPEX DATA 2'!A175</f>
        <v>6260 - Chemicals/Dish Machine</v>
      </c>
      <c r="D67" s="25">
        <f>'OPEX DATA 2'!U175</f>
        <v>159.91</v>
      </c>
      <c r="E67" s="13">
        <f t="shared" si="3"/>
        <v>4.9738724727838252E-4</v>
      </c>
    </row>
    <row r="68" spans="2:5" outlineLevel="1" x14ac:dyDescent="0.25">
      <c r="B68" s="1" t="str">
        <f>'OPEX DATA 2'!A176</f>
        <v>6270 - Disposable Paper Products</v>
      </c>
      <c r="D68" s="25">
        <f>'OPEX DATA 2'!U176</f>
        <v>284.53557692307692</v>
      </c>
      <c r="E68" s="13">
        <f t="shared" si="3"/>
        <v>8.8502512262232322E-4</v>
      </c>
    </row>
    <row r="69" spans="2:5" outlineLevel="1" x14ac:dyDescent="0.25">
      <c r="B69" s="1" t="str">
        <f>'OPEX DATA 2'!A177</f>
        <v>6280 - Linen</v>
      </c>
      <c r="D69" s="25">
        <f>'OPEX DATA 2'!U177</f>
        <v>199.30980769230771</v>
      </c>
      <c r="E69" s="13">
        <f t="shared" si="3"/>
        <v>6.1993719344419196E-4</v>
      </c>
    </row>
    <row r="70" spans="2:5" outlineLevel="1" x14ac:dyDescent="0.25">
      <c r="B70" s="1" t="str">
        <f>'OPEX DATA 2'!A178</f>
        <v>6285 - Uniforms</v>
      </c>
      <c r="D70" s="25">
        <f>'OPEX DATA 2'!U178</f>
        <v>15.196153846153846</v>
      </c>
      <c r="E70" s="13">
        <f t="shared" si="3"/>
        <v>4.7266419428161261E-5</v>
      </c>
    </row>
    <row r="71" spans="2:5" outlineLevel="1" x14ac:dyDescent="0.25">
      <c r="B71" s="1" t="str">
        <f>'OPEX DATA 2'!A179</f>
        <v>6290 - Decorations &amp; Flowers</v>
      </c>
      <c r="D71" s="25">
        <f>'OPEX DATA 2'!U179</f>
        <v>164.88173076923078</v>
      </c>
      <c r="E71" s="13">
        <f t="shared" si="3"/>
        <v>5.1285141763368831E-4</v>
      </c>
    </row>
    <row r="72" spans="2:5" outlineLevel="1" x14ac:dyDescent="0.25">
      <c r="B72" s="1" t="str">
        <f>'OPEX DATA 2'!A180</f>
        <v>6300 - Commission third party</v>
      </c>
      <c r="D72" s="25">
        <f>'OPEX DATA 2'!U180</f>
        <v>358.49807692307695</v>
      </c>
      <c r="E72" s="13">
        <f t="shared" si="3"/>
        <v>1.1150795549706904E-3</v>
      </c>
    </row>
    <row r="73" spans="2:5" outlineLevel="1" x14ac:dyDescent="0.25">
      <c r="B73" s="1" t="str">
        <f>'OPEX DATA 2'!A181</f>
        <v>6301 - Commission on Membership</v>
      </c>
      <c r="D73" s="25">
        <f>'OPEX DATA 2'!U181</f>
        <v>0</v>
      </c>
      <c r="E73" s="13">
        <f t="shared" si="3"/>
        <v>0</v>
      </c>
    </row>
    <row r="74" spans="2:5" outlineLevel="1" x14ac:dyDescent="0.25">
      <c r="B74" s="1" t="str">
        <f>'OPEX DATA 2'!A182</f>
        <v>6310 - Employee incentive</v>
      </c>
      <c r="D74" s="25">
        <f>'OPEX DATA 2'!U182</f>
        <v>11.730961538461539</v>
      </c>
      <c r="E74" s="13">
        <f t="shared" si="3"/>
        <v>3.6488216293815053E-5</v>
      </c>
    </row>
    <row r="75" spans="2:5" outlineLevel="1" x14ac:dyDescent="0.25">
      <c r="B75" s="1" t="str">
        <f>'OPEX DATA 2'!A183</f>
        <v>6320 - Family Meal</v>
      </c>
      <c r="D75" s="25">
        <f>'OPEX DATA 2'!U183</f>
        <v>131.67096153846154</v>
      </c>
      <c r="E75" s="13">
        <f t="shared" si="3"/>
        <v>4.0955197990190216E-4</v>
      </c>
    </row>
    <row r="76" spans="2:5" outlineLevel="1" x14ac:dyDescent="0.25">
      <c r="B76" s="1" t="str">
        <f>'OPEX DATA 2'!A184</f>
        <v>6330 - Menu Research</v>
      </c>
      <c r="D76" s="25">
        <f>'OPEX DATA 2'!U184</f>
        <v>21.372692307692304</v>
      </c>
      <c r="E76" s="13">
        <f t="shared" si="3"/>
        <v>6.6478047613350867E-5</v>
      </c>
    </row>
    <row r="77" spans="2:5" outlineLevel="1" x14ac:dyDescent="0.25">
      <c r="B77" s="1" t="str">
        <f>'OPEX DATA 2'!A185</f>
        <v>6350 - Buy Out - Event Expenses</v>
      </c>
      <c r="D77" s="25">
        <f>'OPEX DATA 2'!U185</f>
        <v>39.365384615384613</v>
      </c>
      <c r="E77" s="13">
        <f t="shared" si="3"/>
        <v>1.2244287594209832E-4</v>
      </c>
    </row>
    <row r="78" spans="2:5" outlineLevel="1" x14ac:dyDescent="0.25">
      <c r="B78" s="1" t="str">
        <f>'OPEX DATA 2'!A186</f>
        <v>6500 - Facility Maintenance</v>
      </c>
      <c r="D78" s="25">
        <f>'OPEX DATA 2'!U186</f>
        <v>0</v>
      </c>
      <c r="E78" s="13">
        <f t="shared" si="3"/>
        <v>0</v>
      </c>
    </row>
    <row r="79" spans="2:5" outlineLevel="1" x14ac:dyDescent="0.25">
      <c r="B79" s="1" t="str">
        <f>'OPEX DATA 2'!A187</f>
        <v>6505 - Sales incentives</v>
      </c>
      <c r="D79" s="25">
        <f>'OPEX DATA 2'!U187</f>
        <v>41.405192307692303</v>
      </c>
      <c r="E79" s="13">
        <f t="shared" si="3"/>
        <v>1.2878753439406627E-4</v>
      </c>
    </row>
    <row r="80" spans="2:5" outlineLevel="1" x14ac:dyDescent="0.25">
      <c r="B80" s="1" t="str">
        <f>'OPEX DATA 2'!A188</f>
        <v>6520 - Repairs - Kitchen</v>
      </c>
      <c r="D80" s="25">
        <f>'OPEX DATA 2'!U188</f>
        <v>97.980576923076924</v>
      </c>
      <c r="E80" s="13">
        <f t="shared" si="3"/>
        <v>3.0476073693025483E-4</v>
      </c>
    </row>
    <row r="81" spans="2:175" outlineLevel="1" x14ac:dyDescent="0.25">
      <c r="B81" s="1" t="str">
        <f>'OPEX DATA 2'!A189</f>
        <v>6530 - Repairs - Facility</v>
      </c>
      <c r="D81" s="25">
        <f>'OPEX DATA 2'!U189</f>
        <v>483.09269230769229</v>
      </c>
      <c r="E81" s="13">
        <f t="shared" si="3"/>
        <v>1.5026211269290584E-3</v>
      </c>
    </row>
    <row r="82" spans="2:175" outlineLevel="1" x14ac:dyDescent="0.25">
      <c r="B82" s="1" t="str">
        <f>'OPEX DATA 2'!A190</f>
        <v>6532 - Repair - Electrical</v>
      </c>
      <c r="D82" s="25">
        <f>'OPEX DATA 2'!U190</f>
        <v>0</v>
      </c>
      <c r="E82" s="13">
        <f t="shared" si="3"/>
        <v>0</v>
      </c>
    </row>
    <row r="83" spans="2:175" outlineLevel="1" x14ac:dyDescent="0.25">
      <c r="B83" s="1" t="str">
        <f>'OPEX DATA 2'!A191</f>
        <v>6534 - Repair - HVAC</v>
      </c>
      <c r="D83" s="25">
        <f>'OPEX DATA 2'!U191</f>
        <v>0</v>
      </c>
      <c r="E83" s="13">
        <f t="shared" si="3"/>
        <v>0</v>
      </c>
    </row>
    <row r="84" spans="2:175" outlineLevel="1" x14ac:dyDescent="0.25">
      <c r="B84" s="1" t="str">
        <f>'OPEX DATA 2'!A192</f>
        <v>6540 - Maintenance Contracts</v>
      </c>
      <c r="D84" s="25">
        <f>'OPEX DATA 2'!U192</f>
        <v>93.671346153846144</v>
      </c>
      <c r="E84" s="13">
        <f t="shared" si="3"/>
        <v>2.9135721976312952E-4</v>
      </c>
    </row>
    <row r="85" spans="2:175" x14ac:dyDescent="0.25">
      <c r="B85" s="14" t="str">
        <f>'OPEX DATA 2'!A193</f>
        <v>6550 - Janitorial</v>
      </c>
      <c r="C85" s="15"/>
      <c r="D85" s="33">
        <f>'OPEX DATA 2'!U193</f>
        <v>732.3682692307691</v>
      </c>
      <c r="E85" s="34">
        <f t="shared" si="3"/>
        <v>2.2779728436415833E-3</v>
      </c>
    </row>
    <row r="86" spans="2:175" x14ac:dyDescent="0.25">
      <c r="B86" s="1" t="str">
        <f>'OPEX DATA 2'!A194</f>
        <v>6600 - Commissary Direct Opex</v>
      </c>
      <c r="D86" s="25">
        <f>'OPEX DATA 2'!U194</f>
        <v>436.39134615384614</v>
      </c>
      <c r="E86" s="13">
        <f t="shared" si="3"/>
        <v>1.3573603301830362E-3</v>
      </c>
    </row>
    <row r="87" spans="2:175" s="8" customFormat="1" x14ac:dyDescent="0.25">
      <c r="B87" s="8" t="str">
        <f>'OPEX DATA 2'!A195</f>
        <v>6610 - License &amp; Permits</v>
      </c>
      <c r="C87" s="2"/>
      <c r="D87" s="19">
        <f>'OPEX DATA 2'!U195</f>
        <v>87.905576923076922</v>
      </c>
      <c r="E87" s="12">
        <f t="shared" si="3"/>
        <v>2.734232563703792E-4</v>
      </c>
      <c r="F87" s="12"/>
      <c r="G87" s="12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</row>
    <row r="88" spans="2:175" outlineLevel="1" x14ac:dyDescent="0.25">
      <c r="B88" s="1" t="str">
        <f>'OPEX DATA 2'!A196</f>
        <v>6750 - Live Entertainment</v>
      </c>
      <c r="D88" s="25">
        <f>D5</f>
        <v>100000</v>
      </c>
      <c r="E88" s="13">
        <f t="shared" si="3"/>
        <v>0.31104199066874028</v>
      </c>
    </row>
    <row r="89" spans="2:175" outlineLevel="1" x14ac:dyDescent="0.25">
      <c r="B89" s="1" t="str">
        <f>'OPEX DATA 2'!A197</f>
        <v>6755 - Members Entertainment</v>
      </c>
      <c r="D89" s="25">
        <f>'OPEX DATA 2'!U197</f>
        <v>30.485192307692309</v>
      </c>
      <c r="E89" s="13">
        <f t="shared" si="3"/>
        <v>9.4821749013039843E-5</v>
      </c>
    </row>
    <row r="90" spans="2:175" outlineLevel="1" x14ac:dyDescent="0.25">
      <c r="B90" s="1" t="str">
        <f>'OPEX DATA 2'!A198</f>
        <v>6760 - MM at Sea</v>
      </c>
      <c r="D90" s="25">
        <f>'OPEX DATA 2'!U198</f>
        <v>0</v>
      </c>
      <c r="E90" s="13">
        <f t="shared" si="3"/>
        <v>0</v>
      </c>
    </row>
    <row r="91" spans="2:175" outlineLevel="1" x14ac:dyDescent="0.25">
      <c r="B91" s="1" t="str">
        <f>'OPEX DATA 2'!A199</f>
        <v>6761 - Docking fees expenses</v>
      </c>
      <c r="D91" s="25">
        <f>'OPEX DATA 2'!U199</f>
        <v>0</v>
      </c>
      <c r="E91" s="13">
        <f t="shared" si="3"/>
        <v>0</v>
      </c>
    </row>
    <row r="92" spans="2:175" outlineLevel="1" x14ac:dyDescent="0.25">
      <c r="B92" s="1" t="str">
        <f>'OPEX DATA 2'!A200</f>
        <v>6762 - Operating Yachting Cost</v>
      </c>
      <c r="D92" s="25">
        <f>'OPEX DATA 2'!U200</f>
        <v>0</v>
      </c>
      <c r="E92" s="13">
        <f t="shared" si="3"/>
        <v>0</v>
      </c>
    </row>
    <row r="93" spans="2:175" outlineLevel="1" x14ac:dyDescent="0.25">
      <c r="B93" s="1" t="str">
        <f>'OPEX DATA 2'!A201</f>
        <v>6770 - Printing Expense</v>
      </c>
      <c r="D93" s="25">
        <f>'OPEX DATA 2'!U201</f>
        <v>37.785576923076924</v>
      </c>
      <c r="E93" s="13">
        <f t="shared" si="3"/>
        <v>1.1752901064720661E-4</v>
      </c>
    </row>
    <row r="94" spans="2:175" outlineLevel="1" x14ac:dyDescent="0.25">
      <c r="B94" s="1" t="str">
        <f>'OPEX DATA 2'!A202</f>
        <v>6780 - AVA Coconut Grove</v>
      </c>
      <c r="D94" s="25">
        <f>'OPEX DATA 2'!U202</f>
        <v>0</v>
      </c>
      <c r="E94" s="13">
        <f t="shared" si="3"/>
        <v>0</v>
      </c>
    </row>
    <row r="95" spans="2:175" outlineLevel="1" x14ac:dyDescent="0.25">
      <c r="B95" s="1" t="str">
        <f>'OPEX DATA 2'!A203</f>
        <v>6781 - E11even</v>
      </c>
      <c r="D95" s="25">
        <f>'OPEX DATA 2'!U203</f>
        <v>0</v>
      </c>
      <c r="E95" s="13">
        <f t="shared" si="3"/>
        <v>0</v>
      </c>
    </row>
    <row r="96" spans="2:175" outlineLevel="1" x14ac:dyDescent="0.25">
      <c r="B96" s="1" t="str">
        <f>'OPEX DATA 2'!A204</f>
        <v>6782 - Vanquish CN</v>
      </c>
      <c r="D96" s="25">
        <f>'OPEX DATA 2'!U204</f>
        <v>0</v>
      </c>
      <c r="E96" s="13">
        <f t="shared" si="3"/>
        <v>0</v>
      </c>
    </row>
    <row r="97" spans="2:175" outlineLevel="1" x14ac:dyDescent="0.25">
      <c r="B97" s="1" t="str">
        <f>'OPEX DATA 2'!A205</f>
        <v>6783 - Mila Cannes</v>
      </c>
      <c r="D97" s="25">
        <f>'OPEX DATA 2'!U205</f>
        <v>0</v>
      </c>
      <c r="E97" s="13">
        <f t="shared" si="3"/>
        <v>0</v>
      </c>
    </row>
    <row r="98" spans="2:175" outlineLevel="1" x14ac:dyDescent="0.25">
      <c r="B98" s="1" t="str">
        <f>'OPEX DATA 2'!A206</f>
        <v>6784 - GP (Casa Neos)</v>
      </c>
      <c r="D98" s="25">
        <f>'OPEX DATA 2'!U206</f>
        <v>0</v>
      </c>
      <c r="E98" s="13">
        <f t="shared" si="3"/>
        <v>0</v>
      </c>
    </row>
    <row r="99" spans="2:175" outlineLevel="1" x14ac:dyDescent="0.25">
      <c r="B99" s="1" t="str">
        <f>'OPEX DATA 2'!A207</f>
        <v>6785 - AVA research and Development</v>
      </c>
      <c r="D99" s="25">
        <f>'OPEX DATA 2'!U207</f>
        <v>0</v>
      </c>
      <c r="E99" s="13">
        <f t="shared" si="3"/>
        <v>0</v>
      </c>
    </row>
    <row r="100" spans="2:175" outlineLevel="1" x14ac:dyDescent="0.25">
      <c r="B100" s="1" t="str">
        <f>'OPEX DATA 2'!A208</f>
        <v>6800 - COVID Expenses</v>
      </c>
      <c r="D100" s="25">
        <f>'OPEX DATA 2'!U208</f>
        <v>0</v>
      </c>
      <c r="E100" s="13">
        <f t="shared" si="3"/>
        <v>0</v>
      </c>
    </row>
    <row r="101" spans="2:175" outlineLevel="1" x14ac:dyDescent="0.25">
      <c r="B101" s="35" t="str">
        <f>'OPEX DATA 2'!A209</f>
        <v>Total Direct Operating Expenses</v>
      </c>
      <c r="C101" s="36"/>
      <c r="D101" s="37">
        <f>SUM(D53:D100)</f>
        <v>105124.52134615385</v>
      </c>
      <c r="E101" s="38">
        <f t="shared" si="3"/>
        <v>0.32698140387606173</v>
      </c>
      <c r="F101" s="38"/>
      <c r="G101" s="38"/>
    </row>
    <row r="102" spans="2:175" outlineLevel="1" x14ac:dyDescent="0.25">
      <c r="D102" s="25"/>
    </row>
    <row r="103" spans="2:175" outlineLevel="1" x14ac:dyDescent="0.25">
      <c r="B103" s="8" t="str">
        <f>'OPEX DATA 2'!A213</f>
        <v>General and Administrative</v>
      </c>
      <c r="D103" s="25"/>
      <c r="E103" s="12"/>
    </row>
    <row r="104" spans="2:175" outlineLevel="1" x14ac:dyDescent="0.25">
      <c r="B104" s="1" t="str">
        <f>'OPEX DATA 2'!A215</f>
        <v>7010 - Credit Card Fees</v>
      </c>
      <c r="D104" s="25">
        <f>E104*D10</f>
        <v>9645</v>
      </c>
      <c r="E104" s="13">
        <v>0.03</v>
      </c>
    </row>
    <row r="105" spans="2:175" outlineLevel="1" x14ac:dyDescent="0.25">
      <c r="B105" s="1" t="str">
        <f>'OPEX DATA 2'!A216</f>
        <v>7015 - Open Table Fees</v>
      </c>
      <c r="D105" s="25">
        <f>'OPEX DATA 2'!U216</f>
        <v>136.86538461538458</v>
      </c>
      <c r="E105" s="13">
        <f t="shared" ref="E105:E130" si="4">D105/D$36</f>
        <v>4.2570881684412002E-4</v>
      </c>
    </row>
    <row r="106" spans="2:175" outlineLevel="1" x14ac:dyDescent="0.25">
      <c r="B106" s="1" t="str">
        <f>'OPEX DATA 2'!A217</f>
        <v>7020 - Dues and Subscriptions</v>
      </c>
      <c r="D106" s="25">
        <f>'OPEX DATA 2'!U217</f>
        <v>566.11923076923085</v>
      </c>
      <c r="E106" s="13">
        <f t="shared" si="4"/>
        <v>1.7608685249431754E-3</v>
      </c>
    </row>
    <row r="107" spans="2:175" outlineLevel="1" x14ac:dyDescent="0.25">
      <c r="B107" s="1" t="str">
        <f>'OPEX DATA 2'!A218</f>
        <v>7040 - Payroll Processing Fees</v>
      </c>
      <c r="D107" s="25">
        <f>'OPEX DATA 2'!U218</f>
        <v>56.692307692307693</v>
      </c>
      <c r="E107" s="13">
        <f t="shared" si="4"/>
        <v>1.7633688240220122E-4</v>
      </c>
    </row>
    <row r="108" spans="2:175" outlineLevel="1" x14ac:dyDescent="0.25">
      <c r="B108" s="1" t="str">
        <f>'OPEX DATA 2'!A219</f>
        <v>7050 - Fire &amp; Security</v>
      </c>
      <c r="D108" s="25">
        <f>'OPEX DATA 2'!U219</f>
        <v>859.60500000000002</v>
      </c>
      <c r="E108" s="13">
        <f t="shared" si="4"/>
        <v>2.6737325038880249E-3</v>
      </c>
    </row>
    <row r="109" spans="2:175" outlineLevel="1" x14ac:dyDescent="0.25">
      <c r="B109" s="1" t="str">
        <f>'OPEX DATA 2'!A220</f>
        <v>7060 - Postage &amp; Delivery</v>
      </c>
      <c r="D109" s="25">
        <f>'OPEX DATA 2'!U220</f>
        <v>33.871153846153845</v>
      </c>
      <c r="E109" s="13">
        <f t="shared" si="4"/>
        <v>1.0535351118554851E-4</v>
      </c>
    </row>
    <row r="110" spans="2:175" x14ac:dyDescent="0.25">
      <c r="B110" s="14" t="str">
        <f>'OPEX DATA 2'!A221</f>
        <v>7070 - Storage facility</v>
      </c>
      <c r="C110" s="15"/>
      <c r="D110" s="33">
        <f>'OPEX DATA 2'!U221</f>
        <v>160.44846153846154</v>
      </c>
      <c r="E110" s="34">
        <f t="shared" si="4"/>
        <v>4.9906208876659888E-4</v>
      </c>
    </row>
    <row r="111" spans="2:175" x14ac:dyDescent="0.25">
      <c r="B111" s="1" t="str">
        <f>'OPEX DATA 2'!A222</f>
        <v>7080 - Office Supplies</v>
      </c>
      <c r="D111" s="25">
        <f>'OPEX DATA 2'!U222</f>
        <v>4.1528846153846155</v>
      </c>
      <c r="E111" s="13">
        <f t="shared" si="4"/>
        <v>1.2917214977868166E-5</v>
      </c>
    </row>
    <row r="112" spans="2:175" s="8" customFormat="1" x14ac:dyDescent="0.25">
      <c r="B112" s="8" t="str">
        <f>'OPEX DATA 2'!A223</f>
        <v>7090 - Computer Supplies</v>
      </c>
      <c r="C112" s="2"/>
      <c r="D112" s="19">
        <f>'OPEX DATA 2'!U223</f>
        <v>14.536153846153846</v>
      </c>
      <c r="E112" s="12">
        <f t="shared" si="4"/>
        <v>4.5213542289747581E-5</v>
      </c>
      <c r="F112" s="12"/>
      <c r="G112" s="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</row>
    <row r="113" spans="2:175" outlineLevel="1" x14ac:dyDescent="0.25">
      <c r="B113" s="1" t="str">
        <f>'OPEX DATA 2'!A224</f>
        <v>7091 - IT Support</v>
      </c>
      <c r="D113" s="25">
        <f>'OPEX DATA 2'!U224</f>
        <v>7.2649999999999997</v>
      </c>
      <c r="E113" s="13">
        <f t="shared" si="4"/>
        <v>2.2597200622083979E-5</v>
      </c>
    </row>
    <row r="114" spans="2:175" outlineLevel="1" x14ac:dyDescent="0.25">
      <c r="B114" s="1" t="str">
        <f>'OPEX DATA 2'!A225</f>
        <v>7092 - IT AI solutions</v>
      </c>
      <c r="D114" s="25">
        <f>'OPEX DATA 2'!U225</f>
        <v>12.499423076923078</v>
      </c>
      <c r="E114" s="13">
        <f t="shared" si="4"/>
        <v>3.8878454360569449E-5</v>
      </c>
    </row>
    <row r="115" spans="2:175" outlineLevel="1" x14ac:dyDescent="0.25">
      <c r="B115" s="1" t="str">
        <f>'OPEX DATA 2'!A226</f>
        <v>7100 - Cash Short (Over)</v>
      </c>
      <c r="D115" s="25">
        <f>'OPEX DATA 2'!U226</f>
        <v>3.9086538461538463</v>
      </c>
      <c r="E115" s="13">
        <f t="shared" si="4"/>
        <v>1.2157554731427205E-5</v>
      </c>
    </row>
    <row r="116" spans="2:175" outlineLevel="1" x14ac:dyDescent="0.25">
      <c r="B116" s="1" t="str">
        <f>'OPEX DATA 2'!A227</f>
        <v>7110 - Bank Fees</v>
      </c>
      <c r="D116" s="25">
        <f>'OPEX DATA 2'!U227</f>
        <v>53.207115384615385</v>
      </c>
      <c r="E116" s="13">
        <f t="shared" si="4"/>
        <v>1.6549647086972125E-4</v>
      </c>
    </row>
    <row r="117" spans="2:175" outlineLevel="1" x14ac:dyDescent="0.25">
      <c r="B117" s="1" t="str">
        <f>'OPEX DATA 2'!A228</f>
        <v>7120 - Bad Debts</v>
      </c>
      <c r="D117" s="25">
        <f>'OPEX DATA 2'!U228</f>
        <v>9.919423076923076</v>
      </c>
      <c r="E117" s="13">
        <f t="shared" si="4"/>
        <v>3.0853571001315943E-5</v>
      </c>
    </row>
    <row r="118" spans="2:175" outlineLevel="1" x14ac:dyDescent="0.25">
      <c r="B118" s="1" t="str">
        <f>'OPEX DATA 2'!A229</f>
        <v>7130 - Business Taxes</v>
      </c>
      <c r="D118" s="25">
        <f>'OPEX DATA 2'!U229</f>
        <v>7.7307692307692308</v>
      </c>
      <c r="E118" s="13">
        <f t="shared" si="4"/>
        <v>2.4045938509391076E-5</v>
      </c>
    </row>
    <row r="119" spans="2:175" x14ac:dyDescent="0.25">
      <c r="B119" s="14" t="str">
        <f>'OPEX DATA 2'!A230</f>
        <v>7140 - Personnel &amp; Recruiting Expenses</v>
      </c>
      <c r="C119" s="15"/>
      <c r="D119" s="33">
        <f>'OPEX DATA 2'!U230</f>
        <v>89.742115384615389</v>
      </c>
      <c r="E119" s="34">
        <f t="shared" si="4"/>
        <v>2.7913566216054554E-4</v>
      </c>
    </row>
    <row r="120" spans="2:175" x14ac:dyDescent="0.25">
      <c r="B120" s="1" t="str">
        <f>'OPEX DATA 2'!A231</f>
        <v>7145 - Employee settlement</v>
      </c>
      <c r="D120" s="25">
        <f>'OPEX DATA 2'!U231</f>
        <v>0</v>
      </c>
      <c r="E120" s="13">
        <f t="shared" si="4"/>
        <v>0</v>
      </c>
    </row>
    <row r="121" spans="2:175" s="8" customFormat="1" x14ac:dyDescent="0.25">
      <c r="B121" s="8" t="str">
        <f>'OPEX DATA 2'!A232</f>
        <v>7146 - Guest Settlement/Dispute</v>
      </c>
      <c r="C121" s="2"/>
      <c r="D121" s="19">
        <f>'OPEX DATA 2'!U232</f>
        <v>0</v>
      </c>
      <c r="E121" s="12">
        <f t="shared" si="4"/>
        <v>0</v>
      </c>
      <c r="F121" s="12"/>
      <c r="G121" s="12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</row>
    <row r="122" spans="2:175" x14ac:dyDescent="0.25">
      <c r="B122" s="14" t="str">
        <f>'OPEX DATA 2'!A233</f>
        <v>7150 - Training &amp; Seminars</v>
      </c>
      <c r="C122" s="15"/>
      <c r="D122" s="33">
        <f>'OPEX DATA 2'!U233</f>
        <v>4.9667307692307689</v>
      </c>
      <c r="E122" s="34">
        <f t="shared" si="4"/>
        <v>1.5448618255772219E-5</v>
      </c>
    </row>
    <row r="123" spans="2:175" x14ac:dyDescent="0.25">
      <c r="B123" s="1" t="str">
        <f>'OPEX DATA 2'!A234</f>
        <v>7160 - Travel</v>
      </c>
      <c r="D123" s="25">
        <f>'OPEX DATA 2'!U234</f>
        <v>3.4480769230769233</v>
      </c>
      <c r="E123" s="13">
        <f t="shared" si="4"/>
        <v>1.072496710132791E-5</v>
      </c>
    </row>
    <row r="124" spans="2:175" s="8" customFormat="1" x14ac:dyDescent="0.25">
      <c r="B124" s="8" t="str">
        <f>'OPEX DATA 2'!A235</f>
        <v>7170 - Meals</v>
      </c>
      <c r="C124" s="2"/>
      <c r="D124" s="19">
        <f>'OPEX DATA 2'!U235</f>
        <v>36.242115384615381</v>
      </c>
      <c r="E124" s="12">
        <f t="shared" si="4"/>
        <v>1.1272819715276946E-4</v>
      </c>
      <c r="F124" s="12"/>
      <c r="G124" s="12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</row>
    <row r="125" spans="2:175" outlineLevel="1" x14ac:dyDescent="0.25">
      <c r="B125" s="1" t="str">
        <f>'OPEX DATA 2'!A236</f>
        <v>7175 - General Liability Insurance</v>
      </c>
      <c r="D125" s="25">
        <f>'OPEX DATA 2'!U236</f>
        <v>2153.2390384615383</v>
      </c>
      <c r="E125" s="13">
        <f t="shared" si="4"/>
        <v>6.6974775690872108E-3</v>
      </c>
    </row>
    <row r="126" spans="2:175" x14ac:dyDescent="0.25">
      <c r="B126" s="14" t="str">
        <f>'OPEX DATA 2'!A237</f>
        <v>7176 - Equipment Rental</v>
      </c>
      <c r="C126" s="15"/>
      <c r="D126" s="33">
        <f>'OPEX DATA 2'!U237</f>
        <v>242.78615384615387</v>
      </c>
      <c r="E126" s="34">
        <f t="shared" si="4"/>
        <v>7.5516688599114735E-4</v>
      </c>
    </row>
    <row r="127" spans="2:175" x14ac:dyDescent="0.25">
      <c r="B127" s="1" t="str">
        <f>'OPEX DATA 2'!A238</f>
        <v>7177 - Parking - Team</v>
      </c>
      <c r="D127" s="25">
        <f>'OPEX DATA 2'!U238</f>
        <v>2.4792307692307691</v>
      </c>
      <c r="E127" s="13">
        <f t="shared" si="4"/>
        <v>7.7114487378873073E-6</v>
      </c>
    </row>
    <row r="128" spans="2:175" s="8" customFormat="1" x14ac:dyDescent="0.25">
      <c r="B128" s="8" t="str">
        <f>'OPEX DATA 2'!A239</f>
        <v>7178 - Parking - Customer</v>
      </c>
      <c r="C128" s="2"/>
      <c r="D128" s="19">
        <f>'OPEX DATA 2'!U239</f>
        <v>40.096153846153847</v>
      </c>
      <c r="E128" s="12">
        <f t="shared" si="4"/>
        <v>1.2471587510467759E-4</v>
      </c>
      <c r="F128" s="12"/>
      <c r="G128" s="12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</row>
    <row r="129" spans="2:7" outlineLevel="1" x14ac:dyDescent="0.25">
      <c r="B129" s="1" t="str">
        <f>'OPEX DATA 2'!A240</f>
        <v>7180 - Commissary General Administrative</v>
      </c>
      <c r="D129" s="25">
        <f>'OPEX DATA 2'!U240</f>
        <v>0</v>
      </c>
      <c r="E129" s="13">
        <f t="shared" si="4"/>
        <v>0</v>
      </c>
    </row>
    <row r="130" spans="2:7" outlineLevel="1" x14ac:dyDescent="0.25">
      <c r="B130" s="35" t="str">
        <f>'OPEX DATA 2'!A241</f>
        <v>Total General and Administrative</v>
      </c>
      <c r="C130" s="36"/>
      <c r="D130" s="37">
        <f>SUM(D104:D129)</f>
        <v>14144.820576923077</v>
      </c>
      <c r="E130" s="38">
        <f t="shared" si="4"/>
        <v>4.3996331498983132E-2</v>
      </c>
      <c r="F130" s="38"/>
      <c r="G130" s="38"/>
    </row>
    <row r="131" spans="2:7" outlineLevel="1" x14ac:dyDescent="0.25">
      <c r="D131" s="25"/>
    </row>
    <row r="132" spans="2:7" outlineLevel="1" x14ac:dyDescent="0.25">
      <c r="B132" s="8" t="str">
        <f>'OPEX DATA 2'!A242</f>
        <v>Utilities</v>
      </c>
      <c r="D132" s="25"/>
      <c r="E132" s="12"/>
    </row>
    <row r="133" spans="2:7" outlineLevel="1" x14ac:dyDescent="0.25">
      <c r="B133" s="1" t="str">
        <f>'OPEX DATA 2'!A244</f>
        <v>7510 - Telephone</v>
      </c>
      <c r="D133" s="25">
        <f>'OPEX DATA 2'!U244</f>
        <v>41.087500000000006</v>
      </c>
      <c r="E133" s="13">
        <f t="shared" ref="E133:E141" si="5">D133/D$36</f>
        <v>1.2779937791601868E-4</v>
      </c>
    </row>
    <row r="134" spans="2:7" outlineLevel="1" x14ac:dyDescent="0.25">
      <c r="B134" s="1" t="str">
        <f>'OPEX DATA 2'!A245</f>
        <v>7520 - Internet</v>
      </c>
      <c r="D134" s="25">
        <f>'OPEX DATA 2'!U245</f>
        <v>56.722307692307702</v>
      </c>
      <c r="E134" s="13">
        <f t="shared" si="5"/>
        <v>1.7643019499940187E-4</v>
      </c>
    </row>
    <row r="135" spans="2:7" outlineLevel="1" x14ac:dyDescent="0.25">
      <c r="B135" s="1" t="str">
        <f>'OPEX DATA 2'!A246</f>
        <v>7530 - Cable &amp; Music</v>
      </c>
      <c r="D135" s="25">
        <f>'OPEX DATA 2'!U246</f>
        <v>0</v>
      </c>
      <c r="E135" s="13">
        <f t="shared" si="5"/>
        <v>0</v>
      </c>
    </row>
    <row r="136" spans="2:7" outlineLevel="1" x14ac:dyDescent="0.25">
      <c r="B136" s="1" t="str">
        <f>'OPEX DATA 2'!A247</f>
        <v>7540 - Electricity</v>
      </c>
      <c r="D136" s="25">
        <f>'OPEX DATA 2'!U247</f>
        <v>238.67615384615385</v>
      </c>
      <c r="E136" s="13">
        <f t="shared" si="5"/>
        <v>7.4238306017466202E-4</v>
      </c>
    </row>
    <row r="137" spans="2:7" outlineLevel="1" x14ac:dyDescent="0.25">
      <c r="B137" s="1" t="str">
        <f>'OPEX DATA 2'!A248</f>
        <v>7550 - Gas</v>
      </c>
      <c r="D137" s="25">
        <f>'OPEX DATA 2'!U248</f>
        <v>46.737307692307695</v>
      </c>
      <c r="E137" s="13">
        <f t="shared" si="5"/>
        <v>1.4537265223112813E-4</v>
      </c>
    </row>
    <row r="138" spans="2:7" x14ac:dyDescent="0.25">
      <c r="B138" s="14" t="str">
        <f>'OPEX DATA 2'!A249</f>
        <v>7570 - Garbage/Recycle</v>
      </c>
      <c r="C138" s="15"/>
      <c r="D138" s="33">
        <f>'OPEX DATA 2'!U249</f>
        <v>206.64576923076922</v>
      </c>
      <c r="E138" s="34">
        <f t="shared" si="5"/>
        <v>6.427551142481158E-4</v>
      </c>
    </row>
    <row r="139" spans="2:7" x14ac:dyDescent="0.25">
      <c r="B139" s="1" t="str">
        <f>'OPEX DATA 2'!A250</f>
        <v>7580 - Water &amp; Sewer</v>
      </c>
      <c r="D139" s="25">
        <f>'OPEX DATA 2'!U250</f>
        <v>42.426153846153845</v>
      </c>
      <c r="E139" s="13">
        <f t="shared" si="5"/>
        <v>1.3196315348725925E-4</v>
      </c>
    </row>
    <row r="140" spans="2:7" x14ac:dyDescent="0.25">
      <c r="B140" s="39" t="str">
        <f>'OPEX DATA 2'!A251</f>
        <v>7700 - Commissary Utilities</v>
      </c>
      <c r="C140" s="40"/>
      <c r="D140" s="41">
        <f>'OPEX DATA 2'!U251</f>
        <v>0</v>
      </c>
      <c r="E140" s="42">
        <f t="shared" si="5"/>
        <v>0</v>
      </c>
    </row>
    <row r="141" spans="2:7" x14ac:dyDescent="0.25">
      <c r="B141" s="35" t="str">
        <f>'OPEX DATA 2'!A252</f>
        <v>Total Utilities</v>
      </c>
      <c r="C141" s="36"/>
      <c r="D141" s="37">
        <f>SUM(D133:D140)</f>
        <v>632.29519230769233</v>
      </c>
      <c r="E141" s="38">
        <f t="shared" si="5"/>
        <v>1.966703553056586E-3</v>
      </c>
      <c r="F141" s="38"/>
      <c r="G141" s="38"/>
    </row>
    <row r="142" spans="2:7" x14ac:dyDescent="0.25">
      <c r="B142" s="43"/>
      <c r="C142" s="44"/>
      <c r="D142" s="45"/>
      <c r="E142" s="46"/>
    </row>
    <row r="143" spans="2:7" x14ac:dyDescent="0.25">
      <c r="B143" s="43" t="str">
        <f>'OPEX DATA 2'!A253</f>
        <v>Occupancy</v>
      </c>
      <c r="C143" s="44"/>
      <c r="D143" s="45"/>
      <c r="E143" s="46"/>
    </row>
    <row r="144" spans="2:7" x14ac:dyDescent="0.25">
      <c r="B144" s="43" t="str">
        <f>'OPEX DATA 2'!A255</f>
        <v>7910 - Rent</v>
      </c>
      <c r="C144" s="44"/>
      <c r="D144" s="45">
        <f>'OPEX DATA 2'!U255</f>
        <v>0</v>
      </c>
      <c r="E144" s="46">
        <f t="shared" ref="E144:E151" si="6">D144/D$36</f>
        <v>0</v>
      </c>
    </row>
    <row r="145" spans="2:7" x14ac:dyDescent="0.25">
      <c r="B145" s="43" t="str">
        <f>'OPEX DATA 2'!A256</f>
        <v>7911 - Percentage Rent</v>
      </c>
      <c r="C145" s="44"/>
      <c r="D145" s="45">
        <f>'OPEX DATA 2'!U256</f>
        <v>1801.5821153846152</v>
      </c>
      <c r="E145" s="46">
        <f t="shared" si="6"/>
        <v>5.603676875224309E-3</v>
      </c>
    </row>
    <row r="146" spans="2:7" x14ac:dyDescent="0.25">
      <c r="B146" s="43" t="str">
        <f>'OPEX DATA 2'!A257</f>
        <v>7912 - Prior Year Rent Exp</v>
      </c>
      <c r="C146" s="44"/>
      <c r="D146" s="45">
        <f>'OPEX DATA 2'!U257</f>
        <v>0</v>
      </c>
      <c r="E146" s="46">
        <f t="shared" si="6"/>
        <v>0</v>
      </c>
    </row>
    <row r="147" spans="2:7" x14ac:dyDescent="0.25">
      <c r="B147" s="43" t="str">
        <f>'OPEX DATA 2'!A258</f>
        <v>7920 - CAM Charges</v>
      </c>
      <c r="C147" s="44"/>
      <c r="D147" s="45">
        <f>'OPEX DATA 2'!U258</f>
        <v>533.03461538461534</v>
      </c>
      <c r="E147" s="46">
        <f t="shared" si="6"/>
        <v>1.6579614786457709E-3</v>
      </c>
    </row>
    <row r="148" spans="2:7" x14ac:dyDescent="0.25">
      <c r="B148" s="43" t="str">
        <f>'OPEX DATA 2'!A259</f>
        <v>7930 - Commissary Occupancy</v>
      </c>
      <c r="C148" s="44"/>
      <c r="D148" s="45">
        <f>'OPEX DATA 2'!U259</f>
        <v>0</v>
      </c>
      <c r="E148" s="46">
        <f t="shared" si="6"/>
        <v>0</v>
      </c>
    </row>
    <row r="149" spans="2:7" x14ac:dyDescent="0.25">
      <c r="B149" s="43" t="str">
        <f>'OPEX DATA 2'!A260</f>
        <v>7940 - Property Tax</v>
      </c>
      <c r="C149" s="44"/>
      <c r="D149" s="45">
        <f>'OPEX DATA 2'!U260</f>
        <v>0</v>
      </c>
      <c r="E149" s="46">
        <f t="shared" si="6"/>
        <v>0</v>
      </c>
    </row>
    <row r="150" spans="2:7" x14ac:dyDescent="0.25">
      <c r="B150" s="43" t="str">
        <f>'OPEX DATA 2'!A261</f>
        <v>9212 - Depreciation ROU</v>
      </c>
      <c r="C150" s="44"/>
      <c r="D150" s="45">
        <f>'OPEX DATA 2'!U261</f>
        <v>2000.7536538461538</v>
      </c>
      <c r="E150" s="46">
        <f t="shared" si="6"/>
        <v>6.2231839933006338E-3</v>
      </c>
    </row>
    <row r="151" spans="2:7" x14ac:dyDescent="0.25">
      <c r="B151" s="43" t="str">
        <f>'OPEX DATA 2'!A262</f>
        <v>9213 - Interest ROU</v>
      </c>
      <c r="C151" s="44"/>
      <c r="D151" s="45">
        <f>'OPEX DATA 2'!U262</f>
        <v>161.95711538461541</v>
      </c>
      <c r="E151" s="46">
        <f t="shared" si="6"/>
        <v>5.0375463572197639E-4</v>
      </c>
    </row>
    <row r="152" spans="2:7" x14ac:dyDescent="0.25">
      <c r="B152" s="35" t="str">
        <f>'OPEX DATA 2'!A263</f>
        <v>Total Occupancy</v>
      </c>
      <c r="C152" s="36"/>
      <c r="D152" s="37">
        <f>E152*D10</f>
        <v>19290</v>
      </c>
      <c r="E152" s="38">
        <v>0.06</v>
      </c>
      <c r="F152" s="38"/>
      <c r="G152" s="38"/>
    </row>
    <row r="153" spans="2:7" x14ac:dyDescent="0.25">
      <c r="B153" s="43"/>
      <c r="C153" s="44"/>
      <c r="D153" s="45"/>
      <c r="E153" s="46"/>
    </row>
    <row r="154" spans="2:7" x14ac:dyDescent="0.25">
      <c r="B154" s="43" t="str">
        <f>'OPEX DATA 2'!A264</f>
        <v>Other (Income) Expenses</v>
      </c>
      <c r="C154" s="44"/>
      <c r="D154" s="45"/>
      <c r="E154" s="46"/>
    </row>
    <row r="155" spans="2:7" x14ac:dyDescent="0.25">
      <c r="B155" s="43" t="str">
        <f>'OPEX DATA 2'!A266</f>
        <v>8010 - Interest Income</v>
      </c>
      <c r="C155" s="44"/>
      <c r="D155" s="45">
        <f>'OPEX DATA 2'!U266</f>
        <v>0</v>
      </c>
      <c r="E155" s="46">
        <f t="shared" ref="E155:E172" si="7">D155/D$36</f>
        <v>0</v>
      </c>
    </row>
    <row r="156" spans="2:7" x14ac:dyDescent="0.25">
      <c r="B156" s="43" t="str">
        <f>'OPEX DATA 2'!A267</f>
        <v>8020 - Net Rental Real Estate Income/(Loss)</v>
      </c>
      <c r="C156" s="44"/>
      <c r="D156" s="45">
        <f>'OPEX DATA 2'!U267</f>
        <v>0</v>
      </c>
      <c r="E156" s="46">
        <f t="shared" si="7"/>
        <v>0</v>
      </c>
    </row>
    <row r="157" spans="2:7" x14ac:dyDescent="0.25">
      <c r="B157" s="43" t="str">
        <f>'OPEX DATA 2'!A268</f>
        <v>8030 - Miscellaneous Income</v>
      </c>
      <c r="C157" s="44"/>
      <c r="D157" s="45">
        <f>'OPEX DATA 2'!U268</f>
        <v>-3.7694230769230765</v>
      </c>
      <c r="E157" s="46">
        <f t="shared" si="7"/>
        <v>-1.1724488575188419E-5</v>
      </c>
    </row>
    <row r="158" spans="2:7" x14ac:dyDescent="0.25">
      <c r="B158" s="43" t="str">
        <f>'OPEX DATA 2'!A269</f>
        <v>8051 - Mgmt Fee Income - MILA</v>
      </c>
      <c r="C158" s="44"/>
      <c r="D158" s="45">
        <f>'OPEX DATA 2'!U269</f>
        <v>0</v>
      </c>
      <c r="E158" s="46">
        <f t="shared" si="7"/>
        <v>0</v>
      </c>
    </row>
    <row r="159" spans="2:7" x14ac:dyDescent="0.25">
      <c r="B159" s="43" t="str">
        <f>'OPEX DATA 2'!A270</f>
        <v>8052 - Mgmt Fee Income - MILA II</v>
      </c>
      <c r="C159" s="44"/>
      <c r="D159" s="45">
        <f>'OPEX DATA 2'!U270</f>
        <v>0</v>
      </c>
      <c r="E159" s="46">
        <f t="shared" si="7"/>
        <v>0</v>
      </c>
    </row>
    <row r="160" spans="2:7" x14ac:dyDescent="0.25">
      <c r="B160" s="43" t="str">
        <f>'OPEX DATA 2'!A271</f>
        <v>8053 - Mgmt Fee Income - AVA</v>
      </c>
      <c r="C160" s="44"/>
      <c r="D160" s="45">
        <f>'OPEX DATA 2'!U271</f>
        <v>0</v>
      </c>
      <c r="E160" s="46">
        <f t="shared" si="7"/>
        <v>0</v>
      </c>
    </row>
    <row r="161" spans="2:7" x14ac:dyDescent="0.25">
      <c r="B161" s="43" t="str">
        <f>'OPEX DATA 2'!A272</f>
        <v>8054 - Mgmt Fee Income - Baoli</v>
      </c>
      <c r="C161" s="44"/>
      <c r="D161" s="45">
        <f>'OPEX DATA 2'!U272</f>
        <v>0</v>
      </c>
      <c r="E161" s="46">
        <f t="shared" si="7"/>
        <v>0</v>
      </c>
    </row>
    <row r="162" spans="2:7" x14ac:dyDescent="0.25">
      <c r="B162" s="43" t="str">
        <f>'OPEX DATA 2'!A273</f>
        <v>8055 - Mgmt Fee Income - CASA NEOS</v>
      </c>
      <c r="C162" s="44"/>
      <c r="D162" s="45">
        <f>'OPEX DATA 2'!U273</f>
        <v>0</v>
      </c>
      <c r="E162" s="46">
        <f t="shared" si="7"/>
        <v>0</v>
      </c>
    </row>
    <row r="163" spans="2:7" x14ac:dyDescent="0.25">
      <c r="B163" s="43" t="str">
        <f>'OPEX DATA 2'!A274</f>
        <v>8056 - Mgmt Fee Income - CLAUDIE</v>
      </c>
      <c r="C163" s="44"/>
      <c r="D163" s="45">
        <f>'OPEX DATA 2'!U274</f>
        <v>0</v>
      </c>
      <c r="E163" s="46">
        <f t="shared" si="7"/>
        <v>0</v>
      </c>
    </row>
    <row r="164" spans="2:7" x14ac:dyDescent="0.25">
      <c r="B164" s="43" t="str">
        <f>'OPEX DATA 2'!A275</f>
        <v>8057 - Mgmt Fee Income - MMembers</v>
      </c>
      <c r="C164" s="44"/>
      <c r="D164" s="45">
        <f>'OPEX DATA 2'!U275</f>
        <v>0</v>
      </c>
      <c r="E164" s="46">
        <f t="shared" si="7"/>
        <v>0</v>
      </c>
    </row>
    <row r="165" spans="2:7" x14ac:dyDescent="0.25">
      <c r="B165" s="43" t="str">
        <f>'OPEX DATA 2'!A276</f>
        <v>8058 - Mgmt Fee Income - AVA CG</v>
      </c>
      <c r="C165" s="44"/>
      <c r="D165" s="45">
        <f>'OPEX DATA 2'!U276</f>
        <v>0</v>
      </c>
      <c r="E165" s="46">
        <f t="shared" si="7"/>
        <v>0</v>
      </c>
    </row>
    <row r="166" spans="2:7" x14ac:dyDescent="0.25">
      <c r="B166" s="43" t="str">
        <f>'OPEX DATA 2'!A277</f>
        <v>8059 - Mgmt Fee Income - CN LOUNGE</v>
      </c>
      <c r="C166" s="44"/>
      <c r="D166" s="45">
        <f>'OPEX DATA 2'!U277</f>
        <v>0</v>
      </c>
      <c r="E166" s="46">
        <f t="shared" si="7"/>
        <v>0</v>
      </c>
    </row>
    <row r="167" spans="2:7" x14ac:dyDescent="0.25">
      <c r="B167" s="43" t="str">
        <f>'OPEX DATA 2'!A278</f>
        <v>8090 - Service Charge Retained</v>
      </c>
      <c r="C167" s="44"/>
      <c r="D167" s="45">
        <f>E167*D10</f>
        <v>-10609.5</v>
      </c>
      <c r="E167" s="46">
        <v>-3.3000000000000002E-2</v>
      </c>
    </row>
    <row r="168" spans="2:7" x14ac:dyDescent="0.25">
      <c r="B168" s="43" t="str">
        <f>'OPEX DATA 2'!A279</f>
        <v>8094 - Private Event Income</v>
      </c>
      <c r="C168" s="44"/>
      <c r="D168" s="45">
        <f>'OPEX DATA 2'!U279</f>
        <v>0</v>
      </c>
      <c r="E168" s="46">
        <f t="shared" si="7"/>
        <v>0</v>
      </c>
    </row>
    <row r="169" spans="2:7" x14ac:dyDescent="0.25">
      <c r="B169" s="43" t="str">
        <f>'OPEX DATA 2'!A280</f>
        <v>8095 - Private Event COMM Paid (Wages)</v>
      </c>
      <c r="C169" s="44"/>
      <c r="D169" s="45">
        <f>'OPEX DATA 2'!U280</f>
        <v>0</v>
      </c>
      <c r="E169" s="46">
        <f t="shared" si="7"/>
        <v>0</v>
      </c>
    </row>
    <row r="170" spans="2:7" x14ac:dyDescent="0.25">
      <c r="B170" s="43" t="str">
        <f>'OPEX DATA 2'!A281</f>
        <v>8098 - Auto Gratuity Received</v>
      </c>
      <c r="C170" s="44"/>
      <c r="D170" s="45">
        <f>'OPEX DATA 2'!U281</f>
        <v>0</v>
      </c>
      <c r="E170" s="46">
        <f t="shared" si="7"/>
        <v>0</v>
      </c>
    </row>
    <row r="171" spans="2:7" x14ac:dyDescent="0.25">
      <c r="B171" s="43" t="str">
        <f>'OPEX DATA 2'!A282</f>
        <v>8099 - Auto Gratuity Wages</v>
      </c>
      <c r="C171" s="44"/>
      <c r="D171" s="45">
        <f>'OPEX DATA 2'!U282</f>
        <v>0</v>
      </c>
      <c r="E171" s="46">
        <f t="shared" si="7"/>
        <v>0</v>
      </c>
    </row>
    <row r="172" spans="2:7" x14ac:dyDescent="0.25">
      <c r="B172" s="35" t="str">
        <f>'OPEX DATA 2'!A283</f>
        <v>Total Other (Income) Expenses</v>
      </c>
      <c r="C172" s="36"/>
      <c r="D172" s="37">
        <f>SUM(D155:D171)</f>
        <v>-10613.269423076923</v>
      </c>
      <c r="E172" s="38">
        <f t="shared" si="7"/>
        <v>-3.3011724488575186E-2</v>
      </c>
      <c r="F172" s="38"/>
      <c r="G172" s="38"/>
    </row>
    <row r="173" spans="2:7" x14ac:dyDescent="0.25">
      <c r="B173" s="43"/>
      <c r="C173" s="44"/>
      <c r="D173" s="45"/>
      <c r="E173" s="46"/>
    </row>
    <row r="174" spans="2:7" x14ac:dyDescent="0.25">
      <c r="B174" s="43" t="str">
        <f>'OPEX DATA 2'!A286</f>
        <v>Corporate Overhead</v>
      </c>
      <c r="C174" s="44"/>
      <c r="D174" s="45"/>
      <c r="E174" s="46"/>
    </row>
    <row r="175" spans="2:7" x14ac:dyDescent="0.25">
      <c r="B175" s="43" t="str">
        <f>'OPEX DATA 2'!A288</f>
        <v>9010 - Interest Expense</v>
      </c>
      <c r="C175" s="44"/>
      <c r="D175" s="45">
        <f>'OPEX DATA 2'!U288</f>
        <v>0</v>
      </c>
      <c r="E175" s="46">
        <f t="shared" ref="E175:E201" si="8">D175/D$36</f>
        <v>0</v>
      </c>
    </row>
    <row r="176" spans="2:7" x14ac:dyDescent="0.25">
      <c r="B176" s="43" t="str">
        <f>'OPEX DATA 2'!A289</f>
        <v>9020 - Professional Fees</v>
      </c>
      <c r="C176" s="44"/>
      <c r="D176" s="45">
        <f>'OPEX DATA 2'!U289</f>
        <v>250.48826923076922</v>
      </c>
      <c r="E176" s="46">
        <f t="shared" si="8"/>
        <v>7.7912369900705824E-4</v>
      </c>
    </row>
    <row r="177" spans="2:5" x14ac:dyDescent="0.25">
      <c r="B177" s="43" t="str">
        <f>'OPEX DATA 2'!A290</f>
        <v>9030 - Management Fee Expense</v>
      </c>
      <c r="C177" s="44"/>
      <c r="D177" s="45">
        <f>'OPEX DATA 2'!U290</f>
        <v>3494.1401923076924</v>
      </c>
      <c r="E177" s="46">
        <f t="shared" si="8"/>
        <v>1.0868243210910396E-2</v>
      </c>
    </row>
    <row r="178" spans="2:5" x14ac:dyDescent="0.25">
      <c r="B178" s="43" t="str">
        <f>'OPEX DATA 2'!A291</f>
        <v>9045 - Donation</v>
      </c>
      <c r="C178" s="44"/>
      <c r="D178" s="45">
        <f>'OPEX DATA 2'!U291</f>
        <v>0</v>
      </c>
      <c r="E178" s="46">
        <f t="shared" si="8"/>
        <v>0</v>
      </c>
    </row>
    <row r="179" spans="2:5" x14ac:dyDescent="0.25">
      <c r="B179" s="43" t="str">
        <f>'OPEX DATA 2'!A292</f>
        <v>9050 - Public Relations</v>
      </c>
      <c r="C179" s="44"/>
      <c r="D179" s="45">
        <f>'OPEX DATA 2'!U292</f>
        <v>145.01365384615386</v>
      </c>
      <c r="E179" s="46">
        <f t="shared" si="8"/>
        <v>4.5105335566455323E-4</v>
      </c>
    </row>
    <row r="180" spans="2:5" x14ac:dyDescent="0.25">
      <c r="B180" s="43" t="str">
        <f>'OPEX DATA 2'!A293</f>
        <v>9055 - Advertising</v>
      </c>
      <c r="C180" s="44"/>
      <c r="D180" s="45">
        <f>'OPEX DATA 2'!U293</f>
        <v>3.463461538461539</v>
      </c>
      <c r="E180" s="46">
        <f t="shared" si="8"/>
        <v>1.0772819715276948E-5</v>
      </c>
    </row>
    <row r="181" spans="2:5" x14ac:dyDescent="0.25">
      <c r="B181" s="43" t="str">
        <f>'OPEX DATA 2'!A294</f>
        <v>9060 - Marketing</v>
      </c>
      <c r="C181" s="44"/>
      <c r="D181" s="45">
        <f>'OPEX DATA 2'!U294</f>
        <v>94.820384615384626</v>
      </c>
      <c r="E181" s="46">
        <f t="shared" si="8"/>
        <v>2.9493121186744829E-4</v>
      </c>
    </row>
    <row r="182" spans="2:5" x14ac:dyDescent="0.25">
      <c r="B182" s="43" t="str">
        <f>'OPEX DATA 2'!A295</f>
        <v>9061 - Promotion Branded Items</v>
      </c>
      <c r="C182" s="44"/>
      <c r="D182" s="45">
        <f>'OPEX DATA 2'!U295</f>
        <v>29.668846153846154</v>
      </c>
      <c r="E182" s="46">
        <f t="shared" si="8"/>
        <v>9.2282569685369064E-5</v>
      </c>
    </row>
    <row r="183" spans="2:5" x14ac:dyDescent="0.25">
      <c r="B183" s="43" t="str">
        <f>'OPEX DATA 2'!A296</f>
        <v>9062 - New Market Development</v>
      </c>
      <c r="C183" s="44"/>
      <c r="D183" s="45">
        <f>'OPEX DATA 2'!U296</f>
        <v>0</v>
      </c>
      <c r="E183" s="46">
        <f t="shared" si="8"/>
        <v>0</v>
      </c>
    </row>
    <row r="184" spans="2:5" x14ac:dyDescent="0.25">
      <c r="B184" s="43" t="str">
        <f>'OPEX DATA 2'!A297</f>
        <v>9065 - Accounting Fees</v>
      </c>
      <c r="C184" s="44"/>
      <c r="D184" s="45">
        <f>'OPEX DATA 2'!U297</f>
        <v>11.57076923076923</v>
      </c>
      <c r="E184" s="46">
        <f t="shared" si="8"/>
        <v>3.59899509510707E-5</v>
      </c>
    </row>
    <row r="185" spans="2:5" x14ac:dyDescent="0.25">
      <c r="B185" s="43" t="str">
        <f>'OPEX DATA 2'!A298</f>
        <v>9070 - Executive Bonus</v>
      </c>
      <c r="C185" s="44"/>
      <c r="D185" s="45">
        <f>'OPEX DATA 2'!U298</f>
        <v>0</v>
      </c>
      <c r="E185" s="46">
        <f t="shared" si="8"/>
        <v>0</v>
      </c>
    </row>
    <row r="186" spans="2:5" x14ac:dyDescent="0.25">
      <c r="B186" s="43" t="str">
        <f>'OPEX DATA 2'!A299</f>
        <v>9071 - Stock Options Compensation</v>
      </c>
      <c r="C186" s="44"/>
      <c r="D186" s="45">
        <f>'OPEX DATA 2'!U299</f>
        <v>0</v>
      </c>
      <c r="E186" s="46">
        <f t="shared" si="8"/>
        <v>0</v>
      </c>
    </row>
    <row r="187" spans="2:5" x14ac:dyDescent="0.25">
      <c r="B187" s="43" t="str">
        <f>'OPEX DATA 2'!A300</f>
        <v>9075 - Federal Tax Expense</v>
      </c>
      <c r="C187" s="44"/>
      <c r="D187" s="45">
        <f>'OPEX DATA 2'!U300</f>
        <v>0</v>
      </c>
      <c r="E187" s="46">
        <f t="shared" si="8"/>
        <v>0</v>
      </c>
    </row>
    <row r="188" spans="2:5" x14ac:dyDescent="0.25">
      <c r="B188" s="43" t="str">
        <f>'OPEX DATA 2'!A301</f>
        <v>9080 - Royalty fees</v>
      </c>
      <c r="C188" s="44"/>
      <c r="D188" s="45">
        <f>'OPEX DATA 2'!U301</f>
        <v>0</v>
      </c>
      <c r="E188" s="46">
        <f t="shared" si="8"/>
        <v>0</v>
      </c>
    </row>
    <row r="189" spans="2:5" x14ac:dyDescent="0.25">
      <c r="B189" s="43" t="str">
        <f>'OPEX DATA 2'!A302</f>
        <v>9100 - Loan Fees - RDG</v>
      </c>
      <c r="C189" s="44"/>
      <c r="D189" s="45">
        <f>'OPEX DATA 2'!U302</f>
        <v>0</v>
      </c>
      <c r="E189" s="46">
        <f t="shared" si="8"/>
        <v>0</v>
      </c>
    </row>
    <row r="190" spans="2:5" x14ac:dyDescent="0.25">
      <c r="B190" s="43" t="str">
        <f>'OPEX DATA 2'!A303</f>
        <v>9205 - Depreciation Expense</v>
      </c>
      <c r="C190" s="44"/>
      <c r="D190" s="45">
        <f>'OPEX DATA 2'!U303</f>
        <v>0</v>
      </c>
      <c r="E190" s="46">
        <f t="shared" si="8"/>
        <v>0</v>
      </c>
    </row>
    <row r="191" spans="2:5" x14ac:dyDescent="0.25">
      <c r="B191" s="43" t="str">
        <f>'OPEX DATA 2'!A304</f>
        <v>9210 - (Gain)/Loss on Asset Disposal</v>
      </c>
      <c r="C191" s="44"/>
      <c r="D191" s="45">
        <f>'OPEX DATA 2'!U304</f>
        <v>0</v>
      </c>
      <c r="E191" s="46">
        <f t="shared" si="8"/>
        <v>0</v>
      </c>
    </row>
    <row r="192" spans="2:5" x14ac:dyDescent="0.25">
      <c r="B192" s="43" t="str">
        <f>'OPEX DATA 2'!A305</f>
        <v>9211 - Deferred Rent Expense (GAAP)</v>
      </c>
      <c r="C192" s="44"/>
      <c r="D192" s="45">
        <f>'OPEX DATA 2'!U305</f>
        <v>0</v>
      </c>
      <c r="E192" s="46">
        <f t="shared" si="8"/>
        <v>0</v>
      </c>
    </row>
    <row r="193" spans="2:175" x14ac:dyDescent="0.25">
      <c r="B193" s="43" t="str">
        <f>'OPEX DATA 2'!A306</f>
        <v>9221 - Guaranteed Payments</v>
      </c>
      <c r="C193" s="44"/>
      <c r="D193" s="45">
        <f>'OPEX DATA 2'!U306</f>
        <v>0</v>
      </c>
      <c r="E193" s="46">
        <f t="shared" si="8"/>
        <v>0</v>
      </c>
    </row>
    <row r="194" spans="2:175" x14ac:dyDescent="0.25">
      <c r="B194" s="43" t="str">
        <f>'OPEX DATA 2'!A307</f>
        <v>9222 - GP - Medical</v>
      </c>
      <c r="C194" s="44"/>
      <c r="D194" s="45">
        <f>'OPEX DATA 2'!U307</f>
        <v>0</v>
      </c>
      <c r="E194" s="46">
        <f t="shared" si="8"/>
        <v>0</v>
      </c>
    </row>
    <row r="195" spans="2:175" x14ac:dyDescent="0.25">
      <c r="B195" s="43" t="str">
        <f>'OPEX DATA 2'!A308</f>
        <v>9225 - Tax Expense State</v>
      </c>
      <c r="C195" s="44"/>
      <c r="D195" s="45">
        <f>'OPEX DATA 2'!U308</f>
        <v>0</v>
      </c>
      <c r="E195" s="46">
        <f t="shared" si="8"/>
        <v>0</v>
      </c>
    </row>
    <row r="196" spans="2:175" x14ac:dyDescent="0.25">
      <c r="B196" s="43" t="str">
        <f>'OPEX DATA 2'!A309</f>
        <v>9312 - Executive Salary G&amp;A</v>
      </c>
      <c r="C196" s="44"/>
      <c r="D196" s="45">
        <f>'OPEX DATA 2'!U309</f>
        <v>0</v>
      </c>
      <c r="E196" s="46">
        <f t="shared" si="8"/>
        <v>0</v>
      </c>
    </row>
    <row r="197" spans="2:175" x14ac:dyDescent="0.25">
      <c r="B197" s="43" t="str">
        <f>'OPEX DATA 2'!A310</f>
        <v>9345 - Life Insurance</v>
      </c>
      <c r="C197" s="44"/>
      <c r="D197" s="45">
        <f>'OPEX DATA 2'!U310</f>
        <v>0</v>
      </c>
      <c r="E197" s="46">
        <f t="shared" si="8"/>
        <v>0</v>
      </c>
    </row>
    <row r="198" spans="2:175" x14ac:dyDescent="0.25">
      <c r="B198" s="43" t="str">
        <f>'OPEX DATA 2'!A311</f>
        <v>9346 - Penalties and fines</v>
      </c>
      <c r="C198" s="44"/>
      <c r="D198" s="45">
        <f>'OPEX DATA 2'!U311</f>
        <v>0</v>
      </c>
      <c r="E198" s="46">
        <f t="shared" si="8"/>
        <v>0</v>
      </c>
    </row>
    <row r="199" spans="2:175" x14ac:dyDescent="0.25">
      <c r="B199" s="43" t="str">
        <f>'OPEX DATA 2'!A312</f>
        <v>9500 - Equity in Earnings of Subs</v>
      </c>
      <c r="C199" s="44"/>
      <c r="D199" s="45">
        <f>'OPEX DATA 2'!U312</f>
        <v>0</v>
      </c>
      <c r="E199" s="46">
        <f t="shared" si="8"/>
        <v>0</v>
      </c>
    </row>
    <row r="200" spans="2:175" x14ac:dyDescent="0.25">
      <c r="B200" s="43" t="str">
        <f>'OPEX DATA 2'!A313</f>
        <v>9501 - Income Tax Expense (GAAP)</v>
      </c>
      <c r="C200" s="44"/>
      <c r="D200" s="45">
        <f>'OPEX DATA 2'!U313</f>
        <v>0</v>
      </c>
      <c r="E200" s="46">
        <f t="shared" si="8"/>
        <v>0</v>
      </c>
    </row>
    <row r="201" spans="2:175" x14ac:dyDescent="0.25">
      <c r="B201" s="35" t="str">
        <f>'OPEX DATA 2'!A314</f>
        <v>Total Corporate Overhead</v>
      </c>
      <c r="C201" s="36"/>
      <c r="D201" s="37">
        <f>SUM(D175:D200)</f>
        <v>4029.165576923077</v>
      </c>
      <c r="E201" s="38">
        <f t="shared" si="8"/>
        <v>1.2532396817801172E-2</v>
      </c>
      <c r="F201" s="38"/>
      <c r="G201" s="38"/>
    </row>
    <row r="202" spans="2:175" x14ac:dyDescent="0.25">
      <c r="B202" s="43"/>
      <c r="C202" s="44"/>
      <c r="D202" s="45"/>
      <c r="E202" s="46"/>
    </row>
    <row r="203" spans="2:175" x14ac:dyDescent="0.25">
      <c r="B203" s="47" t="s">
        <v>27</v>
      </c>
      <c r="C203" s="36"/>
      <c r="D203" s="37">
        <f>D43-D50-D101-D130-D141-D152-D172-D201</f>
        <v>116921.17980769232</v>
      </c>
      <c r="E203" s="38">
        <f>D203/D36</f>
        <v>0.36367396518722339</v>
      </c>
      <c r="F203" s="38"/>
      <c r="G203" s="38"/>
    </row>
    <row r="205" spans="2:175" x14ac:dyDescent="0.25">
      <c r="D205" s="77">
        <f>D2</f>
        <v>46025</v>
      </c>
      <c r="E205" s="77"/>
    </row>
    <row r="206" spans="2:175" x14ac:dyDescent="0.25">
      <c r="B206" s="8" t="s">
        <v>28</v>
      </c>
      <c r="D206" s="48"/>
    </row>
    <row r="207" spans="2:175" x14ac:dyDescent="0.25">
      <c r="B207" s="49">
        <f>D2</f>
        <v>46025</v>
      </c>
      <c r="C207" s="50"/>
      <c r="D207" s="51">
        <f>E203</f>
        <v>0.36367396518722339</v>
      </c>
    </row>
    <row r="208" spans="2:175" s="13" customFormat="1" x14ac:dyDescent="0.25">
      <c r="B208" s="49">
        <f>H2</f>
        <v>0</v>
      </c>
      <c r="C208" s="50"/>
      <c r="D208" s="51">
        <f>I203</f>
        <v>0</v>
      </c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</row>
    <row r="209" spans="2:175" s="13" customFormat="1" x14ac:dyDescent="0.25">
      <c r="B209" s="49">
        <f>L2</f>
        <v>0</v>
      </c>
      <c r="C209" s="50"/>
      <c r="D209" s="51">
        <f>M203</f>
        <v>0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</row>
    <row r="210" spans="2:175" s="13" customFormat="1" x14ac:dyDescent="0.25">
      <c r="B210" s="49">
        <f>P2</f>
        <v>0</v>
      </c>
      <c r="C210" s="50"/>
      <c r="D210" s="51">
        <f>Q203</f>
        <v>0</v>
      </c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</row>
    <row r="211" spans="2:175" s="13" customFormat="1" x14ac:dyDescent="0.25">
      <c r="B211" s="49">
        <f>T2</f>
        <v>0</v>
      </c>
      <c r="C211" s="50"/>
      <c r="D211" s="51">
        <f>U203</f>
        <v>0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</row>
    <row r="212" spans="2:175" s="13" customFormat="1" x14ac:dyDescent="0.25">
      <c r="B212" s="49">
        <f>X2</f>
        <v>0</v>
      </c>
      <c r="C212" s="50"/>
      <c r="D212" s="51">
        <f>Y203</f>
        <v>0</v>
      </c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</row>
    <row r="213" spans="2:175" s="13" customFormat="1" x14ac:dyDescent="0.25">
      <c r="B213" s="49">
        <f>AB2</f>
        <v>0</v>
      </c>
      <c r="C213" s="50"/>
      <c r="D213" s="51">
        <f>AC203</f>
        <v>0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</row>
    <row r="214" spans="2:175" s="13" customFormat="1" x14ac:dyDescent="0.25">
      <c r="B214" s="49">
        <f>AF2</f>
        <v>0</v>
      </c>
      <c r="C214" s="50"/>
      <c r="D214" s="51">
        <f>AG203</f>
        <v>0</v>
      </c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</row>
    <row r="215" spans="2:175" s="13" customFormat="1" x14ac:dyDescent="0.25">
      <c r="B215" s="49">
        <f>AJ2</f>
        <v>0</v>
      </c>
      <c r="C215" s="50"/>
      <c r="D215" s="51">
        <f>AK203</f>
        <v>0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</row>
    <row r="216" spans="2:175" s="13" customFormat="1" x14ac:dyDescent="0.25">
      <c r="B216" s="49">
        <f>AN2</f>
        <v>0</v>
      </c>
      <c r="C216" s="50"/>
      <c r="D216" s="51">
        <f>AO203</f>
        <v>0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</row>
    <row r="217" spans="2:175" s="13" customFormat="1" x14ac:dyDescent="0.25">
      <c r="B217" s="49">
        <f>AR2</f>
        <v>0</v>
      </c>
      <c r="C217" s="50"/>
      <c r="D217" s="51">
        <f>AS203</f>
        <v>0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</row>
    <row r="218" spans="2:175" s="13" customFormat="1" x14ac:dyDescent="0.25">
      <c r="B218" s="49">
        <f>AV2</f>
        <v>0</v>
      </c>
      <c r="C218" s="50"/>
      <c r="D218" s="51">
        <f>AW203</f>
        <v>0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</row>
    <row r="219" spans="2:175" s="13" customFormat="1" x14ac:dyDescent="0.25">
      <c r="B219" s="49">
        <f>AZ2</f>
        <v>0</v>
      </c>
      <c r="C219" s="50"/>
      <c r="D219" s="51">
        <f>BA203</f>
        <v>0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</row>
    <row r="220" spans="2:175" s="13" customFormat="1" x14ac:dyDescent="0.25">
      <c r="B220" s="49">
        <f>BD2</f>
        <v>0</v>
      </c>
      <c r="C220" s="50"/>
      <c r="D220" s="51">
        <f>BE203</f>
        <v>0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</row>
    <row r="221" spans="2:175" s="13" customFormat="1" x14ac:dyDescent="0.25">
      <c r="B221" s="49">
        <f>BH2</f>
        <v>0</v>
      </c>
      <c r="C221" s="50"/>
      <c r="D221" s="51">
        <f>BI203</f>
        <v>0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</row>
    <row r="222" spans="2:175" s="13" customFormat="1" x14ac:dyDescent="0.25">
      <c r="B222" s="49">
        <f>BL2</f>
        <v>0</v>
      </c>
      <c r="C222" s="50"/>
      <c r="D222" s="51">
        <f>BM203</f>
        <v>0</v>
      </c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</row>
    <row r="223" spans="2:175" s="13" customFormat="1" x14ac:dyDescent="0.25">
      <c r="B223" s="49">
        <f>BP2</f>
        <v>0</v>
      </c>
      <c r="C223" s="50"/>
      <c r="D223" s="51">
        <f>BQ203</f>
        <v>0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</row>
    <row r="224" spans="2:175" s="13" customFormat="1" x14ac:dyDescent="0.25">
      <c r="B224" s="49">
        <f>BT2</f>
        <v>0</v>
      </c>
      <c r="C224" s="50"/>
      <c r="D224" s="51">
        <f>BU203</f>
        <v>0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</row>
    <row r="225" spans="2:175" s="13" customFormat="1" x14ac:dyDescent="0.25">
      <c r="B225" s="49">
        <f>BX2</f>
        <v>0</v>
      </c>
      <c r="C225" s="50"/>
      <c r="D225" s="51">
        <f>BY203</f>
        <v>0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</row>
    <row r="226" spans="2:175" s="13" customFormat="1" x14ac:dyDescent="0.25">
      <c r="B226" s="49">
        <f>CB2</f>
        <v>0</v>
      </c>
      <c r="C226" s="50"/>
      <c r="D226" s="51">
        <f>CC203</f>
        <v>0</v>
      </c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</row>
    <row r="227" spans="2:175" s="13" customFormat="1" x14ac:dyDescent="0.25">
      <c r="B227" s="49">
        <f>CF2</f>
        <v>0</v>
      </c>
      <c r="C227" s="50"/>
      <c r="D227" s="51">
        <f>CG203</f>
        <v>0</v>
      </c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</row>
    <row r="228" spans="2:175" s="13" customFormat="1" x14ac:dyDescent="0.25">
      <c r="B228" s="49">
        <f>CJ2</f>
        <v>0</v>
      </c>
      <c r="C228" s="50"/>
      <c r="D228" s="51">
        <f>CK203</f>
        <v>0</v>
      </c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</row>
    <row r="229" spans="2:175" s="13" customFormat="1" x14ac:dyDescent="0.25">
      <c r="B229" s="49">
        <f>CN2</f>
        <v>0</v>
      </c>
      <c r="C229" s="50"/>
      <c r="D229" s="51">
        <f>CO203</f>
        <v>0</v>
      </c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</row>
    <row r="230" spans="2:175" s="13" customFormat="1" x14ac:dyDescent="0.25">
      <c r="B230" s="49">
        <f>CR2</f>
        <v>0</v>
      </c>
      <c r="C230" s="50"/>
      <c r="D230" s="51">
        <f>CS203</f>
        <v>0</v>
      </c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</row>
    <row r="231" spans="2:175" s="13" customFormat="1" x14ac:dyDescent="0.25">
      <c r="B231" s="49">
        <f>CV2</f>
        <v>0</v>
      </c>
      <c r="C231" s="50"/>
      <c r="D231" s="51">
        <f>CW203</f>
        <v>0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</row>
    <row r="232" spans="2:175" s="13" customFormat="1" x14ac:dyDescent="0.25">
      <c r="B232" s="49">
        <f>CZ2</f>
        <v>0</v>
      </c>
      <c r="C232" s="50"/>
      <c r="D232" s="51">
        <f>DA203</f>
        <v>0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</row>
    <row r="233" spans="2:175" s="13" customFormat="1" x14ac:dyDescent="0.25">
      <c r="B233" s="49">
        <f>DD2</f>
        <v>0</v>
      </c>
      <c r="C233" s="50"/>
      <c r="D233" s="51">
        <f>DE203</f>
        <v>0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</row>
    <row r="234" spans="2:175" s="13" customFormat="1" x14ac:dyDescent="0.25">
      <c r="B234" s="49">
        <f>DH2</f>
        <v>0</v>
      </c>
      <c r="C234" s="50"/>
      <c r="D234" s="51">
        <f>DI203</f>
        <v>0</v>
      </c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</row>
    <row r="235" spans="2:175" s="13" customFormat="1" x14ac:dyDescent="0.25">
      <c r="B235" s="49">
        <f>DL2</f>
        <v>0</v>
      </c>
      <c r="C235" s="50"/>
      <c r="D235" s="51">
        <f>DM203</f>
        <v>0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</row>
    <row r="236" spans="2:175" s="13" customFormat="1" x14ac:dyDescent="0.25">
      <c r="B236" s="49">
        <f>DP2</f>
        <v>0</v>
      </c>
      <c r="C236" s="50"/>
      <c r="D236" s="51">
        <f>DQ203</f>
        <v>0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</row>
    <row r="237" spans="2:175" s="13" customFormat="1" x14ac:dyDescent="0.25">
      <c r="B237" s="49">
        <f>DT2</f>
        <v>0</v>
      </c>
      <c r="C237" s="50"/>
      <c r="D237" s="51">
        <f>DU203</f>
        <v>0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</row>
    <row r="238" spans="2:175" s="13" customFormat="1" x14ac:dyDescent="0.25">
      <c r="B238" s="49">
        <f>DX2</f>
        <v>0</v>
      </c>
      <c r="C238" s="50"/>
      <c r="D238" s="51">
        <f>DY203</f>
        <v>0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</row>
    <row r="239" spans="2:175" s="13" customFormat="1" x14ac:dyDescent="0.25">
      <c r="B239" s="49">
        <f>EB2</f>
        <v>0</v>
      </c>
      <c r="C239" s="50"/>
      <c r="D239" s="51">
        <f>EC203</f>
        <v>0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</row>
    <row r="240" spans="2:175" s="13" customFormat="1" x14ac:dyDescent="0.25">
      <c r="B240" s="49">
        <f>EF2</f>
        <v>0</v>
      </c>
      <c r="C240" s="50"/>
      <c r="D240" s="51">
        <f>EG203</f>
        <v>0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</row>
    <row r="241" spans="2:175" s="13" customFormat="1" x14ac:dyDescent="0.25">
      <c r="B241" s="49">
        <f>EI2</f>
        <v>0</v>
      </c>
      <c r="C241" s="50"/>
      <c r="D241" s="51">
        <f>EJ203</f>
        <v>0</v>
      </c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</row>
    <row r="242" spans="2:175" s="13" customFormat="1" x14ac:dyDescent="0.25">
      <c r="B242" s="49">
        <f>EL2</f>
        <v>0</v>
      </c>
      <c r="C242" s="50"/>
      <c r="D242" s="51">
        <f>EM203</f>
        <v>0</v>
      </c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</row>
    <row r="243" spans="2:175" s="13" customFormat="1" x14ac:dyDescent="0.25">
      <c r="B243" s="49">
        <f>EP2</f>
        <v>0</v>
      </c>
      <c r="C243" s="50"/>
      <c r="D243" s="51">
        <f>EQ203</f>
        <v>0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</row>
    <row r="244" spans="2:175" s="13" customFormat="1" x14ac:dyDescent="0.25">
      <c r="B244" s="49">
        <f>ET2</f>
        <v>0</v>
      </c>
      <c r="C244" s="50"/>
      <c r="D244" s="51">
        <f>EU203</f>
        <v>0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</row>
    <row r="245" spans="2:175" s="13" customFormat="1" x14ac:dyDescent="0.25">
      <c r="B245" s="49">
        <f>EX2</f>
        <v>0</v>
      </c>
      <c r="C245" s="50"/>
      <c r="D245" s="51">
        <f>EY203</f>
        <v>0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</row>
    <row r="246" spans="2:175" s="13" customFormat="1" x14ac:dyDescent="0.25">
      <c r="B246" s="49">
        <f>FB2</f>
        <v>0</v>
      </c>
      <c r="C246" s="50"/>
      <c r="D246" s="51">
        <f>FC203</f>
        <v>0</v>
      </c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</row>
    <row r="247" spans="2:175" s="13" customFormat="1" x14ac:dyDescent="0.25">
      <c r="B247" s="49">
        <f>FF2</f>
        <v>0</v>
      </c>
      <c r="C247" s="50"/>
      <c r="D247" s="51">
        <f>FG203</f>
        <v>0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</row>
    <row r="248" spans="2:175" s="13" customFormat="1" x14ac:dyDescent="0.25">
      <c r="B248" s="49">
        <f>FJ2</f>
        <v>0</v>
      </c>
      <c r="C248" s="50"/>
      <c r="D248" s="51">
        <f>FK203</f>
        <v>0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</row>
    <row r="249" spans="2:175" s="13" customFormat="1" x14ac:dyDescent="0.25">
      <c r="B249" s="49">
        <f>FN2</f>
        <v>0</v>
      </c>
      <c r="C249" s="50"/>
      <c r="D249" s="51">
        <f>FO203</f>
        <v>0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</row>
    <row r="250" spans="2:175" s="13" customFormat="1" x14ac:dyDescent="0.25">
      <c r="B250" s="49">
        <f>FR2</f>
        <v>0</v>
      </c>
      <c r="C250" s="50"/>
      <c r="D250" s="51">
        <f>FS203</f>
        <v>0</v>
      </c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</row>
  </sheetData>
  <mergeCells count="13">
    <mergeCell ref="D9:E9"/>
    <mergeCell ref="D2:E2"/>
    <mergeCell ref="D4:E4"/>
    <mergeCell ref="D5:E5"/>
    <mergeCell ref="D6:E6"/>
    <mergeCell ref="D8:E8"/>
    <mergeCell ref="D205:E205"/>
    <mergeCell ref="D10:E10"/>
    <mergeCell ref="D11:E11"/>
    <mergeCell ref="D12:E12"/>
    <mergeCell ref="D19:E19"/>
    <mergeCell ref="D20:E20"/>
    <mergeCell ref="D22:E22"/>
  </mergeCells>
  <conditionalFormatting sqref="D30">
    <cfRule type="cellIs" dxfId="1" priority="1" stopIfTrue="1" operator="lessThan">
      <formula>D16</formula>
    </cfRule>
    <cfRule type="cellIs" dxfId="0" priority="2" operator="greaterThan">
      <formula>D16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B438-68ED-4E34-BD1D-4A13AADC5A38}">
  <dimension ref="A1:V332"/>
  <sheetViews>
    <sheetView topLeftCell="A16" workbookViewId="0">
      <selection activeCell="U8" sqref="U8"/>
    </sheetView>
  </sheetViews>
  <sheetFormatPr defaultRowHeight="15.75" x14ac:dyDescent="0.25"/>
  <cols>
    <col min="1" max="1" width="37.5" customWidth="1"/>
    <col min="2" max="2" width="15" customWidth="1"/>
    <col min="3" max="3" width="8.25" customWidth="1"/>
    <col min="4" max="4" width="1.25" customWidth="1"/>
    <col min="5" max="5" width="15" customWidth="1"/>
    <col min="6" max="6" width="8.25" customWidth="1"/>
    <col min="7" max="7" width="1.25" customWidth="1"/>
    <col min="8" max="8" width="15" customWidth="1"/>
    <col min="9" max="9" width="8.25" customWidth="1"/>
    <col min="10" max="10" width="1.25" customWidth="1"/>
    <col min="11" max="11" width="15" customWidth="1"/>
    <col min="12" max="12" width="8.25" customWidth="1"/>
    <col min="13" max="13" width="1.25" customWidth="1"/>
    <col min="14" max="14" width="15" customWidth="1"/>
    <col min="15" max="15" width="8.25" customWidth="1"/>
    <col min="16" max="16" width="1.25" customWidth="1"/>
    <col min="17" max="17" width="15" customWidth="1"/>
    <col min="18" max="18" width="8.25" customWidth="1"/>
    <col min="20" max="20" width="12.25" customWidth="1"/>
  </cols>
  <sheetData>
    <row r="1" spans="1:22" x14ac:dyDescent="0.25">
      <c r="A1" t="s">
        <v>29</v>
      </c>
      <c r="U1" s="52" t="s">
        <v>30</v>
      </c>
      <c r="V1" s="53">
        <f>4+4+5</f>
        <v>13</v>
      </c>
    </row>
    <row r="5" spans="1:22" x14ac:dyDescent="0.25">
      <c r="A5" s="54" t="s">
        <v>31</v>
      </c>
      <c r="J5" s="54" t="s">
        <v>31</v>
      </c>
      <c r="K5" s="90" t="s">
        <v>32</v>
      </c>
      <c r="L5" s="91" t="s">
        <v>31</v>
      </c>
      <c r="M5" s="54" t="s">
        <v>31</v>
      </c>
      <c r="N5" s="90" t="s">
        <v>33</v>
      </c>
      <c r="O5" s="91" t="s">
        <v>31</v>
      </c>
      <c r="P5" s="54" t="s">
        <v>31</v>
      </c>
      <c r="Q5" s="90" t="s">
        <v>34</v>
      </c>
      <c r="R5" s="91" t="s">
        <v>31</v>
      </c>
      <c r="T5" s="55" t="s">
        <v>35</v>
      </c>
      <c r="U5" s="52" t="s">
        <v>36</v>
      </c>
    </row>
    <row r="6" spans="1:22" x14ac:dyDescent="0.25">
      <c r="A6" s="56" t="s">
        <v>37</v>
      </c>
      <c r="J6" s="57"/>
      <c r="K6" s="58"/>
      <c r="L6" s="59"/>
      <c r="M6" s="57"/>
      <c r="N6" s="58"/>
      <c r="O6" s="59"/>
      <c r="P6" s="57"/>
      <c r="Q6" s="58"/>
      <c r="R6" s="59"/>
    </row>
    <row r="7" spans="1:22" x14ac:dyDescent="0.25">
      <c r="A7" s="60" t="s">
        <v>14</v>
      </c>
      <c r="J7" s="57"/>
      <c r="K7" s="58"/>
      <c r="L7" s="59"/>
      <c r="M7" s="57"/>
      <c r="N7" s="58"/>
      <c r="O7" s="59"/>
      <c r="P7" s="57"/>
      <c r="Q7" s="58"/>
      <c r="R7" s="59"/>
    </row>
    <row r="8" spans="1:22" x14ac:dyDescent="0.25">
      <c r="A8" s="61" t="s">
        <v>38</v>
      </c>
      <c r="J8" s="62"/>
      <c r="K8" s="63">
        <v>185418.37</v>
      </c>
      <c r="L8" s="64">
        <f>IFERROR(K8/K327, "NA")</f>
        <v>0.20328162488327539</v>
      </c>
      <c r="M8" s="62"/>
      <c r="N8" s="63">
        <v>273267.01</v>
      </c>
      <c r="O8" s="64">
        <f>IFERROR(N8/N327, "NA")</f>
        <v>0.18961865797510233</v>
      </c>
      <c r="P8" s="62"/>
      <c r="Q8" s="63">
        <v>212103</v>
      </c>
      <c r="R8" s="64">
        <f>IFERROR(Q8/Q327, "NA")</f>
        <v>0.19209179325640188</v>
      </c>
      <c r="T8" s="65">
        <f>IFERROR(B8+E8+H8+K8+N8+Q8, "NA")</f>
        <v>670788.38</v>
      </c>
      <c r="U8" s="65">
        <f>(T8/$V$1)/4</f>
        <v>12899.776538461538</v>
      </c>
    </row>
    <row r="9" spans="1:22" x14ac:dyDescent="0.25">
      <c r="A9" s="61" t="s">
        <v>39</v>
      </c>
      <c r="J9" s="62"/>
      <c r="K9" s="63">
        <v>0</v>
      </c>
      <c r="L9" s="64">
        <f>IFERROR(K9/K327, "NA")</f>
        <v>0</v>
      </c>
      <c r="M9" s="62"/>
      <c r="N9" s="63">
        <v>0</v>
      </c>
      <c r="O9" s="64">
        <f>IFERROR(N9/N327, "NA")</f>
        <v>0</v>
      </c>
      <c r="P9" s="62"/>
      <c r="Q9" s="63">
        <v>0</v>
      </c>
      <c r="R9" s="64">
        <f>IFERROR(Q9/Q327, "NA")</f>
        <v>0</v>
      </c>
      <c r="T9" s="65">
        <f t="shared" ref="T9:T72" si="0">IFERROR(B9+E9+H9+K9+N9+Q9, "NA")</f>
        <v>0</v>
      </c>
      <c r="U9" s="65">
        <f t="shared" ref="U9:U72" si="1">(T9/$V$1)/4</f>
        <v>0</v>
      </c>
    </row>
    <row r="10" spans="1:22" x14ac:dyDescent="0.25">
      <c r="A10" s="66" t="s">
        <v>40</v>
      </c>
      <c r="J10" s="58"/>
      <c r="K10" s="67">
        <f>IFERROR(K8+K9, "NA")</f>
        <v>185418.37</v>
      </c>
      <c r="L10" s="68">
        <f>IFERROR(K10/K327, "NA")</f>
        <v>0.20328162488327539</v>
      </c>
      <c r="M10" s="58"/>
      <c r="N10" s="67">
        <f>IFERROR(N8+N9, "NA")</f>
        <v>273267.01</v>
      </c>
      <c r="O10" s="68">
        <f>IFERROR(N10/N327, "NA")</f>
        <v>0.18961865797510233</v>
      </c>
      <c r="P10" s="58"/>
      <c r="Q10" s="67">
        <f>IFERROR(Q8+Q9, "NA")</f>
        <v>212103</v>
      </c>
      <c r="R10" s="68">
        <f>IFERROR(Q10/Q327, "NA")</f>
        <v>0.19209179325640188</v>
      </c>
      <c r="T10" s="65">
        <f t="shared" si="0"/>
        <v>670788.38</v>
      </c>
      <c r="U10" s="65">
        <f t="shared" si="1"/>
        <v>12899.776538461538</v>
      </c>
    </row>
    <row r="11" spans="1:22" x14ac:dyDescent="0.25">
      <c r="A11" s="69" t="s">
        <v>41</v>
      </c>
      <c r="J11" s="62"/>
      <c r="K11" s="63">
        <v>33711</v>
      </c>
      <c r="L11" s="64">
        <f>IFERROR(K11/K327, "NA")</f>
        <v>3.6958726670071024E-2</v>
      </c>
      <c r="M11" s="62"/>
      <c r="N11" s="63">
        <v>40376</v>
      </c>
      <c r="O11" s="64">
        <f>IFERROR(N11/N327, "NA")</f>
        <v>2.801671132714751E-2</v>
      </c>
      <c r="P11" s="62"/>
      <c r="Q11" s="63">
        <v>39938</v>
      </c>
      <c r="R11" s="64">
        <f>IFERROR(Q11/Q327, "NA")</f>
        <v>3.6169983635658987E-2</v>
      </c>
      <c r="T11" s="65">
        <f t="shared" si="0"/>
        <v>114025</v>
      </c>
      <c r="U11" s="65">
        <f t="shared" si="1"/>
        <v>2192.7884615384614</v>
      </c>
    </row>
    <row r="12" spans="1:22" x14ac:dyDescent="0.25">
      <c r="A12" s="60" t="s">
        <v>13</v>
      </c>
      <c r="J12" s="57"/>
      <c r="K12" s="58"/>
      <c r="L12" s="59"/>
      <c r="M12" s="57"/>
      <c r="N12" s="58"/>
      <c r="O12" s="59"/>
      <c r="P12" s="57"/>
      <c r="Q12" s="58"/>
      <c r="R12" s="59"/>
      <c r="T12" s="65">
        <f t="shared" si="0"/>
        <v>0</v>
      </c>
      <c r="U12" s="65">
        <f t="shared" si="1"/>
        <v>0</v>
      </c>
    </row>
    <row r="13" spans="1:22" x14ac:dyDescent="0.25">
      <c r="A13" s="61" t="s">
        <v>42</v>
      </c>
      <c r="J13" s="62"/>
      <c r="K13" s="63">
        <v>0</v>
      </c>
      <c r="L13" s="64">
        <f>IFERROR(K13/K327, "NA")</f>
        <v>0</v>
      </c>
      <c r="M13" s="62"/>
      <c r="N13" s="63">
        <v>0</v>
      </c>
      <c r="O13" s="64">
        <f>IFERROR(N13/N327, "NA")</f>
        <v>0</v>
      </c>
      <c r="P13" s="62"/>
      <c r="Q13" s="63">
        <v>0</v>
      </c>
      <c r="R13" s="64">
        <f>IFERROR(Q13/Q327, "NA")</f>
        <v>0</v>
      </c>
      <c r="T13" s="65">
        <f t="shared" si="0"/>
        <v>0</v>
      </c>
      <c r="U13" s="65">
        <f t="shared" si="1"/>
        <v>0</v>
      </c>
    </row>
    <row r="14" spans="1:22" x14ac:dyDescent="0.25">
      <c r="A14" s="61" t="s">
        <v>43</v>
      </c>
      <c r="J14" s="62"/>
      <c r="K14" s="63">
        <v>590693</v>
      </c>
      <c r="L14" s="64">
        <f>IFERROR(K14/K327, "NA")</f>
        <v>0.64760052009505098</v>
      </c>
      <c r="M14" s="62"/>
      <c r="N14" s="63">
        <v>816948.21</v>
      </c>
      <c r="O14" s="64">
        <f>IFERROR(N14/N327, "NA")</f>
        <v>0.56687641591043891</v>
      </c>
      <c r="P14" s="62"/>
      <c r="Q14" s="63">
        <v>640884.52</v>
      </c>
      <c r="R14" s="64">
        <f>IFERROR(Q14/Q327, "NA")</f>
        <v>0.58041921480162173</v>
      </c>
      <c r="T14" s="65">
        <f t="shared" si="0"/>
        <v>2048525.73</v>
      </c>
      <c r="U14" s="65">
        <f t="shared" si="1"/>
        <v>39394.725576923076</v>
      </c>
    </row>
    <row r="15" spans="1:22" x14ac:dyDescent="0.25">
      <c r="A15" s="61" t="s">
        <v>44</v>
      </c>
      <c r="J15" s="62"/>
      <c r="K15" s="63">
        <v>5016</v>
      </c>
      <c r="L15" s="64">
        <f>IFERROR(K15/K327, "NA")</f>
        <v>5.4992427687424357E-3</v>
      </c>
      <c r="M15" s="62"/>
      <c r="N15" s="63">
        <v>6128</v>
      </c>
      <c r="O15" s="64">
        <f>IFERROR(N15/N327, "NA")</f>
        <v>4.2521895931434501E-3</v>
      </c>
      <c r="P15" s="62"/>
      <c r="Q15" s="63">
        <v>5940</v>
      </c>
      <c r="R15" s="64">
        <f>IFERROR(Q15/Q327, "NA")</f>
        <v>5.3795809203218588E-3</v>
      </c>
      <c r="T15" s="65">
        <f t="shared" si="0"/>
        <v>17084</v>
      </c>
      <c r="U15" s="65">
        <f t="shared" si="1"/>
        <v>328.53846153846155</v>
      </c>
    </row>
    <row r="16" spans="1:22" x14ac:dyDescent="0.25">
      <c r="A16" s="61" t="s">
        <v>45</v>
      </c>
      <c r="J16" s="62"/>
      <c r="K16" s="63">
        <v>124735</v>
      </c>
      <c r="L16" s="64">
        <f>IFERROR(K16/K327, "NA")</f>
        <v>0.13675200294240186</v>
      </c>
      <c r="M16" s="62"/>
      <c r="N16" s="63">
        <v>248408</v>
      </c>
      <c r="O16" s="64">
        <f>IFERROR(N16/N327, "NA")</f>
        <v>0.17236911104007477</v>
      </c>
      <c r="P16" s="62"/>
      <c r="Q16" s="63">
        <v>123330</v>
      </c>
      <c r="R16" s="64">
        <f>IFERROR(Q16/Q327, "NA")</f>
        <v>0.11169422809819779</v>
      </c>
      <c r="T16" s="65">
        <f t="shared" si="0"/>
        <v>496473</v>
      </c>
      <c r="U16" s="65">
        <f t="shared" si="1"/>
        <v>9547.5576923076915</v>
      </c>
    </row>
    <row r="17" spans="1:21" x14ac:dyDescent="0.25">
      <c r="A17" s="61" t="s">
        <v>46</v>
      </c>
      <c r="J17" s="62"/>
      <c r="K17" s="63">
        <v>20799</v>
      </c>
      <c r="L17" s="64">
        <f>IFERROR(K17/K327, "NA")</f>
        <v>2.2802781169671837E-2</v>
      </c>
      <c r="M17" s="62"/>
      <c r="N17" s="63">
        <v>19808</v>
      </c>
      <c r="O17" s="64">
        <f>IFERROR(N17/N327, "NA")</f>
        <v>1.3744675499508072E-2</v>
      </c>
      <c r="P17" s="62"/>
      <c r="Q17" s="63">
        <v>22299</v>
      </c>
      <c r="R17" s="64">
        <f>IFERROR(Q17/Q327, "NA")</f>
        <v>2.019516413169312E-2</v>
      </c>
      <c r="T17" s="65">
        <f t="shared" si="0"/>
        <v>62906</v>
      </c>
      <c r="U17" s="65">
        <f t="shared" si="1"/>
        <v>1209.7307692307693</v>
      </c>
    </row>
    <row r="18" spans="1:21" x14ac:dyDescent="0.25">
      <c r="A18" s="61" t="s">
        <v>47</v>
      </c>
      <c r="J18" s="62"/>
      <c r="K18" s="63">
        <v>0</v>
      </c>
      <c r="L18" s="64">
        <f>IFERROR(K18/K327, "NA")</f>
        <v>0</v>
      </c>
      <c r="M18" s="62"/>
      <c r="N18" s="63">
        <v>0</v>
      </c>
      <c r="O18" s="64">
        <f>IFERROR(N18/N327, "NA")</f>
        <v>0</v>
      </c>
      <c r="P18" s="62"/>
      <c r="Q18" s="63">
        <v>0</v>
      </c>
      <c r="R18" s="64">
        <f>IFERROR(Q18/Q327, "NA")</f>
        <v>0</v>
      </c>
      <c r="T18" s="65">
        <f t="shared" si="0"/>
        <v>0</v>
      </c>
      <c r="U18" s="65">
        <f t="shared" si="1"/>
        <v>0</v>
      </c>
    </row>
    <row r="19" spans="1:21" x14ac:dyDescent="0.25">
      <c r="A19" s="66" t="s">
        <v>48</v>
      </c>
      <c r="J19" s="58"/>
      <c r="K19" s="67">
        <f>IFERROR(K13+K14+K15+K16+K17+K18, "NA")</f>
        <v>741243</v>
      </c>
      <c r="L19" s="68">
        <f>IFERROR(K19/K327, "NA")</f>
        <v>0.81265454697586714</v>
      </c>
      <c r="M19" s="58"/>
      <c r="N19" s="67">
        <f>IFERROR(N13+N14+N15+N16+N17+N18, "NA")</f>
        <v>1091292.21</v>
      </c>
      <c r="O19" s="68">
        <f>IFERROR(N19/N327, "NA")</f>
        <v>0.75724239204316524</v>
      </c>
      <c r="P19" s="58"/>
      <c r="Q19" s="67">
        <f>IFERROR(Q13+Q14+Q15+Q16+Q17+Q18, "NA")</f>
        <v>792453.52</v>
      </c>
      <c r="R19" s="68">
        <f>IFERROR(Q19/Q327, "NA")</f>
        <v>0.71768818795183442</v>
      </c>
      <c r="T19" s="65">
        <f t="shared" si="0"/>
        <v>2624988.73</v>
      </c>
      <c r="U19" s="65">
        <f t="shared" si="1"/>
        <v>50480.552499999998</v>
      </c>
    </row>
    <row r="20" spans="1:21" x14ac:dyDescent="0.25">
      <c r="A20" s="60" t="s">
        <v>49</v>
      </c>
      <c r="J20" s="57"/>
      <c r="K20" s="58"/>
      <c r="L20" s="59"/>
      <c r="M20" s="57"/>
      <c r="N20" s="58"/>
      <c r="O20" s="59"/>
      <c r="P20" s="57"/>
      <c r="Q20" s="58"/>
      <c r="R20" s="59"/>
      <c r="T20" s="65">
        <f t="shared" si="0"/>
        <v>0</v>
      </c>
      <c r="U20" s="65">
        <f t="shared" si="1"/>
        <v>0</v>
      </c>
    </row>
    <row r="21" spans="1:21" x14ac:dyDescent="0.25">
      <c r="A21" s="61" t="s">
        <v>50</v>
      </c>
      <c r="J21" s="62"/>
      <c r="K21" s="63">
        <v>0</v>
      </c>
      <c r="L21" s="64">
        <f>IFERROR(K21/K327, "NA")</f>
        <v>0</v>
      </c>
      <c r="M21" s="62"/>
      <c r="N21" s="63">
        <v>0</v>
      </c>
      <c r="O21" s="64">
        <f>IFERROR(N21/N327, "NA")</f>
        <v>0</v>
      </c>
      <c r="P21" s="62"/>
      <c r="Q21" s="63">
        <v>0</v>
      </c>
      <c r="R21" s="64">
        <f>IFERROR(Q21/Q327, "NA")</f>
        <v>0</v>
      </c>
      <c r="T21" s="65">
        <f t="shared" si="0"/>
        <v>0</v>
      </c>
      <c r="U21" s="65">
        <f t="shared" si="1"/>
        <v>0</v>
      </c>
    </row>
    <row r="22" spans="1:21" x14ac:dyDescent="0.25">
      <c r="A22" s="61" t="s">
        <v>51</v>
      </c>
      <c r="J22" s="62"/>
      <c r="K22" s="63">
        <v>15485.86</v>
      </c>
      <c r="L22" s="64">
        <f>IFERROR(K22/K327, "NA")</f>
        <v>1.6977771854616776E-2</v>
      </c>
      <c r="M22" s="62"/>
      <c r="N22" s="63">
        <v>30095.360000000001</v>
      </c>
      <c r="O22" s="64">
        <f>IFERROR(N22/N327, "NA")</f>
        <v>2.0883024901094265E-2</v>
      </c>
      <c r="P22" s="62"/>
      <c r="Q22" s="63">
        <v>33235.43</v>
      </c>
      <c r="R22" s="64">
        <f>IFERROR(Q22/Q327, "NA")</f>
        <v>3.0099778637490356E-2</v>
      </c>
      <c r="T22" s="65">
        <f t="shared" si="0"/>
        <v>78816.649999999994</v>
      </c>
      <c r="U22" s="65">
        <f t="shared" si="1"/>
        <v>1515.7048076923077</v>
      </c>
    </row>
    <row r="23" spans="1:21" x14ac:dyDescent="0.25">
      <c r="A23" s="61" t="s">
        <v>52</v>
      </c>
      <c r="J23" s="62"/>
      <c r="K23" s="63">
        <v>412</v>
      </c>
      <c r="L23" s="64">
        <f>IFERROR(K23/K327, "NA")</f>
        <v>4.5169218913913151E-4</v>
      </c>
      <c r="M23" s="62"/>
      <c r="N23" s="63">
        <v>0</v>
      </c>
      <c r="O23" s="64">
        <f>IFERROR(N23/N327, "NA")</f>
        <v>0</v>
      </c>
      <c r="P23" s="62"/>
      <c r="Q23" s="63">
        <v>886.11</v>
      </c>
      <c r="R23" s="64">
        <f>IFERROR(Q23/Q327, "NA")</f>
        <v>8.0250849314922594E-4</v>
      </c>
      <c r="T23" s="65">
        <f t="shared" si="0"/>
        <v>1298.1100000000001</v>
      </c>
      <c r="U23" s="65">
        <f t="shared" si="1"/>
        <v>24.96365384615385</v>
      </c>
    </row>
    <row r="24" spans="1:21" x14ac:dyDescent="0.25">
      <c r="A24" s="61" t="s">
        <v>53</v>
      </c>
      <c r="J24" s="62"/>
      <c r="K24" s="63">
        <v>0</v>
      </c>
      <c r="L24" s="64">
        <f>IFERROR(K24/K327, "NA")</f>
        <v>0</v>
      </c>
      <c r="M24" s="62"/>
      <c r="N24" s="63">
        <v>0</v>
      </c>
      <c r="O24" s="64">
        <f>IFERROR(N24/N327, "NA")</f>
        <v>0</v>
      </c>
      <c r="P24" s="62"/>
      <c r="Q24" s="63">
        <v>0</v>
      </c>
      <c r="R24" s="64">
        <f>IFERROR(Q24/Q327, "NA")</f>
        <v>0</v>
      </c>
      <c r="T24" s="65">
        <f t="shared" si="0"/>
        <v>0</v>
      </c>
      <c r="U24" s="65">
        <f t="shared" si="1"/>
        <v>0</v>
      </c>
    </row>
    <row r="25" spans="1:21" x14ac:dyDescent="0.25">
      <c r="A25" s="61" t="s">
        <v>54</v>
      </c>
      <c r="J25" s="62"/>
      <c r="K25" s="63">
        <v>0</v>
      </c>
      <c r="L25" s="64">
        <f>IFERROR(K25/K327, "NA")</f>
        <v>0</v>
      </c>
      <c r="M25" s="62"/>
      <c r="N25" s="63">
        <v>0</v>
      </c>
      <c r="O25" s="64">
        <f>IFERROR(N25/N327, "NA")</f>
        <v>0</v>
      </c>
      <c r="P25" s="62"/>
      <c r="Q25" s="63">
        <v>0</v>
      </c>
      <c r="R25" s="64">
        <f>IFERROR(Q25/Q327, "NA")</f>
        <v>0</v>
      </c>
      <c r="T25" s="65">
        <f t="shared" si="0"/>
        <v>0</v>
      </c>
      <c r="U25" s="65">
        <f t="shared" si="1"/>
        <v>0</v>
      </c>
    </row>
    <row r="26" spans="1:21" x14ac:dyDescent="0.25">
      <c r="A26" s="61" t="s">
        <v>55</v>
      </c>
      <c r="J26" s="62"/>
      <c r="K26" s="63">
        <v>0</v>
      </c>
      <c r="L26" s="64">
        <f>IFERROR(K26/K327, "NA")</f>
        <v>0</v>
      </c>
      <c r="M26" s="62"/>
      <c r="N26" s="63">
        <v>62421.3</v>
      </c>
      <c r="O26" s="64">
        <f>IFERROR(N26/N327, "NA")</f>
        <v>4.331383848735073E-2</v>
      </c>
      <c r="P26" s="62"/>
      <c r="Q26" s="63">
        <v>81567.48</v>
      </c>
      <c r="R26" s="64">
        <f>IFERROR(Q26/Q327, "NA")</f>
        <v>7.3871861805847608E-2</v>
      </c>
      <c r="T26" s="65">
        <f t="shared" si="0"/>
        <v>143988.78</v>
      </c>
      <c r="U26" s="65">
        <f t="shared" si="1"/>
        <v>2769.0149999999999</v>
      </c>
    </row>
    <row r="27" spans="1:21" x14ac:dyDescent="0.25">
      <c r="A27" s="61" t="s">
        <v>56</v>
      </c>
      <c r="J27" s="62"/>
      <c r="K27" s="63">
        <v>0</v>
      </c>
      <c r="L27" s="64">
        <f>IFERROR(K27/K327, "NA")</f>
        <v>0</v>
      </c>
      <c r="M27" s="62"/>
      <c r="N27" s="63">
        <v>0</v>
      </c>
      <c r="O27" s="64">
        <f>IFERROR(N27/N327, "NA")</f>
        <v>0</v>
      </c>
      <c r="P27" s="62"/>
      <c r="Q27" s="63">
        <v>0</v>
      </c>
      <c r="R27" s="64">
        <f>IFERROR(Q27/Q327, "NA")</f>
        <v>0</v>
      </c>
      <c r="T27" s="65">
        <f t="shared" si="0"/>
        <v>0</v>
      </c>
      <c r="U27" s="65">
        <f t="shared" si="1"/>
        <v>0</v>
      </c>
    </row>
    <row r="28" spans="1:21" x14ac:dyDescent="0.25">
      <c r="A28" s="61" t="s">
        <v>57</v>
      </c>
      <c r="J28" s="62"/>
      <c r="K28" s="63">
        <v>0</v>
      </c>
      <c r="L28" s="64">
        <f>IFERROR(K28/K327, "NA")</f>
        <v>0</v>
      </c>
      <c r="M28" s="62"/>
      <c r="N28" s="63">
        <v>0</v>
      </c>
      <c r="O28" s="64">
        <f>IFERROR(N28/N327, "NA")</f>
        <v>0</v>
      </c>
      <c r="P28" s="62"/>
      <c r="Q28" s="63">
        <v>0</v>
      </c>
      <c r="R28" s="64">
        <f>IFERROR(Q28/Q327, "NA")</f>
        <v>0</v>
      </c>
      <c r="T28" s="65">
        <f t="shared" si="0"/>
        <v>0</v>
      </c>
      <c r="U28" s="65">
        <f t="shared" si="1"/>
        <v>0</v>
      </c>
    </row>
    <row r="29" spans="1:21" x14ac:dyDescent="0.25">
      <c r="A29" s="61" t="s">
        <v>58</v>
      </c>
      <c r="J29" s="62"/>
      <c r="K29" s="63">
        <v>0</v>
      </c>
      <c r="L29" s="64">
        <f>IFERROR(K29/K327, "NA")</f>
        <v>0</v>
      </c>
      <c r="M29" s="62"/>
      <c r="N29" s="63">
        <v>0</v>
      </c>
      <c r="O29" s="64">
        <f>IFERROR(N29/N327, "NA")</f>
        <v>0</v>
      </c>
      <c r="P29" s="62"/>
      <c r="Q29" s="63">
        <v>0</v>
      </c>
      <c r="R29" s="64">
        <f>IFERROR(Q29/Q327, "NA")</f>
        <v>0</v>
      </c>
      <c r="T29" s="65">
        <f t="shared" si="0"/>
        <v>0</v>
      </c>
      <c r="U29" s="65">
        <f t="shared" si="1"/>
        <v>0</v>
      </c>
    </row>
    <row r="30" spans="1:21" x14ac:dyDescent="0.25">
      <c r="A30" s="66" t="s">
        <v>59</v>
      </c>
      <c r="J30" s="58"/>
      <c r="K30" s="67">
        <f>IFERROR(K21+K22+K23+K24+K25+K26+K27+K28+K29, "NA")</f>
        <v>15897.86</v>
      </c>
      <c r="L30" s="68">
        <f>IFERROR(K30/K327, "NA")</f>
        <v>1.7429464043755907E-2</v>
      </c>
      <c r="M30" s="58"/>
      <c r="N30" s="67">
        <f>IFERROR(N21+N22+N23+N24+N25+N26+N27+N28+N29, "NA")</f>
        <v>92516.66</v>
      </c>
      <c r="O30" s="68">
        <f>IFERROR(N30/N327, "NA")</f>
        <v>6.4196863388444991E-2</v>
      </c>
      <c r="P30" s="58"/>
      <c r="Q30" s="67">
        <f>IFERROR(Q21+Q22+Q23+Q24+Q25+Q26+Q27+Q28+Q29, "NA")</f>
        <v>115689.01999999999</v>
      </c>
      <c r="R30" s="68">
        <f>IFERROR(Q30/Q327, "NA")</f>
        <v>0.10477414893648718</v>
      </c>
      <c r="T30" s="65">
        <f t="shared" si="0"/>
        <v>224103.53999999998</v>
      </c>
      <c r="U30" s="65">
        <f t="shared" si="1"/>
        <v>4309.6834615384614</v>
      </c>
    </row>
    <row r="31" spans="1:21" x14ac:dyDescent="0.25">
      <c r="A31" s="60" t="s">
        <v>60</v>
      </c>
      <c r="J31" s="57"/>
      <c r="K31" s="58"/>
      <c r="L31" s="59"/>
      <c r="M31" s="57"/>
      <c r="N31" s="58"/>
      <c r="O31" s="59"/>
      <c r="P31" s="57"/>
      <c r="Q31" s="58"/>
      <c r="R31" s="59"/>
      <c r="T31" s="65">
        <f t="shared" si="0"/>
        <v>0</v>
      </c>
      <c r="U31" s="65">
        <f t="shared" si="1"/>
        <v>0</v>
      </c>
    </row>
    <row r="32" spans="1:21" x14ac:dyDescent="0.25">
      <c r="A32" s="61" t="s">
        <v>61</v>
      </c>
      <c r="J32" s="62"/>
      <c r="K32" s="63">
        <v>0</v>
      </c>
      <c r="L32" s="64">
        <f>IFERROR(K32/K327, "NA")</f>
        <v>0</v>
      </c>
      <c r="M32" s="62"/>
      <c r="N32" s="63">
        <v>0</v>
      </c>
      <c r="O32" s="64">
        <f>IFERROR(N32/N327, "NA")</f>
        <v>0</v>
      </c>
      <c r="P32" s="62"/>
      <c r="Q32" s="63">
        <v>0</v>
      </c>
      <c r="R32" s="64">
        <f>IFERROR(Q32/Q327, "NA")</f>
        <v>0</v>
      </c>
      <c r="T32" s="65">
        <f t="shared" si="0"/>
        <v>0</v>
      </c>
      <c r="U32" s="65">
        <f t="shared" si="1"/>
        <v>0</v>
      </c>
    </row>
    <row r="33" spans="1:21" x14ac:dyDescent="0.25">
      <c r="A33" s="61" t="s">
        <v>62</v>
      </c>
      <c r="J33" s="62"/>
      <c r="K33" s="63">
        <v>0</v>
      </c>
      <c r="L33" s="64">
        <f>IFERROR(K33/K327, "NA")</f>
        <v>0</v>
      </c>
      <c r="M33" s="62"/>
      <c r="N33" s="63">
        <v>0</v>
      </c>
      <c r="O33" s="64">
        <f>IFERROR(N33/N327, "NA")</f>
        <v>0</v>
      </c>
      <c r="P33" s="62"/>
      <c r="Q33" s="63">
        <v>0</v>
      </c>
      <c r="R33" s="64">
        <f>IFERROR(Q33/Q327, "NA")</f>
        <v>0</v>
      </c>
      <c r="T33" s="65">
        <f t="shared" si="0"/>
        <v>0</v>
      </c>
      <c r="U33" s="65">
        <f t="shared" si="1"/>
        <v>0</v>
      </c>
    </row>
    <row r="34" spans="1:21" x14ac:dyDescent="0.25">
      <c r="A34" s="61" t="s">
        <v>63</v>
      </c>
      <c r="J34" s="62"/>
      <c r="K34" s="63">
        <v>0</v>
      </c>
      <c r="L34" s="64">
        <f>IFERROR(K34/K327, "NA")</f>
        <v>0</v>
      </c>
      <c r="M34" s="62"/>
      <c r="N34" s="63">
        <v>0</v>
      </c>
      <c r="O34" s="64">
        <f>IFERROR(N34/N327, "NA")</f>
        <v>0</v>
      </c>
      <c r="P34" s="62"/>
      <c r="Q34" s="63">
        <v>0</v>
      </c>
      <c r="R34" s="64">
        <f>IFERROR(Q34/Q327, "NA")</f>
        <v>0</v>
      </c>
      <c r="T34" s="65">
        <f t="shared" si="0"/>
        <v>0</v>
      </c>
      <c r="U34" s="65">
        <f t="shared" si="1"/>
        <v>0</v>
      </c>
    </row>
    <row r="35" spans="1:21" x14ac:dyDescent="0.25">
      <c r="A35" s="61" t="s">
        <v>64</v>
      </c>
      <c r="J35" s="62"/>
      <c r="K35" s="63">
        <v>0</v>
      </c>
      <c r="L35" s="64">
        <f>IFERROR(K35/K327, "NA")</f>
        <v>0</v>
      </c>
      <c r="M35" s="62"/>
      <c r="N35" s="63">
        <v>0</v>
      </c>
      <c r="O35" s="64">
        <f>IFERROR(N35/N327, "NA")</f>
        <v>0</v>
      </c>
      <c r="P35" s="62"/>
      <c r="Q35" s="63">
        <v>0</v>
      </c>
      <c r="R35" s="64">
        <f>IFERROR(Q35/Q327, "NA")</f>
        <v>0</v>
      </c>
      <c r="T35" s="65">
        <f t="shared" si="0"/>
        <v>0</v>
      </c>
      <c r="U35" s="65">
        <f t="shared" si="1"/>
        <v>0</v>
      </c>
    </row>
    <row r="36" spans="1:21" x14ac:dyDescent="0.25">
      <c r="A36" s="61" t="s">
        <v>65</v>
      </c>
      <c r="J36" s="62"/>
      <c r="K36" s="63">
        <v>0</v>
      </c>
      <c r="L36" s="64">
        <f>IFERROR(K36/K327, "NA")</f>
        <v>0</v>
      </c>
      <c r="M36" s="62"/>
      <c r="N36" s="63">
        <v>0</v>
      </c>
      <c r="O36" s="64">
        <f>IFERROR(N36/N327, "NA")</f>
        <v>0</v>
      </c>
      <c r="P36" s="62"/>
      <c r="Q36" s="63">
        <v>0</v>
      </c>
      <c r="R36" s="64">
        <f>IFERROR(Q36/Q327, "NA")</f>
        <v>0</v>
      </c>
      <c r="T36" s="65">
        <f t="shared" si="0"/>
        <v>0</v>
      </c>
      <c r="U36" s="65">
        <f t="shared" si="1"/>
        <v>0</v>
      </c>
    </row>
    <row r="37" spans="1:21" x14ac:dyDescent="0.25">
      <c r="A37" s="66" t="s">
        <v>66</v>
      </c>
      <c r="J37" s="58"/>
      <c r="K37" s="67">
        <f>IFERROR(K32+K33+K34+K35+K36, "NA")</f>
        <v>0</v>
      </c>
      <c r="L37" s="68">
        <f>IFERROR(K37/K327, "NA")</f>
        <v>0</v>
      </c>
      <c r="M37" s="58"/>
      <c r="N37" s="67">
        <f>IFERROR(N32+N33+N34+N35+N36, "NA")</f>
        <v>0</v>
      </c>
      <c r="O37" s="68">
        <f>IFERROR(N37/N327, "NA")</f>
        <v>0</v>
      </c>
      <c r="P37" s="58"/>
      <c r="Q37" s="67">
        <f>IFERROR(Q32+Q33+Q34+Q35+Q36, "NA")</f>
        <v>0</v>
      </c>
      <c r="R37" s="68">
        <f>IFERROR(Q37/Q327, "NA")</f>
        <v>0</v>
      </c>
      <c r="T37" s="65">
        <f t="shared" si="0"/>
        <v>0</v>
      </c>
      <c r="U37" s="65">
        <f t="shared" si="1"/>
        <v>0</v>
      </c>
    </row>
    <row r="38" spans="1:21" x14ac:dyDescent="0.25">
      <c r="A38" s="60" t="s">
        <v>67</v>
      </c>
      <c r="J38" s="57"/>
      <c r="K38" s="58"/>
      <c r="L38" s="59"/>
      <c r="M38" s="57"/>
      <c r="N38" s="58"/>
      <c r="O38" s="59"/>
      <c r="P38" s="57"/>
      <c r="Q38" s="58"/>
      <c r="R38" s="59"/>
      <c r="T38" s="65">
        <f t="shared" si="0"/>
        <v>0</v>
      </c>
      <c r="U38" s="65">
        <f t="shared" si="1"/>
        <v>0</v>
      </c>
    </row>
    <row r="39" spans="1:21" x14ac:dyDescent="0.25">
      <c r="A39" s="61" t="s">
        <v>68</v>
      </c>
      <c r="J39" s="62"/>
      <c r="K39" s="63">
        <v>0</v>
      </c>
      <c r="L39" s="64">
        <f>IFERROR(K39/K327, "NA")</f>
        <v>0</v>
      </c>
      <c r="M39" s="62"/>
      <c r="N39" s="63">
        <v>0</v>
      </c>
      <c r="O39" s="64">
        <f>IFERROR(N39/N327, "NA")</f>
        <v>0</v>
      </c>
      <c r="P39" s="62"/>
      <c r="Q39" s="63">
        <v>0</v>
      </c>
      <c r="R39" s="64">
        <f>IFERROR(Q39/Q327, "NA")</f>
        <v>0</v>
      </c>
      <c r="T39" s="65">
        <f t="shared" si="0"/>
        <v>0</v>
      </c>
      <c r="U39" s="65">
        <f t="shared" si="1"/>
        <v>0</v>
      </c>
    </row>
    <row r="40" spans="1:21" x14ac:dyDescent="0.25">
      <c r="A40" s="61" t="s">
        <v>69</v>
      </c>
      <c r="J40" s="62"/>
      <c r="K40" s="63">
        <v>-88.25</v>
      </c>
      <c r="L40" s="64">
        <f>IFERROR(K40/K327, "NA")</f>
        <v>-9.6752028377496003E-5</v>
      </c>
      <c r="M40" s="62"/>
      <c r="N40" s="63">
        <v>-132.75</v>
      </c>
      <c r="O40" s="64">
        <f>IFERROR(N40/N327, "NA")</f>
        <v>-9.21145836308409E-5</v>
      </c>
      <c r="P40" s="62"/>
      <c r="Q40" s="63">
        <v>-148.5</v>
      </c>
      <c r="R40" s="64">
        <f>IFERROR(Q40/Q327, "NA")</f>
        <v>-1.3448952300804646E-4</v>
      </c>
      <c r="T40" s="65">
        <f t="shared" si="0"/>
        <v>-369.5</v>
      </c>
      <c r="U40" s="65">
        <f t="shared" si="1"/>
        <v>-7.1057692307692308</v>
      </c>
    </row>
    <row r="41" spans="1:21" x14ac:dyDescent="0.25">
      <c r="A41" s="61" t="s">
        <v>70</v>
      </c>
      <c r="J41" s="62"/>
      <c r="K41" s="63">
        <v>-1187</v>
      </c>
      <c r="L41" s="64">
        <f>IFERROR(K41/K327, "NA")</f>
        <v>-1.3013558944372551E-3</v>
      </c>
      <c r="M41" s="62"/>
      <c r="N41" s="63">
        <v>-929</v>
      </c>
      <c r="O41" s="64">
        <f>IFERROR(N41/N327, "NA")</f>
        <v>-6.4462861162373783E-4</v>
      </c>
      <c r="P41" s="62"/>
      <c r="Q41" s="63">
        <v>-1884</v>
      </c>
      <c r="R41" s="64">
        <f>IFERROR(Q41/Q327, "NA")</f>
        <v>-1.7062509181626905E-3</v>
      </c>
      <c r="T41" s="65">
        <f t="shared" si="0"/>
        <v>-4000</v>
      </c>
      <c r="U41" s="65">
        <f t="shared" si="1"/>
        <v>-76.92307692307692</v>
      </c>
    </row>
    <row r="42" spans="1:21" x14ac:dyDescent="0.25">
      <c r="A42" s="61" t="s">
        <v>71</v>
      </c>
      <c r="J42" s="62"/>
      <c r="K42" s="63">
        <v>-3451</v>
      </c>
      <c r="L42" s="64">
        <f>IFERROR(K42/K327, "NA")</f>
        <v>-3.7834702541726765E-3</v>
      </c>
      <c r="M42" s="62"/>
      <c r="N42" s="63">
        <v>-3002</v>
      </c>
      <c r="O42" s="64">
        <f>IFERROR(N42/N327, "NA")</f>
        <v>-2.0830732961189028E-3</v>
      </c>
      <c r="P42" s="62"/>
      <c r="Q42" s="63">
        <v>-4067</v>
      </c>
      <c r="R42" s="64">
        <f>IFERROR(Q42/Q327, "NA")</f>
        <v>-3.6832921890486529E-3</v>
      </c>
      <c r="T42" s="65">
        <f t="shared" si="0"/>
        <v>-10520</v>
      </c>
      <c r="U42" s="65">
        <f t="shared" si="1"/>
        <v>-202.30769230769232</v>
      </c>
    </row>
    <row r="43" spans="1:21" x14ac:dyDescent="0.25">
      <c r="A43" s="61" t="s">
        <v>72</v>
      </c>
      <c r="J43" s="62"/>
      <c r="K43" s="63">
        <v>-12703</v>
      </c>
      <c r="L43" s="64">
        <f>IFERROR(K43/K327, "NA")</f>
        <v>-1.392681038503492E-2</v>
      </c>
      <c r="M43" s="62"/>
      <c r="N43" s="63">
        <v>-18620.04</v>
      </c>
      <c r="O43" s="64">
        <f>IFERROR(N43/N327, "NA")</f>
        <v>-1.2920355795025255E-2</v>
      </c>
      <c r="P43" s="62"/>
      <c r="Q43" s="63">
        <v>-24439.41</v>
      </c>
      <c r="R43" s="64">
        <f>IFERROR(Q43/Q327, "NA")</f>
        <v>-2.2133633626249705E-2</v>
      </c>
      <c r="T43" s="65">
        <f t="shared" si="0"/>
        <v>-55762.45</v>
      </c>
      <c r="U43" s="65">
        <f t="shared" si="1"/>
        <v>-1072.3548076923075</v>
      </c>
    </row>
    <row r="44" spans="1:21" x14ac:dyDescent="0.25">
      <c r="A44" s="61" t="s">
        <v>73</v>
      </c>
      <c r="J44" s="62"/>
      <c r="K44" s="63">
        <v>-1498.4</v>
      </c>
      <c r="L44" s="64">
        <f>IFERROR(K44/K327, "NA")</f>
        <v>-1.6427562529273657E-3</v>
      </c>
      <c r="M44" s="62"/>
      <c r="N44" s="63">
        <v>-1603.2</v>
      </c>
      <c r="O44" s="64">
        <f>IFERROR(N44/N327, "NA")</f>
        <v>-1.1124527342897487E-3</v>
      </c>
      <c r="P44" s="62"/>
      <c r="Q44" s="63">
        <v>-1696.4</v>
      </c>
      <c r="R44" s="64">
        <f>IFERROR(Q44/Q327, "NA")</f>
        <v>-1.5363503490292932E-3</v>
      </c>
      <c r="T44" s="65">
        <f t="shared" si="0"/>
        <v>-4798</v>
      </c>
      <c r="U44" s="65">
        <f t="shared" si="1"/>
        <v>-92.269230769230774</v>
      </c>
    </row>
    <row r="45" spans="1:21" x14ac:dyDescent="0.25">
      <c r="A45" s="61" t="s">
        <v>74</v>
      </c>
      <c r="J45" s="62"/>
      <c r="K45" s="63">
        <v>0</v>
      </c>
      <c r="L45" s="64">
        <f>IFERROR(K45/K327, "NA")</f>
        <v>0</v>
      </c>
      <c r="M45" s="62"/>
      <c r="N45" s="63">
        <v>0</v>
      </c>
      <c r="O45" s="64">
        <f>IFERROR(N45/N327, "NA")</f>
        <v>0</v>
      </c>
      <c r="P45" s="62"/>
      <c r="Q45" s="63">
        <v>0</v>
      </c>
      <c r="R45" s="64">
        <f>IFERROR(Q45/Q327, "NA")</f>
        <v>0</v>
      </c>
      <c r="T45" s="65">
        <f t="shared" si="0"/>
        <v>0</v>
      </c>
      <c r="U45" s="65">
        <f t="shared" si="1"/>
        <v>0</v>
      </c>
    </row>
    <row r="46" spans="1:21" x14ac:dyDescent="0.25">
      <c r="A46" s="61" t="s">
        <v>75</v>
      </c>
      <c r="J46" s="62"/>
      <c r="K46" s="63">
        <v>-31827</v>
      </c>
      <c r="L46" s="64">
        <f>IFERROR(K46/K327, "NA")</f>
        <v>-3.4893221610997907E-2</v>
      </c>
      <c r="M46" s="62"/>
      <c r="N46" s="63">
        <v>-22410.01</v>
      </c>
      <c r="O46" s="64">
        <f>IFERROR(N46/N327, "NA")</f>
        <v>-1.5550197667141098E-2</v>
      </c>
      <c r="P46" s="62"/>
      <c r="Q46" s="63">
        <v>-14593</v>
      </c>
      <c r="R46" s="64">
        <f>IFERROR(Q46/Q327, "NA")</f>
        <v>-1.3216199388932136E-2</v>
      </c>
      <c r="T46" s="65">
        <f t="shared" si="0"/>
        <v>-68830.009999999995</v>
      </c>
      <c r="U46" s="65">
        <f t="shared" si="1"/>
        <v>-1323.6540384615384</v>
      </c>
    </row>
    <row r="47" spans="1:21" x14ac:dyDescent="0.25">
      <c r="A47" s="61" t="s">
        <v>76</v>
      </c>
      <c r="J47" s="62"/>
      <c r="K47" s="63">
        <v>-6605</v>
      </c>
      <c r="L47" s="64">
        <f>IFERROR(K47/K327, "NA")</f>
        <v>-7.2413274496698141E-3</v>
      </c>
      <c r="M47" s="62"/>
      <c r="N47" s="63">
        <v>-5894</v>
      </c>
      <c r="O47" s="64">
        <f>IFERROR(N47/N327, "NA")</f>
        <v>-4.0898181236924767E-3</v>
      </c>
      <c r="P47" s="62"/>
      <c r="Q47" s="63">
        <v>-4607</v>
      </c>
      <c r="R47" s="64">
        <f>IFERROR(Q47/Q327, "NA")</f>
        <v>-4.1723449999870044E-3</v>
      </c>
      <c r="T47" s="65">
        <f t="shared" si="0"/>
        <v>-17106</v>
      </c>
      <c r="U47" s="65">
        <f t="shared" si="1"/>
        <v>-328.96153846153845</v>
      </c>
    </row>
    <row r="48" spans="1:21" x14ac:dyDescent="0.25">
      <c r="A48" s="61" t="s">
        <v>77</v>
      </c>
      <c r="J48" s="62"/>
      <c r="K48" s="63">
        <v>-2021</v>
      </c>
      <c r="L48" s="64">
        <f>IFERROR(K48/K327, "NA")</f>
        <v>-2.2157036753645263E-3</v>
      </c>
      <c r="M48" s="62"/>
      <c r="N48" s="63">
        <v>-2254</v>
      </c>
      <c r="O48" s="64">
        <f>IFERROR(N48/N327, "NA")</f>
        <v>-1.564039710010662E-3</v>
      </c>
      <c r="P48" s="62"/>
      <c r="Q48" s="63">
        <v>-2397</v>
      </c>
      <c r="R48" s="64">
        <f>IFERROR(Q48/Q327, "NA")</f>
        <v>-2.1708510885541238E-3</v>
      </c>
      <c r="T48" s="65">
        <f t="shared" si="0"/>
        <v>-6672</v>
      </c>
      <c r="U48" s="65">
        <f t="shared" si="1"/>
        <v>-128.30769230769232</v>
      </c>
    </row>
    <row r="49" spans="1:21" x14ac:dyDescent="0.25">
      <c r="A49" s="61" t="s">
        <v>78</v>
      </c>
      <c r="J49" s="62"/>
      <c r="K49" s="63">
        <v>0</v>
      </c>
      <c r="L49" s="64">
        <f>IFERROR(K49/K327, "NA")</f>
        <v>0</v>
      </c>
      <c r="M49" s="62"/>
      <c r="N49" s="63">
        <v>0</v>
      </c>
      <c r="O49" s="64">
        <f>IFERROR(N49/N327, "NA")</f>
        <v>0</v>
      </c>
      <c r="P49" s="62"/>
      <c r="Q49" s="63">
        <v>0</v>
      </c>
      <c r="R49" s="64">
        <f>IFERROR(Q49/Q327, "NA")</f>
        <v>0</v>
      </c>
      <c r="T49" s="65">
        <f t="shared" si="0"/>
        <v>0</v>
      </c>
      <c r="U49" s="65">
        <f t="shared" si="1"/>
        <v>0</v>
      </c>
    </row>
    <row r="50" spans="1:21" x14ac:dyDescent="0.25">
      <c r="A50" s="61" t="s">
        <v>79</v>
      </c>
      <c r="J50" s="62"/>
      <c r="K50" s="63">
        <v>-4764</v>
      </c>
      <c r="L50" s="64">
        <f>IFERROR(K50/K327, "NA")</f>
        <v>-5.2229650219874331E-3</v>
      </c>
      <c r="M50" s="62"/>
      <c r="N50" s="63">
        <v>-1467</v>
      </c>
      <c r="O50" s="64">
        <f>IFERROR(N50/N327, "NA")</f>
        <v>-1.0179442123272587E-3</v>
      </c>
      <c r="P50" s="62"/>
      <c r="Q50" s="63">
        <v>-2176</v>
      </c>
      <c r="R50" s="64">
        <f>IFERROR(Q50/Q327, "NA")</f>
        <v>-1.9707016974108357E-3</v>
      </c>
      <c r="T50" s="65">
        <f t="shared" si="0"/>
        <v>-8407</v>
      </c>
      <c r="U50" s="65">
        <f t="shared" si="1"/>
        <v>-161.67307692307693</v>
      </c>
    </row>
    <row r="51" spans="1:21" x14ac:dyDescent="0.25">
      <c r="A51" s="66" t="s">
        <v>80</v>
      </c>
      <c r="J51" s="58"/>
      <c r="K51" s="67">
        <f>IFERROR(K39+K40+K41+K42+K43+K44+K45+K46+K47+K48+K49+K50, "NA")</f>
        <v>-64144.65</v>
      </c>
      <c r="L51" s="68">
        <f>IFERROR(K51/K327, "NA")</f>
        <v>-7.0324362572969396E-2</v>
      </c>
      <c r="M51" s="58"/>
      <c r="N51" s="67">
        <f>IFERROR(N39+N40+N41+N42+N43+N44+N45+N46+N47+N48+N49+N50, "NA")</f>
        <v>-56312</v>
      </c>
      <c r="O51" s="68">
        <f>IFERROR(N51/N327, "NA")</f>
        <v>-3.9074624733859982E-2</v>
      </c>
      <c r="P51" s="58"/>
      <c r="Q51" s="67">
        <f>IFERROR(Q39+Q40+Q41+Q42+Q43+Q44+Q45+Q46+Q47+Q48+Q49+Q50, "NA")</f>
        <v>-56008.31</v>
      </c>
      <c r="R51" s="68">
        <f>IFERROR(Q51/Q327, "NA")</f>
        <v>-5.0724113780382482E-2</v>
      </c>
      <c r="T51" s="65">
        <f t="shared" si="0"/>
        <v>-176464.96</v>
      </c>
      <c r="U51" s="65">
        <f t="shared" si="1"/>
        <v>-3393.5569230769229</v>
      </c>
    </row>
    <row r="52" spans="1:21" x14ac:dyDescent="0.25">
      <c r="A52" s="70" t="s">
        <v>4</v>
      </c>
      <c r="J52" s="58"/>
      <c r="K52" s="67">
        <f>IFERROR(K8+K9+K11+K13+K14+K15+K16+K17+K18+K21+K22+K23+K24+K25+K26+K27+K28+K29+K32+K33+K34+K35+K36+K39+K40+K41+K42+K43+K44+K45+K46+K47+K48+K49+K50, "NA")</f>
        <v>912125.58</v>
      </c>
      <c r="L52" s="68">
        <f>IFERROR(K52/K327, "NA")</f>
        <v>1</v>
      </c>
      <c r="M52" s="58"/>
      <c r="N52" s="67">
        <f>IFERROR(N8+N9+N11+N13+N14+N15+N16+N17+N18+N21+N22+N23+N24+N25+N26+N27+N28+N29+N32+N33+N34+N35+N36+N39+N40+N41+N42+N43+N44+N45+N46+N47+N48+N49+N50, "NA")</f>
        <v>1441139.8800000001</v>
      </c>
      <c r="O52" s="68">
        <f>IFERROR(N52/N327, "NA")</f>
        <v>1.0000000000000002</v>
      </c>
      <c r="P52" s="58"/>
      <c r="Q52" s="67">
        <f>IFERROR(Q8+Q9+Q11+Q13+Q14+Q15+Q16+Q17+Q18+Q21+Q22+Q23+Q24+Q25+Q26+Q27+Q28+Q29+Q32+Q33+Q34+Q35+Q36+Q39+Q40+Q41+Q42+Q43+Q44+Q45+Q46+Q47+Q48+Q49+Q50, "NA")</f>
        <v>1104175.2300000002</v>
      </c>
      <c r="R52" s="68">
        <f>IFERROR(Q52/Q327, "NA")</f>
        <v>1.0000000000000002</v>
      </c>
      <c r="T52" s="65">
        <f t="shared" si="0"/>
        <v>3457440.6900000004</v>
      </c>
      <c r="U52" s="65">
        <f t="shared" si="1"/>
        <v>66489.244038461547</v>
      </c>
    </row>
    <row r="53" spans="1:21" x14ac:dyDescent="0.25">
      <c r="A53" s="56" t="s">
        <v>81</v>
      </c>
      <c r="J53" s="57"/>
      <c r="K53" s="58"/>
      <c r="L53" s="59"/>
      <c r="M53" s="57"/>
      <c r="N53" s="58"/>
      <c r="O53" s="59"/>
      <c r="P53" s="57"/>
      <c r="Q53" s="58"/>
      <c r="R53" s="59"/>
      <c r="T53" s="65">
        <f t="shared" si="0"/>
        <v>0</v>
      </c>
      <c r="U53" s="65">
        <f t="shared" si="1"/>
        <v>0</v>
      </c>
    </row>
    <row r="54" spans="1:21" x14ac:dyDescent="0.25">
      <c r="A54" s="60" t="s">
        <v>17</v>
      </c>
      <c r="J54" s="57"/>
      <c r="K54" s="58"/>
      <c r="L54" s="59"/>
      <c r="M54" s="57"/>
      <c r="N54" s="58"/>
      <c r="O54" s="59"/>
      <c r="P54" s="57"/>
      <c r="Q54" s="58"/>
      <c r="R54" s="59"/>
      <c r="T54" s="65">
        <f t="shared" si="0"/>
        <v>0</v>
      </c>
      <c r="U54" s="65">
        <f t="shared" si="1"/>
        <v>0</v>
      </c>
    </row>
    <row r="55" spans="1:21" x14ac:dyDescent="0.25">
      <c r="A55" s="61" t="s">
        <v>82</v>
      </c>
      <c r="J55" s="62"/>
      <c r="K55" s="63">
        <v>0</v>
      </c>
      <c r="L55" s="64">
        <f>IFERROR(K55/K327, "NA")</f>
        <v>0</v>
      </c>
      <c r="M55" s="62"/>
      <c r="N55" s="63">
        <v>0</v>
      </c>
      <c r="O55" s="64">
        <f>IFERROR(N55/N327, "NA")</f>
        <v>0</v>
      </c>
      <c r="P55" s="62"/>
      <c r="Q55" s="63">
        <v>0</v>
      </c>
      <c r="R55" s="64">
        <f>IFERROR(Q55/Q327, "NA")</f>
        <v>0</v>
      </c>
      <c r="T55" s="65">
        <f t="shared" si="0"/>
        <v>0</v>
      </c>
      <c r="U55" s="65">
        <f t="shared" si="1"/>
        <v>0</v>
      </c>
    </row>
    <row r="56" spans="1:21" x14ac:dyDescent="0.25">
      <c r="A56" s="61" t="s">
        <v>83</v>
      </c>
      <c r="J56" s="62"/>
      <c r="K56" s="63">
        <v>8321.14</v>
      </c>
      <c r="L56" s="64">
        <f>IFERROR(K56/K327, "NA")</f>
        <v>9.1228008318766807E-3</v>
      </c>
      <c r="M56" s="62"/>
      <c r="N56" s="63">
        <v>9549.65</v>
      </c>
      <c r="O56" s="64">
        <f>IFERROR(N56/N327, "NA")</f>
        <v>6.626455996762785E-3</v>
      </c>
      <c r="P56" s="62"/>
      <c r="Q56" s="63">
        <v>8437.2800000000007</v>
      </c>
      <c r="R56" s="64">
        <f>IFERROR(Q56/Q327, "NA")</f>
        <v>7.6412509271739423E-3</v>
      </c>
      <c r="T56" s="65">
        <f t="shared" si="0"/>
        <v>26308.07</v>
      </c>
      <c r="U56" s="65">
        <f t="shared" si="1"/>
        <v>505.92442307692306</v>
      </c>
    </row>
    <row r="57" spans="1:21" x14ac:dyDescent="0.25">
      <c r="A57" s="61" t="s">
        <v>84</v>
      </c>
      <c r="J57" s="62"/>
      <c r="K57" s="63">
        <v>3203.14</v>
      </c>
      <c r="L57" s="64">
        <f>IFERROR(K57/K327, "NA")</f>
        <v>3.511731356114363E-3</v>
      </c>
      <c r="M57" s="62"/>
      <c r="N57" s="63">
        <v>3738.59</v>
      </c>
      <c r="O57" s="64">
        <f>IFERROR(N57/N327, "NA")</f>
        <v>2.5941895383534874E-3</v>
      </c>
      <c r="P57" s="62"/>
      <c r="Q57" s="63">
        <v>3491.79</v>
      </c>
      <c r="R57" s="64">
        <f>IFERROR(Q57/Q327, "NA")</f>
        <v>3.1623513235304146E-3</v>
      </c>
      <c r="T57" s="65">
        <f t="shared" si="0"/>
        <v>10433.52</v>
      </c>
      <c r="U57" s="65">
        <f t="shared" si="1"/>
        <v>200.64461538461541</v>
      </c>
    </row>
    <row r="58" spans="1:21" x14ac:dyDescent="0.25">
      <c r="A58" s="61" t="s">
        <v>85</v>
      </c>
      <c r="J58" s="62"/>
      <c r="K58" s="63">
        <v>10248.709999999999</v>
      </c>
      <c r="L58" s="64">
        <f>IFERROR(K58/K327, "NA")</f>
        <v>1.1236073436291525E-2</v>
      </c>
      <c r="M58" s="62"/>
      <c r="N58" s="63">
        <v>15031.22</v>
      </c>
      <c r="O58" s="64">
        <f>IFERROR(N58/N327, "NA")</f>
        <v>1.0430090936072077E-2</v>
      </c>
      <c r="P58" s="62"/>
      <c r="Q58" s="63">
        <v>11160.62</v>
      </c>
      <c r="R58" s="64">
        <f>IFERROR(Q58/Q327, "NA")</f>
        <v>1.0107652931138475E-2</v>
      </c>
      <c r="T58" s="65">
        <f t="shared" si="0"/>
        <v>36440.550000000003</v>
      </c>
      <c r="U58" s="65">
        <f t="shared" si="1"/>
        <v>700.77980769230771</v>
      </c>
    </row>
    <row r="59" spans="1:21" x14ac:dyDescent="0.25">
      <c r="A59" s="61" t="s">
        <v>86</v>
      </c>
      <c r="J59" s="62"/>
      <c r="K59" s="63">
        <v>840.16</v>
      </c>
      <c r="L59" s="64">
        <f>IFERROR(K59/K327, "NA")</f>
        <v>9.2110123695905992E-4</v>
      </c>
      <c r="M59" s="62"/>
      <c r="N59" s="63">
        <v>1193.6400000000001</v>
      </c>
      <c r="O59" s="64">
        <f>IFERROR(N59/N327, "NA")</f>
        <v>8.2826102904042887E-4</v>
      </c>
      <c r="P59" s="62"/>
      <c r="Q59" s="63">
        <v>925.38</v>
      </c>
      <c r="R59" s="64">
        <f>IFERROR(Q59/Q327, "NA")</f>
        <v>8.3807350034468717E-4</v>
      </c>
      <c r="T59" s="65">
        <f t="shared" si="0"/>
        <v>2959.1800000000003</v>
      </c>
      <c r="U59" s="65">
        <f t="shared" si="1"/>
        <v>56.907307692307697</v>
      </c>
    </row>
    <row r="60" spans="1:21" x14ac:dyDescent="0.25">
      <c r="A60" s="61" t="s">
        <v>87</v>
      </c>
      <c r="J60" s="62"/>
      <c r="K60" s="63">
        <v>19139.29</v>
      </c>
      <c r="L60" s="64">
        <f>IFERROR(K60/K327, "NA")</f>
        <v>2.0983174268613323E-2</v>
      </c>
      <c r="M60" s="62"/>
      <c r="N60" s="63">
        <v>23556.63</v>
      </c>
      <c r="O60" s="64">
        <f>IFERROR(N60/N327, "NA")</f>
        <v>1.6345831745354242E-2</v>
      </c>
      <c r="P60" s="62"/>
      <c r="Q60" s="63">
        <v>22822.31</v>
      </c>
      <c r="R60" s="64">
        <f>IFERROR(Q60/Q327, "NA")</f>
        <v>2.0669101588160061E-2</v>
      </c>
      <c r="T60" s="65">
        <f t="shared" si="0"/>
        <v>65518.229999999996</v>
      </c>
      <c r="U60" s="65">
        <f t="shared" si="1"/>
        <v>1259.9659615384614</v>
      </c>
    </row>
    <row r="61" spans="1:21" x14ac:dyDescent="0.25">
      <c r="A61" s="61" t="s">
        <v>88</v>
      </c>
      <c r="J61" s="62"/>
      <c r="K61" s="63">
        <v>7298.08</v>
      </c>
      <c r="L61" s="64">
        <f>IFERROR(K61/K327, "NA")</f>
        <v>8.0011789604672642E-3</v>
      </c>
      <c r="M61" s="62"/>
      <c r="N61" s="63">
        <v>8870.7800000000007</v>
      </c>
      <c r="O61" s="64">
        <f>IFERROR(N61/N327, "NA")</f>
        <v>6.1553913836594415E-3</v>
      </c>
      <c r="P61" s="62"/>
      <c r="Q61" s="63">
        <v>6838.47</v>
      </c>
      <c r="R61" s="64">
        <f>IFERROR(Q61/Q327, "NA")</f>
        <v>6.1932832889214518E-3</v>
      </c>
      <c r="T61" s="65">
        <f t="shared" si="0"/>
        <v>23007.33</v>
      </c>
      <c r="U61" s="65">
        <f t="shared" si="1"/>
        <v>442.44865384615389</v>
      </c>
    </row>
    <row r="62" spans="1:21" x14ac:dyDescent="0.25">
      <c r="A62" s="61" t="s">
        <v>89</v>
      </c>
      <c r="J62" s="62"/>
      <c r="K62" s="63">
        <v>1299.95</v>
      </c>
      <c r="L62" s="64">
        <f>IFERROR(K62/K327, "NA")</f>
        <v>1.4251875273578009E-3</v>
      </c>
      <c r="M62" s="62"/>
      <c r="N62" s="63">
        <v>999.33</v>
      </c>
      <c r="O62" s="64">
        <f>IFERROR(N62/N327, "NA")</f>
        <v>6.9343025883094711E-4</v>
      </c>
      <c r="P62" s="62"/>
      <c r="Q62" s="63">
        <v>2383.4899999999998</v>
      </c>
      <c r="R62" s="64">
        <f>IFERROR(Q62/Q327, "NA")</f>
        <v>2.1586157117471291E-3</v>
      </c>
      <c r="T62" s="65">
        <f t="shared" si="0"/>
        <v>4682.7700000000004</v>
      </c>
      <c r="U62" s="65">
        <f t="shared" si="1"/>
        <v>90.053269230769246</v>
      </c>
    </row>
    <row r="63" spans="1:21" x14ac:dyDescent="0.25">
      <c r="A63" s="61" t="s">
        <v>90</v>
      </c>
      <c r="J63" s="62"/>
      <c r="K63" s="63">
        <v>1840.5</v>
      </c>
      <c r="L63" s="64">
        <f>IFERROR(K63/K327, "NA")</f>
        <v>2.0178142575499308E-3</v>
      </c>
      <c r="M63" s="62"/>
      <c r="N63" s="63">
        <v>2476.1799999999998</v>
      </c>
      <c r="O63" s="64">
        <f>IFERROR(N63/N327, "NA")</f>
        <v>1.7182093385688557E-3</v>
      </c>
      <c r="P63" s="62"/>
      <c r="Q63" s="63">
        <v>1676.06</v>
      </c>
      <c r="R63" s="64">
        <f>IFERROR(Q63/Q327, "NA")</f>
        <v>1.517929359817282E-3</v>
      </c>
      <c r="T63" s="65">
        <f t="shared" si="0"/>
        <v>5992.74</v>
      </c>
      <c r="U63" s="65">
        <f t="shared" si="1"/>
        <v>115.24499999999999</v>
      </c>
    </row>
    <row r="64" spans="1:21" x14ac:dyDescent="0.25">
      <c r="A64" s="61" t="s">
        <v>91</v>
      </c>
      <c r="J64" s="62"/>
      <c r="K64" s="63">
        <v>0</v>
      </c>
      <c r="L64" s="64">
        <f>IFERROR(K64/K327, "NA")</f>
        <v>0</v>
      </c>
      <c r="M64" s="62"/>
      <c r="N64" s="63">
        <v>0</v>
      </c>
      <c r="O64" s="64">
        <f>IFERROR(N64/N327, "NA")</f>
        <v>0</v>
      </c>
      <c r="P64" s="62"/>
      <c r="Q64" s="63">
        <v>0</v>
      </c>
      <c r="R64" s="64">
        <f>IFERROR(Q64/Q327, "NA")</f>
        <v>0</v>
      </c>
      <c r="T64" s="65">
        <f t="shared" si="0"/>
        <v>0</v>
      </c>
      <c r="U64" s="65">
        <f t="shared" si="1"/>
        <v>0</v>
      </c>
    </row>
    <row r="65" spans="1:21" x14ac:dyDescent="0.25">
      <c r="A65" s="66" t="s">
        <v>92</v>
      </c>
      <c r="J65" s="58"/>
      <c r="K65" s="67">
        <f>IFERROR(K55+K56+K57+K58+K59+K60+K61+K62+K63+K64, "NA")</f>
        <v>52190.97</v>
      </c>
      <c r="L65" s="68">
        <f>IFERROR(K65/K327, "NA")</f>
        <v>5.7219061875229946E-2</v>
      </c>
      <c r="M65" s="58"/>
      <c r="N65" s="67">
        <f>IFERROR(N55+N56+N57+N58+N59+N60+N61+N62+N63+N64, "NA")</f>
        <v>65416.02</v>
      </c>
      <c r="O65" s="68">
        <f>IFERROR(N65/N327, "NA")</f>
        <v>4.539186022664226E-2</v>
      </c>
      <c r="P65" s="58"/>
      <c r="Q65" s="67">
        <f>IFERROR(Q55+Q56+Q57+Q58+Q59+Q60+Q61+Q62+Q63+Q64, "NA")</f>
        <v>57735.4</v>
      </c>
      <c r="R65" s="68">
        <f>IFERROR(Q65/Q327, "NA")</f>
        <v>5.2288258630833445E-2</v>
      </c>
      <c r="T65" s="65">
        <f t="shared" si="0"/>
        <v>175342.38999999998</v>
      </c>
      <c r="U65" s="65">
        <f t="shared" si="1"/>
        <v>3371.9690384615383</v>
      </c>
    </row>
    <row r="66" spans="1:21" x14ac:dyDescent="0.25">
      <c r="A66" s="69" t="s">
        <v>93</v>
      </c>
      <c r="J66" s="62"/>
      <c r="K66" s="63">
        <v>7626.2</v>
      </c>
      <c r="L66" s="64">
        <f>IFERROR(K66/K327, "NA")</f>
        <v>8.3609101281865161E-3</v>
      </c>
      <c r="M66" s="62"/>
      <c r="N66" s="63">
        <v>8085.89</v>
      </c>
      <c r="O66" s="64">
        <f>IFERROR(N66/N327, "NA")</f>
        <v>5.6107600047817707E-3</v>
      </c>
      <c r="P66" s="62"/>
      <c r="Q66" s="63">
        <v>7989.18</v>
      </c>
      <c r="R66" s="64">
        <f>IFERROR(Q66/Q327, "NA")</f>
        <v>7.2354276594304694E-3</v>
      </c>
      <c r="T66" s="65">
        <f t="shared" si="0"/>
        <v>23701.27</v>
      </c>
      <c r="U66" s="65">
        <f t="shared" si="1"/>
        <v>455.79365384615386</v>
      </c>
    </row>
    <row r="67" spans="1:21" x14ac:dyDescent="0.25">
      <c r="A67" s="60" t="s">
        <v>16</v>
      </c>
      <c r="J67" s="57"/>
      <c r="K67" s="58"/>
      <c r="L67" s="59"/>
      <c r="M67" s="57"/>
      <c r="N67" s="58"/>
      <c r="O67" s="59"/>
      <c r="P67" s="57"/>
      <c r="Q67" s="58"/>
      <c r="R67" s="59"/>
      <c r="T67" s="65">
        <f t="shared" si="0"/>
        <v>0</v>
      </c>
      <c r="U67" s="65">
        <f t="shared" si="1"/>
        <v>0</v>
      </c>
    </row>
    <row r="68" spans="1:21" x14ac:dyDescent="0.25">
      <c r="A68" s="61" t="s">
        <v>94</v>
      </c>
      <c r="J68" s="62"/>
      <c r="K68" s="63">
        <v>0</v>
      </c>
      <c r="L68" s="64">
        <f>IFERROR(K68/K327, "NA")</f>
        <v>0</v>
      </c>
      <c r="M68" s="62"/>
      <c r="N68" s="63">
        <v>0</v>
      </c>
      <c r="O68" s="64">
        <f>IFERROR(N68/N327, "NA")</f>
        <v>0</v>
      </c>
      <c r="P68" s="62"/>
      <c r="Q68" s="63">
        <v>0</v>
      </c>
      <c r="R68" s="64">
        <f>IFERROR(Q68/Q327, "NA")</f>
        <v>0</v>
      </c>
      <c r="T68" s="65">
        <f t="shared" si="0"/>
        <v>0</v>
      </c>
      <c r="U68" s="65">
        <f t="shared" si="1"/>
        <v>0</v>
      </c>
    </row>
    <row r="69" spans="1:21" x14ac:dyDescent="0.25">
      <c r="A69" s="61" t="s">
        <v>95</v>
      </c>
      <c r="J69" s="62"/>
      <c r="K69" s="63">
        <v>648.12</v>
      </c>
      <c r="L69" s="64">
        <f>IFERROR(K69/K327, "NA")</f>
        <v>7.1056005248750951E-4</v>
      </c>
      <c r="M69" s="62"/>
      <c r="N69" s="63">
        <v>941.44</v>
      </c>
      <c r="O69" s="64">
        <f>IFERROR(N69/N327, "NA")</f>
        <v>6.5326066752104605E-4</v>
      </c>
      <c r="P69" s="62"/>
      <c r="Q69" s="63">
        <v>707.82</v>
      </c>
      <c r="R69" s="64">
        <f>IFERROR(Q69/Q327, "NA")</f>
        <v>6.410395567377472E-4</v>
      </c>
      <c r="T69" s="65">
        <f t="shared" si="0"/>
        <v>2297.38</v>
      </c>
      <c r="U69" s="65">
        <f t="shared" si="1"/>
        <v>44.180384615384618</v>
      </c>
    </row>
    <row r="70" spans="1:21" x14ac:dyDescent="0.25">
      <c r="A70" s="61" t="s">
        <v>96</v>
      </c>
      <c r="J70" s="62"/>
      <c r="K70" s="63">
        <v>0</v>
      </c>
      <c r="L70" s="64">
        <f>IFERROR(K70/K327, "NA")</f>
        <v>0</v>
      </c>
      <c r="M70" s="62"/>
      <c r="N70" s="63">
        <v>0</v>
      </c>
      <c r="O70" s="64">
        <f>IFERROR(N70/N327, "NA")</f>
        <v>0</v>
      </c>
      <c r="P70" s="62"/>
      <c r="Q70" s="63">
        <v>0</v>
      </c>
      <c r="R70" s="64">
        <f>IFERROR(Q70/Q327, "NA")</f>
        <v>0</v>
      </c>
      <c r="T70" s="65">
        <f t="shared" si="0"/>
        <v>0</v>
      </c>
      <c r="U70" s="65">
        <f t="shared" si="1"/>
        <v>0</v>
      </c>
    </row>
    <row r="71" spans="1:21" x14ac:dyDescent="0.25">
      <c r="A71" s="61" t="s">
        <v>97</v>
      </c>
      <c r="J71" s="62"/>
      <c r="K71" s="63">
        <v>23652.02</v>
      </c>
      <c r="L71" s="64">
        <f>IFERROR(K71/K327, "NA")</f>
        <v>2.5930661872239129E-2</v>
      </c>
      <c r="M71" s="62"/>
      <c r="N71" s="63">
        <v>49068.54</v>
      </c>
      <c r="O71" s="64">
        <f>IFERROR(N71/N327, "NA")</f>
        <v>3.4048422835956771E-2</v>
      </c>
      <c r="P71" s="62"/>
      <c r="Q71" s="63">
        <v>23501.09</v>
      </c>
      <c r="R71" s="64">
        <f>IFERROR(Q71/Q327, "NA")</f>
        <v>2.1283840971509569E-2</v>
      </c>
      <c r="T71" s="65">
        <f t="shared" si="0"/>
        <v>96221.65</v>
      </c>
      <c r="U71" s="65">
        <f t="shared" si="1"/>
        <v>1850.416346153846</v>
      </c>
    </row>
    <row r="72" spans="1:21" x14ac:dyDescent="0.25">
      <c r="A72" s="61" t="s">
        <v>98</v>
      </c>
      <c r="J72" s="62"/>
      <c r="K72" s="63">
        <v>0</v>
      </c>
      <c r="L72" s="64">
        <f>IFERROR(K72/K327, "NA")</f>
        <v>0</v>
      </c>
      <c r="M72" s="62"/>
      <c r="N72" s="63">
        <v>0</v>
      </c>
      <c r="O72" s="64">
        <f>IFERROR(N72/N327, "NA")</f>
        <v>0</v>
      </c>
      <c r="P72" s="62"/>
      <c r="Q72" s="63">
        <v>90</v>
      </c>
      <c r="R72" s="64">
        <f>IFERROR(Q72/Q327, "NA")</f>
        <v>8.1508801823058463E-5</v>
      </c>
      <c r="T72" s="65">
        <f t="shared" si="0"/>
        <v>90</v>
      </c>
      <c r="U72" s="65">
        <f t="shared" si="1"/>
        <v>1.7307692307692308</v>
      </c>
    </row>
    <row r="73" spans="1:21" x14ac:dyDescent="0.25">
      <c r="A73" s="61" t="s">
        <v>99</v>
      </c>
      <c r="J73" s="62"/>
      <c r="K73" s="63">
        <v>48088.1</v>
      </c>
      <c r="L73" s="64">
        <f>IFERROR(K73/K327, "NA")</f>
        <v>5.2720920292576377E-2</v>
      </c>
      <c r="M73" s="62"/>
      <c r="N73" s="63">
        <v>83799.05</v>
      </c>
      <c r="O73" s="64">
        <f>IFERROR(N73/N327, "NA")</f>
        <v>5.814775592775908E-2</v>
      </c>
      <c r="P73" s="62"/>
      <c r="Q73" s="63">
        <v>56573.1</v>
      </c>
      <c r="R73" s="64">
        <f>IFERROR(Q73/Q327, "NA")</f>
        <v>5.1235617737956318E-2</v>
      </c>
      <c r="T73" s="65">
        <f t="shared" ref="T73:T136" si="2">IFERROR(B73+E73+H73+K73+N73+Q73, "NA")</f>
        <v>188460.25</v>
      </c>
      <c r="U73" s="65">
        <f t="shared" ref="U73:U136" si="3">(T73/$V$1)/4</f>
        <v>3624.2355769230771</v>
      </c>
    </row>
    <row r="74" spans="1:21" x14ac:dyDescent="0.25">
      <c r="A74" s="61" t="s">
        <v>100</v>
      </c>
      <c r="J74" s="62"/>
      <c r="K74" s="63">
        <v>0</v>
      </c>
      <c r="L74" s="64">
        <f>IFERROR(K74/K327, "NA")</f>
        <v>0</v>
      </c>
      <c r="M74" s="62"/>
      <c r="N74" s="63">
        <v>0</v>
      </c>
      <c r="O74" s="64">
        <f>IFERROR(N74/N327, "NA")</f>
        <v>0</v>
      </c>
      <c r="P74" s="62"/>
      <c r="Q74" s="63">
        <v>0</v>
      </c>
      <c r="R74" s="64">
        <f>IFERROR(Q74/Q327, "NA")</f>
        <v>0</v>
      </c>
      <c r="T74" s="65">
        <f t="shared" si="2"/>
        <v>0</v>
      </c>
      <c r="U74" s="65">
        <f t="shared" si="3"/>
        <v>0</v>
      </c>
    </row>
    <row r="75" spans="1:21" x14ac:dyDescent="0.25">
      <c r="A75" s="61" t="s">
        <v>101</v>
      </c>
      <c r="J75" s="62"/>
      <c r="K75" s="63">
        <v>4712.2</v>
      </c>
      <c r="L75" s="64">
        <f>IFERROR(K75/K327, "NA")</f>
        <v>5.1661745962655716E-3</v>
      </c>
      <c r="M75" s="62"/>
      <c r="N75" s="63">
        <v>5216.41</v>
      </c>
      <c r="O75" s="64">
        <f>IFERROR(N75/N327, "NA")</f>
        <v>3.6196416964049322E-3</v>
      </c>
      <c r="P75" s="62"/>
      <c r="Q75" s="63">
        <v>6625.24</v>
      </c>
      <c r="R75" s="64">
        <f>IFERROR(Q75/Q327, "NA")</f>
        <v>6.0001708243355538E-3</v>
      </c>
      <c r="T75" s="65">
        <f t="shared" si="2"/>
        <v>16553.849999999999</v>
      </c>
      <c r="U75" s="65">
        <f t="shared" si="3"/>
        <v>318.34326923076918</v>
      </c>
    </row>
    <row r="76" spans="1:21" x14ac:dyDescent="0.25">
      <c r="A76" s="66" t="s">
        <v>102</v>
      </c>
      <c r="J76" s="58"/>
      <c r="K76" s="67">
        <f>IFERROR(K68+K69+K70+K71+K72+K73+K74+K75, "NA")</f>
        <v>77100.439999999988</v>
      </c>
      <c r="L76" s="68">
        <f>IFERROR(K76/K327, "NA")</f>
        <v>8.452831681356858E-2</v>
      </c>
      <c r="M76" s="58"/>
      <c r="N76" s="67">
        <f>IFERROR(N68+N69+N70+N71+N72+N73+N74+N75, "NA")</f>
        <v>139025.44</v>
      </c>
      <c r="O76" s="68">
        <f>IFERROR(N76/N327, "NA")</f>
        <v>9.6469081127641826E-2</v>
      </c>
      <c r="P76" s="58"/>
      <c r="Q76" s="67">
        <f>IFERROR(Q68+Q69+Q70+Q71+Q72+Q73+Q74+Q75, "NA")</f>
        <v>87497.25</v>
      </c>
      <c r="R76" s="68">
        <f>IFERROR(Q76/Q327, "NA")</f>
        <v>7.9242177892362251E-2</v>
      </c>
      <c r="T76" s="65">
        <f t="shared" si="2"/>
        <v>303623.13</v>
      </c>
      <c r="U76" s="65">
        <f t="shared" si="3"/>
        <v>5838.9063461538462</v>
      </c>
    </row>
    <row r="77" spans="1:21" x14ac:dyDescent="0.25">
      <c r="A77" s="60" t="s">
        <v>103</v>
      </c>
      <c r="J77" s="57"/>
      <c r="K77" s="58"/>
      <c r="L77" s="59"/>
      <c r="M77" s="57"/>
      <c r="N77" s="58"/>
      <c r="O77" s="59"/>
      <c r="P77" s="57"/>
      <c r="Q77" s="58"/>
      <c r="R77" s="59"/>
      <c r="T77" s="65">
        <f t="shared" si="2"/>
        <v>0</v>
      </c>
      <c r="U77" s="65">
        <f t="shared" si="3"/>
        <v>0</v>
      </c>
    </row>
    <row r="78" spans="1:21" x14ac:dyDescent="0.25">
      <c r="A78" s="61" t="s">
        <v>104</v>
      </c>
      <c r="J78" s="62"/>
      <c r="K78" s="63">
        <v>0</v>
      </c>
      <c r="L78" s="64">
        <f>IFERROR(K78/K327, "NA")</f>
        <v>0</v>
      </c>
      <c r="M78" s="62"/>
      <c r="N78" s="63">
        <v>0</v>
      </c>
      <c r="O78" s="64">
        <f>IFERROR(N78/N327, "NA")</f>
        <v>0</v>
      </c>
      <c r="P78" s="62"/>
      <c r="Q78" s="63">
        <v>0</v>
      </c>
      <c r="R78" s="64">
        <f>IFERROR(Q78/Q327, "NA")</f>
        <v>0</v>
      </c>
      <c r="T78" s="65">
        <f t="shared" si="2"/>
        <v>0</v>
      </c>
      <c r="U78" s="65">
        <f t="shared" si="3"/>
        <v>0</v>
      </c>
    </row>
    <row r="79" spans="1:21" x14ac:dyDescent="0.25">
      <c r="A79" s="61" t="s">
        <v>105</v>
      </c>
      <c r="J79" s="62"/>
      <c r="K79" s="63">
        <v>0</v>
      </c>
      <c r="L79" s="64">
        <f>IFERROR(K79/K327, "NA")</f>
        <v>0</v>
      </c>
      <c r="M79" s="62"/>
      <c r="N79" s="63">
        <v>0</v>
      </c>
      <c r="O79" s="64">
        <f>IFERROR(N79/N327, "NA")</f>
        <v>0</v>
      </c>
      <c r="P79" s="62"/>
      <c r="Q79" s="63">
        <v>0</v>
      </c>
      <c r="R79" s="64">
        <f>IFERROR(Q79/Q327, "NA")</f>
        <v>0</v>
      </c>
      <c r="T79" s="65">
        <f t="shared" si="2"/>
        <v>0</v>
      </c>
      <c r="U79" s="65">
        <f t="shared" si="3"/>
        <v>0</v>
      </c>
    </row>
    <row r="80" spans="1:21" x14ac:dyDescent="0.25">
      <c r="A80" s="66" t="s">
        <v>106</v>
      </c>
      <c r="J80" s="58"/>
      <c r="K80" s="67">
        <f>IFERROR(K78+K79, "NA")</f>
        <v>0</v>
      </c>
      <c r="L80" s="68">
        <f>IFERROR(K80/K327, "NA")</f>
        <v>0</v>
      </c>
      <c r="M80" s="58"/>
      <c r="N80" s="67">
        <f>IFERROR(N78+N79, "NA")</f>
        <v>0</v>
      </c>
      <c r="O80" s="68">
        <f>IFERROR(N80/N327, "NA")</f>
        <v>0</v>
      </c>
      <c r="P80" s="58"/>
      <c r="Q80" s="67">
        <f>IFERROR(Q78+Q79, "NA")</f>
        <v>0</v>
      </c>
      <c r="R80" s="68">
        <f>IFERROR(Q80/Q327, "NA")</f>
        <v>0</v>
      </c>
      <c r="T80" s="65">
        <f t="shared" si="2"/>
        <v>0</v>
      </c>
      <c r="U80" s="65">
        <f t="shared" si="3"/>
        <v>0</v>
      </c>
    </row>
    <row r="81" spans="1:21" x14ac:dyDescent="0.25">
      <c r="A81" s="60" t="s">
        <v>21</v>
      </c>
      <c r="J81" s="57"/>
      <c r="K81" s="58"/>
      <c r="L81" s="59"/>
      <c r="M81" s="57"/>
      <c r="N81" s="58"/>
      <c r="O81" s="59"/>
      <c r="P81" s="57"/>
      <c r="Q81" s="58"/>
      <c r="R81" s="59"/>
      <c r="T81" s="65">
        <f t="shared" si="2"/>
        <v>0</v>
      </c>
      <c r="U81" s="65">
        <f t="shared" si="3"/>
        <v>0</v>
      </c>
    </row>
    <row r="82" spans="1:21" x14ac:dyDescent="0.25">
      <c r="A82" s="61" t="s">
        <v>107</v>
      </c>
      <c r="J82" s="62"/>
      <c r="K82" s="63">
        <v>0</v>
      </c>
      <c r="L82" s="64">
        <f>IFERROR(K82/K327, "NA")</f>
        <v>0</v>
      </c>
      <c r="M82" s="62"/>
      <c r="N82" s="63">
        <v>0</v>
      </c>
      <c r="O82" s="64">
        <f>IFERROR(N82/N327, "NA")</f>
        <v>0</v>
      </c>
      <c r="P82" s="62"/>
      <c r="Q82" s="63">
        <v>0</v>
      </c>
      <c r="R82" s="64">
        <f>IFERROR(Q82/Q327, "NA")</f>
        <v>0</v>
      </c>
      <c r="T82" s="65">
        <f t="shared" si="2"/>
        <v>0</v>
      </c>
      <c r="U82" s="65">
        <f t="shared" si="3"/>
        <v>0</v>
      </c>
    </row>
    <row r="83" spans="1:21" x14ac:dyDescent="0.25">
      <c r="A83" s="71" t="s">
        <v>108</v>
      </c>
      <c r="J83" s="57"/>
      <c r="K83" s="58"/>
      <c r="L83" s="59"/>
      <c r="M83" s="57"/>
      <c r="N83" s="58"/>
      <c r="O83" s="59"/>
      <c r="P83" s="57"/>
      <c r="Q83" s="58"/>
      <c r="R83" s="59"/>
      <c r="T83" s="65">
        <f t="shared" si="2"/>
        <v>0</v>
      </c>
      <c r="U83" s="65">
        <f t="shared" si="3"/>
        <v>0</v>
      </c>
    </row>
    <row r="84" spans="1:21" x14ac:dyDescent="0.25">
      <c r="A84" s="72" t="s">
        <v>109</v>
      </c>
      <c r="J84" s="62"/>
      <c r="K84" s="63">
        <v>0</v>
      </c>
      <c r="L84" s="64">
        <f>IFERROR(K84/K327, "NA")</f>
        <v>0</v>
      </c>
      <c r="M84" s="62"/>
      <c r="N84" s="63">
        <v>0</v>
      </c>
      <c r="O84" s="64">
        <f>IFERROR(N84/N327, "NA")</f>
        <v>0</v>
      </c>
      <c r="P84" s="62"/>
      <c r="Q84" s="63">
        <v>0</v>
      </c>
      <c r="R84" s="64">
        <f>IFERROR(Q84/Q327, "NA")</f>
        <v>0</v>
      </c>
      <c r="T84" s="65">
        <f t="shared" si="2"/>
        <v>0</v>
      </c>
      <c r="U84" s="65">
        <f t="shared" si="3"/>
        <v>0</v>
      </c>
    </row>
    <row r="85" spans="1:21" x14ac:dyDescent="0.25">
      <c r="A85" s="72" t="s">
        <v>110</v>
      </c>
      <c r="J85" s="62"/>
      <c r="K85" s="63">
        <v>0</v>
      </c>
      <c r="L85" s="64">
        <f>IFERROR(K85/K327, "NA")</f>
        <v>0</v>
      </c>
      <c r="M85" s="62"/>
      <c r="N85" s="63">
        <v>0</v>
      </c>
      <c r="O85" s="64">
        <f>IFERROR(N85/N327, "NA")</f>
        <v>0</v>
      </c>
      <c r="P85" s="62"/>
      <c r="Q85" s="63">
        <v>0</v>
      </c>
      <c r="R85" s="64">
        <f>IFERROR(Q85/Q327, "NA")</f>
        <v>0</v>
      </c>
      <c r="T85" s="65">
        <f t="shared" si="2"/>
        <v>0</v>
      </c>
      <c r="U85" s="65">
        <f t="shared" si="3"/>
        <v>0</v>
      </c>
    </row>
    <row r="86" spans="1:21" x14ac:dyDescent="0.25">
      <c r="A86" s="72" t="s">
        <v>111</v>
      </c>
      <c r="J86" s="62"/>
      <c r="K86" s="63">
        <v>0</v>
      </c>
      <c r="L86" s="64">
        <f>IFERROR(K86/K327, "NA")</f>
        <v>0</v>
      </c>
      <c r="M86" s="62"/>
      <c r="N86" s="63">
        <v>0</v>
      </c>
      <c r="O86" s="64">
        <f>IFERROR(N86/N327, "NA")</f>
        <v>0</v>
      </c>
      <c r="P86" s="62"/>
      <c r="Q86" s="63">
        <v>0</v>
      </c>
      <c r="R86" s="64">
        <f>IFERROR(Q86/Q327, "NA")</f>
        <v>0</v>
      </c>
      <c r="T86" s="65">
        <f t="shared" si="2"/>
        <v>0</v>
      </c>
      <c r="U86" s="65">
        <f t="shared" si="3"/>
        <v>0</v>
      </c>
    </row>
    <row r="87" spans="1:21" x14ac:dyDescent="0.25">
      <c r="A87" s="72" t="s">
        <v>112</v>
      </c>
      <c r="J87" s="62"/>
      <c r="K87" s="63">
        <v>0</v>
      </c>
      <c r="L87" s="64">
        <f>IFERROR(K87/K327, "NA")</f>
        <v>0</v>
      </c>
      <c r="M87" s="62"/>
      <c r="N87" s="63">
        <v>0</v>
      </c>
      <c r="O87" s="64">
        <f>IFERROR(N87/N327, "NA")</f>
        <v>0</v>
      </c>
      <c r="P87" s="62"/>
      <c r="Q87" s="63">
        <v>0</v>
      </c>
      <c r="R87" s="64">
        <f>IFERROR(Q87/Q327, "NA")</f>
        <v>0</v>
      </c>
      <c r="T87" s="65">
        <f t="shared" si="2"/>
        <v>0</v>
      </c>
      <c r="U87" s="65">
        <f t="shared" si="3"/>
        <v>0</v>
      </c>
    </row>
    <row r="88" spans="1:21" x14ac:dyDescent="0.25">
      <c r="A88" s="72" t="s">
        <v>113</v>
      </c>
      <c r="J88" s="62"/>
      <c r="K88" s="63">
        <v>0</v>
      </c>
      <c r="L88" s="64">
        <f>IFERROR(K88/K327, "NA")</f>
        <v>0</v>
      </c>
      <c r="M88" s="62"/>
      <c r="N88" s="63">
        <v>0</v>
      </c>
      <c r="O88" s="64">
        <f>IFERROR(N88/N327, "NA")</f>
        <v>0</v>
      </c>
      <c r="P88" s="62"/>
      <c r="Q88" s="63">
        <v>0</v>
      </c>
      <c r="R88" s="64">
        <f>IFERROR(Q88/Q327, "NA")</f>
        <v>0</v>
      </c>
      <c r="T88" s="65">
        <f t="shared" si="2"/>
        <v>0</v>
      </c>
      <c r="U88" s="65">
        <f t="shared" si="3"/>
        <v>0</v>
      </c>
    </row>
    <row r="89" spans="1:21" x14ac:dyDescent="0.25">
      <c r="A89" s="72" t="s">
        <v>114</v>
      </c>
      <c r="J89" s="62"/>
      <c r="K89" s="63">
        <v>0</v>
      </c>
      <c r="L89" s="64">
        <f>IFERROR(K89/K327, "NA")</f>
        <v>0</v>
      </c>
      <c r="M89" s="62"/>
      <c r="N89" s="63">
        <v>0</v>
      </c>
      <c r="O89" s="64">
        <f>IFERROR(N89/N327, "NA")</f>
        <v>0</v>
      </c>
      <c r="P89" s="62"/>
      <c r="Q89" s="63">
        <v>0</v>
      </c>
      <c r="R89" s="64">
        <f>IFERROR(Q89/Q327, "NA")</f>
        <v>0</v>
      </c>
      <c r="T89" s="65">
        <f t="shared" si="2"/>
        <v>0</v>
      </c>
      <c r="U89" s="65">
        <f t="shared" si="3"/>
        <v>0</v>
      </c>
    </row>
    <row r="90" spans="1:21" x14ac:dyDescent="0.25">
      <c r="A90" s="72" t="s">
        <v>115</v>
      </c>
      <c r="J90" s="62"/>
      <c r="K90" s="63">
        <v>0</v>
      </c>
      <c r="L90" s="64">
        <f>IFERROR(K90/K327, "NA")</f>
        <v>0</v>
      </c>
      <c r="M90" s="62"/>
      <c r="N90" s="63">
        <v>0</v>
      </c>
      <c r="O90" s="64">
        <f>IFERROR(N90/N327, "NA")</f>
        <v>0</v>
      </c>
      <c r="P90" s="62"/>
      <c r="Q90" s="63">
        <v>0</v>
      </c>
      <c r="R90" s="64">
        <f>IFERROR(Q90/Q327, "NA")</f>
        <v>0</v>
      </c>
      <c r="T90" s="65">
        <f t="shared" si="2"/>
        <v>0</v>
      </c>
      <c r="U90" s="65">
        <f t="shared" si="3"/>
        <v>0</v>
      </c>
    </row>
    <row r="91" spans="1:21" x14ac:dyDescent="0.25">
      <c r="A91" s="72" t="s">
        <v>116</v>
      </c>
      <c r="J91" s="62"/>
      <c r="K91" s="63">
        <v>0</v>
      </c>
      <c r="L91" s="64">
        <f>IFERROR(K91/K327, "NA")</f>
        <v>0</v>
      </c>
      <c r="M91" s="62"/>
      <c r="N91" s="63">
        <v>0</v>
      </c>
      <c r="O91" s="64">
        <f>IFERROR(N91/N327, "NA")</f>
        <v>0</v>
      </c>
      <c r="P91" s="62"/>
      <c r="Q91" s="63">
        <v>0</v>
      </c>
      <c r="R91" s="64">
        <f>IFERROR(Q91/Q327, "NA")</f>
        <v>0</v>
      </c>
      <c r="T91" s="65">
        <f t="shared" si="2"/>
        <v>0</v>
      </c>
      <c r="U91" s="65">
        <f t="shared" si="3"/>
        <v>0</v>
      </c>
    </row>
    <row r="92" spans="1:21" x14ac:dyDescent="0.25">
      <c r="A92" s="72" t="s">
        <v>117</v>
      </c>
      <c r="J92" s="62"/>
      <c r="K92" s="63">
        <v>0</v>
      </c>
      <c r="L92" s="64">
        <f>IFERROR(K92/K327, "NA")</f>
        <v>0</v>
      </c>
      <c r="M92" s="62"/>
      <c r="N92" s="63">
        <v>0</v>
      </c>
      <c r="O92" s="64">
        <f>IFERROR(N92/N327, "NA")</f>
        <v>0</v>
      </c>
      <c r="P92" s="62"/>
      <c r="Q92" s="63">
        <v>0</v>
      </c>
      <c r="R92" s="64">
        <f>IFERROR(Q92/Q327, "NA")</f>
        <v>0</v>
      </c>
      <c r="T92" s="65">
        <f t="shared" si="2"/>
        <v>0</v>
      </c>
      <c r="U92" s="65">
        <f t="shared" si="3"/>
        <v>0</v>
      </c>
    </row>
    <row r="93" spans="1:21" x14ac:dyDescent="0.25">
      <c r="A93" s="72" t="s">
        <v>118</v>
      </c>
      <c r="J93" s="62"/>
      <c r="K93" s="63">
        <v>0</v>
      </c>
      <c r="L93" s="64">
        <f>IFERROR(K93/K327, "NA")</f>
        <v>0</v>
      </c>
      <c r="M93" s="62"/>
      <c r="N93" s="63">
        <v>0</v>
      </c>
      <c r="O93" s="64">
        <f>IFERROR(N93/N327, "NA")</f>
        <v>0</v>
      </c>
      <c r="P93" s="62"/>
      <c r="Q93" s="63">
        <v>0</v>
      </c>
      <c r="R93" s="64">
        <f>IFERROR(Q93/Q327, "NA")</f>
        <v>0</v>
      </c>
      <c r="T93" s="65">
        <f t="shared" si="2"/>
        <v>0</v>
      </c>
      <c r="U93" s="65">
        <f t="shared" si="3"/>
        <v>0</v>
      </c>
    </row>
    <row r="94" spans="1:21" x14ac:dyDescent="0.25">
      <c r="A94" s="72" t="s">
        <v>119</v>
      </c>
      <c r="J94" s="62"/>
      <c r="K94" s="63">
        <v>0</v>
      </c>
      <c r="L94" s="64">
        <f>IFERROR(K94/K327, "NA")</f>
        <v>0</v>
      </c>
      <c r="M94" s="62"/>
      <c r="N94" s="63">
        <v>0</v>
      </c>
      <c r="O94" s="64">
        <f>IFERROR(N94/N327, "NA")</f>
        <v>0</v>
      </c>
      <c r="P94" s="62"/>
      <c r="Q94" s="63">
        <v>0</v>
      </c>
      <c r="R94" s="64">
        <f>IFERROR(Q94/Q327, "NA")</f>
        <v>0</v>
      </c>
      <c r="T94" s="65">
        <f t="shared" si="2"/>
        <v>0</v>
      </c>
      <c r="U94" s="65">
        <f t="shared" si="3"/>
        <v>0</v>
      </c>
    </row>
    <row r="95" spans="1:21" x14ac:dyDescent="0.25">
      <c r="A95" s="72" t="s">
        <v>120</v>
      </c>
      <c r="J95" s="62"/>
      <c r="K95" s="63">
        <v>0</v>
      </c>
      <c r="L95" s="64">
        <f>IFERROR(K95/K327, "NA")</f>
        <v>0</v>
      </c>
      <c r="M95" s="62"/>
      <c r="N95" s="63">
        <v>0</v>
      </c>
      <c r="O95" s="64">
        <f>IFERROR(N95/N327, "NA")</f>
        <v>0</v>
      </c>
      <c r="P95" s="62"/>
      <c r="Q95" s="63">
        <v>0</v>
      </c>
      <c r="R95" s="64">
        <f>IFERROR(Q95/Q327, "NA")</f>
        <v>0</v>
      </c>
      <c r="T95" s="65">
        <f t="shared" si="2"/>
        <v>0</v>
      </c>
      <c r="U95" s="65">
        <f t="shared" si="3"/>
        <v>0</v>
      </c>
    </row>
    <row r="96" spans="1:21" x14ac:dyDescent="0.25">
      <c r="A96" s="72" t="s">
        <v>121</v>
      </c>
      <c r="J96" s="62"/>
      <c r="K96" s="63">
        <v>0</v>
      </c>
      <c r="L96" s="64">
        <f>IFERROR(K96/K327, "NA")</f>
        <v>0</v>
      </c>
      <c r="M96" s="62"/>
      <c r="N96" s="63">
        <v>0</v>
      </c>
      <c r="O96" s="64">
        <f>IFERROR(N96/N327, "NA")</f>
        <v>0</v>
      </c>
      <c r="P96" s="62"/>
      <c r="Q96" s="63">
        <v>0</v>
      </c>
      <c r="R96" s="64">
        <f>IFERROR(Q96/Q327, "NA")</f>
        <v>0</v>
      </c>
      <c r="T96" s="65">
        <f t="shared" si="2"/>
        <v>0</v>
      </c>
      <c r="U96" s="65">
        <f t="shared" si="3"/>
        <v>0</v>
      </c>
    </row>
    <row r="97" spans="1:21" x14ac:dyDescent="0.25">
      <c r="A97" s="72" t="s">
        <v>122</v>
      </c>
      <c r="J97" s="62"/>
      <c r="K97" s="63">
        <v>17323.34</v>
      </c>
      <c r="L97" s="64">
        <f>IFERROR(K97/K327, "NA")</f>
        <v>1.8992275164566703E-2</v>
      </c>
      <c r="M97" s="62"/>
      <c r="N97" s="63">
        <v>18020.2</v>
      </c>
      <c r="O97" s="64">
        <f>IFERROR(N97/N327, "NA")</f>
        <v>1.2504129717095889E-2</v>
      </c>
      <c r="P97" s="62"/>
      <c r="Q97" s="63">
        <v>17851.78</v>
      </c>
      <c r="R97" s="64">
        <f>IFERROR(Q97/Q327, "NA")</f>
        <v>1.616752442454265E-2</v>
      </c>
      <c r="T97" s="65">
        <f t="shared" si="2"/>
        <v>53195.32</v>
      </c>
      <c r="U97" s="65">
        <f t="shared" si="3"/>
        <v>1022.9869230769231</v>
      </c>
    </row>
    <row r="98" spans="1:21" x14ac:dyDescent="0.25">
      <c r="A98" s="72" t="s">
        <v>123</v>
      </c>
      <c r="J98" s="62"/>
      <c r="K98" s="63">
        <v>3674</v>
      </c>
      <c r="L98" s="64">
        <f>IFERROR(K98/K327, "NA")</f>
        <v>4.0279541332455563E-3</v>
      </c>
      <c r="M98" s="62"/>
      <c r="N98" s="63">
        <v>4942.72</v>
      </c>
      <c r="O98" s="64">
        <f>IFERROR(N98/N327, "NA")</f>
        <v>3.4297295277124665E-3</v>
      </c>
      <c r="P98" s="62"/>
      <c r="Q98" s="63">
        <v>4618</v>
      </c>
      <c r="R98" s="64">
        <f>IFERROR(Q98/Q327, "NA")</f>
        <v>4.1823071868764888E-3</v>
      </c>
      <c r="T98" s="65">
        <f t="shared" si="2"/>
        <v>13234.720000000001</v>
      </c>
      <c r="U98" s="65">
        <f t="shared" si="3"/>
        <v>254.51384615384617</v>
      </c>
    </row>
    <row r="99" spans="1:21" x14ac:dyDescent="0.25">
      <c r="A99" s="72" t="s">
        <v>124</v>
      </c>
      <c r="J99" s="62"/>
      <c r="K99" s="63">
        <v>0</v>
      </c>
      <c r="L99" s="64">
        <f>IFERROR(K99/K327, "NA")</f>
        <v>0</v>
      </c>
      <c r="M99" s="62"/>
      <c r="N99" s="63">
        <v>0</v>
      </c>
      <c r="O99" s="64">
        <f>IFERROR(N99/N327, "NA")</f>
        <v>0</v>
      </c>
      <c r="P99" s="62"/>
      <c r="Q99" s="63">
        <v>0</v>
      </c>
      <c r="R99" s="64">
        <f>IFERROR(Q99/Q327, "NA")</f>
        <v>0</v>
      </c>
      <c r="T99" s="65">
        <f t="shared" si="2"/>
        <v>0</v>
      </c>
      <c r="U99" s="65">
        <f t="shared" si="3"/>
        <v>0</v>
      </c>
    </row>
    <row r="100" spans="1:21" x14ac:dyDescent="0.25">
      <c r="A100" s="72" t="s">
        <v>125</v>
      </c>
      <c r="J100" s="62"/>
      <c r="K100" s="63">
        <v>0</v>
      </c>
      <c r="L100" s="64">
        <f>IFERROR(K100/K327, "NA")</f>
        <v>0</v>
      </c>
      <c r="M100" s="62"/>
      <c r="N100" s="63">
        <v>0</v>
      </c>
      <c r="O100" s="64">
        <f>IFERROR(N100/N327, "NA")</f>
        <v>0</v>
      </c>
      <c r="P100" s="62"/>
      <c r="Q100" s="63">
        <v>0</v>
      </c>
      <c r="R100" s="64">
        <f>IFERROR(Q100/Q327, "NA")</f>
        <v>0</v>
      </c>
      <c r="T100" s="65">
        <f t="shared" si="2"/>
        <v>0</v>
      </c>
      <c r="U100" s="65">
        <f t="shared" si="3"/>
        <v>0</v>
      </c>
    </row>
    <row r="101" spans="1:21" x14ac:dyDescent="0.25">
      <c r="A101" s="72" t="s">
        <v>126</v>
      </c>
      <c r="J101" s="62"/>
      <c r="K101" s="63">
        <v>0</v>
      </c>
      <c r="L101" s="64">
        <f>IFERROR(K101/K327, "NA")</f>
        <v>0</v>
      </c>
      <c r="M101" s="62"/>
      <c r="N101" s="63">
        <v>0</v>
      </c>
      <c r="O101" s="64">
        <f>IFERROR(N101/N327, "NA")</f>
        <v>0</v>
      </c>
      <c r="P101" s="62"/>
      <c r="Q101" s="63">
        <v>0</v>
      </c>
      <c r="R101" s="64">
        <f>IFERROR(Q101/Q327, "NA")</f>
        <v>0</v>
      </c>
      <c r="T101" s="65">
        <f t="shared" si="2"/>
        <v>0</v>
      </c>
      <c r="U101" s="65">
        <f t="shared" si="3"/>
        <v>0</v>
      </c>
    </row>
    <row r="102" spans="1:21" x14ac:dyDescent="0.25">
      <c r="A102" s="72" t="s">
        <v>127</v>
      </c>
      <c r="J102" s="62"/>
      <c r="K102" s="63">
        <v>0</v>
      </c>
      <c r="L102" s="64">
        <f>IFERROR(K102/K327, "NA")</f>
        <v>0</v>
      </c>
      <c r="M102" s="62"/>
      <c r="N102" s="63">
        <v>0</v>
      </c>
      <c r="O102" s="64">
        <f>IFERROR(N102/N327, "NA")</f>
        <v>0</v>
      </c>
      <c r="P102" s="62"/>
      <c r="Q102" s="63">
        <v>0</v>
      </c>
      <c r="R102" s="64">
        <f>IFERROR(Q102/Q327, "NA")</f>
        <v>0</v>
      </c>
      <c r="T102" s="65">
        <f t="shared" si="2"/>
        <v>0</v>
      </c>
      <c r="U102" s="65">
        <f t="shared" si="3"/>
        <v>0</v>
      </c>
    </row>
    <row r="103" spans="1:21" x14ac:dyDescent="0.25">
      <c r="A103" s="72" t="s">
        <v>128</v>
      </c>
      <c r="J103" s="62"/>
      <c r="K103" s="63">
        <v>0</v>
      </c>
      <c r="L103" s="64">
        <f>IFERROR(K103/K327, "NA")</f>
        <v>0</v>
      </c>
      <c r="M103" s="62"/>
      <c r="N103" s="63">
        <v>0</v>
      </c>
      <c r="O103" s="64">
        <f>IFERROR(N103/N327, "NA")</f>
        <v>0</v>
      </c>
      <c r="P103" s="62"/>
      <c r="Q103" s="63">
        <v>0</v>
      </c>
      <c r="R103" s="64">
        <f>IFERROR(Q103/Q327, "NA")</f>
        <v>0</v>
      </c>
      <c r="T103" s="65">
        <f t="shared" si="2"/>
        <v>0</v>
      </c>
      <c r="U103" s="65">
        <f t="shared" si="3"/>
        <v>0</v>
      </c>
    </row>
    <row r="104" spans="1:21" x14ac:dyDescent="0.25">
      <c r="A104" s="72" t="s">
        <v>129</v>
      </c>
      <c r="J104" s="62"/>
      <c r="K104" s="63">
        <v>0</v>
      </c>
      <c r="L104" s="64">
        <f>IFERROR(K104/K327, "NA")</f>
        <v>0</v>
      </c>
      <c r="M104" s="62"/>
      <c r="N104" s="63">
        <v>0</v>
      </c>
      <c r="O104" s="64">
        <f>IFERROR(N104/N327, "NA")</f>
        <v>0</v>
      </c>
      <c r="P104" s="62"/>
      <c r="Q104" s="63">
        <v>0</v>
      </c>
      <c r="R104" s="64">
        <f>IFERROR(Q104/Q327, "NA")</f>
        <v>0</v>
      </c>
      <c r="T104" s="65">
        <f t="shared" si="2"/>
        <v>0</v>
      </c>
      <c r="U104" s="65">
        <f t="shared" si="3"/>
        <v>0</v>
      </c>
    </row>
    <row r="105" spans="1:21" x14ac:dyDescent="0.25">
      <c r="A105" s="72" t="s">
        <v>130</v>
      </c>
      <c r="J105" s="62"/>
      <c r="K105" s="63">
        <v>0</v>
      </c>
      <c r="L105" s="64">
        <f>IFERROR(K105/K327, "NA")</f>
        <v>0</v>
      </c>
      <c r="M105" s="62"/>
      <c r="N105" s="63">
        <v>0</v>
      </c>
      <c r="O105" s="64">
        <f>IFERROR(N105/N327, "NA")</f>
        <v>0</v>
      </c>
      <c r="P105" s="62"/>
      <c r="Q105" s="63">
        <v>0</v>
      </c>
      <c r="R105" s="64">
        <f>IFERROR(Q105/Q327, "NA")</f>
        <v>0</v>
      </c>
      <c r="T105" s="65">
        <f t="shared" si="2"/>
        <v>0</v>
      </c>
      <c r="U105" s="65">
        <f t="shared" si="3"/>
        <v>0</v>
      </c>
    </row>
    <row r="106" spans="1:21" x14ac:dyDescent="0.25">
      <c r="A106" s="72" t="s">
        <v>131</v>
      </c>
      <c r="J106" s="62"/>
      <c r="K106" s="63">
        <v>0</v>
      </c>
      <c r="L106" s="64">
        <f>IFERROR(K106/K327, "NA")</f>
        <v>0</v>
      </c>
      <c r="M106" s="62"/>
      <c r="N106" s="63">
        <v>0</v>
      </c>
      <c r="O106" s="64">
        <f>IFERROR(N106/N327, "NA")</f>
        <v>0</v>
      </c>
      <c r="P106" s="62"/>
      <c r="Q106" s="63">
        <v>0</v>
      </c>
      <c r="R106" s="64">
        <f>IFERROR(Q106/Q327, "NA")</f>
        <v>0</v>
      </c>
      <c r="T106" s="65">
        <f t="shared" si="2"/>
        <v>0</v>
      </c>
      <c r="U106" s="65">
        <f t="shared" si="3"/>
        <v>0</v>
      </c>
    </row>
    <row r="107" spans="1:21" x14ac:dyDescent="0.25">
      <c r="A107" s="72" t="s">
        <v>132</v>
      </c>
      <c r="J107" s="62"/>
      <c r="K107" s="63">
        <v>0</v>
      </c>
      <c r="L107" s="64">
        <f>IFERROR(K107/K327, "NA")</f>
        <v>0</v>
      </c>
      <c r="M107" s="62"/>
      <c r="N107" s="63">
        <v>0</v>
      </c>
      <c r="O107" s="64">
        <f>IFERROR(N107/N327, "NA")</f>
        <v>0</v>
      </c>
      <c r="P107" s="62"/>
      <c r="Q107" s="63">
        <v>0</v>
      </c>
      <c r="R107" s="64">
        <f>IFERROR(Q107/Q327, "NA")</f>
        <v>0</v>
      </c>
      <c r="T107" s="65">
        <f t="shared" si="2"/>
        <v>0</v>
      </c>
      <c r="U107" s="65">
        <f t="shared" si="3"/>
        <v>0</v>
      </c>
    </row>
    <row r="108" spans="1:21" x14ac:dyDescent="0.25">
      <c r="A108" s="72" t="s">
        <v>133</v>
      </c>
      <c r="J108" s="62"/>
      <c r="K108" s="63">
        <v>0</v>
      </c>
      <c r="L108" s="64">
        <f>IFERROR(K108/K327, "NA")</f>
        <v>0</v>
      </c>
      <c r="M108" s="62"/>
      <c r="N108" s="63">
        <v>0</v>
      </c>
      <c r="O108" s="64">
        <f>IFERROR(N108/N327, "NA")</f>
        <v>0</v>
      </c>
      <c r="P108" s="62"/>
      <c r="Q108" s="63">
        <v>0</v>
      </c>
      <c r="R108" s="64">
        <f>IFERROR(Q108/Q327, "NA")</f>
        <v>0</v>
      </c>
      <c r="T108" s="65">
        <f t="shared" si="2"/>
        <v>0</v>
      </c>
      <c r="U108" s="65">
        <f t="shared" si="3"/>
        <v>0</v>
      </c>
    </row>
    <row r="109" spans="1:21" x14ac:dyDescent="0.25">
      <c r="A109" s="72" t="s">
        <v>134</v>
      </c>
      <c r="J109" s="62"/>
      <c r="K109" s="63">
        <v>0</v>
      </c>
      <c r="L109" s="64">
        <f>IFERROR(K109/K327, "NA")</f>
        <v>0</v>
      </c>
      <c r="M109" s="62"/>
      <c r="N109" s="63">
        <v>0</v>
      </c>
      <c r="O109" s="64">
        <f>IFERROR(N109/N327, "NA")</f>
        <v>0</v>
      </c>
      <c r="P109" s="62"/>
      <c r="Q109" s="63">
        <v>0</v>
      </c>
      <c r="R109" s="64">
        <f>IFERROR(Q109/Q327, "NA")</f>
        <v>0</v>
      </c>
      <c r="T109" s="65">
        <f t="shared" si="2"/>
        <v>0</v>
      </c>
      <c r="U109" s="65">
        <f t="shared" si="3"/>
        <v>0</v>
      </c>
    </row>
    <row r="110" spans="1:21" x14ac:dyDescent="0.25">
      <c r="A110" s="72" t="s">
        <v>135</v>
      </c>
      <c r="J110" s="62"/>
      <c r="K110" s="63">
        <v>4081.2</v>
      </c>
      <c r="L110" s="64">
        <f>IFERROR(K110/K327, "NA")</f>
        <v>4.4743838891131635E-3</v>
      </c>
      <c r="M110" s="62"/>
      <c r="N110" s="63">
        <v>4148.1000000000004</v>
      </c>
      <c r="O110" s="64">
        <f>IFERROR(N110/N327, "NA")</f>
        <v>2.8783465488443779E-3</v>
      </c>
      <c r="P110" s="62"/>
      <c r="Q110" s="63">
        <v>4713.57</v>
      </c>
      <c r="R110" s="64">
        <f>IFERROR(Q110/Q327, "NA")</f>
        <v>4.2688604778790412E-3</v>
      </c>
      <c r="T110" s="65">
        <f t="shared" si="2"/>
        <v>12942.869999999999</v>
      </c>
      <c r="U110" s="65">
        <f t="shared" si="3"/>
        <v>248.90134615384613</v>
      </c>
    </row>
    <row r="111" spans="1:21" x14ac:dyDescent="0.25">
      <c r="A111" s="72" t="s">
        <v>136</v>
      </c>
      <c r="J111" s="62"/>
      <c r="K111" s="63">
        <v>0</v>
      </c>
      <c r="L111" s="64">
        <f>IFERROR(K111/K327, "NA")</f>
        <v>0</v>
      </c>
      <c r="M111" s="62"/>
      <c r="N111" s="63">
        <v>0</v>
      </c>
      <c r="O111" s="64">
        <f>IFERROR(N111/N327, "NA")</f>
        <v>0</v>
      </c>
      <c r="P111" s="62"/>
      <c r="Q111" s="63">
        <v>0</v>
      </c>
      <c r="R111" s="64">
        <f>IFERROR(Q111/Q327, "NA")</f>
        <v>0</v>
      </c>
      <c r="T111" s="65">
        <f t="shared" si="2"/>
        <v>0</v>
      </c>
      <c r="U111" s="65">
        <f t="shared" si="3"/>
        <v>0</v>
      </c>
    </row>
    <row r="112" spans="1:21" x14ac:dyDescent="0.25">
      <c r="A112" s="72" t="s">
        <v>137</v>
      </c>
      <c r="J112" s="62"/>
      <c r="K112" s="63">
        <v>4263.26</v>
      </c>
      <c r="L112" s="64">
        <f>IFERROR(K112/K327, "NA")</f>
        <v>4.6739835977410047E-3</v>
      </c>
      <c r="M112" s="62"/>
      <c r="N112" s="63">
        <v>4473.38</v>
      </c>
      <c r="O112" s="64">
        <f>IFERROR(N112/N327, "NA")</f>
        <v>3.104056769284603E-3</v>
      </c>
      <c r="P112" s="62"/>
      <c r="Q112" s="63">
        <v>3441.52</v>
      </c>
      <c r="R112" s="64">
        <f>IFERROR(Q112/Q327, "NA")</f>
        <v>3.1168241294454685E-3</v>
      </c>
      <c r="T112" s="65">
        <f t="shared" si="2"/>
        <v>12178.16</v>
      </c>
      <c r="U112" s="65">
        <f t="shared" si="3"/>
        <v>234.19538461538463</v>
      </c>
    </row>
    <row r="113" spans="1:21" x14ac:dyDescent="0.25">
      <c r="A113" s="72" t="s">
        <v>138</v>
      </c>
      <c r="J113" s="62"/>
      <c r="K113" s="63">
        <v>0</v>
      </c>
      <c r="L113" s="64">
        <f>IFERROR(K113/K327, "NA")</f>
        <v>0</v>
      </c>
      <c r="M113" s="62"/>
      <c r="N113" s="63">
        <v>0</v>
      </c>
      <c r="O113" s="64">
        <f>IFERROR(N113/N327, "NA")</f>
        <v>0</v>
      </c>
      <c r="P113" s="62"/>
      <c r="Q113" s="63">
        <v>0</v>
      </c>
      <c r="R113" s="64">
        <f>IFERROR(Q113/Q327, "NA")</f>
        <v>0</v>
      </c>
      <c r="T113" s="65">
        <f t="shared" si="2"/>
        <v>0</v>
      </c>
      <c r="U113" s="65">
        <f t="shared" si="3"/>
        <v>0</v>
      </c>
    </row>
    <row r="114" spans="1:21" x14ac:dyDescent="0.25">
      <c r="A114" s="72" t="s">
        <v>139</v>
      </c>
      <c r="J114" s="62"/>
      <c r="K114" s="63">
        <v>915.45</v>
      </c>
      <c r="L114" s="64">
        <f>IFERROR(K114/K327, "NA")</f>
        <v>1.0036446955034417E-3</v>
      </c>
      <c r="M114" s="62"/>
      <c r="N114" s="63">
        <v>771.56</v>
      </c>
      <c r="O114" s="64">
        <f>IFERROR(N114/N327, "NA")</f>
        <v>5.3538175628031336E-4</v>
      </c>
      <c r="P114" s="62"/>
      <c r="Q114" s="63">
        <v>318.39999999999998</v>
      </c>
      <c r="R114" s="64">
        <f>IFERROR(Q114/Q327, "NA")</f>
        <v>2.8836002778290904E-4</v>
      </c>
      <c r="T114" s="65">
        <f t="shared" si="2"/>
        <v>2005.4099999999999</v>
      </c>
      <c r="U114" s="65">
        <f t="shared" si="3"/>
        <v>38.565576923076918</v>
      </c>
    </row>
    <row r="115" spans="1:21" x14ac:dyDescent="0.25">
      <c r="A115" s="72" t="s">
        <v>140</v>
      </c>
      <c r="J115" s="62"/>
      <c r="K115" s="63">
        <v>0</v>
      </c>
      <c r="L115" s="64">
        <f>IFERROR(K115/K327, "NA")</f>
        <v>0</v>
      </c>
      <c r="M115" s="62"/>
      <c r="N115" s="63">
        <v>0</v>
      </c>
      <c r="O115" s="64">
        <f>IFERROR(N115/N327, "NA")</f>
        <v>0</v>
      </c>
      <c r="P115" s="62"/>
      <c r="Q115" s="63">
        <v>0</v>
      </c>
      <c r="R115" s="64">
        <f>IFERROR(Q115/Q327, "NA")</f>
        <v>0</v>
      </c>
      <c r="T115" s="65">
        <f t="shared" si="2"/>
        <v>0</v>
      </c>
      <c r="U115" s="65">
        <f t="shared" si="3"/>
        <v>0</v>
      </c>
    </row>
    <row r="116" spans="1:21" x14ac:dyDescent="0.25">
      <c r="A116" s="72" t="s">
        <v>141</v>
      </c>
      <c r="J116" s="62"/>
      <c r="K116" s="63">
        <v>0</v>
      </c>
      <c r="L116" s="64">
        <f>IFERROR(K116/K327, "NA")</f>
        <v>0</v>
      </c>
      <c r="M116" s="62"/>
      <c r="N116" s="63">
        <v>0</v>
      </c>
      <c r="O116" s="64">
        <f>IFERROR(N116/N327, "NA")</f>
        <v>0</v>
      </c>
      <c r="P116" s="62"/>
      <c r="Q116" s="63">
        <v>0</v>
      </c>
      <c r="R116" s="64">
        <f>IFERROR(Q116/Q327, "NA")</f>
        <v>0</v>
      </c>
      <c r="T116" s="65">
        <f t="shared" si="2"/>
        <v>0</v>
      </c>
      <c r="U116" s="65">
        <f t="shared" si="3"/>
        <v>0</v>
      </c>
    </row>
    <row r="117" spans="1:21" x14ac:dyDescent="0.25">
      <c r="A117" s="72" t="s">
        <v>142</v>
      </c>
      <c r="J117" s="62"/>
      <c r="K117" s="63">
        <v>0</v>
      </c>
      <c r="L117" s="64">
        <f>IFERROR(K117/K327, "NA")</f>
        <v>0</v>
      </c>
      <c r="M117" s="62"/>
      <c r="N117" s="63">
        <v>0</v>
      </c>
      <c r="O117" s="64">
        <f>IFERROR(N117/N327, "NA")</f>
        <v>0</v>
      </c>
      <c r="P117" s="62"/>
      <c r="Q117" s="63">
        <v>0</v>
      </c>
      <c r="R117" s="64">
        <f>IFERROR(Q117/Q327, "NA")</f>
        <v>0</v>
      </c>
      <c r="T117" s="65">
        <f t="shared" si="2"/>
        <v>0</v>
      </c>
      <c r="U117" s="65">
        <f t="shared" si="3"/>
        <v>0</v>
      </c>
    </row>
    <row r="118" spans="1:21" x14ac:dyDescent="0.25">
      <c r="A118" s="72" t="s">
        <v>143</v>
      </c>
      <c r="J118" s="62"/>
      <c r="K118" s="63">
        <v>4992.17</v>
      </c>
      <c r="L118" s="64">
        <f>IFERROR(K118/K327, "NA")</f>
        <v>5.4731169802298496E-3</v>
      </c>
      <c r="M118" s="62"/>
      <c r="N118" s="63">
        <v>2647.28</v>
      </c>
      <c r="O118" s="64">
        <f>IFERROR(N118/N327, "NA")</f>
        <v>1.836934801915273E-3</v>
      </c>
      <c r="P118" s="62"/>
      <c r="Q118" s="63">
        <v>6189.75</v>
      </c>
      <c r="R118" s="64">
        <f>IFERROR(Q118/Q327, "NA")</f>
        <v>5.6057678453808463E-3</v>
      </c>
      <c r="T118" s="65">
        <f t="shared" si="2"/>
        <v>13829.2</v>
      </c>
      <c r="U118" s="65">
        <f t="shared" si="3"/>
        <v>265.94615384615383</v>
      </c>
    </row>
    <row r="119" spans="1:21" x14ac:dyDescent="0.25">
      <c r="A119" s="73" t="s">
        <v>144</v>
      </c>
      <c r="J119" s="58"/>
      <c r="K119" s="67">
        <f>IFERROR(K84+K85+K86+K87+K88+K89+K90+K91+K92+K93+K94+K95+K96+K97+K98+K99+K100+K101+K102+K103+K104+K105+K106+K107+K108+K109+K110+K111+K112+K113+K114+K115+K116+K117+K118, "NA")</f>
        <v>35249.420000000006</v>
      </c>
      <c r="L119" s="68">
        <f>IFERROR(K119/K327, "NA")</f>
        <v>3.8645358460399723E-2</v>
      </c>
      <c r="M119" s="58"/>
      <c r="N119" s="67">
        <f>IFERROR(N84+N85+N86+N87+N88+N89+N90+N91+N92+N93+N94+N95+N96+N97+N98+N99+N100+N101+N102+N103+N104+N105+N106+N107+N108+N109+N110+N111+N112+N113+N114+N115+N116+N117+N118, "NA")</f>
        <v>35003.240000000005</v>
      </c>
      <c r="O119" s="68">
        <f>IFERROR(N119/N327, "NA")</f>
        <v>2.4288579121132924E-2</v>
      </c>
      <c r="P119" s="58"/>
      <c r="Q119" s="67">
        <f>IFERROR(Q84+Q85+Q86+Q87+Q88+Q89+Q90+Q91+Q92+Q93+Q94+Q95+Q96+Q97+Q98+Q99+Q100+Q101+Q102+Q103+Q104+Q105+Q106+Q107+Q108+Q109+Q110+Q111+Q112+Q113+Q114+Q115+Q116+Q117+Q118, "NA")</f>
        <v>37133.020000000004</v>
      </c>
      <c r="R119" s="68">
        <f>IFERROR(Q119/Q327, "NA")</f>
        <v>3.3629644091907412E-2</v>
      </c>
      <c r="T119" s="65">
        <f t="shared" si="2"/>
        <v>107385.68000000001</v>
      </c>
      <c r="U119" s="65">
        <f t="shared" si="3"/>
        <v>2065.1092307692311</v>
      </c>
    </row>
    <row r="120" spans="1:21" x14ac:dyDescent="0.25">
      <c r="A120" s="66" t="s">
        <v>26</v>
      </c>
      <c r="J120" s="58"/>
      <c r="K120" s="67">
        <f>IFERROR(K82+K84+K85+K86+K87+K88+K89+K90+K91+K92+K93+K94+K95+K96+K97+K98+K99+K100+K101+K102+K103+K104+K105+K106+K107+K108+K109+K110+K111+K112+K113+K114+K115+K116+K117+K118, "NA")</f>
        <v>35249.420000000006</v>
      </c>
      <c r="L120" s="68">
        <f>IFERROR(K120/K327, "NA")</f>
        <v>3.8645358460399723E-2</v>
      </c>
      <c r="M120" s="58"/>
      <c r="N120" s="67">
        <f>IFERROR(N82+N84+N85+N86+N87+N88+N89+N90+N91+N92+N93+N94+N95+N96+N97+N98+N99+N100+N101+N102+N103+N104+N105+N106+N107+N108+N109+N110+N111+N112+N113+N114+N115+N116+N117+N118, "NA")</f>
        <v>35003.240000000005</v>
      </c>
      <c r="O120" s="68">
        <f>IFERROR(N120/N327, "NA")</f>
        <v>2.4288579121132924E-2</v>
      </c>
      <c r="P120" s="58"/>
      <c r="Q120" s="67">
        <f>IFERROR(Q82+Q84+Q85+Q86+Q87+Q88+Q89+Q90+Q91+Q92+Q93+Q94+Q95+Q96+Q97+Q98+Q99+Q100+Q101+Q102+Q103+Q104+Q105+Q106+Q107+Q108+Q109+Q110+Q111+Q112+Q113+Q114+Q115+Q116+Q117+Q118, "NA")</f>
        <v>37133.020000000004</v>
      </c>
      <c r="R120" s="68">
        <f>IFERROR(Q120/Q327, "NA")</f>
        <v>3.3629644091907412E-2</v>
      </c>
      <c r="T120" s="65">
        <f t="shared" si="2"/>
        <v>107385.68000000001</v>
      </c>
      <c r="U120" s="65">
        <f t="shared" si="3"/>
        <v>2065.1092307692311</v>
      </c>
    </row>
    <row r="121" spans="1:21" x14ac:dyDescent="0.25">
      <c r="A121" s="60" t="s">
        <v>145</v>
      </c>
      <c r="J121" s="57"/>
      <c r="K121" s="58"/>
      <c r="L121" s="59"/>
      <c r="M121" s="57"/>
      <c r="N121" s="58"/>
      <c r="O121" s="59"/>
      <c r="P121" s="57"/>
      <c r="Q121" s="58"/>
      <c r="R121" s="59"/>
      <c r="T121" s="65">
        <f t="shared" si="2"/>
        <v>0</v>
      </c>
      <c r="U121" s="65">
        <f t="shared" si="3"/>
        <v>0</v>
      </c>
    </row>
    <row r="122" spans="1:21" x14ac:dyDescent="0.25">
      <c r="A122" s="61" t="s">
        <v>146</v>
      </c>
      <c r="J122" s="62"/>
      <c r="K122" s="63">
        <v>0</v>
      </c>
      <c r="L122" s="64">
        <f>IFERROR(K122/K327, "NA")</f>
        <v>0</v>
      </c>
      <c r="M122" s="62"/>
      <c r="N122" s="63">
        <v>0</v>
      </c>
      <c r="O122" s="64">
        <f>IFERROR(N122/N327, "NA")</f>
        <v>0</v>
      </c>
      <c r="P122" s="62"/>
      <c r="Q122" s="63">
        <v>0</v>
      </c>
      <c r="R122" s="64">
        <f>IFERROR(Q122/Q327, "NA")</f>
        <v>0</v>
      </c>
      <c r="T122" s="65">
        <f t="shared" si="2"/>
        <v>0</v>
      </c>
      <c r="U122" s="65">
        <f t="shared" si="3"/>
        <v>0</v>
      </c>
    </row>
    <row r="123" spans="1:21" x14ac:dyDescent="0.25">
      <c r="A123" s="61" t="s">
        <v>147</v>
      </c>
      <c r="J123" s="62"/>
      <c r="K123" s="63">
        <v>19653.88</v>
      </c>
      <c r="L123" s="64">
        <f>IFERROR(K123/K327, "NA")</f>
        <v>2.1547340005528628E-2</v>
      </c>
      <c r="M123" s="62"/>
      <c r="N123" s="63">
        <v>19653.88</v>
      </c>
      <c r="O123" s="64">
        <f>IFERROR(N123/N327, "NA")</f>
        <v>1.363773237612438E-2</v>
      </c>
      <c r="P123" s="62"/>
      <c r="Q123" s="63">
        <v>20125.03</v>
      </c>
      <c r="R123" s="64">
        <f>IFERROR(Q123/Q327, "NA")</f>
        <v>1.8226300910590069E-2</v>
      </c>
      <c r="T123" s="65">
        <f t="shared" si="2"/>
        <v>59432.79</v>
      </c>
      <c r="U123" s="65">
        <f t="shared" si="3"/>
        <v>1142.9382692307693</v>
      </c>
    </row>
    <row r="124" spans="1:21" x14ac:dyDescent="0.25">
      <c r="A124" s="61" t="s">
        <v>148</v>
      </c>
      <c r="J124" s="62"/>
      <c r="K124" s="63">
        <v>0</v>
      </c>
      <c r="L124" s="64">
        <f>IFERROR(K124/K327, "NA")</f>
        <v>0</v>
      </c>
      <c r="M124" s="62"/>
      <c r="N124" s="63">
        <v>0</v>
      </c>
      <c r="O124" s="64">
        <f>IFERROR(N124/N327, "NA")</f>
        <v>0</v>
      </c>
      <c r="P124" s="62"/>
      <c r="Q124" s="63">
        <v>4442.32</v>
      </c>
      <c r="R124" s="64">
        <f>IFERROR(Q124/Q327, "NA")</f>
        <v>4.0232020057178785E-3</v>
      </c>
      <c r="T124" s="65">
        <f t="shared" si="2"/>
        <v>4442.32</v>
      </c>
      <c r="U124" s="65">
        <f t="shared" si="3"/>
        <v>85.42923076923077</v>
      </c>
    </row>
    <row r="125" spans="1:21" ht="31.5" x14ac:dyDescent="0.25">
      <c r="A125" s="61" t="s">
        <v>149</v>
      </c>
      <c r="J125" s="62"/>
      <c r="K125" s="63">
        <v>0</v>
      </c>
      <c r="L125" s="64">
        <f>IFERROR(K125/K327, "NA")</f>
        <v>0</v>
      </c>
      <c r="M125" s="62"/>
      <c r="N125" s="63">
        <v>0</v>
      </c>
      <c r="O125" s="64">
        <f>IFERROR(N125/N327, "NA")</f>
        <v>0</v>
      </c>
      <c r="P125" s="62"/>
      <c r="Q125" s="63">
        <v>0</v>
      </c>
      <c r="R125" s="64">
        <f>IFERROR(Q125/Q327, "NA")</f>
        <v>0</v>
      </c>
      <c r="T125" s="65">
        <f t="shared" si="2"/>
        <v>0</v>
      </c>
      <c r="U125" s="65">
        <f t="shared" si="3"/>
        <v>0</v>
      </c>
    </row>
    <row r="126" spans="1:21" x14ac:dyDescent="0.25">
      <c r="A126" s="61" t="s">
        <v>150</v>
      </c>
      <c r="J126" s="62"/>
      <c r="K126" s="63">
        <v>0</v>
      </c>
      <c r="L126" s="64">
        <f>IFERROR(K126/K327, "NA")</f>
        <v>0</v>
      </c>
      <c r="M126" s="62"/>
      <c r="N126" s="63">
        <v>0</v>
      </c>
      <c r="O126" s="64">
        <f>IFERROR(N126/N327, "NA")</f>
        <v>0</v>
      </c>
      <c r="P126" s="62"/>
      <c r="Q126" s="63">
        <v>0</v>
      </c>
      <c r="R126" s="64">
        <f>IFERROR(Q126/Q327, "NA")</f>
        <v>0</v>
      </c>
      <c r="T126" s="65">
        <f t="shared" si="2"/>
        <v>0</v>
      </c>
      <c r="U126" s="65">
        <f t="shared" si="3"/>
        <v>0</v>
      </c>
    </row>
    <row r="127" spans="1:21" x14ac:dyDescent="0.25">
      <c r="A127" s="61" t="s">
        <v>151</v>
      </c>
      <c r="J127" s="62"/>
      <c r="K127" s="63">
        <v>0</v>
      </c>
      <c r="L127" s="64">
        <f>IFERROR(K127/K327, "NA")</f>
        <v>0</v>
      </c>
      <c r="M127" s="62"/>
      <c r="N127" s="63">
        <v>0</v>
      </c>
      <c r="O127" s="64">
        <f>IFERROR(N127/N327, "NA")</f>
        <v>0</v>
      </c>
      <c r="P127" s="62"/>
      <c r="Q127" s="63">
        <v>0</v>
      </c>
      <c r="R127" s="64">
        <f>IFERROR(Q127/Q327, "NA")</f>
        <v>0</v>
      </c>
      <c r="T127" s="65">
        <f t="shared" si="2"/>
        <v>0</v>
      </c>
      <c r="U127" s="65">
        <f t="shared" si="3"/>
        <v>0</v>
      </c>
    </row>
    <row r="128" spans="1:21" x14ac:dyDescent="0.25">
      <c r="A128" s="61" t="s">
        <v>152</v>
      </c>
      <c r="J128" s="62"/>
      <c r="K128" s="63">
        <v>0</v>
      </c>
      <c r="L128" s="64">
        <f>IFERROR(K128/K327, "NA")</f>
        <v>0</v>
      </c>
      <c r="M128" s="62"/>
      <c r="N128" s="63">
        <v>0</v>
      </c>
      <c r="O128" s="64">
        <f>IFERROR(N128/N327, "NA")</f>
        <v>0</v>
      </c>
      <c r="P128" s="62"/>
      <c r="Q128" s="63">
        <v>0</v>
      </c>
      <c r="R128" s="64">
        <f>IFERROR(Q128/Q327, "NA")</f>
        <v>0</v>
      </c>
      <c r="T128" s="65">
        <f t="shared" si="2"/>
        <v>0</v>
      </c>
      <c r="U128" s="65">
        <f t="shared" si="3"/>
        <v>0</v>
      </c>
    </row>
    <row r="129" spans="1:21" x14ac:dyDescent="0.25">
      <c r="A129" s="61" t="s">
        <v>153</v>
      </c>
      <c r="J129" s="62"/>
      <c r="K129" s="63">
        <v>0</v>
      </c>
      <c r="L129" s="64">
        <f>IFERROR(K129/K327, "NA")</f>
        <v>0</v>
      </c>
      <c r="M129" s="62"/>
      <c r="N129" s="63">
        <v>0</v>
      </c>
      <c r="O129" s="64">
        <f>IFERROR(N129/N327, "NA")</f>
        <v>0</v>
      </c>
      <c r="P129" s="62"/>
      <c r="Q129" s="63">
        <v>0</v>
      </c>
      <c r="R129" s="64">
        <f>IFERROR(Q129/Q327, "NA")</f>
        <v>0</v>
      </c>
      <c r="T129" s="65">
        <f t="shared" si="2"/>
        <v>0</v>
      </c>
      <c r="U129" s="65">
        <f t="shared" si="3"/>
        <v>0</v>
      </c>
    </row>
    <row r="130" spans="1:21" x14ac:dyDescent="0.25">
      <c r="A130" s="61" t="s">
        <v>154</v>
      </c>
      <c r="J130" s="62"/>
      <c r="K130" s="63">
        <v>0</v>
      </c>
      <c r="L130" s="64">
        <f>IFERROR(K130/K327, "NA")</f>
        <v>0</v>
      </c>
      <c r="M130" s="62"/>
      <c r="N130" s="63">
        <v>0</v>
      </c>
      <c r="O130" s="64">
        <f>IFERROR(N130/N327, "NA")</f>
        <v>0</v>
      </c>
      <c r="P130" s="62"/>
      <c r="Q130" s="63">
        <v>0</v>
      </c>
      <c r="R130" s="64">
        <f>IFERROR(Q130/Q327, "NA")</f>
        <v>0</v>
      </c>
      <c r="T130" s="65">
        <f t="shared" si="2"/>
        <v>0</v>
      </c>
      <c r="U130" s="65">
        <f t="shared" si="3"/>
        <v>0</v>
      </c>
    </row>
    <row r="131" spans="1:21" x14ac:dyDescent="0.25">
      <c r="A131" s="61" t="s">
        <v>155</v>
      </c>
      <c r="J131" s="62"/>
      <c r="K131" s="63">
        <v>0</v>
      </c>
      <c r="L131" s="64">
        <f>IFERROR(K131/K327, "NA")</f>
        <v>0</v>
      </c>
      <c r="M131" s="62"/>
      <c r="N131" s="63">
        <v>0</v>
      </c>
      <c r="O131" s="64">
        <f>IFERROR(N131/N327, "NA")</f>
        <v>0</v>
      </c>
      <c r="P131" s="62"/>
      <c r="Q131" s="63">
        <v>0</v>
      </c>
      <c r="R131" s="64">
        <f>IFERROR(Q131/Q327, "NA")</f>
        <v>0</v>
      </c>
      <c r="T131" s="65">
        <f t="shared" si="2"/>
        <v>0</v>
      </c>
      <c r="U131" s="65">
        <f t="shared" si="3"/>
        <v>0</v>
      </c>
    </row>
    <row r="132" spans="1:21" x14ac:dyDescent="0.25">
      <c r="A132" s="61" t="s">
        <v>156</v>
      </c>
      <c r="J132" s="62"/>
      <c r="K132" s="63">
        <v>0</v>
      </c>
      <c r="L132" s="64">
        <f>IFERROR(K132/K327, "NA")</f>
        <v>0</v>
      </c>
      <c r="M132" s="62"/>
      <c r="N132" s="63">
        <v>0</v>
      </c>
      <c r="O132" s="64">
        <f>IFERROR(N132/N327, "NA")</f>
        <v>0</v>
      </c>
      <c r="P132" s="62"/>
      <c r="Q132" s="63">
        <v>0</v>
      </c>
      <c r="R132" s="64">
        <f>IFERROR(Q132/Q327, "NA")</f>
        <v>0</v>
      </c>
      <c r="T132" s="65">
        <f t="shared" si="2"/>
        <v>0</v>
      </c>
      <c r="U132" s="65">
        <f t="shared" si="3"/>
        <v>0</v>
      </c>
    </row>
    <row r="133" spans="1:21" x14ac:dyDescent="0.25">
      <c r="A133" s="61" t="s">
        <v>157</v>
      </c>
      <c r="J133" s="62"/>
      <c r="K133" s="63">
        <v>0</v>
      </c>
      <c r="L133" s="64">
        <f>IFERROR(K133/K327, "NA")</f>
        <v>0</v>
      </c>
      <c r="M133" s="62"/>
      <c r="N133" s="63">
        <v>0</v>
      </c>
      <c r="O133" s="64">
        <f>IFERROR(N133/N327, "NA")</f>
        <v>0</v>
      </c>
      <c r="P133" s="62"/>
      <c r="Q133" s="63">
        <v>0</v>
      </c>
      <c r="R133" s="64">
        <f>IFERROR(Q133/Q327, "NA")</f>
        <v>0</v>
      </c>
      <c r="T133" s="65">
        <f t="shared" si="2"/>
        <v>0</v>
      </c>
      <c r="U133" s="65">
        <f t="shared" si="3"/>
        <v>0</v>
      </c>
    </row>
    <row r="134" spans="1:21" x14ac:dyDescent="0.25">
      <c r="A134" s="61" t="s">
        <v>158</v>
      </c>
      <c r="J134" s="62"/>
      <c r="K134" s="63">
        <v>0</v>
      </c>
      <c r="L134" s="64">
        <f>IFERROR(K134/K327, "NA")</f>
        <v>0</v>
      </c>
      <c r="M134" s="62"/>
      <c r="N134" s="63">
        <v>0</v>
      </c>
      <c r="O134" s="64">
        <f>IFERROR(N134/N327, "NA")</f>
        <v>0</v>
      </c>
      <c r="P134" s="62"/>
      <c r="Q134" s="63">
        <v>0</v>
      </c>
      <c r="R134" s="64">
        <f>IFERROR(Q134/Q327, "NA")</f>
        <v>0</v>
      </c>
      <c r="T134" s="65">
        <f t="shared" si="2"/>
        <v>0</v>
      </c>
      <c r="U134" s="65">
        <f t="shared" si="3"/>
        <v>0</v>
      </c>
    </row>
    <row r="135" spans="1:21" x14ac:dyDescent="0.25">
      <c r="A135" s="61" t="s">
        <v>159</v>
      </c>
      <c r="J135" s="62"/>
      <c r="K135" s="63">
        <v>0</v>
      </c>
      <c r="L135" s="64">
        <f>IFERROR(K135/K327, "NA")</f>
        <v>0</v>
      </c>
      <c r="M135" s="62"/>
      <c r="N135" s="63">
        <v>0</v>
      </c>
      <c r="O135" s="64">
        <f>IFERROR(N135/N327, "NA")</f>
        <v>0</v>
      </c>
      <c r="P135" s="62"/>
      <c r="Q135" s="63">
        <v>0</v>
      </c>
      <c r="R135" s="64">
        <f>IFERROR(Q135/Q327, "NA")</f>
        <v>0</v>
      </c>
      <c r="T135" s="65">
        <f t="shared" si="2"/>
        <v>0</v>
      </c>
      <c r="U135" s="65">
        <f t="shared" si="3"/>
        <v>0</v>
      </c>
    </row>
    <row r="136" spans="1:21" x14ac:dyDescent="0.25">
      <c r="A136" s="61" t="s">
        <v>160</v>
      </c>
      <c r="J136" s="62"/>
      <c r="K136" s="63">
        <v>0</v>
      </c>
      <c r="L136" s="64">
        <f>IFERROR(K136/K327, "NA")</f>
        <v>0</v>
      </c>
      <c r="M136" s="62"/>
      <c r="N136" s="63">
        <v>0</v>
      </c>
      <c r="O136" s="64">
        <f>IFERROR(N136/N327, "NA")</f>
        <v>0</v>
      </c>
      <c r="P136" s="62"/>
      <c r="Q136" s="63">
        <v>0</v>
      </c>
      <c r="R136" s="64">
        <f>IFERROR(Q136/Q327, "NA")</f>
        <v>0</v>
      </c>
      <c r="T136" s="65">
        <f t="shared" si="2"/>
        <v>0</v>
      </c>
      <c r="U136" s="65">
        <f t="shared" si="3"/>
        <v>0</v>
      </c>
    </row>
    <row r="137" spans="1:21" x14ac:dyDescent="0.25">
      <c r="A137" s="61" t="s">
        <v>161</v>
      </c>
      <c r="J137" s="62"/>
      <c r="K137" s="63">
        <v>0</v>
      </c>
      <c r="L137" s="64">
        <f>IFERROR(K137/K327, "NA")</f>
        <v>0</v>
      </c>
      <c r="M137" s="62"/>
      <c r="N137" s="63">
        <v>0</v>
      </c>
      <c r="O137" s="64">
        <f>IFERROR(N137/N327, "NA")</f>
        <v>0</v>
      </c>
      <c r="P137" s="62"/>
      <c r="Q137" s="63">
        <v>0</v>
      </c>
      <c r="R137" s="64">
        <f>IFERROR(Q137/Q327, "NA")</f>
        <v>0</v>
      </c>
      <c r="T137" s="65">
        <f t="shared" ref="T137:T200" si="4">IFERROR(B137+E137+H137+K137+N137+Q137, "NA")</f>
        <v>0</v>
      </c>
      <c r="U137" s="65">
        <f t="shared" ref="U137:U200" si="5">(T137/$V$1)/4</f>
        <v>0</v>
      </c>
    </row>
    <row r="138" spans="1:21" x14ac:dyDescent="0.25">
      <c r="A138" s="61" t="s">
        <v>162</v>
      </c>
      <c r="J138" s="62"/>
      <c r="K138" s="63">
        <v>0</v>
      </c>
      <c r="L138" s="64">
        <f>IFERROR(K138/K327, "NA")</f>
        <v>0</v>
      </c>
      <c r="M138" s="62"/>
      <c r="N138" s="63">
        <v>0</v>
      </c>
      <c r="O138" s="64">
        <f>IFERROR(N138/N327, "NA")</f>
        <v>0</v>
      </c>
      <c r="P138" s="62"/>
      <c r="Q138" s="63">
        <v>0</v>
      </c>
      <c r="R138" s="64">
        <f>IFERROR(Q138/Q327, "NA")</f>
        <v>0</v>
      </c>
      <c r="T138" s="65">
        <f t="shared" si="4"/>
        <v>0</v>
      </c>
      <c r="U138" s="65">
        <f t="shared" si="5"/>
        <v>0</v>
      </c>
    </row>
    <row r="139" spans="1:21" x14ac:dyDescent="0.25">
      <c r="A139" s="61" t="s">
        <v>163</v>
      </c>
      <c r="J139" s="62"/>
      <c r="K139" s="63">
        <v>32609.48</v>
      </c>
      <c r="L139" s="64">
        <f>IFERROR(K139/K327, "NA")</f>
        <v>3.5751085941477488E-2</v>
      </c>
      <c r="M139" s="62"/>
      <c r="N139" s="63">
        <v>49950.400000000001</v>
      </c>
      <c r="O139" s="64">
        <f>IFERROR(N139/N327, "NA")</f>
        <v>3.4660341229332994E-2</v>
      </c>
      <c r="P139" s="62"/>
      <c r="Q139" s="63">
        <v>39400.800000000003</v>
      </c>
      <c r="R139" s="64">
        <f>IFERROR(Q139/Q327, "NA")</f>
        <v>3.5683466654110693E-2</v>
      </c>
      <c r="T139" s="65">
        <f t="shared" si="4"/>
        <v>121960.68000000001</v>
      </c>
      <c r="U139" s="65">
        <f t="shared" si="5"/>
        <v>2345.3976923076925</v>
      </c>
    </row>
    <row r="140" spans="1:21" x14ac:dyDescent="0.25">
      <c r="A140" s="61" t="s">
        <v>164</v>
      </c>
      <c r="J140" s="62"/>
      <c r="K140" s="63">
        <v>0</v>
      </c>
      <c r="L140" s="64">
        <f>IFERROR(K140/K327, "NA")</f>
        <v>0</v>
      </c>
      <c r="M140" s="62"/>
      <c r="N140" s="63">
        <v>0</v>
      </c>
      <c r="O140" s="64">
        <f>IFERROR(N140/N327, "NA")</f>
        <v>0</v>
      </c>
      <c r="P140" s="62"/>
      <c r="Q140" s="63">
        <v>0</v>
      </c>
      <c r="R140" s="64">
        <f>IFERROR(Q140/Q327, "NA")</f>
        <v>0</v>
      </c>
      <c r="T140" s="65">
        <f t="shared" si="4"/>
        <v>0</v>
      </c>
      <c r="U140" s="65">
        <f t="shared" si="5"/>
        <v>0</v>
      </c>
    </row>
    <row r="141" spans="1:21" x14ac:dyDescent="0.25">
      <c r="A141" s="61" t="s">
        <v>165</v>
      </c>
      <c r="J141" s="62"/>
      <c r="K141" s="63">
        <v>11689.53</v>
      </c>
      <c r="L141" s="64">
        <f>IFERROR(K141/K327, "NA")</f>
        <v>1.2815702416765903E-2</v>
      </c>
      <c r="M141" s="62"/>
      <c r="N141" s="63">
        <v>11987.39</v>
      </c>
      <c r="O141" s="64">
        <f>IFERROR(N141/N327, "NA")</f>
        <v>8.3179920050508917E-3</v>
      </c>
      <c r="P141" s="62"/>
      <c r="Q141" s="63">
        <v>15124.13</v>
      </c>
      <c r="R141" s="64">
        <f>IFERROR(Q141/Q327, "NA")</f>
        <v>1.3697219054624147E-2</v>
      </c>
      <c r="T141" s="65">
        <f t="shared" si="4"/>
        <v>38801.049999999996</v>
      </c>
      <c r="U141" s="65">
        <f t="shared" si="5"/>
        <v>746.17403846153843</v>
      </c>
    </row>
    <row r="142" spans="1:21" x14ac:dyDescent="0.25">
      <c r="A142" s="61" t="s">
        <v>166</v>
      </c>
      <c r="J142" s="62"/>
      <c r="K142" s="63">
        <v>7743</v>
      </c>
      <c r="L142" s="64">
        <f>IFERROR(K142/K327, "NA")</f>
        <v>8.4889626711269293E-3</v>
      </c>
      <c r="M142" s="62"/>
      <c r="N142" s="63">
        <v>10187</v>
      </c>
      <c r="O142" s="64">
        <f>IFERROR(N142/N327, "NA")</f>
        <v>7.0687100824661109E-3</v>
      </c>
      <c r="P142" s="62"/>
      <c r="Q142" s="63">
        <v>7513.18</v>
      </c>
      <c r="R142" s="64">
        <f>IFERROR(Q142/Q327, "NA")</f>
        <v>6.8043366631218493E-3</v>
      </c>
      <c r="T142" s="65">
        <f t="shared" si="4"/>
        <v>25443.18</v>
      </c>
      <c r="U142" s="65">
        <f t="shared" si="5"/>
        <v>489.29192307692307</v>
      </c>
    </row>
    <row r="143" spans="1:21" x14ac:dyDescent="0.25">
      <c r="A143" s="66" t="s">
        <v>167</v>
      </c>
      <c r="J143" s="58"/>
      <c r="K143" s="67">
        <f>IFERROR(K122+K123+K124+K125+K126+K127+K128+K129+K130+K131+K132+K133+K134+K135+K136+K137+K138+K139+K140+K141+K142, "NA")</f>
        <v>71695.89</v>
      </c>
      <c r="L143" s="68">
        <f>IFERROR(K143/K327, "NA")</f>
        <v>7.8603091034898945E-2</v>
      </c>
      <c r="M143" s="58"/>
      <c r="N143" s="67">
        <f>IFERROR(N122+N123+N124+N125+N126+N127+N128+N129+N130+N131+N132+N133+N134+N135+N136+N137+N138+N139+N140+N141+N142, "NA")</f>
        <v>91778.67</v>
      </c>
      <c r="O143" s="68">
        <f>IFERROR(N143/N327, "NA")</f>
        <v>6.3684775692974371E-2</v>
      </c>
      <c r="P143" s="58"/>
      <c r="Q143" s="67">
        <f>IFERROR(Q122+Q123+Q124+Q125+Q126+Q127+Q128+Q129+Q130+Q131+Q132+Q133+Q134+Q135+Q136+Q137+Q138+Q139+Q140+Q141+Q142, "NA")</f>
        <v>86605.459999999992</v>
      </c>
      <c r="R143" s="68">
        <f>IFERROR(Q143/Q327, "NA")</f>
        <v>7.8434525288164622E-2</v>
      </c>
      <c r="T143" s="65">
        <f t="shared" si="4"/>
        <v>250080.02</v>
      </c>
      <c r="U143" s="65">
        <f t="shared" si="5"/>
        <v>4809.2311538461536</v>
      </c>
    </row>
    <row r="144" spans="1:21" x14ac:dyDescent="0.25">
      <c r="A144" s="60" t="s">
        <v>168</v>
      </c>
      <c r="J144" s="57"/>
      <c r="K144" s="58"/>
      <c r="L144" s="59"/>
      <c r="M144" s="57"/>
      <c r="N144" s="58"/>
      <c r="O144" s="59"/>
      <c r="P144" s="57"/>
      <c r="Q144" s="58"/>
      <c r="R144" s="59"/>
      <c r="T144" s="65">
        <f t="shared" si="4"/>
        <v>0</v>
      </c>
      <c r="U144" s="65">
        <f t="shared" si="5"/>
        <v>0</v>
      </c>
    </row>
    <row r="145" spans="1:21" x14ac:dyDescent="0.25">
      <c r="A145" s="61" t="s">
        <v>169</v>
      </c>
      <c r="J145" s="62"/>
      <c r="K145" s="63">
        <v>0</v>
      </c>
      <c r="L145" s="64">
        <f>IFERROR(K145/K327, "NA")</f>
        <v>0</v>
      </c>
      <c r="M145" s="62"/>
      <c r="N145" s="63">
        <v>0</v>
      </c>
      <c r="O145" s="64">
        <f>IFERROR(N145/N327, "NA")</f>
        <v>0</v>
      </c>
      <c r="P145" s="62"/>
      <c r="Q145" s="63">
        <v>0</v>
      </c>
      <c r="R145" s="64">
        <f>IFERROR(Q145/Q327, "NA")</f>
        <v>0</v>
      </c>
      <c r="T145" s="65">
        <f t="shared" si="4"/>
        <v>0</v>
      </c>
      <c r="U145" s="65">
        <f t="shared" si="5"/>
        <v>0</v>
      </c>
    </row>
    <row r="146" spans="1:21" x14ac:dyDescent="0.25">
      <c r="A146" s="61" t="s">
        <v>170</v>
      </c>
      <c r="J146" s="62"/>
      <c r="K146" s="63">
        <v>17654.66</v>
      </c>
      <c r="L146" s="64">
        <f>IFERROR(K146/K327, "NA")</f>
        <v>1.9355514621133638E-2</v>
      </c>
      <c r="M146" s="62"/>
      <c r="N146" s="63">
        <v>23467.83</v>
      </c>
      <c r="O146" s="64">
        <f>IFERROR(N146/N327, "NA")</f>
        <v>1.6284213854383105E-2</v>
      </c>
      <c r="P146" s="62"/>
      <c r="Q146" s="63">
        <v>20216.34</v>
      </c>
      <c r="R146" s="64">
        <f>IFERROR(Q146/Q327, "NA")</f>
        <v>1.8308996118306331E-2</v>
      </c>
      <c r="T146" s="65">
        <f t="shared" si="4"/>
        <v>61338.83</v>
      </c>
      <c r="U146" s="65">
        <f t="shared" si="5"/>
        <v>1179.5928846153847</v>
      </c>
    </row>
    <row r="147" spans="1:21" x14ac:dyDescent="0.25">
      <c r="A147" s="61" t="s">
        <v>171</v>
      </c>
      <c r="J147" s="62"/>
      <c r="K147" s="63">
        <v>1555.59</v>
      </c>
      <c r="L147" s="64">
        <f>IFERROR(K147/K327, "NA")</f>
        <v>1.7054559526770425E-3</v>
      </c>
      <c r="M147" s="62"/>
      <c r="N147" s="63">
        <v>7901.3</v>
      </c>
      <c r="O147" s="64">
        <f>IFERROR(N147/N327, "NA")</f>
        <v>5.4826738956110224E-3</v>
      </c>
      <c r="P147" s="62"/>
      <c r="Q147" s="63">
        <v>10188.86</v>
      </c>
      <c r="R147" s="64">
        <f>IFERROR(Q147/Q327, "NA")</f>
        <v>9.2275752282543061E-3</v>
      </c>
      <c r="T147" s="65">
        <f t="shared" si="4"/>
        <v>19645.75</v>
      </c>
      <c r="U147" s="65">
        <f t="shared" si="5"/>
        <v>377.80288461538464</v>
      </c>
    </row>
    <row r="148" spans="1:21" x14ac:dyDescent="0.25">
      <c r="A148" s="61" t="s">
        <v>172</v>
      </c>
      <c r="J148" s="62"/>
      <c r="K148" s="63">
        <v>5890.47</v>
      </c>
      <c r="L148" s="64">
        <f>IFERROR(K148/K327, "NA")</f>
        <v>6.4579594401902429E-3</v>
      </c>
      <c r="M148" s="62"/>
      <c r="N148" s="63">
        <v>3854.7</v>
      </c>
      <c r="O148" s="64">
        <f>IFERROR(N148/N327, "NA")</f>
        <v>2.6747577063789257E-3</v>
      </c>
      <c r="P148" s="62"/>
      <c r="Q148" s="63">
        <v>4127.45</v>
      </c>
      <c r="R148" s="64">
        <f>IFERROR(Q148/Q327, "NA")</f>
        <v>3.7380389342731406E-3</v>
      </c>
      <c r="T148" s="65">
        <f t="shared" si="4"/>
        <v>13872.619999999999</v>
      </c>
      <c r="U148" s="65">
        <f t="shared" si="5"/>
        <v>266.78115384615381</v>
      </c>
    </row>
    <row r="149" spans="1:21" x14ac:dyDescent="0.25">
      <c r="A149" s="61" t="s">
        <v>173</v>
      </c>
      <c r="J149" s="62"/>
      <c r="K149" s="63">
        <v>2705.18</v>
      </c>
      <c r="L149" s="64">
        <f>IFERROR(K149/K327, "NA")</f>
        <v>2.9657977578043584E-3</v>
      </c>
      <c r="M149" s="62"/>
      <c r="N149" s="63">
        <v>3349.53</v>
      </c>
      <c r="O149" s="64">
        <f>IFERROR(N149/N327, "NA")</f>
        <v>2.324222684060343E-3</v>
      </c>
      <c r="P149" s="62"/>
      <c r="Q149" s="63">
        <v>7365.36</v>
      </c>
      <c r="R149" s="64">
        <f>IFERROR(Q149/Q327, "NA")</f>
        <v>6.6704629843942435E-3</v>
      </c>
      <c r="T149" s="65">
        <f t="shared" si="4"/>
        <v>13420.07</v>
      </c>
      <c r="U149" s="65">
        <f t="shared" si="5"/>
        <v>258.07826923076925</v>
      </c>
    </row>
    <row r="150" spans="1:21" x14ac:dyDescent="0.25">
      <c r="A150" s="61" t="s">
        <v>174</v>
      </c>
      <c r="J150" s="62"/>
      <c r="K150" s="63">
        <v>3543.46</v>
      </c>
      <c r="L150" s="64">
        <f>IFERROR(K150/K327, "NA")</f>
        <v>3.884837875065405E-3</v>
      </c>
      <c r="M150" s="62"/>
      <c r="N150" s="63">
        <v>14375.49</v>
      </c>
      <c r="O150" s="64">
        <f>IFERROR(N150/N327, "NA")</f>
        <v>9.9750830571699953E-3</v>
      </c>
      <c r="P150" s="62"/>
      <c r="Q150" s="63">
        <v>10537.6</v>
      </c>
      <c r="R150" s="64">
        <f>IFERROR(Q150/Q327, "NA")</f>
        <v>9.5434127787851208E-3</v>
      </c>
      <c r="T150" s="65">
        <f t="shared" si="4"/>
        <v>28456.550000000003</v>
      </c>
      <c r="U150" s="65">
        <f t="shared" si="5"/>
        <v>547.24134615384617</v>
      </c>
    </row>
    <row r="151" spans="1:21" x14ac:dyDescent="0.25">
      <c r="A151" s="66" t="s">
        <v>175</v>
      </c>
      <c r="J151" s="58"/>
      <c r="K151" s="67">
        <f>IFERROR(K145+K146+K147+K148+K149+K150, "NA")</f>
        <v>31349.360000000001</v>
      </c>
      <c r="L151" s="68">
        <f>IFERROR(K151/K327, "NA")</f>
        <v>3.4369565646870687E-2</v>
      </c>
      <c r="M151" s="58"/>
      <c r="N151" s="67">
        <f>IFERROR(N145+N146+N147+N148+N149+N150, "NA")</f>
        <v>52948.85</v>
      </c>
      <c r="O151" s="68">
        <f>IFERROR(N151/N327, "NA")</f>
        <v>3.6740951197603386E-2</v>
      </c>
      <c r="P151" s="58"/>
      <c r="Q151" s="67">
        <f>IFERROR(Q145+Q146+Q147+Q148+Q149+Q150, "NA")</f>
        <v>52435.61</v>
      </c>
      <c r="R151" s="68">
        <f>IFERROR(Q151/Q327, "NA")</f>
        <v>4.7488486044013144E-2</v>
      </c>
      <c r="T151" s="65">
        <f t="shared" si="4"/>
        <v>136733.82</v>
      </c>
      <c r="U151" s="65">
        <f t="shared" si="5"/>
        <v>2629.4965384615384</v>
      </c>
    </row>
    <row r="152" spans="1:21" x14ac:dyDescent="0.25">
      <c r="A152" s="69" t="s">
        <v>176</v>
      </c>
      <c r="J152" s="62"/>
      <c r="K152" s="63">
        <v>0</v>
      </c>
      <c r="L152" s="64">
        <f>IFERROR(K152/K327, "NA")</f>
        <v>0</v>
      </c>
      <c r="M152" s="62"/>
      <c r="N152" s="63">
        <v>0</v>
      </c>
      <c r="O152" s="64">
        <f>IFERROR(N152/N327, "NA")</f>
        <v>0</v>
      </c>
      <c r="P152" s="62"/>
      <c r="Q152" s="63">
        <v>0</v>
      </c>
      <c r="R152" s="64">
        <f>IFERROR(Q152/Q327, "NA")</f>
        <v>0</v>
      </c>
      <c r="T152" s="65">
        <f t="shared" si="4"/>
        <v>0</v>
      </c>
      <c r="U152" s="65">
        <f t="shared" si="5"/>
        <v>0</v>
      </c>
    </row>
    <row r="153" spans="1:21" x14ac:dyDescent="0.25">
      <c r="A153" s="69" t="s">
        <v>177</v>
      </c>
      <c r="J153" s="62"/>
      <c r="K153" s="63">
        <v>4642.78</v>
      </c>
      <c r="L153" s="64">
        <f>IFERROR(K153/K327, "NA")</f>
        <v>5.0900666550761572E-3</v>
      </c>
      <c r="M153" s="62"/>
      <c r="N153" s="63">
        <v>9787.06</v>
      </c>
      <c r="O153" s="64">
        <f>IFERROR(N153/N327, "NA")</f>
        <v>6.7911936487386635E-3</v>
      </c>
      <c r="P153" s="62"/>
      <c r="Q153" s="63">
        <v>4154.87</v>
      </c>
      <c r="R153" s="64">
        <f>IFERROR(Q153/Q327, "NA")</f>
        <v>3.7628719492285656E-3</v>
      </c>
      <c r="T153" s="65">
        <f t="shared" si="4"/>
        <v>18584.71</v>
      </c>
      <c r="U153" s="65">
        <f t="shared" si="5"/>
        <v>357.39826923076919</v>
      </c>
    </row>
    <row r="154" spans="1:21" x14ac:dyDescent="0.25">
      <c r="A154" s="69" t="s">
        <v>178</v>
      </c>
      <c r="J154" s="62"/>
      <c r="K154" s="63">
        <v>103.59</v>
      </c>
      <c r="L154" s="64">
        <f>IFERROR(K154/K327, "NA")</f>
        <v>1.1356988804107435E-4</v>
      </c>
      <c r="M154" s="62"/>
      <c r="N154" s="63">
        <v>211.13</v>
      </c>
      <c r="O154" s="64">
        <f>IFERROR(N154/N327, "NA")</f>
        <v>1.4650208694523117E-4</v>
      </c>
      <c r="P154" s="62"/>
      <c r="Q154" s="63">
        <v>373.18</v>
      </c>
      <c r="R154" s="64">
        <f>IFERROR(Q154/Q327, "NA")</f>
        <v>3.3797171849254401E-4</v>
      </c>
      <c r="T154" s="65">
        <f t="shared" si="4"/>
        <v>687.90000000000009</v>
      </c>
      <c r="U154" s="65">
        <f t="shared" si="5"/>
        <v>13.228846153846156</v>
      </c>
    </row>
    <row r="155" spans="1:21" x14ac:dyDescent="0.25">
      <c r="A155" s="69" t="s">
        <v>179</v>
      </c>
      <c r="J155" s="62"/>
      <c r="K155" s="63">
        <v>-23.3</v>
      </c>
      <c r="L155" s="64">
        <f>IFERROR(K155/K327, "NA")</f>
        <v>-2.5544728172188747E-5</v>
      </c>
      <c r="M155" s="62"/>
      <c r="N155" s="63">
        <v>-17.59</v>
      </c>
      <c r="O155" s="64">
        <f>IFERROR(N155/N327, "NA")</f>
        <v>-1.2205616015566789E-5</v>
      </c>
      <c r="P155" s="62"/>
      <c r="Q155" s="63">
        <v>-32.67</v>
      </c>
      <c r="R155" s="64">
        <f>IFERROR(Q155/Q327, "NA")</f>
        <v>-2.9587695061770224E-5</v>
      </c>
      <c r="T155" s="65">
        <f t="shared" si="4"/>
        <v>-73.56</v>
      </c>
      <c r="U155" s="65">
        <f t="shared" si="5"/>
        <v>-1.4146153846153846</v>
      </c>
    </row>
    <row r="156" spans="1:21" x14ac:dyDescent="0.25">
      <c r="A156" s="69" t="s">
        <v>180</v>
      </c>
      <c r="J156" s="62"/>
      <c r="K156" s="63">
        <v>0</v>
      </c>
      <c r="L156" s="64">
        <f>IFERROR(K156/K327, "NA")</f>
        <v>0</v>
      </c>
      <c r="M156" s="62"/>
      <c r="N156" s="63">
        <v>0</v>
      </c>
      <c r="O156" s="64">
        <f>IFERROR(N156/N327, "NA")</f>
        <v>0</v>
      </c>
      <c r="P156" s="62"/>
      <c r="Q156" s="63">
        <v>0</v>
      </c>
      <c r="R156" s="64">
        <f>IFERROR(Q156/Q327, "NA")</f>
        <v>0</v>
      </c>
      <c r="T156" s="65">
        <f t="shared" si="4"/>
        <v>0</v>
      </c>
      <c r="U156" s="65">
        <f t="shared" si="5"/>
        <v>0</v>
      </c>
    </row>
    <row r="157" spans="1:21" x14ac:dyDescent="0.25">
      <c r="A157" s="70" t="s">
        <v>181</v>
      </c>
      <c r="J157" s="58"/>
      <c r="K157" s="67">
        <f>IFERROR(K55+K56+K57+K58+K59+K60+K61+K62+K63+K64+K66+K68+K69+K70+K71+K72+K73+K74+K75+K78+K79+K82+K84+K85+K86+K87+K88+K89+K90+K91+K92+K93+K94+K95+K96+K97+K98+K99+K100+K101+K102+K103+K104+K105+K106+K107+K108+K109+K110+K111+K112+K113+K114+K115+K116+K117+K118+K122+K123+K124+K125+K126+K127+K128+K129+K130+K131+K132+K133+K134+K135+K136+K137+K138+K139+K140+K141+K142+K145+K146+K147+K148+K149+K150+K152+K153+K154+K155+K156, "NA")</f>
        <v>279935.35000000015</v>
      </c>
      <c r="L157" s="68">
        <f>IFERROR(K157/K327, "NA")</f>
        <v>0.30690439577409961</v>
      </c>
      <c r="M157" s="58"/>
      <c r="N157" s="67">
        <f>IFERROR(N55+N56+N57+N58+N59+N60+N61+N62+N63+N64+N66+N68+N69+N70+N71+N72+N73+N74+N75+N78+N79+N82+N84+N85+N86+N87+N88+N89+N90+N91+N92+N93+N94+N95+N96+N97+N98+N99+N100+N101+N102+N103+N104+N105+N106+N107+N108+N109+N110+N111+N112+N113+N114+N115+N116+N117+N118+N122+N123+N124+N125+N126+N127+N128+N129+N130+N131+N132+N133+N134+N135+N136+N137+N138+N139+N140+N141+N142+N145+N146+N147+N148+N149+N150+N152+N153+N154+N155+N156, "NA")</f>
        <v>402238.71000000008</v>
      </c>
      <c r="O157" s="68">
        <f>IFERROR(N157/N327, "NA")</f>
        <v>0.27911149749044495</v>
      </c>
      <c r="P157" s="58"/>
      <c r="Q157" s="67">
        <f>IFERROR(Q55+Q56+Q57+Q58+Q59+Q60+Q61+Q62+Q63+Q64+Q66+Q68+Q69+Q70+Q71+Q72+Q73+Q74+Q75+Q78+Q79+Q82+Q84+Q85+Q86+Q87+Q88+Q89+Q90+Q91+Q92+Q93+Q94+Q95+Q96+Q97+Q98+Q99+Q100+Q101+Q102+Q103+Q104+Q105+Q106+Q107+Q108+Q109+Q110+Q111+Q112+Q113+Q114+Q115+Q116+Q117+Q118+Q122+Q123+Q124+Q125+Q126+Q127+Q128+Q129+Q130+Q131+Q132+Q133+Q134+Q135+Q136+Q137+Q138+Q139+Q140+Q141+Q142+Q145+Q146+Q147+Q148+Q149+Q150+Q152+Q153+Q154+Q155+Q156, "NA")</f>
        <v>333891.3</v>
      </c>
      <c r="R157" s="68">
        <f>IFERROR(Q157/Q327, "NA")</f>
        <v>0.30238977557937069</v>
      </c>
      <c r="T157" s="65">
        <f t="shared" si="4"/>
        <v>1016065.3600000003</v>
      </c>
      <c r="U157" s="65">
        <f t="shared" si="5"/>
        <v>19539.718461538469</v>
      </c>
    </row>
    <row r="158" spans="1:21" x14ac:dyDescent="0.25">
      <c r="A158" s="56" t="s">
        <v>182</v>
      </c>
      <c r="J158" s="57"/>
      <c r="K158" s="58"/>
      <c r="L158" s="59"/>
      <c r="M158" s="57"/>
      <c r="N158" s="58"/>
      <c r="O158" s="59"/>
      <c r="P158" s="57"/>
      <c r="Q158" s="58"/>
      <c r="R158" s="59"/>
      <c r="T158" s="65">
        <f t="shared" si="4"/>
        <v>0</v>
      </c>
      <c r="U158" s="65">
        <f t="shared" si="5"/>
        <v>0</v>
      </c>
    </row>
    <row r="159" spans="1:21" x14ac:dyDescent="0.25">
      <c r="A159" s="60" t="s">
        <v>183</v>
      </c>
      <c r="J159" s="57"/>
      <c r="K159" s="58"/>
      <c r="L159" s="59"/>
      <c r="M159" s="57"/>
      <c r="N159" s="58"/>
      <c r="O159" s="59"/>
      <c r="P159" s="57"/>
      <c r="Q159" s="58"/>
      <c r="R159" s="59"/>
      <c r="T159" s="65">
        <f t="shared" si="4"/>
        <v>0</v>
      </c>
      <c r="U159" s="65">
        <f t="shared" si="5"/>
        <v>0</v>
      </c>
    </row>
    <row r="160" spans="1:21" x14ac:dyDescent="0.25">
      <c r="A160" s="61" t="s">
        <v>184</v>
      </c>
      <c r="J160" s="62"/>
      <c r="K160" s="63">
        <v>0</v>
      </c>
      <c r="L160" s="64">
        <f>IFERROR(K160/K327, "NA")</f>
        <v>0</v>
      </c>
      <c r="M160" s="62"/>
      <c r="N160" s="63">
        <v>0</v>
      </c>
      <c r="O160" s="64">
        <f>IFERROR(N160/N327, "NA")</f>
        <v>0</v>
      </c>
      <c r="P160" s="62"/>
      <c r="Q160" s="63">
        <v>0</v>
      </c>
      <c r="R160" s="64">
        <f>IFERROR(Q160/Q327, "NA")</f>
        <v>0</v>
      </c>
      <c r="T160" s="65">
        <f t="shared" si="4"/>
        <v>0</v>
      </c>
      <c r="U160" s="65">
        <f t="shared" si="5"/>
        <v>0</v>
      </c>
    </row>
    <row r="161" spans="1:21" x14ac:dyDescent="0.25">
      <c r="A161" s="61" t="s">
        <v>185</v>
      </c>
      <c r="J161" s="62"/>
      <c r="K161" s="63">
        <v>12.15</v>
      </c>
      <c r="L161" s="64">
        <f>IFERROR(K161/K327, "NA")</f>
        <v>1.3320534218544777E-5</v>
      </c>
      <c r="M161" s="62"/>
      <c r="N161" s="63">
        <v>0.41</v>
      </c>
      <c r="O161" s="64">
        <f>IFERROR(N161/N327, "NA")</f>
        <v>2.8449701912350103E-7</v>
      </c>
      <c r="P161" s="62"/>
      <c r="Q161" s="63">
        <v>0</v>
      </c>
      <c r="R161" s="64">
        <f>IFERROR(Q161/Q327, "NA")</f>
        <v>0</v>
      </c>
      <c r="T161" s="65">
        <f t="shared" si="4"/>
        <v>12.56</v>
      </c>
      <c r="U161" s="65">
        <f t="shared" si="5"/>
        <v>0.24153846153846154</v>
      </c>
    </row>
    <row r="162" spans="1:21" x14ac:dyDescent="0.25">
      <c r="A162" s="61" t="s">
        <v>186</v>
      </c>
      <c r="J162" s="62"/>
      <c r="K162" s="63">
        <v>2593.67</v>
      </c>
      <c r="L162" s="64">
        <f>IFERROR(K162/K327, "NA")</f>
        <v>2.8435448548652701E-3</v>
      </c>
      <c r="M162" s="62"/>
      <c r="N162" s="63">
        <v>17445</v>
      </c>
      <c r="O162" s="64">
        <f>IFERROR(N162/N327, "NA")</f>
        <v>1.2105001216120674E-2</v>
      </c>
      <c r="P162" s="62"/>
      <c r="Q162" s="63">
        <v>-3616.21</v>
      </c>
      <c r="R162" s="64">
        <f>IFERROR(Q162/Q327, "NA")</f>
        <v>-3.2750327137840251E-3</v>
      </c>
      <c r="T162" s="65">
        <f t="shared" si="4"/>
        <v>16422.46</v>
      </c>
      <c r="U162" s="65">
        <f t="shared" si="5"/>
        <v>315.81653846153847</v>
      </c>
    </row>
    <row r="163" spans="1:21" x14ac:dyDescent="0.25">
      <c r="A163" s="61" t="s">
        <v>187</v>
      </c>
      <c r="J163" s="62"/>
      <c r="K163" s="63">
        <v>1573.61</v>
      </c>
      <c r="L163" s="64">
        <f>IFERROR(K163/K327, "NA")</f>
        <v>1.725212004250555E-3</v>
      </c>
      <c r="M163" s="62"/>
      <c r="N163" s="63">
        <v>3626</v>
      </c>
      <c r="O163" s="64">
        <f>IFERROR(N163/N327, "NA")</f>
        <v>2.5160638813214995E-3</v>
      </c>
      <c r="P163" s="62"/>
      <c r="Q163" s="63">
        <v>1118.0999999999999</v>
      </c>
      <c r="R163" s="64">
        <f>IFERROR(Q163/Q327, "NA")</f>
        <v>1.0126110146484628E-3</v>
      </c>
      <c r="T163" s="65">
        <f t="shared" si="4"/>
        <v>6317.7099999999991</v>
      </c>
      <c r="U163" s="65">
        <f t="shared" si="5"/>
        <v>121.49442307692306</v>
      </c>
    </row>
    <row r="164" spans="1:21" x14ac:dyDescent="0.25">
      <c r="A164" s="61" t="s">
        <v>188</v>
      </c>
      <c r="J164" s="62"/>
      <c r="K164" s="63">
        <v>0</v>
      </c>
      <c r="L164" s="64">
        <f>IFERROR(K164/K327, "NA")</f>
        <v>0</v>
      </c>
      <c r="M164" s="62"/>
      <c r="N164" s="63">
        <v>-147</v>
      </c>
      <c r="O164" s="64">
        <f>IFERROR(N164/N327, "NA")</f>
        <v>-1.0200258978330404E-4</v>
      </c>
      <c r="P164" s="62"/>
      <c r="Q164" s="63">
        <v>2137.94</v>
      </c>
      <c r="R164" s="64">
        <f>IFERROR(Q164/Q327, "NA")</f>
        <v>1.9362325307732181E-3</v>
      </c>
      <c r="T164" s="65">
        <f t="shared" si="4"/>
        <v>1990.94</v>
      </c>
      <c r="U164" s="65">
        <f t="shared" si="5"/>
        <v>38.287307692307692</v>
      </c>
    </row>
    <row r="165" spans="1:21" x14ac:dyDescent="0.25">
      <c r="A165" s="61" t="s">
        <v>189</v>
      </c>
      <c r="J165" s="62"/>
      <c r="K165" s="63">
        <v>2357.52</v>
      </c>
      <c r="L165" s="64">
        <f>IFERROR(K165/K327, "NA")</f>
        <v>2.5846441013089448E-3</v>
      </c>
      <c r="M165" s="62"/>
      <c r="N165" s="63">
        <v>403.17</v>
      </c>
      <c r="O165" s="64">
        <f>IFERROR(N165/N327, "NA")</f>
        <v>2.7975771512200469E-4</v>
      </c>
      <c r="P165" s="62"/>
      <c r="Q165" s="63">
        <v>72.03</v>
      </c>
      <c r="R165" s="64">
        <f>IFERROR(Q165/Q327, "NA")</f>
        <v>6.5234211059054463E-5</v>
      </c>
      <c r="T165" s="65">
        <f t="shared" si="4"/>
        <v>2832.7200000000003</v>
      </c>
      <c r="U165" s="65">
        <f t="shared" si="5"/>
        <v>54.47538461538462</v>
      </c>
    </row>
    <row r="166" spans="1:21" x14ac:dyDescent="0.25">
      <c r="A166" s="61" t="s">
        <v>190</v>
      </c>
      <c r="J166" s="62"/>
      <c r="K166" s="63">
        <v>1671.99</v>
      </c>
      <c r="L166" s="64">
        <f>IFERROR(K166/K327, "NA")</f>
        <v>1.8330699595114964E-3</v>
      </c>
      <c r="M166" s="62"/>
      <c r="N166" s="63">
        <v>3910.45</v>
      </c>
      <c r="O166" s="64">
        <f>IFERROR(N166/N327, "NA")</f>
        <v>2.713442362028036E-3</v>
      </c>
      <c r="P166" s="62"/>
      <c r="Q166" s="63">
        <v>3494.88</v>
      </c>
      <c r="R166" s="64">
        <f>IFERROR(Q166/Q327, "NA")</f>
        <v>3.1651497923930066E-3</v>
      </c>
      <c r="T166" s="65">
        <f t="shared" si="4"/>
        <v>9077.32</v>
      </c>
      <c r="U166" s="65">
        <f t="shared" si="5"/>
        <v>174.56384615384616</v>
      </c>
    </row>
    <row r="167" spans="1:21" x14ac:dyDescent="0.25">
      <c r="A167" s="61" t="s">
        <v>191</v>
      </c>
      <c r="J167" s="62"/>
      <c r="K167" s="63">
        <v>1091.8800000000001</v>
      </c>
      <c r="L167" s="64">
        <f>IFERROR(K167/K327, "NA")</f>
        <v>1.1970720084398907E-3</v>
      </c>
      <c r="M167" s="62"/>
      <c r="N167" s="63">
        <v>2989.09</v>
      </c>
      <c r="O167" s="64">
        <f>IFERROR(N167/N327, "NA")</f>
        <v>2.0741151094923558E-3</v>
      </c>
      <c r="P167" s="62"/>
      <c r="Q167" s="63">
        <v>3596.97</v>
      </c>
      <c r="R167" s="64">
        <f>IFERROR(Q167/Q327, "NA")</f>
        <v>3.257607943260962E-3</v>
      </c>
      <c r="T167" s="65">
        <f t="shared" si="4"/>
        <v>7677.9400000000005</v>
      </c>
      <c r="U167" s="65">
        <f t="shared" si="5"/>
        <v>147.65269230769232</v>
      </c>
    </row>
    <row r="168" spans="1:21" x14ac:dyDescent="0.25">
      <c r="A168" s="61" t="s">
        <v>192</v>
      </c>
      <c r="J168" s="62"/>
      <c r="K168" s="63">
        <v>3966.67</v>
      </c>
      <c r="L168" s="64">
        <f>IFERROR(K168/K327, "NA")</f>
        <v>4.3488200385740751E-3</v>
      </c>
      <c r="M168" s="62"/>
      <c r="N168" s="63">
        <v>4311.91</v>
      </c>
      <c r="O168" s="64">
        <f>IFERROR(N168/N327, "NA")</f>
        <v>2.9920135164117449E-3</v>
      </c>
      <c r="P168" s="62"/>
      <c r="Q168" s="63">
        <v>4818.3</v>
      </c>
      <c r="R168" s="64">
        <f>IFERROR(Q168/Q327, "NA")</f>
        <v>4.363709553600474E-3</v>
      </c>
      <c r="T168" s="65">
        <f t="shared" si="4"/>
        <v>13096.880000000001</v>
      </c>
      <c r="U168" s="65">
        <f t="shared" si="5"/>
        <v>251.86307692307693</v>
      </c>
    </row>
    <row r="169" spans="1:21" x14ac:dyDescent="0.25">
      <c r="A169" s="61" t="s">
        <v>193</v>
      </c>
      <c r="J169" s="62"/>
      <c r="K169" s="63">
        <v>500.21</v>
      </c>
      <c r="L169" s="64">
        <f>IFERROR(K169/K327, "NA")</f>
        <v>5.484003639060315E-4</v>
      </c>
      <c r="M169" s="62"/>
      <c r="N169" s="63">
        <v>654</v>
      </c>
      <c r="O169" s="64">
        <f>IFERROR(N169/N327, "NA")</f>
        <v>4.5380744026041387E-4</v>
      </c>
      <c r="P169" s="62"/>
      <c r="Q169" s="63">
        <v>0</v>
      </c>
      <c r="R169" s="64">
        <f>IFERROR(Q169/Q327, "NA")</f>
        <v>0</v>
      </c>
      <c r="T169" s="65">
        <f t="shared" si="4"/>
        <v>1154.21</v>
      </c>
      <c r="U169" s="65">
        <f t="shared" si="5"/>
        <v>22.196346153846154</v>
      </c>
    </row>
    <row r="170" spans="1:21" x14ac:dyDescent="0.25">
      <c r="A170" s="61" t="s">
        <v>194</v>
      </c>
      <c r="J170" s="62"/>
      <c r="K170" s="63">
        <v>3836.82</v>
      </c>
      <c r="L170" s="64">
        <f>IFERROR(K170/K327, "NA")</f>
        <v>4.2064602551767057E-3</v>
      </c>
      <c r="M170" s="62"/>
      <c r="N170" s="63">
        <v>11716.24</v>
      </c>
      <c r="O170" s="64">
        <f>IFERROR(N170/N327, "NA")</f>
        <v>8.1298423300866542E-3</v>
      </c>
      <c r="P170" s="62"/>
      <c r="Q170" s="63">
        <v>3963.55</v>
      </c>
      <c r="R170" s="64">
        <f>IFERROR(Q170/Q327, "NA")</f>
        <v>3.5896023496198156E-3</v>
      </c>
      <c r="T170" s="65">
        <f t="shared" si="4"/>
        <v>19516.61</v>
      </c>
      <c r="U170" s="65">
        <f t="shared" si="5"/>
        <v>375.3194230769231</v>
      </c>
    </row>
    <row r="171" spans="1:21" x14ac:dyDescent="0.25">
      <c r="A171" s="61" t="s">
        <v>195</v>
      </c>
      <c r="J171" s="62"/>
      <c r="K171" s="63">
        <v>2017.45</v>
      </c>
      <c r="L171" s="64">
        <f>IFERROR(K171/K327, "NA")</f>
        <v>2.2118116674241283E-3</v>
      </c>
      <c r="M171" s="62"/>
      <c r="N171" s="63">
        <v>4540.04</v>
      </c>
      <c r="O171" s="64">
        <f>IFERROR(N171/N327, "NA")</f>
        <v>3.1503118212230724E-3</v>
      </c>
      <c r="P171" s="62"/>
      <c r="Q171" s="63">
        <v>3585.3</v>
      </c>
      <c r="R171" s="64">
        <f>IFERROR(Q171/Q327, "NA")</f>
        <v>3.2470389686245727E-3</v>
      </c>
      <c r="T171" s="65">
        <f t="shared" si="4"/>
        <v>10142.790000000001</v>
      </c>
      <c r="U171" s="65">
        <f t="shared" si="5"/>
        <v>195.05365384615385</v>
      </c>
    </row>
    <row r="172" spans="1:21" x14ac:dyDescent="0.25">
      <c r="A172" s="61" t="s">
        <v>196</v>
      </c>
      <c r="J172" s="62"/>
      <c r="K172" s="63">
        <v>0</v>
      </c>
      <c r="L172" s="64">
        <f>IFERROR(K172/K327, "NA")</f>
        <v>0</v>
      </c>
      <c r="M172" s="62"/>
      <c r="N172" s="63">
        <v>0</v>
      </c>
      <c r="O172" s="64">
        <f>IFERROR(N172/N327, "NA")</f>
        <v>0</v>
      </c>
      <c r="P172" s="62"/>
      <c r="Q172" s="63">
        <v>0</v>
      </c>
      <c r="R172" s="64">
        <f>IFERROR(Q172/Q327, "NA")</f>
        <v>0</v>
      </c>
      <c r="T172" s="65">
        <f t="shared" si="4"/>
        <v>0</v>
      </c>
      <c r="U172" s="65">
        <f t="shared" si="5"/>
        <v>0</v>
      </c>
    </row>
    <row r="173" spans="1:21" x14ac:dyDescent="0.25">
      <c r="A173" s="61" t="s">
        <v>197</v>
      </c>
      <c r="J173" s="62"/>
      <c r="K173" s="63">
        <v>0</v>
      </c>
      <c r="L173" s="64">
        <f>IFERROR(K173/K327, "NA")</f>
        <v>0</v>
      </c>
      <c r="M173" s="62"/>
      <c r="N173" s="63">
        <v>0</v>
      </c>
      <c r="O173" s="64">
        <f>IFERROR(N173/N327, "NA")</f>
        <v>0</v>
      </c>
      <c r="P173" s="62"/>
      <c r="Q173" s="63">
        <v>0</v>
      </c>
      <c r="R173" s="64">
        <f>IFERROR(Q173/Q327, "NA")</f>
        <v>0</v>
      </c>
      <c r="T173" s="65">
        <f t="shared" si="4"/>
        <v>0</v>
      </c>
      <c r="U173" s="65">
        <f t="shared" si="5"/>
        <v>0</v>
      </c>
    </row>
    <row r="174" spans="1:21" x14ac:dyDescent="0.25">
      <c r="A174" s="61" t="s">
        <v>198</v>
      </c>
      <c r="J174" s="62"/>
      <c r="K174" s="63">
        <v>0</v>
      </c>
      <c r="L174" s="64">
        <f>IFERROR(K174/K327, "NA")</f>
        <v>0</v>
      </c>
      <c r="M174" s="62"/>
      <c r="N174" s="63">
        <v>0</v>
      </c>
      <c r="O174" s="64">
        <f>IFERROR(N174/N327, "NA")</f>
        <v>0</v>
      </c>
      <c r="P174" s="62"/>
      <c r="Q174" s="63">
        <v>0</v>
      </c>
      <c r="R174" s="64">
        <f>IFERROR(Q174/Q327, "NA")</f>
        <v>0</v>
      </c>
      <c r="T174" s="65">
        <f t="shared" si="4"/>
        <v>0</v>
      </c>
      <c r="U174" s="65">
        <f t="shared" si="5"/>
        <v>0</v>
      </c>
    </row>
    <row r="175" spans="1:21" x14ac:dyDescent="0.25">
      <c r="A175" s="61" t="s">
        <v>199</v>
      </c>
      <c r="J175" s="62"/>
      <c r="K175" s="63">
        <v>1087.45</v>
      </c>
      <c r="L175" s="64">
        <f>IFERROR(K175/K327, "NA")</f>
        <v>1.19221522106638E-3</v>
      </c>
      <c r="M175" s="62"/>
      <c r="N175" s="63">
        <v>3757.39</v>
      </c>
      <c r="O175" s="64">
        <f>IFERROR(N175/N327, "NA")</f>
        <v>2.6072347675230529E-3</v>
      </c>
      <c r="P175" s="62"/>
      <c r="Q175" s="63">
        <v>3470.48</v>
      </c>
      <c r="R175" s="64">
        <f>IFERROR(Q175/Q327, "NA")</f>
        <v>3.1430518505654215E-3</v>
      </c>
      <c r="T175" s="65">
        <f t="shared" si="4"/>
        <v>8315.32</v>
      </c>
      <c r="U175" s="65">
        <f t="shared" si="5"/>
        <v>159.91</v>
      </c>
    </row>
    <row r="176" spans="1:21" x14ac:dyDescent="0.25">
      <c r="A176" s="61" t="s">
        <v>200</v>
      </c>
      <c r="J176" s="62"/>
      <c r="K176" s="63">
        <v>3191.99</v>
      </c>
      <c r="L176" s="64">
        <f>IFERROR(K176/K327, "NA")</f>
        <v>3.4995071621607191E-3</v>
      </c>
      <c r="M176" s="62"/>
      <c r="N176" s="63">
        <v>8818.4</v>
      </c>
      <c r="O176" s="64">
        <f>IFERROR(N176/N327, "NA")</f>
        <v>6.1190451547284922E-3</v>
      </c>
      <c r="P176" s="62"/>
      <c r="Q176" s="63">
        <v>2785.46</v>
      </c>
      <c r="R176" s="64">
        <f>IFERROR(Q176/Q327, "NA")</f>
        <v>2.5226611902895162E-3</v>
      </c>
      <c r="T176" s="65">
        <f t="shared" si="4"/>
        <v>14795.849999999999</v>
      </c>
      <c r="U176" s="65">
        <f t="shared" si="5"/>
        <v>284.53557692307692</v>
      </c>
    </row>
    <row r="177" spans="1:21" x14ac:dyDescent="0.25">
      <c r="A177" s="61" t="s">
        <v>201</v>
      </c>
      <c r="J177" s="62"/>
      <c r="K177" s="63">
        <v>3674.59</v>
      </c>
      <c r="L177" s="64">
        <f>IFERROR(K177/K327, "NA")</f>
        <v>4.0286009740018482E-3</v>
      </c>
      <c r="M177" s="62"/>
      <c r="N177" s="63">
        <v>2480</v>
      </c>
      <c r="O177" s="64">
        <f>IFERROR(N177/N327, "NA")</f>
        <v>1.7208600181128845E-3</v>
      </c>
      <c r="P177" s="62"/>
      <c r="Q177" s="63">
        <v>4209.5200000000004</v>
      </c>
      <c r="R177" s="64">
        <f>IFERROR(Q177/Q327, "NA")</f>
        <v>3.8123659050022345E-3</v>
      </c>
      <c r="T177" s="65">
        <f t="shared" si="4"/>
        <v>10364.11</v>
      </c>
      <c r="U177" s="65">
        <f t="shared" si="5"/>
        <v>199.30980769230771</v>
      </c>
    </row>
    <row r="178" spans="1:21" x14ac:dyDescent="0.25">
      <c r="A178" s="61" t="s">
        <v>202</v>
      </c>
      <c r="J178" s="62"/>
      <c r="K178" s="63">
        <v>932.76</v>
      </c>
      <c r="L178" s="64">
        <f>IFERROR(K178/K327, "NA")</f>
        <v>1.0226223454888744E-3</v>
      </c>
      <c r="M178" s="62"/>
      <c r="N178" s="63">
        <v>-356</v>
      </c>
      <c r="O178" s="64">
        <f>IFERROR(N178/N327, "NA")</f>
        <v>-2.4702668001943021E-4</v>
      </c>
      <c r="P178" s="62"/>
      <c r="Q178" s="63">
        <v>213.44</v>
      </c>
      <c r="R178" s="64">
        <f>IFERROR(Q178/Q327, "NA")</f>
        <v>1.9330265179015111E-4</v>
      </c>
      <c r="T178" s="65">
        <f t="shared" si="4"/>
        <v>790.2</v>
      </c>
      <c r="U178" s="65">
        <f t="shared" si="5"/>
        <v>15.196153846153846</v>
      </c>
    </row>
    <row r="179" spans="1:21" x14ac:dyDescent="0.25">
      <c r="A179" s="61" t="s">
        <v>203</v>
      </c>
      <c r="J179" s="62"/>
      <c r="K179" s="63">
        <v>3715.54</v>
      </c>
      <c r="L179" s="64">
        <f>IFERROR(K179/K327, "NA")</f>
        <v>4.0734961078495351E-3</v>
      </c>
      <c r="M179" s="62"/>
      <c r="N179" s="63">
        <v>2769.66</v>
      </c>
      <c r="O179" s="64">
        <f>IFERROR(N179/N327, "NA")</f>
        <v>1.9218536926477949E-3</v>
      </c>
      <c r="P179" s="62"/>
      <c r="Q179" s="63">
        <v>2088.65</v>
      </c>
      <c r="R179" s="64">
        <f>IFERROR(Q179/Q327, "NA")</f>
        <v>1.8915928769747898E-3</v>
      </c>
      <c r="T179" s="65">
        <f t="shared" si="4"/>
        <v>8573.85</v>
      </c>
      <c r="U179" s="65">
        <f t="shared" si="5"/>
        <v>164.88173076923078</v>
      </c>
    </row>
    <row r="180" spans="1:21" x14ac:dyDescent="0.25">
      <c r="A180" s="61" t="s">
        <v>204</v>
      </c>
      <c r="J180" s="62"/>
      <c r="K180" s="63">
        <v>1356.5</v>
      </c>
      <c r="L180" s="64">
        <f>IFERROR(K180/K327, "NA")</f>
        <v>1.4871855693379414E-3</v>
      </c>
      <c r="M180" s="62"/>
      <c r="N180" s="63">
        <v>4614.8999999999996</v>
      </c>
      <c r="O180" s="64">
        <f>IFERROR(N180/N327, "NA")</f>
        <v>3.2022568135440122E-3</v>
      </c>
      <c r="P180" s="62"/>
      <c r="Q180" s="63">
        <v>12670.5</v>
      </c>
      <c r="R180" s="64">
        <f>IFERROR(Q180/Q327, "NA")</f>
        <v>1.1475080816656248E-2</v>
      </c>
      <c r="T180" s="65">
        <f t="shared" si="4"/>
        <v>18641.900000000001</v>
      </c>
      <c r="U180" s="65">
        <f t="shared" si="5"/>
        <v>358.49807692307695</v>
      </c>
    </row>
    <row r="181" spans="1:21" x14ac:dyDescent="0.25">
      <c r="A181" s="61" t="s">
        <v>205</v>
      </c>
      <c r="J181" s="62"/>
      <c r="K181" s="63">
        <v>0</v>
      </c>
      <c r="L181" s="64">
        <f>IFERROR(K181/K327, "NA")</f>
        <v>0</v>
      </c>
      <c r="M181" s="62"/>
      <c r="N181" s="63">
        <v>0</v>
      </c>
      <c r="O181" s="64">
        <f>IFERROR(N181/N327, "NA")</f>
        <v>0</v>
      </c>
      <c r="P181" s="62"/>
      <c r="Q181" s="63">
        <v>0</v>
      </c>
      <c r="R181" s="64">
        <f>IFERROR(Q181/Q327, "NA")</f>
        <v>0</v>
      </c>
      <c r="T181" s="65">
        <f t="shared" si="4"/>
        <v>0</v>
      </c>
      <c r="U181" s="65">
        <f t="shared" si="5"/>
        <v>0</v>
      </c>
    </row>
    <row r="182" spans="1:21" x14ac:dyDescent="0.25">
      <c r="A182" s="61" t="s">
        <v>206</v>
      </c>
      <c r="J182" s="62"/>
      <c r="K182" s="63">
        <v>151.99</v>
      </c>
      <c r="L182" s="64">
        <f>IFERROR(K182/K327, "NA")</f>
        <v>1.6663275686227329E-4</v>
      </c>
      <c r="M182" s="62"/>
      <c r="N182" s="63">
        <v>195.72</v>
      </c>
      <c r="O182" s="64">
        <f>IFERROR(N182/N327, "NA")</f>
        <v>1.358091623971991E-4</v>
      </c>
      <c r="P182" s="62"/>
      <c r="Q182" s="63">
        <v>262.3</v>
      </c>
      <c r="R182" s="64">
        <f>IFERROR(Q182/Q327, "NA")</f>
        <v>2.3755287464653598E-4</v>
      </c>
      <c r="T182" s="65">
        <f t="shared" si="4"/>
        <v>610.01</v>
      </c>
      <c r="U182" s="65">
        <f t="shared" si="5"/>
        <v>11.730961538461539</v>
      </c>
    </row>
    <row r="183" spans="1:21" x14ac:dyDescent="0.25">
      <c r="A183" s="61" t="s">
        <v>207</v>
      </c>
      <c r="J183" s="62"/>
      <c r="K183" s="63">
        <v>2246.5</v>
      </c>
      <c r="L183" s="64">
        <f>IFERROR(K183/K327, "NA")</f>
        <v>2.4629284050996575E-3</v>
      </c>
      <c r="M183" s="62"/>
      <c r="N183" s="63">
        <v>2061.6</v>
      </c>
      <c r="O183" s="64">
        <f>IFERROR(N183/N327, "NA")</f>
        <v>1.4305342795731945E-3</v>
      </c>
      <c r="P183" s="62"/>
      <c r="Q183" s="63">
        <v>2538.79</v>
      </c>
      <c r="R183" s="64">
        <f>IFERROR(Q183/Q327, "NA")</f>
        <v>2.2992636775595846E-3</v>
      </c>
      <c r="T183" s="65">
        <f t="shared" si="4"/>
        <v>6846.89</v>
      </c>
      <c r="U183" s="65">
        <f t="shared" si="5"/>
        <v>131.67096153846154</v>
      </c>
    </row>
    <row r="184" spans="1:21" x14ac:dyDescent="0.25">
      <c r="A184" s="61" t="s">
        <v>208</v>
      </c>
      <c r="J184" s="62"/>
      <c r="K184" s="63">
        <v>686.92</v>
      </c>
      <c r="L184" s="64">
        <f>IFERROR(K184/K327, "NA")</f>
        <v>7.5309805476566065E-4</v>
      </c>
      <c r="M184" s="62"/>
      <c r="N184" s="63">
        <v>210.19</v>
      </c>
      <c r="O184" s="64">
        <f>IFERROR(N184/N327, "NA")</f>
        <v>1.4584982548675291E-4</v>
      </c>
      <c r="P184" s="62"/>
      <c r="Q184" s="63">
        <v>214.27</v>
      </c>
      <c r="R184" s="64">
        <f>IFERROR(Q184/Q327, "NA")</f>
        <v>1.9405434407363044E-4</v>
      </c>
      <c r="T184" s="65">
        <f t="shared" si="4"/>
        <v>1111.3799999999999</v>
      </c>
      <c r="U184" s="65">
        <f t="shared" si="5"/>
        <v>21.372692307692304</v>
      </c>
    </row>
    <row r="185" spans="1:21" x14ac:dyDescent="0.25">
      <c r="A185" s="61" t="s">
        <v>209</v>
      </c>
      <c r="J185" s="62"/>
      <c r="K185" s="63">
        <v>2047</v>
      </c>
      <c r="L185" s="64">
        <f>IFERROR(K185/K327, "NA")</f>
        <v>2.2442085222519471E-3</v>
      </c>
      <c r="M185" s="62"/>
      <c r="N185" s="63">
        <v>0</v>
      </c>
      <c r="O185" s="64">
        <f>IFERROR(N185/N327, "NA")</f>
        <v>0</v>
      </c>
      <c r="P185" s="62"/>
      <c r="Q185" s="63">
        <v>0</v>
      </c>
      <c r="R185" s="64">
        <f>IFERROR(Q185/Q327, "NA")</f>
        <v>0</v>
      </c>
      <c r="T185" s="65">
        <f t="shared" si="4"/>
        <v>2047</v>
      </c>
      <c r="U185" s="65">
        <f t="shared" si="5"/>
        <v>39.365384615384613</v>
      </c>
    </row>
    <row r="186" spans="1:21" x14ac:dyDescent="0.25">
      <c r="A186" s="61" t="s">
        <v>210</v>
      </c>
      <c r="J186" s="62"/>
      <c r="K186" s="63">
        <v>0</v>
      </c>
      <c r="L186" s="64">
        <f>IFERROR(K186/K327, "NA")</f>
        <v>0</v>
      </c>
      <c r="M186" s="62"/>
      <c r="N186" s="63">
        <v>0</v>
      </c>
      <c r="O186" s="64">
        <f>IFERROR(N186/N327, "NA")</f>
        <v>0</v>
      </c>
      <c r="P186" s="62"/>
      <c r="Q186" s="63">
        <v>0</v>
      </c>
      <c r="R186" s="64">
        <f>IFERROR(Q186/Q327, "NA")</f>
        <v>0</v>
      </c>
      <c r="T186" s="65">
        <f t="shared" si="4"/>
        <v>0</v>
      </c>
      <c r="U186" s="65">
        <f t="shared" si="5"/>
        <v>0</v>
      </c>
    </row>
    <row r="187" spans="1:21" x14ac:dyDescent="0.25">
      <c r="A187" s="61" t="s">
        <v>211</v>
      </c>
      <c r="J187" s="62"/>
      <c r="K187" s="63">
        <v>385.99</v>
      </c>
      <c r="L187" s="64">
        <f>IFERROR(K187/K327, "NA")</f>
        <v>4.2317637884906159E-4</v>
      </c>
      <c r="M187" s="62"/>
      <c r="N187" s="63">
        <v>750.81</v>
      </c>
      <c r="O187" s="64">
        <f>IFERROR(N187/N327, "NA")</f>
        <v>5.2098343153198976E-4</v>
      </c>
      <c r="P187" s="62"/>
      <c r="Q187" s="63">
        <v>1016.27</v>
      </c>
      <c r="R187" s="64">
        <f>IFERROR(Q187/Q327, "NA")</f>
        <v>9.2038833365244027E-4</v>
      </c>
      <c r="T187" s="65">
        <f t="shared" si="4"/>
        <v>2153.0699999999997</v>
      </c>
      <c r="U187" s="65">
        <f t="shared" si="5"/>
        <v>41.405192307692303</v>
      </c>
    </row>
    <row r="188" spans="1:21" x14ac:dyDescent="0.25">
      <c r="A188" s="61" t="s">
        <v>212</v>
      </c>
      <c r="J188" s="62"/>
      <c r="K188" s="63">
        <v>906.25</v>
      </c>
      <c r="L188" s="64">
        <f>IFERROR(K188/K327, "NA")</f>
        <v>9.9355836506635417E-4</v>
      </c>
      <c r="M188" s="62"/>
      <c r="N188" s="63">
        <v>1522.92</v>
      </c>
      <c r="O188" s="64">
        <f>IFERROR(N188/N327, "NA")</f>
        <v>1.0567468301550299E-3</v>
      </c>
      <c r="P188" s="62"/>
      <c r="Q188" s="63">
        <v>2665.82</v>
      </c>
      <c r="R188" s="64">
        <f>IFERROR(Q188/Q327, "NA")</f>
        <v>2.4143088230660636E-3</v>
      </c>
      <c r="T188" s="65">
        <f t="shared" si="4"/>
        <v>5094.99</v>
      </c>
      <c r="U188" s="65">
        <f t="shared" si="5"/>
        <v>97.980576923076924</v>
      </c>
    </row>
    <row r="189" spans="1:21" x14ac:dyDescent="0.25">
      <c r="A189" s="61" t="s">
        <v>213</v>
      </c>
      <c r="J189" s="62"/>
      <c r="K189" s="63">
        <v>4210.32</v>
      </c>
      <c r="L189" s="64">
        <f>IFERROR(K189/K327, "NA")</f>
        <v>4.6159433441171557E-3</v>
      </c>
      <c r="M189" s="62"/>
      <c r="N189" s="63">
        <v>14704.57</v>
      </c>
      <c r="O189" s="64">
        <f>IFERROR(N189/N327, "NA")</f>
        <v>1.0203430079250878E-2</v>
      </c>
      <c r="P189" s="62"/>
      <c r="Q189" s="63">
        <v>6205.93</v>
      </c>
      <c r="R189" s="64">
        <f>IFERROR(Q189/Q327, "NA")</f>
        <v>5.6204213166419249E-3</v>
      </c>
      <c r="T189" s="65">
        <f t="shared" si="4"/>
        <v>25120.82</v>
      </c>
      <c r="U189" s="65">
        <f t="shared" si="5"/>
        <v>483.09269230769229</v>
      </c>
    </row>
    <row r="190" spans="1:21" x14ac:dyDescent="0.25">
      <c r="A190" s="61" t="s">
        <v>214</v>
      </c>
      <c r="J190" s="62"/>
      <c r="K190" s="63">
        <v>0</v>
      </c>
      <c r="L190" s="64">
        <f>IFERROR(K190/K327, "NA")</f>
        <v>0</v>
      </c>
      <c r="M190" s="62"/>
      <c r="N190" s="63">
        <v>0</v>
      </c>
      <c r="O190" s="64">
        <f>IFERROR(N190/N327, "NA")</f>
        <v>0</v>
      </c>
      <c r="P190" s="62"/>
      <c r="Q190" s="63">
        <v>0</v>
      </c>
      <c r="R190" s="64">
        <f>IFERROR(Q190/Q327, "NA")</f>
        <v>0</v>
      </c>
      <c r="T190" s="65">
        <f t="shared" si="4"/>
        <v>0</v>
      </c>
      <c r="U190" s="65">
        <f t="shared" si="5"/>
        <v>0</v>
      </c>
    </row>
    <row r="191" spans="1:21" x14ac:dyDescent="0.25">
      <c r="A191" s="61" t="s">
        <v>215</v>
      </c>
      <c r="J191" s="62"/>
      <c r="K191" s="63">
        <v>0</v>
      </c>
      <c r="L191" s="64">
        <f>IFERROR(K191/K327, "NA")</f>
        <v>0</v>
      </c>
      <c r="M191" s="62"/>
      <c r="N191" s="63">
        <v>0</v>
      </c>
      <c r="O191" s="64">
        <f>IFERROR(N191/N327, "NA")</f>
        <v>0</v>
      </c>
      <c r="P191" s="62"/>
      <c r="Q191" s="63">
        <v>0</v>
      </c>
      <c r="R191" s="64">
        <f>IFERROR(Q191/Q327, "NA")</f>
        <v>0</v>
      </c>
      <c r="T191" s="65">
        <f t="shared" si="4"/>
        <v>0</v>
      </c>
      <c r="U191" s="65">
        <f t="shared" si="5"/>
        <v>0</v>
      </c>
    </row>
    <row r="192" spans="1:21" x14ac:dyDescent="0.25">
      <c r="A192" s="61" t="s">
        <v>216</v>
      </c>
      <c r="J192" s="62"/>
      <c r="K192" s="63">
        <v>1544.01</v>
      </c>
      <c r="L192" s="64">
        <f>IFERROR(K192/K327, "NA")</f>
        <v>1.6927603324094914E-3</v>
      </c>
      <c r="M192" s="62"/>
      <c r="N192" s="63">
        <v>2442.5300000000002</v>
      </c>
      <c r="O192" s="64">
        <f>IFERROR(N192/N327, "NA")</f>
        <v>1.6948597661456709E-3</v>
      </c>
      <c r="P192" s="62"/>
      <c r="Q192" s="63">
        <v>884.37</v>
      </c>
      <c r="R192" s="64">
        <f>IFERROR(Q192/Q327, "NA")</f>
        <v>8.0093265631398024E-4</v>
      </c>
      <c r="T192" s="65">
        <f t="shared" si="4"/>
        <v>4870.91</v>
      </c>
      <c r="U192" s="65">
        <f t="shared" si="5"/>
        <v>93.671346153846144</v>
      </c>
    </row>
    <row r="193" spans="1:21" x14ac:dyDescent="0.25">
      <c r="A193" s="61" t="s">
        <v>217</v>
      </c>
      <c r="J193" s="62"/>
      <c r="K193" s="63">
        <v>11453</v>
      </c>
      <c r="L193" s="64">
        <f>IFERROR(K193/K327, "NA")</f>
        <v>1.2556385053908915E-2</v>
      </c>
      <c r="M193" s="62"/>
      <c r="N193" s="63">
        <v>11597.06</v>
      </c>
      <c r="O193" s="64">
        <f>IFERROR(N193/N327, "NA")</f>
        <v>8.0471439038936315E-3</v>
      </c>
      <c r="P193" s="62"/>
      <c r="Q193" s="63">
        <v>15033.09</v>
      </c>
      <c r="R193" s="64">
        <f>IFERROR(Q193/Q327, "NA")</f>
        <v>1.3614768373313355E-2</v>
      </c>
      <c r="T193" s="65">
        <f t="shared" si="4"/>
        <v>38083.149999999994</v>
      </c>
      <c r="U193" s="65">
        <f t="shared" si="5"/>
        <v>732.3682692307691</v>
      </c>
    </row>
    <row r="194" spans="1:21" x14ac:dyDescent="0.25">
      <c r="A194" s="61" t="s">
        <v>218</v>
      </c>
      <c r="J194" s="62"/>
      <c r="K194" s="63">
        <v>7065.93</v>
      </c>
      <c r="L194" s="64">
        <f>IFERROR(K194/K327, "NA")</f>
        <v>7.746663567970543E-3</v>
      </c>
      <c r="M194" s="62"/>
      <c r="N194" s="63">
        <v>5115.49</v>
      </c>
      <c r="O194" s="64">
        <f>IFERROR(N194/N327, "NA")</f>
        <v>3.5496137959904351E-3</v>
      </c>
      <c r="P194" s="62"/>
      <c r="Q194" s="63">
        <v>10510.93</v>
      </c>
      <c r="R194" s="64">
        <f>IFERROR(Q194/Q327, "NA")</f>
        <v>9.5192590038448884E-3</v>
      </c>
      <c r="T194" s="65">
        <f t="shared" si="4"/>
        <v>22692.35</v>
      </c>
      <c r="U194" s="65">
        <f t="shared" si="5"/>
        <v>436.39134615384614</v>
      </c>
    </row>
    <row r="195" spans="1:21" x14ac:dyDescent="0.25">
      <c r="A195" s="61" t="s">
        <v>219</v>
      </c>
      <c r="J195" s="62"/>
      <c r="K195" s="63">
        <v>1068.3499999999999</v>
      </c>
      <c r="L195" s="64">
        <f>IFERROR(K195/K327, "NA")</f>
        <v>1.1712751220067745E-3</v>
      </c>
      <c r="M195" s="62"/>
      <c r="N195" s="63">
        <v>1871.78</v>
      </c>
      <c r="O195" s="64">
        <f>IFERROR(N195/N327, "NA")</f>
        <v>1.2988190986706995E-3</v>
      </c>
      <c r="P195" s="62"/>
      <c r="Q195" s="63">
        <v>1630.96</v>
      </c>
      <c r="R195" s="64">
        <f>IFERROR(Q195/Q327, "NA")</f>
        <v>1.4770843935703938E-3</v>
      </c>
      <c r="T195" s="65">
        <f t="shared" si="4"/>
        <v>4571.09</v>
      </c>
      <c r="U195" s="65">
        <f t="shared" si="5"/>
        <v>87.905576923076922</v>
      </c>
    </row>
    <row r="196" spans="1:21" x14ac:dyDescent="0.25">
      <c r="A196" s="61" t="s">
        <v>220</v>
      </c>
      <c r="J196" s="62"/>
      <c r="K196" s="63">
        <v>92563.92</v>
      </c>
      <c r="L196" s="64">
        <f>IFERROR(K196/K327, "NA")</f>
        <v>0.10148155257305688</v>
      </c>
      <c r="M196" s="62"/>
      <c r="N196" s="63">
        <v>171294.27</v>
      </c>
      <c r="O196" s="64">
        <f>IFERROR(N196/N327, "NA")</f>
        <v>0.11886026636081988</v>
      </c>
      <c r="P196" s="62"/>
      <c r="Q196" s="63">
        <v>140249.29</v>
      </c>
      <c r="R196" s="64">
        <f>IFERROR(Q196/Q327, "NA")</f>
        <v>0.12701723982705174</v>
      </c>
      <c r="T196" s="65">
        <f t="shared" si="4"/>
        <v>404107.48</v>
      </c>
      <c r="U196" s="65">
        <f t="shared" si="5"/>
        <v>7771.2976923076922</v>
      </c>
    </row>
    <row r="197" spans="1:21" x14ac:dyDescent="0.25">
      <c r="A197" s="61" t="s">
        <v>221</v>
      </c>
      <c r="J197" s="62"/>
      <c r="K197" s="63">
        <v>0</v>
      </c>
      <c r="L197" s="64">
        <f>IFERROR(K197/K327, "NA")</f>
        <v>0</v>
      </c>
      <c r="M197" s="62"/>
      <c r="N197" s="63">
        <v>19.440000000000001</v>
      </c>
      <c r="O197" s="64">
        <f>IFERROR(N197/N327, "NA")</f>
        <v>1.3489322077465515E-5</v>
      </c>
      <c r="P197" s="62"/>
      <c r="Q197" s="63">
        <v>1565.79</v>
      </c>
      <c r="R197" s="64">
        <f>IFERROR(Q197/Q327, "NA")</f>
        <v>1.4180629645169636E-3</v>
      </c>
      <c r="T197" s="65">
        <f t="shared" si="4"/>
        <v>1585.23</v>
      </c>
      <c r="U197" s="65">
        <f t="shared" si="5"/>
        <v>30.485192307692309</v>
      </c>
    </row>
    <row r="198" spans="1:21" x14ac:dyDescent="0.25">
      <c r="A198" s="61" t="s">
        <v>222</v>
      </c>
      <c r="J198" s="62"/>
      <c r="K198" s="63">
        <v>0</v>
      </c>
      <c r="L198" s="64">
        <f>IFERROR(K198/K327, "NA")</f>
        <v>0</v>
      </c>
      <c r="M198" s="62"/>
      <c r="N198" s="63">
        <v>0</v>
      </c>
      <c r="O198" s="64">
        <f>IFERROR(N198/N327, "NA")</f>
        <v>0</v>
      </c>
      <c r="P198" s="62"/>
      <c r="Q198" s="63">
        <v>0</v>
      </c>
      <c r="R198" s="64">
        <f>IFERROR(Q198/Q327, "NA")</f>
        <v>0</v>
      </c>
      <c r="T198" s="65">
        <f t="shared" si="4"/>
        <v>0</v>
      </c>
      <c r="U198" s="65">
        <f t="shared" si="5"/>
        <v>0</v>
      </c>
    </row>
    <row r="199" spans="1:21" x14ac:dyDescent="0.25">
      <c r="A199" s="61" t="s">
        <v>223</v>
      </c>
      <c r="J199" s="62"/>
      <c r="K199" s="63">
        <v>0</v>
      </c>
      <c r="L199" s="64">
        <f>IFERROR(K199/K327, "NA")</f>
        <v>0</v>
      </c>
      <c r="M199" s="62"/>
      <c r="N199" s="63">
        <v>0</v>
      </c>
      <c r="O199" s="64">
        <f>IFERROR(N199/N327, "NA")</f>
        <v>0</v>
      </c>
      <c r="P199" s="62"/>
      <c r="Q199" s="63">
        <v>0</v>
      </c>
      <c r="R199" s="64">
        <f>IFERROR(Q199/Q327, "NA")</f>
        <v>0</v>
      </c>
      <c r="T199" s="65">
        <f t="shared" si="4"/>
        <v>0</v>
      </c>
      <c r="U199" s="65">
        <f t="shared" si="5"/>
        <v>0</v>
      </c>
    </row>
    <row r="200" spans="1:21" x14ac:dyDescent="0.25">
      <c r="A200" s="61" t="s">
        <v>224</v>
      </c>
      <c r="J200" s="62"/>
      <c r="K200" s="63">
        <v>0</v>
      </c>
      <c r="L200" s="64">
        <f>IFERROR(K200/K327, "NA")</f>
        <v>0</v>
      </c>
      <c r="M200" s="62"/>
      <c r="N200" s="63">
        <v>0</v>
      </c>
      <c r="O200" s="64">
        <f>IFERROR(N200/N327, "NA")</f>
        <v>0</v>
      </c>
      <c r="P200" s="62"/>
      <c r="Q200" s="63">
        <v>0</v>
      </c>
      <c r="R200" s="64">
        <f>IFERROR(Q200/Q327, "NA")</f>
        <v>0</v>
      </c>
      <c r="T200" s="65">
        <f t="shared" si="4"/>
        <v>0</v>
      </c>
      <c r="U200" s="65">
        <f t="shared" si="5"/>
        <v>0</v>
      </c>
    </row>
    <row r="201" spans="1:21" x14ac:dyDescent="0.25">
      <c r="A201" s="61" t="s">
        <v>225</v>
      </c>
      <c r="J201" s="62"/>
      <c r="K201" s="63">
        <v>14.6</v>
      </c>
      <c r="L201" s="64">
        <f>IFERROR(K201/K327, "NA")</f>
        <v>1.6006567867551748E-5</v>
      </c>
      <c r="M201" s="62"/>
      <c r="N201" s="63">
        <v>1629.32</v>
      </c>
      <c r="O201" s="64">
        <f>IFERROR(N201/N327, "NA")</f>
        <v>1.1305772760934214E-3</v>
      </c>
      <c r="P201" s="62"/>
      <c r="Q201" s="63">
        <v>320.93</v>
      </c>
      <c r="R201" s="64">
        <f>IFERROR(Q201/Q327, "NA")</f>
        <v>2.9065133076749061E-4</v>
      </c>
      <c r="T201" s="65">
        <f t="shared" ref="T201:T264" si="6">IFERROR(B201+E201+H201+K201+N201+Q201, "NA")</f>
        <v>1964.85</v>
      </c>
      <c r="U201" s="65">
        <f t="shared" ref="U201:U264" si="7">(T201/$V$1)/4</f>
        <v>37.785576923076924</v>
      </c>
    </row>
    <row r="202" spans="1:21" x14ac:dyDescent="0.25">
      <c r="A202" s="61" t="s">
        <v>226</v>
      </c>
      <c r="J202" s="62"/>
      <c r="K202" s="63">
        <v>0</v>
      </c>
      <c r="L202" s="64">
        <f>IFERROR(K202/K327, "NA")</f>
        <v>0</v>
      </c>
      <c r="M202" s="62"/>
      <c r="N202" s="63">
        <v>0</v>
      </c>
      <c r="O202" s="64">
        <f>IFERROR(N202/N327, "NA")</f>
        <v>0</v>
      </c>
      <c r="P202" s="62"/>
      <c r="Q202" s="63">
        <v>0</v>
      </c>
      <c r="R202" s="64">
        <f>IFERROR(Q202/Q327, "NA")</f>
        <v>0</v>
      </c>
      <c r="T202" s="65">
        <f t="shared" si="6"/>
        <v>0</v>
      </c>
      <c r="U202" s="65">
        <f t="shared" si="7"/>
        <v>0</v>
      </c>
    </row>
    <row r="203" spans="1:21" x14ac:dyDescent="0.25">
      <c r="A203" s="61" t="s">
        <v>227</v>
      </c>
      <c r="J203" s="62"/>
      <c r="K203" s="63">
        <v>0</v>
      </c>
      <c r="L203" s="64">
        <f>IFERROR(K203/K327, "NA")</f>
        <v>0</v>
      </c>
      <c r="M203" s="62"/>
      <c r="N203" s="63">
        <v>0</v>
      </c>
      <c r="O203" s="64">
        <f>IFERROR(N203/N327, "NA")</f>
        <v>0</v>
      </c>
      <c r="P203" s="62"/>
      <c r="Q203" s="63">
        <v>0</v>
      </c>
      <c r="R203" s="64">
        <f>IFERROR(Q203/Q327, "NA")</f>
        <v>0</v>
      </c>
      <c r="T203" s="65">
        <f t="shared" si="6"/>
        <v>0</v>
      </c>
      <c r="U203" s="65">
        <f t="shared" si="7"/>
        <v>0</v>
      </c>
    </row>
    <row r="204" spans="1:21" x14ac:dyDescent="0.25">
      <c r="A204" s="61" t="s">
        <v>228</v>
      </c>
      <c r="J204" s="62"/>
      <c r="K204" s="63">
        <v>0</v>
      </c>
      <c r="L204" s="64">
        <f>IFERROR(K204/K327, "NA")</f>
        <v>0</v>
      </c>
      <c r="M204" s="62"/>
      <c r="N204" s="63">
        <v>0</v>
      </c>
      <c r="O204" s="64">
        <f>IFERROR(N204/N327, "NA")</f>
        <v>0</v>
      </c>
      <c r="P204" s="62"/>
      <c r="Q204" s="63">
        <v>0</v>
      </c>
      <c r="R204" s="64">
        <f>IFERROR(Q204/Q327, "NA")</f>
        <v>0</v>
      </c>
      <c r="T204" s="65">
        <f t="shared" si="6"/>
        <v>0</v>
      </c>
      <c r="U204" s="65">
        <f t="shared" si="7"/>
        <v>0</v>
      </c>
    </row>
    <row r="205" spans="1:21" x14ac:dyDescent="0.25">
      <c r="A205" s="61" t="s">
        <v>229</v>
      </c>
      <c r="J205" s="62"/>
      <c r="K205" s="63">
        <v>0</v>
      </c>
      <c r="L205" s="64">
        <f>IFERROR(K205/K327, "NA")</f>
        <v>0</v>
      </c>
      <c r="M205" s="62"/>
      <c r="N205" s="63">
        <v>0</v>
      </c>
      <c r="O205" s="64">
        <f>IFERROR(N205/N327, "NA")</f>
        <v>0</v>
      </c>
      <c r="P205" s="62"/>
      <c r="Q205" s="63">
        <v>0</v>
      </c>
      <c r="R205" s="64">
        <f>IFERROR(Q205/Q327, "NA")</f>
        <v>0</v>
      </c>
      <c r="T205" s="65">
        <f t="shared" si="6"/>
        <v>0</v>
      </c>
      <c r="U205" s="65">
        <f t="shared" si="7"/>
        <v>0</v>
      </c>
    </row>
    <row r="206" spans="1:21" x14ac:dyDescent="0.25">
      <c r="A206" s="61" t="s">
        <v>230</v>
      </c>
      <c r="J206" s="62"/>
      <c r="K206" s="63">
        <v>0</v>
      </c>
      <c r="L206" s="64">
        <f>IFERROR(K206/K327, "NA")</f>
        <v>0</v>
      </c>
      <c r="M206" s="62"/>
      <c r="N206" s="63">
        <v>0</v>
      </c>
      <c r="O206" s="64">
        <f>IFERROR(N206/N327, "NA")</f>
        <v>0</v>
      </c>
      <c r="P206" s="62"/>
      <c r="Q206" s="63">
        <v>0</v>
      </c>
      <c r="R206" s="64">
        <f>IFERROR(Q206/Q327, "NA")</f>
        <v>0</v>
      </c>
      <c r="T206" s="65">
        <f t="shared" si="6"/>
        <v>0</v>
      </c>
      <c r="U206" s="65">
        <f t="shared" si="7"/>
        <v>0</v>
      </c>
    </row>
    <row r="207" spans="1:21" x14ac:dyDescent="0.25">
      <c r="A207" s="61" t="s">
        <v>231</v>
      </c>
      <c r="J207" s="62"/>
      <c r="K207" s="63">
        <v>0</v>
      </c>
      <c r="L207" s="64">
        <f>IFERROR(K207/K327, "NA")</f>
        <v>0</v>
      </c>
      <c r="M207" s="62"/>
      <c r="N207" s="63">
        <v>0</v>
      </c>
      <c r="O207" s="64">
        <f>IFERROR(N207/N327, "NA")</f>
        <v>0</v>
      </c>
      <c r="P207" s="62"/>
      <c r="Q207" s="63">
        <v>0</v>
      </c>
      <c r="R207" s="64">
        <f>IFERROR(Q207/Q327, "NA")</f>
        <v>0</v>
      </c>
      <c r="T207" s="65">
        <f t="shared" si="6"/>
        <v>0</v>
      </c>
      <c r="U207" s="65">
        <f t="shared" si="7"/>
        <v>0</v>
      </c>
    </row>
    <row r="208" spans="1:21" x14ac:dyDescent="0.25">
      <c r="A208" s="61" t="s">
        <v>232</v>
      </c>
      <c r="J208" s="62"/>
      <c r="K208" s="63">
        <v>0</v>
      </c>
      <c r="L208" s="64">
        <f>IFERROR(K208/K327, "NA")</f>
        <v>0</v>
      </c>
      <c r="M208" s="62"/>
      <c r="N208" s="63">
        <v>0</v>
      </c>
      <c r="O208" s="64">
        <f>IFERROR(N208/N327, "NA")</f>
        <v>0</v>
      </c>
      <c r="P208" s="62"/>
      <c r="Q208" s="63">
        <v>0</v>
      </c>
      <c r="R208" s="64">
        <f>IFERROR(Q208/Q327, "NA")</f>
        <v>0</v>
      </c>
      <c r="T208" s="65">
        <f t="shared" si="6"/>
        <v>0</v>
      </c>
      <c r="U208" s="65">
        <f t="shared" si="7"/>
        <v>0</v>
      </c>
    </row>
    <row r="209" spans="1:21" x14ac:dyDescent="0.25">
      <c r="A209" s="66" t="s">
        <v>233</v>
      </c>
      <c r="J209" s="58"/>
      <c r="K209" s="67">
        <f>IFERROR(K160+K161+K162+K163+K164+K165+K166+K167+K168+K169+K170+K171+K172+K173+K174+K175+K176+K177+K178+K179+K180+K181+K182+K183+K184+K185+K186+K187+K188+K189+K190+K191+K192+K193+K194+K195+K196+K197+K198+K199+K200+K201+K202+K203+K204+K205+K206+K207+K208, "NA")</f>
        <v>157925.57999999999</v>
      </c>
      <c r="L209" s="68">
        <f>IFERROR(K209/K327, "NA")</f>
        <v>0.17314017221181319</v>
      </c>
      <c r="M209" s="58"/>
      <c r="N209" s="67">
        <f>IFERROR(N160+N161+N162+N163+N164+N165+N166+N167+N168+N169+N170+N171+N172+N173+N174+N175+N176+N177+N178+N179+N180+N181+N182+N183+N184+N185+N186+N187+N188+N189+N190+N191+N192+N193+N194+N195+N196+N197+N198+N199+N200+N201+N202+N203+N204+N205+N206+N207+N208, "NA")</f>
        <v>284949.36</v>
      </c>
      <c r="O209" s="68">
        <f>IFERROR(N209/N327, "NA")</f>
        <v>0.19772498419792534</v>
      </c>
      <c r="P209" s="58"/>
      <c r="Q209" s="67">
        <f>IFERROR(Q160+Q161+Q162+Q163+Q164+Q165+Q166+Q167+Q168+Q169+Q170+Q171+Q172+Q173+Q174+Q175+Q176+Q177+Q178+Q179+Q180+Q181+Q182+Q183+Q184+Q185+Q186+Q187+Q188+Q189+Q190+Q191+Q192+Q193+Q194+Q195+Q196+Q197+Q198+Q199+Q200+Q201+Q202+Q203+Q204+Q205+Q206+Q207+Q208, "NA")</f>
        <v>227707.65</v>
      </c>
      <c r="R209" s="68">
        <f>IFERROR(Q209/Q327, "NA")</f>
        <v>0.20622419686049287</v>
      </c>
      <c r="T209" s="65">
        <f t="shared" si="6"/>
        <v>670582.59</v>
      </c>
      <c r="U209" s="65">
        <f t="shared" si="7"/>
        <v>12895.819038461537</v>
      </c>
    </row>
    <row r="210" spans="1:21" x14ac:dyDescent="0.25">
      <c r="A210" s="69" t="s">
        <v>234</v>
      </c>
      <c r="J210" s="62"/>
      <c r="K210" s="63">
        <v>0</v>
      </c>
      <c r="L210" s="64">
        <f>IFERROR(K210/K327, "NA")</f>
        <v>0</v>
      </c>
      <c r="M210" s="62"/>
      <c r="N210" s="63">
        <v>0</v>
      </c>
      <c r="O210" s="64">
        <f>IFERROR(N210/N327, "NA")</f>
        <v>0</v>
      </c>
      <c r="P210" s="62"/>
      <c r="Q210" s="63">
        <v>0</v>
      </c>
      <c r="R210" s="64">
        <f>IFERROR(Q210/Q327, "NA")</f>
        <v>0</v>
      </c>
      <c r="T210" s="65">
        <f t="shared" si="6"/>
        <v>0</v>
      </c>
      <c r="U210" s="65">
        <f t="shared" si="7"/>
        <v>0</v>
      </c>
    </row>
    <row r="211" spans="1:21" x14ac:dyDescent="0.25">
      <c r="A211" s="70" t="s">
        <v>235</v>
      </c>
      <c r="J211" s="58"/>
      <c r="K211" s="67">
        <f>IFERROR(K160+K161+K162+K163+K164+K165+K166+K167+K168+K169+K170+K171+K172+K173+K174+K175+K176+K177+K178+K179+K180+K181+K182+K183+K184+K185+K186+K187+K188+K189+K190+K191+K192+K193+K194+K195+K196+K197+K198+K199+K200+K201+K202+K203+K204+K205+K206+K207+K208+K210, "NA")</f>
        <v>157925.57999999999</v>
      </c>
      <c r="L211" s="68">
        <f>IFERROR(K211/K327, "NA")</f>
        <v>0.17314017221181319</v>
      </c>
      <c r="M211" s="58"/>
      <c r="N211" s="67">
        <f>IFERROR(N160+N161+N162+N163+N164+N165+N166+N167+N168+N169+N170+N171+N172+N173+N174+N175+N176+N177+N178+N179+N180+N181+N182+N183+N184+N185+N186+N187+N188+N189+N190+N191+N192+N193+N194+N195+N196+N197+N198+N199+N200+N201+N202+N203+N204+N205+N206+N207+N208+N210, "NA")</f>
        <v>284949.36</v>
      </c>
      <c r="O211" s="68">
        <f>IFERROR(N211/N327, "NA")</f>
        <v>0.19772498419792534</v>
      </c>
      <c r="P211" s="58"/>
      <c r="Q211" s="67">
        <f>IFERROR(Q160+Q161+Q162+Q163+Q164+Q165+Q166+Q167+Q168+Q169+Q170+Q171+Q172+Q173+Q174+Q175+Q176+Q177+Q178+Q179+Q180+Q181+Q182+Q183+Q184+Q185+Q186+Q187+Q188+Q189+Q190+Q191+Q192+Q193+Q194+Q195+Q196+Q197+Q198+Q199+Q200+Q201+Q202+Q203+Q204+Q205+Q206+Q207+Q208+Q210, "NA")</f>
        <v>227707.65</v>
      </c>
      <c r="R211" s="68">
        <f>IFERROR(Q211/Q327, "NA")</f>
        <v>0.20622419686049287</v>
      </c>
      <c r="T211" s="65">
        <f t="shared" si="6"/>
        <v>670582.59</v>
      </c>
      <c r="U211" s="65">
        <f t="shared" si="7"/>
        <v>12895.819038461537</v>
      </c>
    </row>
    <row r="212" spans="1:21" x14ac:dyDescent="0.25">
      <c r="A212" s="56" t="s">
        <v>236</v>
      </c>
      <c r="J212" s="57"/>
      <c r="K212" s="58"/>
      <c r="L212" s="59"/>
      <c r="M212" s="57"/>
      <c r="N212" s="58"/>
      <c r="O212" s="59"/>
      <c r="P212" s="57"/>
      <c r="Q212" s="58"/>
      <c r="R212" s="59"/>
      <c r="T212" s="65">
        <f t="shared" si="6"/>
        <v>0</v>
      </c>
      <c r="U212" s="65">
        <f t="shared" si="7"/>
        <v>0</v>
      </c>
    </row>
    <row r="213" spans="1:21" x14ac:dyDescent="0.25">
      <c r="A213" s="60" t="s">
        <v>237</v>
      </c>
      <c r="J213" s="57"/>
      <c r="K213" s="58"/>
      <c r="L213" s="59"/>
      <c r="M213" s="57"/>
      <c r="N213" s="58"/>
      <c r="O213" s="59"/>
      <c r="P213" s="57"/>
      <c r="Q213" s="58"/>
      <c r="R213" s="59"/>
      <c r="T213" s="65">
        <f t="shared" si="6"/>
        <v>0</v>
      </c>
      <c r="U213" s="65">
        <f t="shared" si="7"/>
        <v>0</v>
      </c>
    </row>
    <row r="214" spans="1:21" x14ac:dyDescent="0.25">
      <c r="A214" s="61" t="s">
        <v>238</v>
      </c>
      <c r="J214" s="62"/>
      <c r="K214" s="63">
        <v>0</v>
      </c>
      <c r="L214" s="64">
        <f>IFERROR(K214/K327, "NA")</f>
        <v>0</v>
      </c>
      <c r="M214" s="62"/>
      <c r="N214" s="63">
        <v>0</v>
      </c>
      <c r="O214" s="64">
        <f>IFERROR(N214/N327, "NA")</f>
        <v>0</v>
      </c>
      <c r="P214" s="62"/>
      <c r="Q214" s="63">
        <v>0</v>
      </c>
      <c r="R214" s="64">
        <f>IFERROR(Q214/Q327, "NA")</f>
        <v>0</v>
      </c>
      <c r="T214" s="65">
        <f t="shared" si="6"/>
        <v>0</v>
      </c>
      <c r="U214" s="65">
        <f t="shared" si="7"/>
        <v>0</v>
      </c>
    </row>
    <row r="215" spans="1:21" x14ac:dyDescent="0.25">
      <c r="A215" s="61" t="s">
        <v>239</v>
      </c>
      <c r="J215" s="62"/>
      <c r="K215" s="63">
        <v>27526.91</v>
      </c>
      <c r="L215" s="64">
        <f>IFERROR(K215/K327, "NA")</f>
        <v>3.0178859801300608E-2</v>
      </c>
      <c r="M215" s="62"/>
      <c r="N215" s="63">
        <v>33641.06</v>
      </c>
      <c r="O215" s="64">
        <f>IFERROR(N215/N327, "NA")</f>
        <v>2.3343369000377673E-2</v>
      </c>
      <c r="P215" s="62"/>
      <c r="Q215" s="63">
        <v>28637.11</v>
      </c>
      <c r="R215" s="64">
        <f>IFERROR(Q215/Q327, "NA")</f>
        <v>2.593529470861251E-2</v>
      </c>
      <c r="T215" s="65">
        <f t="shared" si="6"/>
        <v>89805.08</v>
      </c>
      <c r="U215" s="65">
        <f t="shared" si="7"/>
        <v>1727.0207692307692</v>
      </c>
    </row>
    <row r="216" spans="1:21" x14ac:dyDescent="0.25">
      <c r="A216" s="61" t="s">
        <v>240</v>
      </c>
      <c r="J216" s="62"/>
      <c r="K216" s="63">
        <v>2667.4</v>
      </c>
      <c r="L216" s="64">
        <f>IFERROR(K216/K327, "NA")</f>
        <v>2.9243780225964061E-3</v>
      </c>
      <c r="M216" s="62"/>
      <c r="N216" s="63">
        <v>4155.3999999999996</v>
      </c>
      <c r="O216" s="64">
        <f>IFERROR(N216/N327, "NA")</f>
        <v>2.8834119835751126E-3</v>
      </c>
      <c r="P216" s="62"/>
      <c r="Q216" s="63">
        <v>294.2</v>
      </c>
      <c r="R216" s="64">
        <f>IFERROR(Q216/Q327, "NA")</f>
        <v>2.6644321662604224E-4</v>
      </c>
      <c r="T216" s="65">
        <f t="shared" si="6"/>
        <v>7116.9999999999991</v>
      </c>
      <c r="U216" s="65">
        <f t="shared" si="7"/>
        <v>136.86538461538458</v>
      </c>
    </row>
    <row r="217" spans="1:21" x14ac:dyDescent="0.25">
      <c r="A217" s="61" t="s">
        <v>241</v>
      </c>
      <c r="J217" s="62"/>
      <c r="K217" s="63">
        <v>5153.7700000000004</v>
      </c>
      <c r="L217" s="64">
        <f>IFERROR(K217/K327, "NA")</f>
        <v>5.65028556703782E-3</v>
      </c>
      <c r="M217" s="62"/>
      <c r="N217" s="63">
        <v>4032.1</v>
      </c>
      <c r="O217" s="64">
        <f>IFERROR(N217/N327, "NA")</f>
        <v>2.7978547092874844E-3</v>
      </c>
      <c r="P217" s="62"/>
      <c r="Q217" s="63">
        <v>20252.330000000002</v>
      </c>
      <c r="R217" s="64">
        <f>IFERROR(Q217/Q327, "NA")</f>
        <v>1.834159058250202E-2</v>
      </c>
      <c r="T217" s="65">
        <f t="shared" si="6"/>
        <v>29438.200000000004</v>
      </c>
      <c r="U217" s="65">
        <f t="shared" si="7"/>
        <v>566.11923076923085</v>
      </c>
    </row>
    <row r="218" spans="1:21" x14ac:dyDescent="0.25">
      <c r="A218" s="61" t="s">
        <v>242</v>
      </c>
      <c r="J218" s="62"/>
      <c r="K218" s="63">
        <v>1568</v>
      </c>
      <c r="L218" s="64">
        <f>IFERROR(K218/K327, "NA")</f>
        <v>1.7190615353644616E-3</v>
      </c>
      <c r="M218" s="62"/>
      <c r="N218" s="63">
        <v>754</v>
      </c>
      <c r="O218" s="64">
        <f>IFERROR(N218/N327, "NA")</f>
        <v>5.2319695711980439E-4</v>
      </c>
      <c r="P218" s="62"/>
      <c r="Q218" s="63">
        <v>626</v>
      </c>
      <c r="R218" s="64">
        <f>IFERROR(Q218/Q327, "NA")</f>
        <v>5.6693899934705109E-4</v>
      </c>
      <c r="T218" s="65">
        <f t="shared" si="6"/>
        <v>2948</v>
      </c>
      <c r="U218" s="65">
        <f t="shared" si="7"/>
        <v>56.692307692307693</v>
      </c>
    </row>
    <row r="219" spans="1:21" x14ac:dyDescent="0.25">
      <c r="A219" s="61" t="s">
        <v>243</v>
      </c>
      <c r="J219" s="62"/>
      <c r="K219" s="63">
        <v>16357</v>
      </c>
      <c r="L219" s="64">
        <f>IFERROR(K219/K327, "NA")</f>
        <v>1.7932837712982461E-2</v>
      </c>
      <c r="M219" s="62"/>
      <c r="N219" s="63">
        <v>17245.400000000001</v>
      </c>
      <c r="O219" s="64">
        <f>IFERROR(N219/N327, "NA")</f>
        <v>1.196649974046933E-2</v>
      </c>
      <c r="P219" s="62"/>
      <c r="Q219" s="63">
        <v>11097.06</v>
      </c>
      <c r="R219" s="64">
        <f>IFERROR(Q219/Q327, "NA")</f>
        <v>1.0050089603984324E-2</v>
      </c>
      <c r="T219" s="65">
        <f t="shared" si="6"/>
        <v>44699.46</v>
      </c>
      <c r="U219" s="65">
        <f t="shared" si="7"/>
        <v>859.60500000000002</v>
      </c>
    </row>
    <row r="220" spans="1:21" x14ac:dyDescent="0.25">
      <c r="A220" s="61" t="s">
        <v>244</v>
      </c>
      <c r="J220" s="62"/>
      <c r="K220" s="63">
        <v>339.6</v>
      </c>
      <c r="L220" s="64">
        <f>IFERROR(K220/K327, "NA")</f>
        <v>3.723171539603133E-4</v>
      </c>
      <c r="M220" s="62"/>
      <c r="N220" s="63">
        <v>421.67</v>
      </c>
      <c r="O220" s="64">
        <f>IFERROR(N220/N327, "NA")</f>
        <v>2.9259477574099198E-4</v>
      </c>
      <c r="P220" s="62"/>
      <c r="Q220" s="63">
        <v>1000.03</v>
      </c>
      <c r="R220" s="64">
        <f>IFERROR(Q220/Q327, "NA")</f>
        <v>9.0568052319014622E-4</v>
      </c>
      <c r="T220" s="65">
        <f t="shared" si="6"/>
        <v>1761.3</v>
      </c>
      <c r="U220" s="65">
        <f t="shared" si="7"/>
        <v>33.871153846153845</v>
      </c>
    </row>
    <row r="221" spans="1:21" x14ac:dyDescent="0.25">
      <c r="A221" s="61" t="s">
        <v>245</v>
      </c>
      <c r="J221" s="62"/>
      <c r="K221" s="63">
        <v>2517</v>
      </c>
      <c r="L221" s="64">
        <f>IFERROR(K221/K327, "NA")</f>
        <v>2.7594884467553251E-3</v>
      </c>
      <c r="M221" s="62"/>
      <c r="N221" s="63">
        <v>2371.3000000000002</v>
      </c>
      <c r="O221" s="64">
        <f>IFERROR(N221/N327, "NA")</f>
        <v>1.6454336132867271E-3</v>
      </c>
      <c r="P221" s="62"/>
      <c r="Q221" s="63">
        <v>3455.02</v>
      </c>
      <c r="R221" s="64">
        <f>IFERROR(Q221/Q327, "NA")</f>
        <v>3.1290504497189274E-3</v>
      </c>
      <c r="T221" s="65">
        <f t="shared" si="6"/>
        <v>8343.32</v>
      </c>
      <c r="U221" s="65">
        <f t="shared" si="7"/>
        <v>160.44846153846154</v>
      </c>
    </row>
    <row r="222" spans="1:21" x14ac:dyDescent="0.25">
      <c r="A222" s="61" t="s">
        <v>246</v>
      </c>
      <c r="J222" s="62"/>
      <c r="K222" s="63">
        <v>22.63</v>
      </c>
      <c r="L222" s="64">
        <f>IFERROR(K222/K327, "NA")</f>
        <v>2.4810180194705207E-5</v>
      </c>
      <c r="M222" s="62"/>
      <c r="N222" s="63">
        <v>139.61000000000001</v>
      </c>
      <c r="O222" s="64">
        <f>IFERROR(N222/N327, "NA")</f>
        <v>9.6874704487395091E-5</v>
      </c>
      <c r="P222" s="62"/>
      <c r="Q222" s="63">
        <v>53.71</v>
      </c>
      <c r="R222" s="64">
        <f>IFERROR(Q222/Q327, "NA")</f>
        <v>4.8642641621294113E-5</v>
      </c>
      <c r="T222" s="65">
        <f t="shared" si="6"/>
        <v>215.95000000000002</v>
      </c>
      <c r="U222" s="65">
        <f t="shared" si="7"/>
        <v>4.1528846153846155</v>
      </c>
    </row>
    <row r="223" spans="1:21" x14ac:dyDescent="0.25">
      <c r="A223" s="61" t="s">
        <v>247</v>
      </c>
      <c r="J223" s="62"/>
      <c r="K223" s="63">
        <v>0</v>
      </c>
      <c r="L223" s="64">
        <f>IFERROR(K223/K327, "NA")</f>
        <v>0</v>
      </c>
      <c r="M223" s="62"/>
      <c r="N223" s="63">
        <v>748.45</v>
      </c>
      <c r="O223" s="64">
        <f>IFERROR(N223/N327, "NA")</f>
        <v>5.1934583893410821E-4</v>
      </c>
      <c r="P223" s="62"/>
      <c r="Q223" s="63">
        <v>7.43</v>
      </c>
      <c r="R223" s="64">
        <f>IFERROR(Q223/Q327, "NA")</f>
        <v>6.7290044171702711E-6</v>
      </c>
      <c r="T223" s="65">
        <f t="shared" si="6"/>
        <v>755.88</v>
      </c>
      <c r="U223" s="65">
        <f t="shared" si="7"/>
        <v>14.536153846153846</v>
      </c>
    </row>
    <row r="224" spans="1:21" x14ac:dyDescent="0.25">
      <c r="A224" s="61" t="s">
        <v>248</v>
      </c>
      <c r="J224" s="62"/>
      <c r="K224" s="63">
        <v>107.03</v>
      </c>
      <c r="L224" s="64">
        <f>IFERROR(K224/K327, "NA")</f>
        <v>1.1734129855233312E-4</v>
      </c>
      <c r="M224" s="62"/>
      <c r="N224" s="63">
        <v>133.03</v>
      </c>
      <c r="O224" s="64">
        <f>IFERROR(N224/N327, "NA")</f>
        <v>9.2308874278047186E-5</v>
      </c>
      <c r="P224" s="62"/>
      <c r="Q224" s="63">
        <v>137.72</v>
      </c>
      <c r="R224" s="64">
        <f>IFERROR(Q224/Q327, "NA")</f>
        <v>1.2472657985635125E-4</v>
      </c>
      <c r="T224" s="65">
        <f t="shared" si="6"/>
        <v>377.78</v>
      </c>
      <c r="U224" s="65">
        <f t="shared" si="7"/>
        <v>7.2649999999999997</v>
      </c>
    </row>
    <row r="225" spans="1:21" x14ac:dyDescent="0.25">
      <c r="A225" s="61" t="s">
        <v>249</v>
      </c>
      <c r="J225" s="62"/>
      <c r="K225" s="63">
        <v>0</v>
      </c>
      <c r="L225" s="64">
        <f>IFERROR(K225/K327, "NA")</f>
        <v>0</v>
      </c>
      <c r="M225" s="62"/>
      <c r="N225" s="63">
        <v>0</v>
      </c>
      <c r="O225" s="64">
        <f>IFERROR(N225/N327, "NA")</f>
        <v>0</v>
      </c>
      <c r="P225" s="62"/>
      <c r="Q225" s="63">
        <v>649.97</v>
      </c>
      <c r="R225" s="64">
        <f>IFERROR(Q225/Q327, "NA")</f>
        <v>5.8864751023259237E-4</v>
      </c>
      <c r="T225" s="65">
        <f t="shared" si="6"/>
        <v>649.97</v>
      </c>
      <c r="U225" s="65">
        <f t="shared" si="7"/>
        <v>12.499423076923078</v>
      </c>
    </row>
    <row r="226" spans="1:21" x14ac:dyDescent="0.25">
      <c r="A226" s="61" t="s">
        <v>250</v>
      </c>
      <c r="J226" s="62"/>
      <c r="K226" s="63">
        <v>-81.69</v>
      </c>
      <c r="L226" s="64">
        <f>IFERROR(K226/K327, "NA")</f>
        <v>-8.9560036239746721E-5</v>
      </c>
      <c r="M226" s="62"/>
      <c r="N226" s="63">
        <v>-12.51</v>
      </c>
      <c r="O226" s="64">
        <f>IFERROR(N226/N327, "NA")</f>
        <v>-8.6806285591097512E-6</v>
      </c>
      <c r="P226" s="62"/>
      <c r="Q226" s="63">
        <v>297.45</v>
      </c>
      <c r="R226" s="64">
        <f>IFERROR(Q226/Q327, "NA")</f>
        <v>2.693865900252082E-4</v>
      </c>
      <c r="T226" s="65">
        <f t="shared" si="6"/>
        <v>203.25</v>
      </c>
      <c r="U226" s="65">
        <f t="shared" si="7"/>
        <v>3.9086538461538463</v>
      </c>
    </row>
    <row r="227" spans="1:21" x14ac:dyDescent="0.25">
      <c r="A227" s="61" t="s">
        <v>251</v>
      </c>
      <c r="J227" s="62"/>
      <c r="K227" s="63">
        <v>856.69</v>
      </c>
      <c r="L227" s="64">
        <f>IFERROR(K227/K327, "NA")</f>
        <v>9.3922374153787038E-4</v>
      </c>
      <c r="M227" s="62"/>
      <c r="N227" s="63">
        <v>219.31</v>
      </c>
      <c r="O227" s="64">
        <f>IFERROR(N227/N327, "NA")</f>
        <v>1.5217814942432932E-4</v>
      </c>
      <c r="P227" s="62"/>
      <c r="Q227" s="63">
        <v>1690.77</v>
      </c>
      <c r="R227" s="64">
        <f>IFERROR(Q227/Q327, "NA")</f>
        <v>1.5312515206485841E-3</v>
      </c>
      <c r="T227" s="65">
        <f t="shared" si="6"/>
        <v>2766.77</v>
      </c>
      <c r="U227" s="65">
        <f t="shared" si="7"/>
        <v>53.207115384615385</v>
      </c>
    </row>
    <row r="228" spans="1:21" x14ac:dyDescent="0.25">
      <c r="A228" s="61" t="s">
        <v>252</v>
      </c>
      <c r="J228" s="62"/>
      <c r="K228" s="63">
        <v>421.2</v>
      </c>
      <c r="L228" s="64">
        <f>IFERROR(K228/K327, "NA")</f>
        <v>4.6177851957621889E-4</v>
      </c>
      <c r="M228" s="62"/>
      <c r="N228" s="63">
        <v>0</v>
      </c>
      <c r="O228" s="64">
        <f>IFERROR(N228/N327, "NA")</f>
        <v>0</v>
      </c>
      <c r="P228" s="62"/>
      <c r="Q228" s="63">
        <v>94.61</v>
      </c>
      <c r="R228" s="64">
        <f>IFERROR(Q228/Q327, "NA")</f>
        <v>8.5683863783106239E-5</v>
      </c>
      <c r="T228" s="65">
        <f t="shared" si="6"/>
        <v>515.80999999999995</v>
      </c>
      <c r="U228" s="65">
        <f t="shared" si="7"/>
        <v>9.919423076923076</v>
      </c>
    </row>
    <row r="229" spans="1:21" x14ac:dyDescent="0.25">
      <c r="A229" s="61" t="s">
        <v>253</v>
      </c>
      <c r="J229" s="62"/>
      <c r="K229" s="63">
        <v>333</v>
      </c>
      <c r="L229" s="64">
        <f>IFERROR(K229/K327, "NA")</f>
        <v>3.6508130821196795E-4</v>
      </c>
      <c r="M229" s="62"/>
      <c r="N229" s="63">
        <v>69</v>
      </c>
      <c r="O229" s="64">
        <f>IFERROR(N229/N327, "NA")</f>
        <v>4.7878766632979448E-5</v>
      </c>
      <c r="P229" s="62"/>
      <c r="Q229" s="63">
        <v>0</v>
      </c>
      <c r="R229" s="64">
        <f>IFERROR(Q229/Q327, "NA")</f>
        <v>0</v>
      </c>
      <c r="T229" s="65">
        <f t="shared" si="6"/>
        <v>402</v>
      </c>
      <c r="U229" s="65">
        <f t="shared" si="7"/>
        <v>7.7307692307692308</v>
      </c>
    </row>
    <row r="230" spans="1:21" x14ac:dyDescent="0.25">
      <c r="A230" s="61" t="s">
        <v>254</v>
      </c>
      <c r="J230" s="62"/>
      <c r="K230" s="63">
        <v>2413.63</v>
      </c>
      <c r="L230" s="64">
        <f>IFERROR(K230/K327, "NA")</f>
        <v>2.646159753572529E-3</v>
      </c>
      <c r="M230" s="62"/>
      <c r="N230" s="63">
        <v>1039.42</v>
      </c>
      <c r="O230" s="64">
        <f>IFERROR(N230/N327, "NA")</f>
        <v>7.2124851613987679E-4</v>
      </c>
      <c r="P230" s="62"/>
      <c r="Q230" s="63">
        <v>1213.54</v>
      </c>
      <c r="R230" s="64">
        <f>IFERROR(Q230/Q327, "NA")</f>
        <v>1.0990465707150486E-3</v>
      </c>
      <c r="T230" s="65">
        <f t="shared" si="6"/>
        <v>4666.59</v>
      </c>
      <c r="U230" s="65">
        <f t="shared" si="7"/>
        <v>89.742115384615389</v>
      </c>
    </row>
    <row r="231" spans="1:21" x14ac:dyDescent="0.25">
      <c r="A231" s="61" t="s">
        <v>255</v>
      </c>
      <c r="J231" s="62"/>
      <c r="K231" s="63">
        <v>0</v>
      </c>
      <c r="L231" s="64">
        <f>IFERROR(K231/K327, "NA")</f>
        <v>0</v>
      </c>
      <c r="M231" s="62"/>
      <c r="N231" s="63">
        <v>0</v>
      </c>
      <c r="O231" s="64">
        <f>IFERROR(N231/N327, "NA")</f>
        <v>0</v>
      </c>
      <c r="P231" s="62"/>
      <c r="Q231" s="63">
        <v>0</v>
      </c>
      <c r="R231" s="64">
        <f>IFERROR(Q231/Q327, "NA")</f>
        <v>0</v>
      </c>
      <c r="T231" s="65">
        <f t="shared" si="6"/>
        <v>0</v>
      </c>
      <c r="U231" s="65">
        <f t="shared" si="7"/>
        <v>0</v>
      </c>
    </row>
    <row r="232" spans="1:21" x14ac:dyDescent="0.25">
      <c r="A232" s="61" t="s">
        <v>256</v>
      </c>
      <c r="J232" s="62"/>
      <c r="K232" s="63">
        <v>0</v>
      </c>
      <c r="L232" s="64">
        <f>IFERROR(K232/K327, "NA")</f>
        <v>0</v>
      </c>
      <c r="M232" s="62"/>
      <c r="N232" s="63">
        <v>0</v>
      </c>
      <c r="O232" s="64">
        <f>IFERROR(N232/N327, "NA")</f>
        <v>0</v>
      </c>
      <c r="P232" s="62"/>
      <c r="Q232" s="63">
        <v>0</v>
      </c>
      <c r="R232" s="64">
        <f>IFERROR(Q232/Q327, "NA")</f>
        <v>0</v>
      </c>
      <c r="T232" s="65">
        <f t="shared" si="6"/>
        <v>0</v>
      </c>
      <c r="U232" s="65">
        <f t="shared" si="7"/>
        <v>0</v>
      </c>
    </row>
    <row r="233" spans="1:21" x14ac:dyDescent="0.25">
      <c r="A233" s="61" t="s">
        <v>257</v>
      </c>
      <c r="J233" s="62"/>
      <c r="K233" s="63">
        <v>166.84</v>
      </c>
      <c r="L233" s="64">
        <f>IFERROR(K233/K327, "NA")</f>
        <v>1.8291340979605024E-4</v>
      </c>
      <c r="M233" s="62"/>
      <c r="N233" s="63">
        <v>0</v>
      </c>
      <c r="O233" s="64">
        <f>IFERROR(N233/N327, "NA")</f>
        <v>0</v>
      </c>
      <c r="P233" s="62"/>
      <c r="Q233" s="63">
        <v>91.43</v>
      </c>
      <c r="R233" s="64">
        <f>IFERROR(Q233/Q327, "NA")</f>
        <v>8.2803886118691512E-5</v>
      </c>
      <c r="T233" s="65">
        <f t="shared" si="6"/>
        <v>258.27</v>
      </c>
      <c r="U233" s="65">
        <f t="shared" si="7"/>
        <v>4.9667307692307689</v>
      </c>
    </row>
    <row r="234" spans="1:21" x14ac:dyDescent="0.25">
      <c r="A234" s="61" t="s">
        <v>258</v>
      </c>
      <c r="J234" s="62"/>
      <c r="K234" s="63">
        <v>179.3</v>
      </c>
      <c r="L234" s="64">
        <f>IFERROR(K234/K327, "NA")</f>
        <v>1.9657380949671428E-4</v>
      </c>
      <c r="M234" s="62"/>
      <c r="N234" s="63">
        <v>0</v>
      </c>
      <c r="O234" s="64">
        <f>IFERROR(N234/N327, "NA")</f>
        <v>0</v>
      </c>
      <c r="P234" s="62"/>
      <c r="Q234" s="63">
        <v>0</v>
      </c>
      <c r="R234" s="64">
        <f>IFERROR(Q234/Q327, "NA")</f>
        <v>0</v>
      </c>
      <c r="T234" s="65">
        <f t="shared" si="6"/>
        <v>179.3</v>
      </c>
      <c r="U234" s="65">
        <f t="shared" si="7"/>
        <v>3.4480769230769233</v>
      </c>
    </row>
    <row r="235" spans="1:21" x14ac:dyDescent="0.25">
      <c r="A235" s="61" t="s">
        <v>259</v>
      </c>
      <c r="J235" s="62"/>
      <c r="K235" s="63">
        <v>1198.58</v>
      </c>
      <c r="L235" s="64">
        <f>IFERROR(K235/K327, "NA")</f>
        <v>1.3140515147048062E-3</v>
      </c>
      <c r="M235" s="62"/>
      <c r="N235" s="63">
        <v>307.58</v>
      </c>
      <c r="O235" s="64">
        <f>IFERROR(N235/N327, "NA")</f>
        <v>2.1342827595611331E-4</v>
      </c>
      <c r="P235" s="62"/>
      <c r="Q235" s="63">
        <v>378.43</v>
      </c>
      <c r="R235" s="64">
        <f>IFERROR(Q235/Q327, "NA")</f>
        <v>3.4272639859888904E-4</v>
      </c>
      <c r="T235" s="65">
        <f t="shared" si="6"/>
        <v>1884.59</v>
      </c>
      <c r="U235" s="65">
        <f t="shared" si="7"/>
        <v>36.242115384615381</v>
      </c>
    </row>
    <row r="236" spans="1:21" x14ac:dyDescent="0.25">
      <c r="A236" s="61" t="s">
        <v>260</v>
      </c>
      <c r="J236" s="62"/>
      <c r="K236" s="63">
        <v>37322.81</v>
      </c>
      <c r="L236" s="64">
        <f>IFERROR(K236/K327, "NA")</f>
        <v>4.0918499402242396E-2</v>
      </c>
      <c r="M236" s="62"/>
      <c r="N236" s="63">
        <v>37322.81</v>
      </c>
      <c r="O236" s="64">
        <f>IFERROR(N236/N327, "NA")</f>
        <v>2.5898117537348282E-2</v>
      </c>
      <c r="P236" s="62"/>
      <c r="Q236" s="63">
        <v>37322.81</v>
      </c>
      <c r="R236" s="64">
        <f>IFERROR(Q236/Q327, "NA")</f>
        <v>3.3801528041885159E-2</v>
      </c>
      <c r="T236" s="65">
        <f t="shared" si="6"/>
        <v>111968.43</v>
      </c>
      <c r="U236" s="65">
        <f t="shared" si="7"/>
        <v>2153.2390384615383</v>
      </c>
    </row>
    <row r="237" spans="1:21" x14ac:dyDescent="0.25">
      <c r="A237" s="61" t="s">
        <v>261</v>
      </c>
      <c r="J237" s="62"/>
      <c r="K237" s="63">
        <v>2882</v>
      </c>
      <c r="L237" s="64">
        <f>IFERROR(K237/K327, "NA")</f>
        <v>3.1596526434441189E-3</v>
      </c>
      <c r="M237" s="62"/>
      <c r="N237" s="63">
        <v>4697.51</v>
      </c>
      <c r="O237" s="64">
        <f>IFERROR(N237/N327, "NA")</f>
        <v>3.2595794934215552E-3</v>
      </c>
      <c r="P237" s="62"/>
      <c r="Q237" s="63">
        <v>5045.37</v>
      </c>
      <c r="R237" s="64">
        <f>IFERROR(Q237/Q327, "NA")</f>
        <v>4.5693562606000495E-3</v>
      </c>
      <c r="T237" s="65">
        <f t="shared" si="6"/>
        <v>12624.880000000001</v>
      </c>
      <c r="U237" s="65">
        <f t="shared" si="7"/>
        <v>242.78615384615387</v>
      </c>
    </row>
    <row r="238" spans="1:21" x14ac:dyDescent="0.25">
      <c r="A238" s="61" t="s">
        <v>262</v>
      </c>
      <c r="J238" s="62"/>
      <c r="K238" s="63">
        <v>128.91999999999999</v>
      </c>
      <c r="L238" s="64">
        <f>IFERROR(K238/K327, "NA")</f>
        <v>1.4134018695101172E-4</v>
      </c>
      <c r="M238" s="62"/>
      <c r="N238" s="63">
        <v>0</v>
      </c>
      <c r="O238" s="64">
        <f>IFERROR(N238/N327, "NA")</f>
        <v>0</v>
      </c>
      <c r="P238" s="62"/>
      <c r="Q238" s="63">
        <v>0</v>
      </c>
      <c r="R238" s="64">
        <f>IFERROR(Q238/Q327, "NA")</f>
        <v>0</v>
      </c>
      <c r="T238" s="65">
        <f t="shared" si="6"/>
        <v>128.91999999999999</v>
      </c>
      <c r="U238" s="65">
        <f t="shared" si="7"/>
        <v>2.4792307692307691</v>
      </c>
    </row>
    <row r="239" spans="1:21" x14ac:dyDescent="0.25">
      <c r="A239" s="61" t="s">
        <v>263</v>
      </c>
      <c r="J239" s="62"/>
      <c r="K239" s="63">
        <v>690</v>
      </c>
      <c r="L239" s="64">
        <f>IFERROR(K239/K327, "NA")</f>
        <v>7.5647478278155521E-4</v>
      </c>
      <c r="M239" s="62"/>
      <c r="N239" s="63">
        <v>705</v>
      </c>
      <c r="O239" s="64">
        <f>IFERROR(N239/N327, "NA")</f>
        <v>4.8919609385870305E-4</v>
      </c>
      <c r="P239" s="62"/>
      <c r="Q239" s="63">
        <v>690</v>
      </c>
      <c r="R239" s="64">
        <f>IFERROR(Q239/Q327, "NA")</f>
        <v>6.2490081397678155E-4</v>
      </c>
      <c r="T239" s="65">
        <f t="shared" si="6"/>
        <v>2085</v>
      </c>
      <c r="U239" s="65">
        <f t="shared" si="7"/>
        <v>40.096153846153847</v>
      </c>
    </row>
    <row r="240" spans="1:21" ht="31.5" x14ac:dyDescent="0.25">
      <c r="A240" s="61" t="s">
        <v>264</v>
      </c>
      <c r="J240" s="62"/>
      <c r="K240" s="63">
        <v>0</v>
      </c>
      <c r="L240" s="64">
        <f>IFERROR(K240/K327, "NA")</f>
        <v>0</v>
      </c>
      <c r="M240" s="62"/>
      <c r="N240" s="63">
        <v>0</v>
      </c>
      <c r="O240" s="64">
        <f>IFERROR(N240/N327, "NA")</f>
        <v>0</v>
      </c>
      <c r="P240" s="62"/>
      <c r="Q240" s="63">
        <v>0</v>
      </c>
      <c r="R240" s="64">
        <f>IFERROR(Q240/Q327, "NA")</f>
        <v>0</v>
      </c>
      <c r="T240" s="65">
        <f t="shared" si="6"/>
        <v>0</v>
      </c>
      <c r="U240" s="65">
        <f t="shared" si="7"/>
        <v>0</v>
      </c>
    </row>
    <row r="241" spans="1:21" x14ac:dyDescent="0.25">
      <c r="A241" s="66" t="s">
        <v>265</v>
      </c>
      <c r="J241" s="58"/>
      <c r="K241" s="67">
        <f>IFERROR(K214+K215+K216+K217+K218+K219+K220+K221+K222+K223+K224+K225+K226+K227+K228+K229+K230+K231+K232+K233+K234+K235+K236+K237+K238+K239+K240, "NA")</f>
        <v>102770.61999999998</v>
      </c>
      <c r="L241" s="68">
        <f>IFERROR(K241/K327, "NA")</f>
        <v>0.1126715687548199</v>
      </c>
      <c r="M241" s="58"/>
      <c r="N241" s="67">
        <f>IFERROR(N214+N215+N216+N217+N218+N219+N220+N221+N222+N223+N224+N225+N226+N227+N228+N229+N230+N231+N232+N233+N234+N235+N236+N237+N238+N239+N240, "NA")</f>
        <v>107990.13999999998</v>
      </c>
      <c r="O241" s="68">
        <f>IFERROR(N241/N327, "NA")</f>
        <v>7.4933836401779391E-2</v>
      </c>
      <c r="P241" s="58"/>
      <c r="Q241" s="67">
        <f>IFERROR(Q214+Q215+Q216+Q217+Q218+Q219+Q220+Q221+Q222+Q223+Q224+Q225+Q226+Q227+Q228+Q229+Q230+Q231+Q232+Q233+Q234+Q235+Q236+Q237+Q238+Q239+Q240, "NA")</f>
        <v>113034.98999999996</v>
      </c>
      <c r="R241" s="68">
        <f>IFERROR(Q241/Q327, "NA")</f>
        <v>0.10237051776645992</v>
      </c>
      <c r="T241" s="65">
        <f t="shared" si="6"/>
        <v>323795.74999999988</v>
      </c>
      <c r="U241" s="65">
        <f t="shared" si="7"/>
        <v>6226.8413461538439</v>
      </c>
    </row>
    <row r="242" spans="1:21" x14ac:dyDescent="0.25">
      <c r="A242" s="60" t="s">
        <v>266</v>
      </c>
      <c r="J242" s="57"/>
      <c r="K242" s="58"/>
      <c r="L242" s="59"/>
      <c r="M242" s="57"/>
      <c r="N242" s="58"/>
      <c r="O242" s="59"/>
      <c r="P242" s="57"/>
      <c r="Q242" s="58"/>
      <c r="R242" s="59"/>
      <c r="T242" s="65">
        <f t="shared" si="6"/>
        <v>0</v>
      </c>
      <c r="U242" s="65">
        <f t="shared" si="7"/>
        <v>0</v>
      </c>
    </row>
    <row r="243" spans="1:21" x14ac:dyDescent="0.25">
      <c r="A243" s="61" t="s">
        <v>267</v>
      </c>
      <c r="J243" s="62"/>
      <c r="K243" s="63">
        <v>0</v>
      </c>
      <c r="L243" s="64">
        <f>IFERROR(K243/K327, "NA")</f>
        <v>0</v>
      </c>
      <c r="M243" s="62"/>
      <c r="N243" s="63">
        <v>0</v>
      </c>
      <c r="O243" s="64">
        <f>IFERROR(N243/N327, "NA")</f>
        <v>0</v>
      </c>
      <c r="P243" s="62"/>
      <c r="Q243" s="63">
        <v>0</v>
      </c>
      <c r="R243" s="64">
        <f>IFERROR(Q243/Q327, "NA")</f>
        <v>0</v>
      </c>
      <c r="T243" s="65">
        <f t="shared" si="6"/>
        <v>0</v>
      </c>
      <c r="U243" s="65">
        <f t="shared" si="7"/>
        <v>0</v>
      </c>
    </row>
    <row r="244" spans="1:21" x14ac:dyDescent="0.25">
      <c r="A244" s="61" t="s">
        <v>268</v>
      </c>
      <c r="J244" s="62"/>
      <c r="K244" s="63">
        <v>885.43</v>
      </c>
      <c r="L244" s="64">
        <f>IFERROR(K244/K327, "NA")</f>
        <v>9.7073256075111934E-4</v>
      </c>
      <c r="M244" s="62"/>
      <c r="N244" s="63">
        <v>631.29999999999995</v>
      </c>
      <c r="O244" s="64">
        <f>IFERROR(N244/N327, "NA")</f>
        <v>4.380560199333322E-4</v>
      </c>
      <c r="P244" s="62"/>
      <c r="Q244" s="63">
        <v>619.82000000000005</v>
      </c>
      <c r="R244" s="64">
        <f>IFERROR(Q244/Q327, "NA")</f>
        <v>5.6134206162186781E-4</v>
      </c>
      <c r="T244" s="65">
        <f t="shared" si="6"/>
        <v>2136.5500000000002</v>
      </c>
      <c r="U244" s="65">
        <f t="shared" si="7"/>
        <v>41.087500000000006</v>
      </c>
    </row>
    <row r="245" spans="1:21" x14ac:dyDescent="0.25">
      <c r="A245" s="61" t="s">
        <v>269</v>
      </c>
      <c r="J245" s="62"/>
      <c r="K245" s="63">
        <v>1343.39</v>
      </c>
      <c r="L245" s="64">
        <f>IFERROR(K245/K327, "NA")</f>
        <v>1.4728125484650919E-3</v>
      </c>
      <c r="M245" s="62"/>
      <c r="N245" s="63">
        <v>854.96</v>
      </c>
      <c r="O245" s="64">
        <f>IFERROR(N245/N327, "NA")</f>
        <v>5.9325261334104511E-4</v>
      </c>
      <c r="P245" s="62"/>
      <c r="Q245" s="63">
        <v>751.21</v>
      </c>
      <c r="R245" s="64">
        <f>IFERROR(Q245/Q327, "NA")</f>
        <v>6.8033585574999724E-4</v>
      </c>
      <c r="T245" s="65">
        <f t="shared" si="6"/>
        <v>2949.5600000000004</v>
      </c>
      <c r="U245" s="65">
        <f t="shared" si="7"/>
        <v>56.722307692307702</v>
      </c>
    </row>
    <row r="246" spans="1:21" x14ac:dyDescent="0.25">
      <c r="A246" s="61" t="s">
        <v>270</v>
      </c>
      <c r="J246" s="62"/>
      <c r="K246" s="63">
        <v>0</v>
      </c>
      <c r="L246" s="64">
        <f>IFERROR(K246/K327, "NA")</f>
        <v>0</v>
      </c>
      <c r="M246" s="62"/>
      <c r="N246" s="63">
        <v>0</v>
      </c>
      <c r="O246" s="64">
        <f>IFERROR(N246/N327, "NA")</f>
        <v>0</v>
      </c>
      <c r="P246" s="62"/>
      <c r="Q246" s="63">
        <v>0</v>
      </c>
      <c r="R246" s="64">
        <f>IFERROR(Q246/Q327, "NA")</f>
        <v>0</v>
      </c>
      <c r="T246" s="65">
        <f t="shared" si="6"/>
        <v>0</v>
      </c>
      <c r="U246" s="65">
        <f t="shared" si="7"/>
        <v>0</v>
      </c>
    </row>
    <row r="247" spans="1:21" x14ac:dyDescent="0.25">
      <c r="A247" s="61" t="s">
        <v>271</v>
      </c>
      <c r="J247" s="62"/>
      <c r="K247" s="63">
        <v>3486.35</v>
      </c>
      <c r="L247" s="64">
        <f>IFERROR(K247/K327, "NA")</f>
        <v>3.8222258825369201E-3</v>
      </c>
      <c r="M247" s="62"/>
      <c r="N247" s="63">
        <v>4174.5</v>
      </c>
      <c r="O247" s="64">
        <f>IFERROR(N247/N327, "NA")</f>
        <v>2.8966653812952567E-3</v>
      </c>
      <c r="P247" s="62"/>
      <c r="Q247" s="63">
        <v>4750.3100000000004</v>
      </c>
      <c r="R247" s="64">
        <f>IFERROR(Q247/Q327, "NA")</f>
        <v>4.3021341820899213E-3</v>
      </c>
      <c r="T247" s="65">
        <f t="shared" si="6"/>
        <v>12411.16</v>
      </c>
      <c r="U247" s="65">
        <f t="shared" si="7"/>
        <v>238.67615384615385</v>
      </c>
    </row>
    <row r="248" spans="1:21" x14ac:dyDescent="0.25">
      <c r="A248" s="61" t="s">
        <v>272</v>
      </c>
      <c r="J248" s="62"/>
      <c r="K248" s="63">
        <v>1084.22</v>
      </c>
      <c r="L248" s="64">
        <f>IFERROR(K248/K327, "NA")</f>
        <v>1.1886740420107504E-3</v>
      </c>
      <c r="M248" s="62"/>
      <c r="N248" s="63">
        <v>405.24</v>
      </c>
      <c r="O248" s="64">
        <f>IFERROR(N248/N327, "NA")</f>
        <v>2.8119407812099407E-4</v>
      </c>
      <c r="P248" s="62"/>
      <c r="Q248" s="63">
        <v>940.88</v>
      </c>
      <c r="R248" s="64">
        <f>IFERROR(Q248/Q327, "NA")</f>
        <v>8.5211112732532499E-4</v>
      </c>
      <c r="T248" s="65">
        <f t="shared" si="6"/>
        <v>2430.34</v>
      </c>
      <c r="U248" s="65">
        <f t="shared" si="7"/>
        <v>46.737307692307695</v>
      </c>
    </row>
    <row r="249" spans="1:21" x14ac:dyDescent="0.25">
      <c r="A249" s="61" t="s">
        <v>273</v>
      </c>
      <c r="J249" s="62"/>
      <c r="K249" s="63">
        <v>6800.6</v>
      </c>
      <c r="L249" s="64">
        <f>IFERROR(K249/K327, "NA")</f>
        <v>7.4557716054844125E-3</v>
      </c>
      <c r="M249" s="62"/>
      <c r="N249" s="63">
        <v>1972.32</v>
      </c>
      <c r="O249" s="64">
        <f>IFERROR(N249/N327, "NA")</f>
        <v>1.3685833189211306E-3</v>
      </c>
      <c r="P249" s="62"/>
      <c r="Q249" s="63">
        <v>1972.66</v>
      </c>
      <c r="R249" s="64">
        <f>IFERROR(Q249/Q327, "NA")</f>
        <v>1.7865461444919392E-3</v>
      </c>
      <c r="T249" s="65">
        <f t="shared" si="6"/>
        <v>10745.58</v>
      </c>
      <c r="U249" s="65">
        <f t="shared" si="7"/>
        <v>206.64576923076922</v>
      </c>
    </row>
    <row r="250" spans="1:21" x14ac:dyDescent="0.25">
      <c r="A250" s="61" t="s">
        <v>274</v>
      </c>
      <c r="J250" s="62"/>
      <c r="K250" s="63">
        <v>3910</v>
      </c>
      <c r="L250" s="64">
        <f>IFERROR(K250/K327, "NA")</f>
        <v>4.2866904357621461E-3</v>
      </c>
      <c r="M250" s="62"/>
      <c r="N250" s="63">
        <v>2206.16</v>
      </c>
      <c r="O250" s="64">
        <f>IFERROR(N250/N327, "NA")</f>
        <v>1.5308437651451294E-3</v>
      </c>
      <c r="P250" s="62"/>
      <c r="Q250" s="63">
        <v>-3910</v>
      </c>
      <c r="R250" s="64">
        <f>IFERROR(Q250/Q327, "NA")</f>
        <v>-3.5411046125350958E-3</v>
      </c>
      <c r="T250" s="65">
        <f t="shared" si="6"/>
        <v>2206.16</v>
      </c>
      <c r="U250" s="65">
        <f t="shared" si="7"/>
        <v>42.426153846153845</v>
      </c>
    </row>
    <row r="251" spans="1:21" x14ac:dyDescent="0.25">
      <c r="A251" s="61" t="s">
        <v>275</v>
      </c>
      <c r="J251" s="62"/>
      <c r="K251" s="63">
        <v>0</v>
      </c>
      <c r="L251" s="64">
        <f>IFERROR(K251/K327, "NA")</f>
        <v>0</v>
      </c>
      <c r="M251" s="62"/>
      <c r="N251" s="63">
        <v>0</v>
      </c>
      <c r="O251" s="64">
        <f>IFERROR(N251/N327, "NA")</f>
        <v>0</v>
      </c>
      <c r="P251" s="62"/>
      <c r="Q251" s="63">
        <v>0</v>
      </c>
      <c r="R251" s="64">
        <f>IFERROR(Q251/Q327, "NA")</f>
        <v>0</v>
      </c>
      <c r="T251" s="65">
        <f t="shared" si="6"/>
        <v>0</v>
      </c>
      <c r="U251" s="65">
        <f t="shared" si="7"/>
        <v>0</v>
      </c>
    </row>
    <row r="252" spans="1:21" x14ac:dyDescent="0.25">
      <c r="A252" s="66" t="s">
        <v>276</v>
      </c>
      <c r="J252" s="58"/>
      <c r="K252" s="67">
        <f>IFERROR(K243+K244+K245+K246+K247+K248+K249+K250+K251, "NA")</f>
        <v>17509.990000000002</v>
      </c>
      <c r="L252" s="68">
        <f>IFERROR(K252/K327, "NA")</f>
        <v>1.9196907075010441E-2</v>
      </c>
      <c r="M252" s="58"/>
      <c r="N252" s="67">
        <f>IFERROR(N243+N244+N245+N246+N247+N248+N249+N250+N251, "NA")</f>
        <v>10244.48</v>
      </c>
      <c r="O252" s="68">
        <f>IFERROR(N252/N327, "NA")</f>
        <v>7.1085951767568883E-3</v>
      </c>
      <c r="P252" s="58"/>
      <c r="Q252" s="67">
        <f>IFERROR(Q243+Q244+Q245+Q246+Q247+Q248+Q249+Q250+Q251, "NA")</f>
        <v>5124.880000000001</v>
      </c>
      <c r="R252" s="68">
        <f>IFERROR(Q252/Q327, "NA")</f>
        <v>4.6413647587439551E-3</v>
      </c>
      <c r="T252" s="65">
        <f t="shared" si="6"/>
        <v>32879.350000000006</v>
      </c>
      <c r="U252" s="65">
        <f t="shared" si="7"/>
        <v>632.29519230769245</v>
      </c>
    </row>
    <row r="253" spans="1:21" x14ac:dyDescent="0.25">
      <c r="A253" s="60" t="s">
        <v>277</v>
      </c>
      <c r="J253" s="57"/>
      <c r="K253" s="58"/>
      <c r="L253" s="59"/>
      <c r="M253" s="57"/>
      <c r="N253" s="58"/>
      <c r="O253" s="59"/>
      <c r="P253" s="57"/>
      <c r="Q253" s="58"/>
      <c r="R253" s="59"/>
      <c r="T253" s="65">
        <f t="shared" si="6"/>
        <v>0</v>
      </c>
      <c r="U253" s="65">
        <f t="shared" si="7"/>
        <v>0</v>
      </c>
    </row>
    <row r="254" spans="1:21" x14ac:dyDescent="0.25">
      <c r="A254" s="61" t="s">
        <v>278</v>
      </c>
      <c r="J254" s="62"/>
      <c r="K254" s="63">
        <v>0</v>
      </c>
      <c r="L254" s="64">
        <f>IFERROR(K254/K327, "NA")</f>
        <v>0</v>
      </c>
      <c r="M254" s="62"/>
      <c r="N254" s="63">
        <v>0</v>
      </c>
      <c r="O254" s="64">
        <f>IFERROR(N254/N327, "NA")</f>
        <v>0</v>
      </c>
      <c r="P254" s="62"/>
      <c r="Q254" s="63">
        <v>0</v>
      </c>
      <c r="R254" s="64">
        <f>IFERROR(Q254/Q327, "NA")</f>
        <v>0</v>
      </c>
      <c r="T254" s="65">
        <f t="shared" si="6"/>
        <v>0</v>
      </c>
      <c r="U254" s="65">
        <f t="shared" si="7"/>
        <v>0</v>
      </c>
    </row>
    <row r="255" spans="1:21" x14ac:dyDescent="0.25">
      <c r="A255" s="61" t="s">
        <v>279</v>
      </c>
      <c r="J255" s="62"/>
      <c r="K255" s="63">
        <v>0</v>
      </c>
      <c r="L255" s="64">
        <f>IFERROR(K255/K327, "NA")</f>
        <v>0</v>
      </c>
      <c r="M255" s="62"/>
      <c r="N255" s="63">
        <v>0</v>
      </c>
      <c r="O255" s="64">
        <f>IFERROR(N255/N327, "NA")</f>
        <v>0</v>
      </c>
      <c r="P255" s="62"/>
      <c r="Q255" s="63">
        <v>0</v>
      </c>
      <c r="R255" s="64">
        <f>IFERROR(Q255/Q327, "NA")</f>
        <v>0</v>
      </c>
      <c r="T255" s="65">
        <f t="shared" si="6"/>
        <v>0</v>
      </c>
      <c r="U255" s="65">
        <f t="shared" si="7"/>
        <v>0</v>
      </c>
    </row>
    <row r="256" spans="1:21" x14ac:dyDescent="0.25">
      <c r="A256" s="61" t="s">
        <v>280</v>
      </c>
      <c r="J256" s="62"/>
      <c r="K256" s="63">
        <v>54103.07</v>
      </c>
      <c r="L256" s="64">
        <f>IFERROR(K256/K327, "NA")</f>
        <v>5.9315374095746776E-2</v>
      </c>
      <c r="M256" s="62"/>
      <c r="N256" s="63">
        <v>39579.199999999997</v>
      </c>
      <c r="O256" s="64">
        <f>IFERROR(N256/N327, "NA")</f>
        <v>2.7463815656811885E-2</v>
      </c>
      <c r="P256" s="62"/>
      <c r="Q256" s="63">
        <v>0</v>
      </c>
      <c r="R256" s="64">
        <f>IFERROR(Q256/Q327, "NA")</f>
        <v>0</v>
      </c>
      <c r="T256" s="65">
        <f t="shared" si="6"/>
        <v>93682.26999999999</v>
      </c>
      <c r="U256" s="65">
        <f t="shared" si="7"/>
        <v>1801.5821153846152</v>
      </c>
    </row>
    <row r="257" spans="1:21" x14ac:dyDescent="0.25">
      <c r="A257" s="61" t="s">
        <v>281</v>
      </c>
      <c r="J257" s="62"/>
      <c r="K257" s="63">
        <v>0</v>
      </c>
      <c r="L257" s="64">
        <f>IFERROR(K257/K327, "NA")</f>
        <v>0</v>
      </c>
      <c r="M257" s="62"/>
      <c r="N257" s="63">
        <v>0</v>
      </c>
      <c r="O257" s="64">
        <f>IFERROR(N257/N327, "NA")</f>
        <v>0</v>
      </c>
      <c r="P257" s="62"/>
      <c r="Q257" s="63">
        <v>0</v>
      </c>
      <c r="R257" s="64">
        <f>IFERROR(Q257/Q327, "NA")</f>
        <v>0</v>
      </c>
      <c r="T257" s="65">
        <f t="shared" si="6"/>
        <v>0</v>
      </c>
      <c r="U257" s="65">
        <f t="shared" si="7"/>
        <v>0</v>
      </c>
    </row>
    <row r="258" spans="1:21" x14ac:dyDescent="0.25">
      <c r="A258" s="61" t="s">
        <v>282</v>
      </c>
      <c r="J258" s="62"/>
      <c r="K258" s="63">
        <v>13858.9</v>
      </c>
      <c r="L258" s="64">
        <f>IFERROR(K258/K327, "NA")</f>
        <v>1.519407009723376E-2</v>
      </c>
      <c r="M258" s="62"/>
      <c r="N258" s="63">
        <v>13858.9</v>
      </c>
      <c r="O258" s="64">
        <f>IFERROR(N258/N327, "NA")</f>
        <v>9.6166237520260711E-3</v>
      </c>
      <c r="P258" s="62"/>
      <c r="Q258" s="63">
        <v>0</v>
      </c>
      <c r="R258" s="64">
        <f>IFERROR(Q258/Q327, "NA")</f>
        <v>0</v>
      </c>
      <c r="T258" s="65">
        <f t="shared" si="6"/>
        <v>27717.8</v>
      </c>
      <c r="U258" s="65">
        <f t="shared" si="7"/>
        <v>533.03461538461534</v>
      </c>
    </row>
    <row r="259" spans="1:21" x14ac:dyDescent="0.25">
      <c r="A259" s="61" t="s">
        <v>283</v>
      </c>
      <c r="J259" s="62"/>
      <c r="K259" s="63">
        <v>0</v>
      </c>
      <c r="L259" s="64">
        <f>IFERROR(K259/K327, "NA")</f>
        <v>0</v>
      </c>
      <c r="M259" s="62"/>
      <c r="N259" s="63">
        <v>0</v>
      </c>
      <c r="O259" s="64">
        <f>IFERROR(N259/N327, "NA")</f>
        <v>0</v>
      </c>
      <c r="P259" s="62"/>
      <c r="Q259" s="63">
        <v>0</v>
      </c>
      <c r="R259" s="64">
        <f>IFERROR(Q259/Q327, "NA")</f>
        <v>0</v>
      </c>
      <c r="T259" s="65">
        <f t="shared" si="6"/>
        <v>0</v>
      </c>
      <c r="U259" s="65">
        <f t="shared" si="7"/>
        <v>0</v>
      </c>
    </row>
    <row r="260" spans="1:21" x14ac:dyDescent="0.25">
      <c r="A260" s="61" t="s">
        <v>284</v>
      </c>
      <c r="J260" s="62"/>
      <c r="K260" s="63">
        <v>0</v>
      </c>
      <c r="L260" s="64">
        <f>IFERROR(K260/K327, "NA")</f>
        <v>0</v>
      </c>
      <c r="M260" s="62"/>
      <c r="N260" s="63">
        <v>0</v>
      </c>
      <c r="O260" s="64">
        <f>IFERROR(N260/N327, "NA")</f>
        <v>0</v>
      </c>
      <c r="P260" s="62"/>
      <c r="Q260" s="63">
        <v>0</v>
      </c>
      <c r="R260" s="64">
        <f>IFERROR(Q260/Q327, "NA")</f>
        <v>0</v>
      </c>
      <c r="T260" s="65">
        <f t="shared" si="6"/>
        <v>0</v>
      </c>
      <c r="U260" s="65">
        <f t="shared" si="7"/>
        <v>0</v>
      </c>
    </row>
    <row r="261" spans="1:21" x14ac:dyDescent="0.25">
      <c r="A261" s="61" t="s">
        <v>285</v>
      </c>
      <c r="J261" s="62"/>
      <c r="K261" s="63">
        <v>34600.620000000003</v>
      </c>
      <c r="L261" s="64">
        <f>IFERROR(K261/K327, "NA")</f>
        <v>3.7934052896532081E-2</v>
      </c>
      <c r="M261" s="62"/>
      <c r="N261" s="63">
        <v>34679.660000000003</v>
      </c>
      <c r="O261" s="64">
        <f>IFERROR(N261/N327, "NA")</f>
        <v>2.4064048522479307E-2</v>
      </c>
      <c r="P261" s="62"/>
      <c r="Q261" s="63">
        <v>34758.910000000003</v>
      </c>
      <c r="R261" s="64">
        <f>IFERROR(Q261/Q327, "NA")</f>
        <v>3.1479523408616948E-2</v>
      </c>
      <c r="T261" s="65">
        <f t="shared" si="6"/>
        <v>104039.19</v>
      </c>
      <c r="U261" s="65">
        <f t="shared" si="7"/>
        <v>2000.7536538461538</v>
      </c>
    </row>
    <row r="262" spans="1:21" x14ac:dyDescent="0.25">
      <c r="A262" s="61" t="s">
        <v>286</v>
      </c>
      <c r="J262" s="62"/>
      <c r="K262" s="63">
        <v>2886.37</v>
      </c>
      <c r="L262" s="64">
        <f>IFERROR(K262/K327, "NA")</f>
        <v>3.1644436504017354E-3</v>
      </c>
      <c r="M262" s="62"/>
      <c r="N262" s="63">
        <v>2807.32</v>
      </c>
      <c r="O262" s="64">
        <f>IFERROR(N262/N327, "NA")</f>
        <v>1.9479857846970417E-3</v>
      </c>
      <c r="P262" s="62"/>
      <c r="Q262" s="63">
        <v>2728.08</v>
      </c>
      <c r="R262" s="64">
        <f>IFERROR(Q262/Q327, "NA")</f>
        <v>2.4706948008605483E-3</v>
      </c>
      <c r="T262" s="65">
        <f t="shared" si="6"/>
        <v>8421.77</v>
      </c>
      <c r="U262" s="65">
        <f t="shared" si="7"/>
        <v>161.95711538461541</v>
      </c>
    </row>
    <row r="263" spans="1:21" x14ac:dyDescent="0.25">
      <c r="A263" s="66" t="s">
        <v>287</v>
      </c>
      <c r="J263" s="58"/>
      <c r="K263" s="67">
        <f>IFERROR(K254+K255+K256+K257+K258+K259+K260+K261+K262, "NA")</f>
        <v>105448.95999999999</v>
      </c>
      <c r="L263" s="68">
        <f>IFERROR(K263/K327, "NA")</f>
        <v>0.11560794073991434</v>
      </c>
      <c r="M263" s="58"/>
      <c r="N263" s="67">
        <f>IFERROR(N254+N255+N256+N257+N258+N259+N260+N261+N262, "NA")</f>
        <v>90925.080000000016</v>
      </c>
      <c r="O263" s="68">
        <f>IFERROR(N263/N327, "NA")</f>
        <v>6.3092473716014313E-2</v>
      </c>
      <c r="P263" s="58"/>
      <c r="Q263" s="67">
        <f>IFERROR(Q254+Q255+Q256+Q257+Q258+Q259+Q260+Q261+Q262, "NA")</f>
        <v>37486.990000000005</v>
      </c>
      <c r="R263" s="68">
        <f>IFERROR(Q263/Q327, "NA")</f>
        <v>3.3950218209477502E-2</v>
      </c>
      <c r="T263" s="65">
        <f t="shared" si="6"/>
        <v>233861.03000000003</v>
      </c>
      <c r="U263" s="65">
        <f t="shared" si="7"/>
        <v>4497.3275000000003</v>
      </c>
    </row>
    <row r="264" spans="1:21" x14ac:dyDescent="0.25">
      <c r="A264" s="60" t="s">
        <v>288</v>
      </c>
      <c r="J264" s="57"/>
      <c r="K264" s="58"/>
      <c r="L264" s="59"/>
      <c r="M264" s="57"/>
      <c r="N264" s="58"/>
      <c r="O264" s="59"/>
      <c r="P264" s="57"/>
      <c r="Q264" s="58"/>
      <c r="R264" s="59"/>
      <c r="T264" s="65">
        <f t="shared" si="6"/>
        <v>0</v>
      </c>
      <c r="U264" s="65">
        <f t="shared" si="7"/>
        <v>0</v>
      </c>
    </row>
    <row r="265" spans="1:21" x14ac:dyDescent="0.25">
      <c r="A265" s="61" t="s">
        <v>289</v>
      </c>
      <c r="J265" s="62"/>
      <c r="K265" s="63">
        <v>0</v>
      </c>
      <c r="L265" s="64">
        <f>IFERROR(K265/K327, "NA")</f>
        <v>0</v>
      </c>
      <c r="M265" s="62"/>
      <c r="N265" s="63">
        <v>0</v>
      </c>
      <c r="O265" s="64">
        <f>IFERROR(N265/N327, "NA")</f>
        <v>0</v>
      </c>
      <c r="P265" s="62"/>
      <c r="Q265" s="63">
        <v>0</v>
      </c>
      <c r="R265" s="64">
        <f>IFERROR(Q265/Q327, "NA")</f>
        <v>0</v>
      </c>
      <c r="T265" s="65">
        <f t="shared" ref="T265:T327" si="8">IFERROR(B265+E265+H265+K265+N265+Q265, "NA")</f>
        <v>0</v>
      </c>
      <c r="U265" s="65">
        <f t="shared" ref="U265:U327" si="9">(T265/$V$1)/4</f>
        <v>0</v>
      </c>
    </row>
    <row r="266" spans="1:21" x14ac:dyDescent="0.25">
      <c r="A266" s="61" t="s">
        <v>290</v>
      </c>
      <c r="J266" s="62"/>
      <c r="K266" s="63">
        <v>0</v>
      </c>
      <c r="L266" s="64">
        <f>IFERROR(K266/K327, "NA")</f>
        <v>0</v>
      </c>
      <c r="M266" s="62"/>
      <c r="N266" s="63">
        <v>0</v>
      </c>
      <c r="O266" s="64">
        <f>IFERROR(N266/N327, "NA")</f>
        <v>0</v>
      </c>
      <c r="P266" s="62"/>
      <c r="Q266" s="63">
        <v>0</v>
      </c>
      <c r="R266" s="64">
        <f>IFERROR(Q266/Q327, "NA")</f>
        <v>0</v>
      </c>
      <c r="T266" s="65">
        <f t="shared" si="8"/>
        <v>0</v>
      </c>
      <c r="U266" s="65">
        <f t="shared" si="9"/>
        <v>0</v>
      </c>
    </row>
    <row r="267" spans="1:21" ht="31.5" x14ac:dyDescent="0.25">
      <c r="A267" s="61" t="s">
        <v>291</v>
      </c>
      <c r="J267" s="62"/>
      <c r="K267" s="63">
        <v>0</v>
      </c>
      <c r="L267" s="64">
        <f>IFERROR(K267/K327, "NA")</f>
        <v>0</v>
      </c>
      <c r="M267" s="62"/>
      <c r="N267" s="63">
        <v>0</v>
      </c>
      <c r="O267" s="64">
        <f>IFERROR(N267/N327, "NA")</f>
        <v>0</v>
      </c>
      <c r="P267" s="62"/>
      <c r="Q267" s="63">
        <v>0</v>
      </c>
      <c r="R267" s="64">
        <f>IFERROR(Q267/Q327, "NA")</f>
        <v>0</v>
      </c>
      <c r="T267" s="65">
        <f t="shared" si="8"/>
        <v>0</v>
      </c>
      <c r="U267" s="65">
        <f t="shared" si="9"/>
        <v>0</v>
      </c>
    </row>
    <row r="268" spans="1:21" x14ac:dyDescent="0.25">
      <c r="A268" s="61" t="s">
        <v>292</v>
      </c>
      <c r="J268" s="62"/>
      <c r="K268" s="63">
        <v>-60</v>
      </c>
      <c r="L268" s="64">
        <f>IFERROR(K268/K327, "NA")</f>
        <v>-6.5780415894048282E-5</v>
      </c>
      <c r="M268" s="62"/>
      <c r="N268" s="63">
        <v>-60</v>
      </c>
      <c r="O268" s="64">
        <f>IFERROR(N268/N327, "NA")</f>
        <v>-4.1633710115634304E-5</v>
      </c>
      <c r="P268" s="62"/>
      <c r="Q268" s="63">
        <v>-76.010000000000005</v>
      </c>
      <c r="R268" s="64">
        <f>IFERROR(Q268/Q327, "NA")</f>
        <v>-6.8838711406340826E-5</v>
      </c>
      <c r="T268" s="65">
        <f t="shared" si="8"/>
        <v>-196.01</v>
      </c>
      <c r="U268" s="65">
        <f t="shared" si="9"/>
        <v>-3.7694230769230765</v>
      </c>
    </row>
    <row r="269" spans="1:21" x14ac:dyDescent="0.25">
      <c r="A269" s="61" t="s">
        <v>293</v>
      </c>
      <c r="J269" s="62"/>
      <c r="K269" s="63">
        <v>0</v>
      </c>
      <c r="L269" s="64">
        <f>IFERROR(K269/K327, "NA")</f>
        <v>0</v>
      </c>
      <c r="M269" s="62"/>
      <c r="N269" s="63">
        <v>0</v>
      </c>
      <c r="O269" s="64">
        <f>IFERROR(N269/N327, "NA")</f>
        <v>0</v>
      </c>
      <c r="P269" s="62"/>
      <c r="Q269" s="63">
        <v>0</v>
      </c>
      <c r="R269" s="64">
        <f>IFERROR(Q269/Q327, "NA")</f>
        <v>0</v>
      </c>
      <c r="T269" s="65">
        <f t="shared" si="8"/>
        <v>0</v>
      </c>
      <c r="U269" s="65">
        <f t="shared" si="9"/>
        <v>0</v>
      </c>
    </row>
    <row r="270" spans="1:21" x14ac:dyDescent="0.25">
      <c r="A270" s="61" t="s">
        <v>294</v>
      </c>
      <c r="J270" s="62"/>
      <c r="K270" s="63">
        <v>0</v>
      </c>
      <c r="L270" s="64">
        <f>IFERROR(K270/K327, "NA")</f>
        <v>0</v>
      </c>
      <c r="M270" s="62"/>
      <c r="N270" s="63">
        <v>0</v>
      </c>
      <c r="O270" s="64">
        <f>IFERROR(N270/N327, "NA")</f>
        <v>0</v>
      </c>
      <c r="P270" s="62"/>
      <c r="Q270" s="63">
        <v>0</v>
      </c>
      <c r="R270" s="64">
        <f>IFERROR(Q270/Q327, "NA")</f>
        <v>0</v>
      </c>
      <c r="T270" s="65">
        <f t="shared" si="8"/>
        <v>0</v>
      </c>
      <c r="U270" s="65">
        <f t="shared" si="9"/>
        <v>0</v>
      </c>
    </row>
    <row r="271" spans="1:21" x14ac:dyDescent="0.25">
      <c r="A271" s="61" t="s">
        <v>295</v>
      </c>
      <c r="J271" s="62"/>
      <c r="K271" s="63">
        <v>0</v>
      </c>
      <c r="L271" s="64">
        <f>IFERROR(K271/K327, "NA")</f>
        <v>0</v>
      </c>
      <c r="M271" s="62"/>
      <c r="N271" s="63">
        <v>0</v>
      </c>
      <c r="O271" s="64">
        <f>IFERROR(N271/N327, "NA")</f>
        <v>0</v>
      </c>
      <c r="P271" s="62"/>
      <c r="Q271" s="63">
        <v>0</v>
      </c>
      <c r="R271" s="64">
        <f>IFERROR(Q271/Q327, "NA")</f>
        <v>0</v>
      </c>
      <c r="T271" s="65">
        <f t="shared" si="8"/>
        <v>0</v>
      </c>
      <c r="U271" s="65">
        <f t="shared" si="9"/>
        <v>0</v>
      </c>
    </row>
    <row r="272" spans="1:21" x14ac:dyDescent="0.25">
      <c r="A272" s="61" t="s">
        <v>296</v>
      </c>
      <c r="J272" s="62"/>
      <c r="K272" s="63">
        <v>0</v>
      </c>
      <c r="L272" s="64">
        <f>IFERROR(K272/K327, "NA")</f>
        <v>0</v>
      </c>
      <c r="M272" s="62"/>
      <c r="N272" s="63">
        <v>0</v>
      </c>
      <c r="O272" s="64">
        <f>IFERROR(N272/N327, "NA")</f>
        <v>0</v>
      </c>
      <c r="P272" s="62"/>
      <c r="Q272" s="63">
        <v>0</v>
      </c>
      <c r="R272" s="64">
        <f>IFERROR(Q272/Q327, "NA")</f>
        <v>0</v>
      </c>
      <c r="T272" s="65">
        <f t="shared" si="8"/>
        <v>0</v>
      </c>
      <c r="U272" s="65">
        <f t="shared" si="9"/>
        <v>0</v>
      </c>
    </row>
    <row r="273" spans="1:21" x14ac:dyDescent="0.25">
      <c r="A273" s="61" t="s">
        <v>297</v>
      </c>
      <c r="J273" s="62"/>
      <c r="K273" s="63">
        <v>0</v>
      </c>
      <c r="L273" s="64">
        <f>IFERROR(K273/K327, "NA")</f>
        <v>0</v>
      </c>
      <c r="M273" s="62"/>
      <c r="N273" s="63">
        <v>0</v>
      </c>
      <c r="O273" s="64">
        <f>IFERROR(N273/N327, "NA")</f>
        <v>0</v>
      </c>
      <c r="P273" s="62"/>
      <c r="Q273" s="63">
        <v>0</v>
      </c>
      <c r="R273" s="64">
        <f>IFERROR(Q273/Q327, "NA")</f>
        <v>0</v>
      </c>
      <c r="T273" s="65">
        <f t="shared" si="8"/>
        <v>0</v>
      </c>
      <c r="U273" s="65">
        <f t="shared" si="9"/>
        <v>0</v>
      </c>
    </row>
    <row r="274" spans="1:21" x14ac:dyDescent="0.25">
      <c r="A274" s="61" t="s">
        <v>298</v>
      </c>
      <c r="J274" s="62"/>
      <c r="K274" s="63">
        <v>0</v>
      </c>
      <c r="L274" s="64">
        <f>IFERROR(K274/K327, "NA")</f>
        <v>0</v>
      </c>
      <c r="M274" s="62"/>
      <c r="N274" s="63">
        <v>0</v>
      </c>
      <c r="O274" s="64">
        <f>IFERROR(N274/N327, "NA")</f>
        <v>0</v>
      </c>
      <c r="P274" s="62"/>
      <c r="Q274" s="63">
        <v>0</v>
      </c>
      <c r="R274" s="64">
        <f>IFERROR(Q274/Q327, "NA")</f>
        <v>0</v>
      </c>
      <c r="T274" s="65">
        <f t="shared" si="8"/>
        <v>0</v>
      </c>
      <c r="U274" s="65">
        <f t="shared" si="9"/>
        <v>0</v>
      </c>
    </row>
    <row r="275" spans="1:21" x14ac:dyDescent="0.25">
      <c r="A275" s="61" t="s">
        <v>299</v>
      </c>
      <c r="J275" s="62"/>
      <c r="K275" s="63">
        <v>0</v>
      </c>
      <c r="L275" s="64">
        <f>IFERROR(K275/K327, "NA")</f>
        <v>0</v>
      </c>
      <c r="M275" s="62"/>
      <c r="N275" s="63">
        <v>0</v>
      </c>
      <c r="O275" s="64">
        <f>IFERROR(N275/N327, "NA")</f>
        <v>0</v>
      </c>
      <c r="P275" s="62"/>
      <c r="Q275" s="63">
        <v>0</v>
      </c>
      <c r="R275" s="64">
        <f>IFERROR(Q275/Q327, "NA")</f>
        <v>0</v>
      </c>
      <c r="T275" s="65">
        <f t="shared" si="8"/>
        <v>0</v>
      </c>
      <c r="U275" s="65">
        <f t="shared" si="9"/>
        <v>0</v>
      </c>
    </row>
    <row r="276" spans="1:21" x14ac:dyDescent="0.25">
      <c r="A276" s="61" t="s">
        <v>300</v>
      </c>
      <c r="J276" s="62"/>
      <c r="K276" s="63">
        <v>0</v>
      </c>
      <c r="L276" s="64">
        <f>IFERROR(K276/K327, "NA")</f>
        <v>0</v>
      </c>
      <c r="M276" s="62"/>
      <c r="N276" s="63">
        <v>0</v>
      </c>
      <c r="O276" s="64">
        <f>IFERROR(N276/N327, "NA")</f>
        <v>0</v>
      </c>
      <c r="P276" s="62"/>
      <c r="Q276" s="63">
        <v>0</v>
      </c>
      <c r="R276" s="64">
        <f>IFERROR(Q276/Q327, "NA")</f>
        <v>0</v>
      </c>
      <c r="T276" s="65">
        <f t="shared" si="8"/>
        <v>0</v>
      </c>
      <c r="U276" s="65">
        <f t="shared" si="9"/>
        <v>0</v>
      </c>
    </row>
    <row r="277" spans="1:21" x14ac:dyDescent="0.25">
      <c r="A277" s="61" t="s">
        <v>301</v>
      </c>
      <c r="J277" s="62"/>
      <c r="K277" s="63">
        <v>0</v>
      </c>
      <c r="L277" s="64">
        <f>IFERROR(K277/K327, "NA")</f>
        <v>0</v>
      </c>
      <c r="M277" s="62"/>
      <c r="N277" s="63">
        <v>0</v>
      </c>
      <c r="O277" s="64">
        <f>IFERROR(N277/N327, "NA")</f>
        <v>0</v>
      </c>
      <c r="P277" s="62"/>
      <c r="Q277" s="63">
        <v>0</v>
      </c>
      <c r="R277" s="64">
        <f>IFERROR(Q277/Q327, "NA")</f>
        <v>0</v>
      </c>
      <c r="T277" s="65">
        <f t="shared" si="8"/>
        <v>0</v>
      </c>
      <c r="U277" s="65">
        <f t="shared" si="9"/>
        <v>0</v>
      </c>
    </row>
    <row r="278" spans="1:21" x14ac:dyDescent="0.25">
      <c r="A278" s="61" t="s">
        <v>302</v>
      </c>
      <c r="J278" s="62"/>
      <c r="K278" s="63">
        <v>-30449.7</v>
      </c>
      <c r="L278" s="64">
        <f>IFERROR(K278/K327, "NA")</f>
        <v>-3.3383232164150033E-2</v>
      </c>
      <c r="M278" s="62"/>
      <c r="N278" s="63">
        <v>-46208.84</v>
      </c>
      <c r="O278" s="64">
        <f>IFERROR(N278/N327, "NA")</f>
        <v>-3.2064090822328778E-2</v>
      </c>
      <c r="P278" s="62"/>
      <c r="Q278" s="63">
        <v>-34410.81</v>
      </c>
      <c r="R278" s="64">
        <f>IFERROR(Q278/Q327, "NA")</f>
        <v>-3.1164265476232425E-2</v>
      </c>
      <c r="T278" s="65">
        <f t="shared" si="8"/>
        <v>-111069.34999999999</v>
      </c>
      <c r="U278" s="65">
        <f t="shared" si="9"/>
        <v>-2135.9490384615383</v>
      </c>
    </row>
    <row r="279" spans="1:21" x14ac:dyDescent="0.25">
      <c r="A279" s="61" t="s">
        <v>303</v>
      </c>
      <c r="J279" s="62"/>
      <c r="K279" s="63">
        <v>0</v>
      </c>
      <c r="L279" s="64">
        <f>IFERROR(K279/K327, "NA")</f>
        <v>0</v>
      </c>
      <c r="M279" s="62"/>
      <c r="N279" s="63">
        <v>0</v>
      </c>
      <c r="O279" s="64">
        <f>IFERROR(N279/N327, "NA")</f>
        <v>0</v>
      </c>
      <c r="P279" s="62"/>
      <c r="Q279" s="63">
        <v>0</v>
      </c>
      <c r="R279" s="64">
        <f>IFERROR(Q279/Q327, "NA")</f>
        <v>0</v>
      </c>
      <c r="T279" s="65">
        <f t="shared" si="8"/>
        <v>0</v>
      </c>
      <c r="U279" s="65">
        <f t="shared" si="9"/>
        <v>0</v>
      </c>
    </row>
    <row r="280" spans="1:21" x14ac:dyDescent="0.25">
      <c r="A280" s="61" t="s">
        <v>304</v>
      </c>
      <c r="J280" s="62"/>
      <c r="K280" s="63">
        <v>0</v>
      </c>
      <c r="L280" s="64">
        <f>IFERROR(K280/K327, "NA")</f>
        <v>0</v>
      </c>
      <c r="M280" s="62"/>
      <c r="N280" s="63">
        <v>0</v>
      </c>
      <c r="O280" s="64">
        <f>IFERROR(N280/N327, "NA")</f>
        <v>0</v>
      </c>
      <c r="P280" s="62"/>
      <c r="Q280" s="63">
        <v>0</v>
      </c>
      <c r="R280" s="64">
        <f>IFERROR(Q280/Q327, "NA")</f>
        <v>0</v>
      </c>
      <c r="T280" s="65">
        <f t="shared" si="8"/>
        <v>0</v>
      </c>
      <c r="U280" s="65">
        <f t="shared" si="9"/>
        <v>0</v>
      </c>
    </row>
    <row r="281" spans="1:21" x14ac:dyDescent="0.25">
      <c r="A281" s="61" t="s">
        <v>305</v>
      </c>
      <c r="J281" s="62"/>
      <c r="K281" s="63">
        <v>0</v>
      </c>
      <c r="L281" s="64">
        <f>IFERROR(K281/K327, "NA")</f>
        <v>0</v>
      </c>
      <c r="M281" s="62"/>
      <c r="N281" s="63">
        <v>0</v>
      </c>
      <c r="O281" s="64">
        <f>IFERROR(N281/N327, "NA")</f>
        <v>0</v>
      </c>
      <c r="P281" s="62"/>
      <c r="Q281" s="63">
        <v>0</v>
      </c>
      <c r="R281" s="64">
        <f>IFERROR(Q281/Q327, "NA")</f>
        <v>0</v>
      </c>
      <c r="T281" s="65">
        <f t="shared" si="8"/>
        <v>0</v>
      </c>
      <c r="U281" s="65">
        <f t="shared" si="9"/>
        <v>0</v>
      </c>
    </row>
    <row r="282" spans="1:21" x14ac:dyDescent="0.25">
      <c r="A282" s="61" t="s">
        <v>306</v>
      </c>
      <c r="J282" s="62"/>
      <c r="K282" s="63">
        <v>0</v>
      </c>
      <c r="L282" s="64">
        <f>IFERROR(K282/K327, "NA")</f>
        <v>0</v>
      </c>
      <c r="M282" s="62"/>
      <c r="N282" s="63">
        <v>0</v>
      </c>
      <c r="O282" s="64">
        <f>IFERROR(N282/N327, "NA")</f>
        <v>0</v>
      </c>
      <c r="P282" s="62"/>
      <c r="Q282" s="63">
        <v>0</v>
      </c>
      <c r="R282" s="64">
        <f>IFERROR(Q282/Q327, "NA")</f>
        <v>0</v>
      </c>
      <c r="T282" s="65">
        <f t="shared" si="8"/>
        <v>0</v>
      </c>
      <c r="U282" s="65">
        <f t="shared" si="9"/>
        <v>0</v>
      </c>
    </row>
    <row r="283" spans="1:21" x14ac:dyDescent="0.25">
      <c r="A283" s="66" t="s">
        <v>307</v>
      </c>
      <c r="J283" s="58"/>
      <c r="K283" s="67">
        <f>IFERROR(K265+K266+K267+K268+K269+K270+K271+K272+K273+K274+K275+K276+K277+K278+K279+K280+K281+K282, "NA")</f>
        <v>-30509.7</v>
      </c>
      <c r="L283" s="68">
        <f>IFERROR(K283/K327, "NA")</f>
        <v>-3.3449012580044082E-2</v>
      </c>
      <c r="M283" s="58"/>
      <c r="N283" s="67">
        <f>IFERROR(N265+N266+N267+N268+N269+N270+N271+N272+N273+N274+N275+N276+N277+N278+N279+N280+N281+N282, "NA")</f>
        <v>-46268.84</v>
      </c>
      <c r="O283" s="68">
        <f>IFERROR(N283/N327, "NA")</f>
        <v>-3.2105724532444417E-2</v>
      </c>
      <c r="P283" s="58"/>
      <c r="Q283" s="67">
        <f>IFERROR(Q265+Q266+Q267+Q268+Q269+Q270+Q271+Q272+Q273+Q274+Q275+Q276+Q277+Q278+Q279+Q280+Q281+Q282, "NA")</f>
        <v>-34486.82</v>
      </c>
      <c r="R283" s="68">
        <f>IFERROR(Q283/Q327, "NA")</f>
        <v>-3.1233104187638767E-2</v>
      </c>
      <c r="T283" s="65">
        <f t="shared" si="8"/>
        <v>-111265.35999999999</v>
      </c>
      <c r="U283" s="65">
        <f t="shared" si="9"/>
        <v>-2139.7184615384613</v>
      </c>
    </row>
    <row r="284" spans="1:21" x14ac:dyDescent="0.25">
      <c r="A284" s="70" t="s">
        <v>308</v>
      </c>
      <c r="J284" s="58"/>
      <c r="K284" s="67">
        <f>IFERROR(K214+K215+K216+K217+K218+K219+K220+K221+K222+K223+K224+K225+K226+K227+K228+K229+K230+K231+K232+K233+K234+K235+K236+K237+K238+K239+K240+K243+K244+K245+K246+K247+K248+K249+K250+K251+K254+K255+K256+K257+K258+K259+K260+K261+K262+K265+K266+K267+K268+K269+K270+K271+K272+K273+K274+K275+K276+K277+K278+K279+K280+K281+K282, "NA")</f>
        <v>195219.86999999997</v>
      </c>
      <c r="L284" s="68">
        <f>IFERROR(K284/K327, "NA")</f>
        <v>0.2140274039897006</v>
      </c>
      <c r="M284" s="58"/>
      <c r="N284" s="67">
        <f>IFERROR(N214+N215+N216+N217+N218+N219+N220+N221+N222+N223+N224+N225+N226+N227+N228+N229+N230+N231+N232+N233+N234+N235+N236+N237+N238+N239+N240+N243+N244+N245+N246+N247+N248+N249+N250+N251+N254+N255+N256+N257+N258+N259+N260+N261+N262+N265+N266+N267+N268+N269+N270+N271+N272+N273+N274+N275+N276+N277+N278+N279+N280+N281+N282, "NA")</f>
        <v>162890.86000000002</v>
      </c>
      <c r="O284" s="68">
        <f>IFERROR(N284/N327, "NA")</f>
        <v>0.11302918076210619</v>
      </c>
      <c r="P284" s="58"/>
      <c r="Q284" s="67">
        <f>IFERROR(Q214+Q215+Q216+Q217+Q218+Q219+Q220+Q221+Q222+Q223+Q224+Q225+Q226+Q227+Q228+Q229+Q230+Q231+Q232+Q233+Q234+Q235+Q236+Q237+Q238+Q239+Q240+Q243+Q244+Q245+Q246+Q247+Q248+Q249+Q250+Q251+Q254+Q255+Q256+Q257+Q258+Q259+Q260+Q261+Q262+Q265+Q266+Q267+Q268+Q269+Q270+Q271+Q272+Q273+Q274+Q275+Q276+Q277+Q278+Q279+Q280+Q281+Q282, "NA")</f>
        <v>121160.03999999995</v>
      </c>
      <c r="R284" s="68">
        <f>IFERROR(Q284/Q327, "NA")</f>
        <v>0.10972899654704259</v>
      </c>
      <c r="T284" s="65">
        <f t="shared" si="8"/>
        <v>479270.7699999999</v>
      </c>
      <c r="U284" s="65">
        <f t="shared" si="9"/>
        <v>9216.7455769230746</v>
      </c>
    </row>
    <row r="285" spans="1:21" x14ac:dyDescent="0.25">
      <c r="A285" s="56" t="s">
        <v>309</v>
      </c>
      <c r="J285" s="57"/>
      <c r="K285" s="58"/>
      <c r="L285" s="59"/>
      <c r="M285" s="57"/>
      <c r="N285" s="58"/>
      <c r="O285" s="59"/>
      <c r="P285" s="57"/>
      <c r="Q285" s="58"/>
      <c r="R285" s="59"/>
      <c r="T285" s="65">
        <f t="shared" si="8"/>
        <v>0</v>
      </c>
      <c r="U285" s="65">
        <f t="shared" si="9"/>
        <v>0</v>
      </c>
    </row>
    <row r="286" spans="1:21" x14ac:dyDescent="0.25">
      <c r="A286" s="60" t="s">
        <v>310</v>
      </c>
      <c r="J286" s="57"/>
      <c r="K286" s="58"/>
      <c r="L286" s="59"/>
      <c r="M286" s="57"/>
      <c r="N286" s="58"/>
      <c r="O286" s="59"/>
      <c r="P286" s="57"/>
      <c r="Q286" s="58"/>
      <c r="R286" s="59"/>
      <c r="T286" s="65">
        <f t="shared" si="8"/>
        <v>0</v>
      </c>
      <c r="U286" s="65">
        <f t="shared" si="9"/>
        <v>0</v>
      </c>
    </row>
    <row r="287" spans="1:21" x14ac:dyDescent="0.25">
      <c r="A287" s="61" t="s">
        <v>311</v>
      </c>
      <c r="J287" s="62"/>
      <c r="K287" s="63">
        <v>0</v>
      </c>
      <c r="L287" s="64">
        <f>IFERROR(K287/K327, "NA")</f>
        <v>0</v>
      </c>
      <c r="M287" s="62"/>
      <c r="N287" s="63">
        <v>0</v>
      </c>
      <c r="O287" s="64">
        <f>IFERROR(N287/N327, "NA")</f>
        <v>0</v>
      </c>
      <c r="P287" s="62"/>
      <c r="Q287" s="63">
        <v>0</v>
      </c>
      <c r="R287" s="64">
        <f>IFERROR(Q287/Q327, "NA")</f>
        <v>0</v>
      </c>
      <c r="T287" s="65">
        <f t="shared" si="8"/>
        <v>0</v>
      </c>
      <c r="U287" s="65">
        <f t="shared" si="9"/>
        <v>0</v>
      </c>
    </row>
    <row r="288" spans="1:21" x14ac:dyDescent="0.25">
      <c r="A288" s="61" t="s">
        <v>312</v>
      </c>
      <c r="J288" s="62"/>
      <c r="K288" s="63">
        <v>0</v>
      </c>
      <c r="L288" s="64">
        <f>IFERROR(K288/K327, "NA")</f>
        <v>0</v>
      </c>
      <c r="M288" s="62"/>
      <c r="N288" s="63">
        <v>0</v>
      </c>
      <c r="O288" s="64">
        <f>IFERROR(N288/N327, "NA")</f>
        <v>0</v>
      </c>
      <c r="P288" s="62"/>
      <c r="Q288" s="63">
        <v>0</v>
      </c>
      <c r="R288" s="64">
        <f>IFERROR(Q288/Q327, "NA")</f>
        <v>0</v>
      </c>
      <c r="T288" s="65">
        <f t="shared" si="8"/>
        <v>0</v>
      </c>
      <c r="U288" s="65">
        <f t="shared" si="9"/>
        <v>0</v>
      </c>
    </row>
    <row r="289" spans="1:21" x14ac:dyDescent="0.25">
      <c r="A289" s="61" t="s">
        <v>313</v>
      </c>
      <c r="J289" s="62"/>
      <c r="K289" s="63">
        <v>0</v>
      </c>
      <c r="L289" s="64">
        <f>IFERROR(K289/K327, "NA")</f>
        <v>0</v>
      </c>
      <c r="M289" s="62"/>
      <c r="N289" s="63">
        <v>13525.39</v>
      </c>
      <c r="O289" s="64">
        <f>IFERROR(N289/N327, "NA")</f>
        <v>9.3852027743483168E-3</v>
      </c>
      <c r="P289" s="62"/>
      <c r="Q289" s="63">
        <v>-500</v>
      </c>
      <c r="R289" s="64">
        <f>IFERROR(Q289/Q327, "NA")</f>
        <v>-4.5282667679476924E-4</v>
      </c>
      <c r="T289" s="65">
        <f t="shared" si="8"/>
        <v>13025.39</v>
      </c>
      <c r="U289" s="65">
        <f t="shared" si="9"/>
        <v>250.48826923076922</v>
      </c>
    </row>
    <row r="290" spans="1:21" x14ac:dyDescent="0.25">
      <c r="A290" s="61" t="s">
        <v>314</v>
      </c>
      <c r="J290" s="62"/>
      <c r="K290" s="63">
        <v>48813.51</v>
      </c>
      <c r="L290" s="64">
        <f>IFERROR(K290/K327, "NA")</f>
        <v>5.3516216484138075E-2</v>
      </c>
      <c r="M290" s="62"/>
      <c r="N290" s="63">
        <v>74872.600000000006</v>
      </c>
      <c r="O290" s="64">
        <f>IFERROR(N290/N327, "NA")</f>
        <v>5.1953735400064018E-2</v>
      </c>
      <c r="P290" s="62"/>
      <c r="Q290" s="63">
        <v>58009.18</v>
      </c>
      <c r="R290" s="64">
        <f>IFERROR(Q290/Q327, "NA")</f>
        <v>5.2536208405979189E-2</v>
      </c>
      <c r="T290" s="65">
        <f t="shared" si="8"/>
        <v>181695.29</v>
      </c>
      <c r="U290" s="65">
        <f t="shared" si="9"/>
        <v>3494.1401923076924</v>
      </c>
    </row>
    <row r="291" spans="1:21" x14ac:dyDescent="0.25">
      <c r="A291" s="61" t="s">
        <v>315</v>
      </c>
      <c r="J291" s="62"/>
      <c r="K291" s="63">
        <v>0</v>
      </c>
      <c r="L291" s="64">
        <f>IFERROR(K291/K327, "NA")</f>
        <v>0</v>
      </c>
      <c r="M291" s="62"/>
      <c r="N291" s="63">
        <v>0</v>
      </c>
      <c r="O291" s="64">
        <f>IFERROR(N291/N327, "NA")</f>
        <v>0</v>
      </c>
      <c r="P291" s="62"/>
      <c r="Q291" s="63">
        <v>0</v>
      </c>
      <c r="R291" s="64">
        <f>IFERROR(Q291/Q327, "NA")</f>
        <v>0</v>
      </c>
      <c r="T291" s="65">
        <f t="shared" si="8"/>
        <v>0</v>
      </c>
      <c r="U291" s="65">
        <f t="shared" si="9"/>
        <v>0</v>
      </c>
    </row>
    <row r="292" spans="1:21" x14ac:dyDescent="0.25">
      <c r="A292" s="61" t="s">
        <v>316</v>
      </c>
      <c r="J292" s="62"/>
      <c r="K292" s="63">
        <v>3543.71</v>
      </c>
      <c r="L292" s="64">
        <f>IFERROR(K292/K327, "NA")</f>
        <v>3.8851119601316301E-3</v>
      </c>
      <c r="M292" s="62"/>
      <c r="N292" s="63">
        <v>1997</v>
      </c>
      <c r="O292" s="64">
        <f>IFERROR(N292/N327, "NA")</f>
        <v>1.3857086516820285E-3</v>
      </c>
      <c r="P292" s="62"/>
      <c r="Q292" s="63">
        <v>2000</v>
      </c>
      <c r="R292" s="64">
        <f>IFERROR(Q292/Q327, "NA")</f>
        <v>1.811306707179077E-3</v>
      </c>
      <c r="T292" s="65">
        <f t="shared" si="8"/>
        <v>7540.71</v>
      </c>
      <c r="U292" s="65">
        <f t="shared" si="9"/>
        <v>145.01365384615386</v>
      </c>
    </row>
    <row r="293" spans="1:21" x14ac:dyDescent="0.25">
      <c r="A293" s="61" t="s">
        <v>317</v>
      </c>
      <c r="J293" s="62"/>
      <c r="K293" s="63">
        <v>111.51</v>
      </c>
      <c r="L293" s="64">
        <f>IFERROR(K293/K327, "NA")</f>
        <v>1.2225290293908873E-4</v>
      </c>
      <c r="M293" s="62"/>
      <c r="N293" s="63">
        <v>68.59</v>
      </c>
      <c r="O293" s="64">
        <f>IFERROR(N293/N327, "NA")</f>
        <v>4.7594269613855952E-5</v>
      </c>
      <c r="P293" s="62"/>
      <c r="Q293" s="63">
        <v>0</v>
      </c>
      <c r="R293" s="64">
        <f>IFERROR(Q293/Q327, "NA")</f>
        <v>0</v>
      </c>
      <c r="T293" s="65">
        <f t="shared" si="8"/>
        <v>180.10000000000002</v>
      </c>
      <c r="U293" s="65">
        <f t="shared" si="9"/>
        <v>3.463461538461539</v>
      </c>
    </row>
    <row r="294" spans="1:21" x14ac:dyDescent="0.25">
      <c r="A294" s="61" t="s">
        <v>318</v>
      </c>
      <c r="J294" s="62"/>
      <c r="K294" s="63">
        <v>1736.97</v>
      </c>
      <c r="L294" s="64">
        <f>IFERROR(K294/K327, "NA")</f>
        <v>1.9043101499247506E-3</v>
      </c>
      <c r="M294" s="62"/>
      <c r="N294" s="63">
        <v>2379.3000000000002</v>
      </c>
      <c r="O294" s="64">
        <f>IFERROR(N294/N327, "NA")</f>
        <v>1.6509847746354785E-3</v>
      </c>
      <c r="P294" s="62"/>
      <c r="Q294" s="63">
        <v>814.39</v>
      </c>
      <c r="R294" s="64">
        <f>IFERROR(Q294/Q327, "NA")</f>
        <v>7.3755503462978426E-4</v>
      </c>
      <c r="T294" s="65">
        <f t="shared" si="8"/>
        <v>4930.6600000000008</v>
      </c>
      <c r="U294" s="65">
        <f t="shared" si="9"/>
        <v>94.820384615384626</v>
      </c>
    </row>
    <row r="295" spans="1:21" x14ac:dyDescent="0.25">
      <c r="A295" s="61" t="s">
        <v>319</v>
      </c>
      <c r="J295" s="62"/>
      <c r="K295" s="63">
        <v>1542.78</v>
      </c>
      <c r="L295" s="64">
        <f>IFERROR(K295/K327, "NA")</f>
        <v>1.6914118338836634E-3</v>
      </c>
      <c r="M295" s="62"/>
      <c r="N295" s="63">
        <v>0</v>
      </c>
      <c r="O295" s="64">
        <f>IFERROR(N295/N327, "NA")</f>
        <v>0</v>
      </c>
      <c r="P295" s="62"/>
      <c r="Q295" s="63">
        <v>0</v>
      </c>
      <c r="R295" s="64">
        <f>IFERROR(Q295/Q327, "NA")</f>
        <v>0</v>
      </c>
      <c r="T295" s="65">
        <f t="shared" si="8"/>
        <v>1542.78</v>
      </c>
      <c r="U295" s="65">
        <f t="shared" si="9"/>
        <v>29.668846153846154</v>
      </c>
    </row>
    <row r="296" spans="1:21" x14ac:dyDescent="0.25">
      <c r="A296" s="61" t="s">
        <v>320</v>
      </c>
      <c r="J296" s="62"/>
      <c r="K296" s="63">
        <v>0</v>
      </c>
      <c r="L296" s="64">
        <f>IFERROR(K296/K327, "NA")</f>
        <v>0</v>
      </c>
      <c r="M296" s="62"/>
      <c r="N296" s="63">
        <v>0</v>
      </c>
      <c r="O296" s="64">
        <f>IFERROR(N296/N327, "NA")</f>
        <v>0</v>
      </c>
      <c r="P296" s="62"/>
      <c r="Q296" s="63">
        <v>0</v>
      </c>
      <c r="R296" s="64">
        <f>IFERROR(Q296/Q327, "NA")</f>
        <v>0</v>
      </c>
      <c r="T296" s="65">
        <f t="shared" si="8"/>
        <v>0</v>
      </c>
      <c r="U296" s="65">
        <f t="shared" si="9"/>
        <v>0</v>
      </c>
    </row>
    <row r="297" spans="1:21" x14ac:dyDescent="0.25">
      <c r="A297" s="61" t="s">
        <v>321</v>
      </c>
      <c r="J297" s="62"/>
      <c r="K297" s="63">
        <v>601.67999999999995</v>
      </c>
      <c r="L297" s="64">
        <f>IFERROR(K297/K327, "NA")</f>
        <v>6.5964601058551603E-4</v>
      </c>
      <c r="M297" s="62"/>
      <c r="N297" s="63">
        <v>0</v>
      </c>
      <c r="O297" s="64">
        <f>IFERROR(N297/N327, "NA")</f>
        <v>0</v>
      </c>
      <c r="P297" s="62"/>
      <c r="Q297" s="63">
        <v>0</v>
      </c>
      <c r="R297" s="64">
        <f>IFERROR(Q297/Q327, "NA")</f>
        <v>0</v>
      </c>
      <c r="T297" s="65">
        <f t="shared" si="8"/>
        <v>601.67999999999995</v>
      </c>
      <c r="U297" s="65">
        <f t="shared" si="9"/>
        <v>11.57076923076923</v>
      </c>
    </row>
    <row r="298" spans="1:21" x14ac:dyDescent="0.25">
      <c r="A298" s="61" t="s">
        <v>322</v>
      </c>
      <c r="J298" s="62"/>
      <c r="K298" s="63">
        <v>0</v>
      </c>
      <c r="L298" s="64">
        <f>IFERROR(K298/K327, "NA")</f>
        <v>0</v>
      </c>
      <c r="M298" s="62"/>
      <c r="N298" s="63">
        <v>0</v>
      </c>
      <c r="O298" s="64">
        <f>IFERROR(N298/N327, "NA")</f>
        <v>0</v>
      </c>
      <c r="P298" s="62"/>
      <c r="Q298" s="63">
        <v>0</v>
      </c>
      <c r="R298" s="64">
        <f>IFERROR(Q298/Q327, "NA")</f>
        <v>0</v>
      </c>
      <c r="T298" s="65">
        <f t="shared" si="8"/>
        <v>0</v>
      </c>
      <c r="U298" s="65">
        <f t="shared" si="9"/>
        <v>0</v>
      </c>
    </row>
    <row r="299" spans="1:21" x14ac:dyDescent="0.25">
      <c r="A299" s="61" t="s">
        <v>323</v>
      </c>
      <c r="J299" s="62"/>
      <c r="K299" s="63">
        <v>0</v>
      </c>
      <c r="L299" s="64">
        <f>IFERROR(K299/K327, "NA")</f>
        <v>0</v>
      </c>
      <c r="M299" s="62"/>
      <c r="N299" s="63">
        <v>0</v>
      </c>
      <c r="O299" s="64">
        <f>IFERROR(N299/N327, "NA")</f>
        <v>0</v>
      </c>
      <c r="P299" s="62"/>
      <c r="Q299" s="63">
        <v>0</v>
      </c>
      <c r="R299" s="64">
        <f>IFERROR(Q299/Q327, "NA")</f>
        <v>0</v>
      </c>
      <c r="T299" s="65">
        <f t="shared" si="8"/>
        <v>0</v>
      </c>
      <c r="U299" s="65">
        <f t="shared" si="9"/>
        <v>0</v>
      </c>
    </row>
    <row r="300" spans="1:21" x14ac:dyDescent="0.25">
      <c r="A300" s="61" t="s">
        <v>324</v>
      </c>
      <c r="J300" s="62"/>
      <c r="K300" s="63">
        <v>0</v>
      </c>
      <c r="L300" s="64">
        <f>IFERROR(K300/K327, "NA")</f>
        <v>0</v>
      </c>
      <c r="M300" s="62"/>
      <c r="N300" s="63">
        <v>0</v>
      </c>
      <c r="O300" s="64">
        <f>IFERROR(N300/N327, "NA")</f>
        <v>0</v>
      </c>
      <c r="P300" s="62"/>
      <c r="Q300" s="63">
        <v>0</v>
      </c>
      <c r="R300" s="64">
        <f>IFERROR(Q300/Q327, "NA")</f>
        <v>0</v>
      </c>
      <c r="T300" s="65">
        <f t="shared" si="8"/>
        <v>0</v>
      </c>
      <c r="U300" s="65">
        <f t="shared" si="9"/>
        <v>0</v>
      </c>
    </row>
    <row r="301" spans="1:21" x14ac:dyDescent="0.25">
      <c r="A301" s="61" t="s">
        <v>325</v>
      </c>
      <c r="J301" s="62"/>
      <c r="K301" s="63">
        <v>0</v>
      </c>
      <c r="L301" s="64">
        <f>IFERROR(K301/K327, "NA")</f>
        <v>0</v>
      </c>
      <c r="M301" s="62"/>
      <c r="N301" s="63">
        <v>0</v>
      </c>
      <c r="O301" s="64">
        <f>IFERROR(N301/N327, "NA")</f>
        <v>0</v>
      </c>
      <c r="P301" s="62"/>
      <c r="Q301" s="63">
        <v>0</v>
      </c>
      <c r="R301" s="64">
        <f>IFERROR(Q301/Q327, "NA")</f>
        <v>0</v>
      </c>
      <c r="T301" s="65">
        <f t="shared" si="8"/>
        <v>0</v>
      </c>
      <c r="U301" s="65">
        <f t="shared" si="9"/>
        <v>0</v>
      </c>
    </row>
    <row r="302" spans="1:21" x14ac:dyDescent="0.25">
      <c r="A302" s="61" t="s">
        <v>326</v>
      </c>
      <c r="J302" s="62"/>
      <c r="K302" s="63">
        <v>0</v>
      </c>
      <c r="L302" s="64">
        <f>IFERROR(K302/K327, "NA")</f>
        <v>0</v>
      </c>
      <c r="M302" s="62"/>
      <c r="N302" s="63">
        <v>0</v>
      </c>
      <c r="O302" s="64">
        <f>IFERROR(N302/N327, "NA")</f>
        <v>0</v>
      </c>
      <c r="P302" s="62"/>
      <c r="Q302" s="63">
        <v>0</v>
      </c>
      <c r="R302" s="64">
        <f>IFERROR(Q302/Q327, "NA")</f>
        <v>0</v>
      </c>
      <c r="T302" s="65">
        <f t="shared" si="8"/>
        <v>0</v>
      </c>
      <c r="U302" s="65">
        <f t="shared" si="9"/>
        <v>0</v>
      </c>
    </row>
    <row r="303" spans="1:21" x14ac:dyDescent="0.25">
      <c r="A303" s="61" t="s">
        <v>327</v>
      </c>
      <c r="J303" s="62"/>
      <c r="K303" s="63">
        <v>0</v>
      </c>
      <c r="L303" s="64">
        <f>IFERROR(K303/K327, "NA")</f>
        <v>0</v>
      </c>
      <c r="M303" s="62"/>
      <c r="N303" s="63">
        <v>0</v>
      </c>
      <c r="O303" s="64">
        <f>IFERROR(N303/N327, "NA")</f>
        <v>0</v>
      </c>
      <c r="P303" s="62"/>
      <c r="Q303" s="63">
        <v>0</v>
      </c>
      <c r="R303" s="64">
        <f>IFERROR(Q303/Q327, "NA")</f>
        <v>0</v>
      </c>
      <c r="T303" s="65">
        <f t="shared" si="8"/>
        <v>0</v>
      </c>
      <c r="U303" s="65">
        <f t="shared" si="9"/>
        <v>0</v>
      </c>
    </row>
    <row r="304" spans="1:21" x14ac:dyDescent="0.25">
      <c r="A304" s="61" t="s">
        <v>328</v>
      </c>
      <c r="J304" s="62"/>
      <c r="K304" s="63">
        <v>0</v>
      </c>
      <c r="L304" s="64">
        <f>IFERROR(K304/K327, "NA")</f>
        <v>0</v>
      </c>
      <c r="M304" s="62"/>
      <c r="N304" s="63">
        <v>0</v>
      </c>
      <c r="O304" s="64">
        <f>IFERROR(N304/N327, "NA")</f>
        <v>0</v>
      </c>
      <c r="P304" s="62"/>
      <c r="Q304" s="63">
        <v>0</v>
      </c>
      <c r="R304" s="64">
        <f>IFERROR(Q304/Q327, "NA")</f>
        <v>0</v>
      </c>
      <c r="T304" s="65">
        <f t="shared" si="8"/>
        <v>0</v>
      </c>
      <c r="U304" s="65">
        <f t="shared" si="9"/>
        <v>0</v>
      </c>
    </row>
    <row r="305" spans="1:21" x14ac:dyDescent="0.25">
      <c r="A305" s="61" t="s">
        <v>329</v>
      </c>
      <c r="J305" s="62"/>
      <c r="K305" s="63">
        <v>0</v>
      </c>
      <c r="L305" s="64">
        <f>IFERROR(K305/K327, "NA")</f>
        <v>0</v>
      </c>
      <c r="M305" s="62"/>
      <c r="N305" s="63">
        <v>0</v>
      </c>
      <c r="O305" s="64">
        <f>IFERROR(N305/N327, "NA")</f>
        <v>0</v>
      </c>
      <c r="P305" s="62"/>
      <c r="Q305" s="63">
        <v>0</v>
      </c>
      <c r="R305" s="64">
        <f>IFERROR(Q305/Q327, "NA")</f>
        <v>0</v>
      </c>
      <c r="T305" s="65">
        <f t="shared" si="8"/>
        <v>0</v>
      </c>
      <c r="U305" s="65">
        <f t="shared" si="9"/>
        <v>0</v>
      </c>
    </row>
    <row r="306" spans="1:21" x14ac:dyDescent="0.25">
      <c r="A306" s="61" t="s">
        <v>330</v>
      </c>
      <c r="J306" s="62"/>
      <c r="K306" s="63">
        <v>0</v>
      </c>
      <c r="L306" s="64">
        <f>IFERROR(K306/K327, "NA")</f>
        <v>0</v>
      </c>
      <c r="M306" s="62"/>
      <c r="N306" s="63">
        <v>0</v>
      </c>
      <c r="O306" s="64">
        <f>IFERROR(N306/N327, "NA")</f>
        <v>0</v>
      </c>
      <c r="P306" s="62"/>
      <c r="Q306" s="63">
        <v>0</v>
      </c>
      <c r="R306" s="64">
        <f>IFERROR(Q306/Q327, "NA")</f>
        <v>0</v>
      </c>
      <c r="T306" s="65">
        <f t="shared" si="8"/>
        <v>0</v>
      </c>
      <c r="U306" s="65">
        <f t="shared" si="9"/>
        <v>0</v>
      </c>
    </row>
    <row r="307" spans="1:21" x14ac:dyDescent="0.25">
      <c r="A307" s="61" t="s">
        <v>331</v>
      </c>
      <c r="J307" s="62"/>
      <c r="K307" s="63">
        <v>0</v>
      </c>
      <c r="L307" s="64">
        <f>IFERROR(K307/K327, "NA")</f>
        <v>0</v>
      </c>
      <c r="M307" s="62"/>
      <c r="N307" s="63">
        <v>0</v>
      </c>
      <c r="O307" s="64">
        <f>IFERROR(N307/N327, "NA")</f>
        <v>0</v>
      </c>
      <c r="P307" s="62"/>
      <c r="Q307" s="63">
        <v>0</v>
      </c>
      <c r="R307" s="64">
        <f>IFERROR(Q307/Q327, "NA")</f>
        <v>0</v>
      </c>
      <c r="T307" s="65">
        <f t="shared" si="8"/>
        <v>0</v>
      </c>
      <c r="U307" s="65">
        <f t="shared" si="9"/>
        <v>0</v>
      </c>
    </row>
    <row r="308" spans="1:21" x14ac:dyDescent="0.25">
      <c r="A308" s="61" t="s">
        <v>332</v>
      </c>
      <c r="J308" s="62"/>
      <c r="K308" s="63">
        <v>0</v>
      </c>
      <c r="L308" s="64">
        <f>IFERROR(K308/K327, "NA")</f>
        <v>0</v>
      </c>
      <c r="M308" s="62"/>
      <c r="N308" s="63">
        <v>0</v>
      </c>
      <c r="O308" s="64">
        <f>IFERROR(N308/N327, "NA")</f>
        <v>0</v>
      </c>
      <c r="P308" s="62"/>
      <c r="Q308" s="63">
        <v>0</v>
      </c>
      <c r="R308" s="64">
        <f>IFERROR(Q308/Q327, "NA")</f>
        <v>0</v>
      </c>
      <c r="T308" s="65">
        <f t="shared" si="8"/>
        <v>0</v>
      </c>
      <c r="U308" s="65">
        <f t="shared" si="9"/>
        <v>0</v>
      </c>
    </row>
    <row r="309" spans="1:21" x14ac:dyDescent="0.25">
      <c r="A309" s="61" t="s">
        <v>333</v>
      </c>
      <c r="J309" s="62"/>
      <c r="K309" s="63">
        <v>0</v>
      </c>
      <c r="L309" s="64">
        <f>IFERROR(K309/K327, "NA")</f>
        <v>0</v>
      </c>
      <c r="M309" s="62"/>
      <c r="N309" s="63">
        <v>0</v>
      </c>
      <c r="O309" s="64">
        <f>IFERROR(N309/N327, "NA")</f>
        <v>0</v>
      </c>
      <c r="P309" s="62"/>
      <c r="Q309" s="63">
        <v>0</v>
      </c>
      <c r="R309" s="64">
        <f>IFERROR(Q309/Q327, "NA")</f>
        <v>0</v>
      </c>
      <c r="T309" s="65">
        <f t="shared" si="8"/>
        <v>0</v>
      </c>
      <c r="U309" s="65">
        <f t="shared" si="9"/>
        <v>0</v>
      </c>
    </row>
    <row r="310" spans="1:21" x14ac:dyDescent="0.25">
      <c r="A310" s="61" t="s">
        <v>334</v>
      </c>
      <c r="J310" s="62"/>
      <c r="K310" s="63">
        <v>0</v>
      </c>
      <c r="L310" s="64">
        <f>IFERROR(K310/K327, "NA")</f>
        <v>0</v>
      </c>
      <c r="M310" s="62"/>
      <c r="N310" s="63">
        <v>0</v>
      </c>
      <c r="O310" s="64">
        <f>IFERROR(N310/N327, "NA")</f>
        <v>0</v>
      </c>
      <c r="P310" s="62"/>
      <c r="Q310" s="63">
        <v>0</v>
      </c>
      <c r="R310" s="64">
        <f>IFERROR(Q310/Q327, "NA")</f>
        <v>0</v>
      </c>
      <c r="T310" s="65">
        <f t="shared" si="8"/>
        <v>0</v>
      </c>
      <c r="U310" s="65">
        <f t="shared" si="9"/>
        <v>0</v>
      </c>
    </row>
    <row r="311" spans="1:21" x14ac:dyDescent="0.25">
      <c r="A311" s="61" t="s">
        <v>335</v>
      </c>
      <c r="J311" s="62"/>
      <c r="K311" s="63">
        <v>0</v>
      </c>
      <c r="L311" s="64">
        <f>IFERROR(K311/K327, "NA")</f>
        <v>0</v>
      </c>
      <c r="M311" s="62"/>
      <c r="N311" s="63">
        <v>0</v>
      </c>
      <c r="O311" s="64">
        <f>IFERROR(N311/N327, "NA")</f>
        <v>0</v>
      </c>
      <c r="P311" s="62"/>
      <c r="Q311" s="63">
        <v>0</v>
      </c>
      <c r="R311" s="64">
        <f>IFERROR(Q311/Q327, "NA")</f>
        <v>0</v>
      </c>
      <c r="T311" s="65">
        <f t="shared" si="8"/>
        <v>0</v>
      </c>
      <c r="U311" s="65">
        <f t="shared" si="9"/>
        <v>0</v>
      </c>
    </row>
    <row r="312" spans="1:21" x14ac:dyDescent="0.25">
      <c r="A312" s="61" t="s">
        <v>336</v>
      </c>
      <c r="J312" s="62"/>
      <c r="K312" s="63">
        <v>0</v>
      </c>
      <c r="L312" s="64">
        <f>IFERROR(K312/K327, "NA")</f>
        <v>0</v>
      </c>
      <c r="M312" s="62"/>
      <c r="N312" s="63">
        <v>0</v>
      </c>
      <c r="O312" s="64">
        <f>IFERROR(N312/N327, "NA")</f>
        <v>0</v>
      </c>
      <c r="P312" s="62"/>
      <c r="Q312" s="63">
        <v>0</v>
      </c>
      <c r="R312" s="64">
        <f>IFERROR(Q312/Q327, "NA")</f>
        <v>0</v>
      </c>
      <c r="T312" s="65">
        <f t="shared" si="8"/>
        <v>0</v>
      </c>
      <c r="U312" s="65">
        <f t="shared" si="9"/>
        <v>0</v>
      </c>
    </row>
    <row r="313" spans="1:21" x14ac:dyDescent="0.25">
      <c r="A313" s="61" t="s">
        <v>337</v>
      </c>
      <c r="J313" s="62"/>
      <c r="K313" s="63">
        <v>0</v>
      </c>
      <c r="L313" s="64">
        <f>IFERROR(K313/K327, "NA")</f>
        <v>0</v>
      </c>
      <c r="M313" s="62"/>
      <c r="N313" s="63">
        <v>0</v>
      </c>
      <c r="O313" s="64">
        <f>IFERROR(N313/N327, "NA")</f>
        <v>0</v>
      </c>
      <c r="P313" s="62"/>
      <c r="Q313" s="63">
        <v>0</v>
      </c>
      <c r="R313" s="64">
        <f>IFERROR(Q313/Q327, "NA")</f>
        <v>0</v>
      </c>
      <c r="T313" s="65">
        <f t="shared" si="8"/>
        <v>0</v>
      </c>
      <c r="U313" s="65">
        <f t="shared" si="9"/>
        <v>0</v>
      </c>
    </row>
    <row r="314" spans="1:21" x14ac:dyDescent="0.25">
      <c r="A314" s="66" t="s">
        <v>338</v>
      </c>
      <c r="J314" s="58"/>
      <c r="K314" s="67">
        <f>IFERROR(K287+K288+K289+K290+K291+K292+K293+K294+K295+K296+K297+K298+K299+K300+K301+K302+K303+K304+K305+K306+K307+K308+K309+K310+K311+K312+K313, "NA")</f>
        <v>56350.16</v>
      </c>
      <c r="L314" s="68">
        <f>IFERROR(K314/K327, "NA")</f>
        <v>6.1778949341602725E-2</v>
      </c>
      <c r="M314" s="58"/>
      <c r="N314" s="67">
        <f>IFERROR(N287+N288+N289+N290+N291+N292+N293+N294+N295+N296+N297+N298+N299+N300+N301+N302+N303+N304+N305+N306+N307+N308+N309+N310+N311+N312+N313, "NA")</f>
        <v>92842.880000000005</v>
      </c>
      <c r="O314" s="68">
        <f>IFERROR(N314/N327, "NA")</f>
        <v>6.4423225870343701E-2</v>
      </c>
      <c r="P314" s="58"/>
      <c r="Q314" s="67">
        <f>IFERROR(Q287+Q288+Q289+Q290+Q291+Q292+Q293+Q294+Q295+Q296+Q297+Q298+Q299+Q300+Q301+Q302+Q303+Q304+Q305+Q306+Q307+Q308+Q309+Q310+Q311+Q312+Q313, "NA")</f>
        <v>60323.57</v>
      </c>
      <c r="R314" s="68">
        <f>IFERROR(Q314/Q327, "NA")</f>
        <v>5.4632243470993276E-2</v>
      </c>
      <c r="T314" s="65">
        <f t="shared" si="8"/>
        <v>209516.61000000002</v>
      </c>
      <c r="U314" s="65">
        <f t="shared" si="9"/>
        <v>4029.1655769230774</v>
      </c>
    </row>
    <row r="315" spans="1:21" x14ac:dyDescent="0.25">
      <c r="A315" s="60" t="s">
        <v>339</v>
      </c>
      <c r="J315" s="57"/>
      <c r="K315" s="58"/>
      <c r="L315" s="59"/>
      <c r="M315" s="57"/>
      <c r="N315" s="58"/>
      <c r="O315" s="59"/>
      <c r="P315" s="57"/>
      <c r="Q315" s="58"/>
      <c r="R315" s="59"/>
      <c r="T315" s="65">
        <f t="shared" si="8"/>
        <v>0</v>
      </c>
      <c r="U315" s="65">
        <f t="shared" si="9"/>
        <v>0</v>
      </c>
    </row>
    <row r="316" spans="1:21" x14ac:dyDescent="0.25">
      <c r="A316" s="61" t="s">
        <v>340</v>
      </c>
      <c r="J316" s="62"/>
      <c r="K316" s="63">
        <v>0</v>
      </c>
      <c r="L316" s="64">
        <f>IFERROR(K316/K327, "NA")</f>
        <v>0</v>
      </c>
      <c r="M316" s="62"/>
      <c r="N316" s="63">
        <v>0</v>
      </c>
      <c r="O316" s="64">
        <f>IFERROR(N316/N327, "NA")</f>
        <v>0</v>
      </c>
      <c r="P316" s="62"/>
      <c r="Q316" s="63">
        <v>0</v>
      </c>
      <c r="R316" s="64">
        <f>IFERROR(Q316/Q327, "NA")</f>
        <v>0</v>
      </c>
      <c r="T316" s="65">
        <f t="shared" si="8"/>
        <v>0</v>
      </c>
      <c r="U316" s="65">
        <f t="shared" si="9"/>
        <v>0</v>
      </c>
    </row>
    <row r="317" spans="1:21" x14ac:dyDescent="0.25">
      <c r="A317" s="61" t="s">
        <v>341</v>
      </c>
      <c r="J317" s="62"/>
      <c r="K317" s="63">
        <v>0</v>
      </c>
      <c r="L317" s="64">
        <f>IFERROR(K317/K327, "NA")</f>
        <v>0</v>
      </c>
      <c r="M317" s="62"/>
      <c r="N317" s="63">
        <v>1000</v>
      </c>
      <c r="O317" s="64">
        <f>IFERROR(N317/N327, "NA")</f>
        <v>6.9389516859390504E-4</v>
      </c>
      <c r="P317" s="62"/>
      <c r="Q317" s="63">
        <v>0</v>
      </c>
      <c r="R317" s="64">
        <f>IFERROR(Q317/Q327, "NA")</f>
        <v>0</v>
      </c>
      <c r="T317" s="65">
        <f t="shared" si="8"/>
        <v>1000</v>
      </c>
      <c r="U317" s="65">
        <f t="shared" si="9"/>
        <v>19.23076923076923</v>
      </c>
    </row>
    <row r="318" spans="1:21" x14ac:dyDescent="0.25">
      <c r="A318" s="61" t="s">
        <v>342</v>
      </c>
      <c r="J318" s="62"/>
      <c r="K318" s="63">
        <v>0</v>
      </c>
      <c r="L318" s="64">
        <f>IFERROR(K318/K327, "NA")</f>
        <v>0</v>
      </c>
      <c r="M318" s="62"/>
      <c r="N318" s="63">
        <v>25000</v>
      </c>
      <c r="O318" s="64">
        <f>IFERROR(N318/N327, "NA")</f>
        <v>1.7347379214847625E-2</v>
      </c>
      <c r="P318" s="62"/>
      <c r="Q318" s="63">
        <v>0</v>
      </c>
      <c r="R318" s="64">
        <f>IFERROR(Q318/Q327, "NA")</f>
        <v>0</v>
      </c>
      <c r="T318" s="65">
        <f t="shared" si="8"/>
        <v>25000</v>
      </c>
      <c r="U318" s="65">
        <f t="shared" si="9"/>
        <v>480.76923076923077</v>
      </c>
    </row>
    <row r="319" spans="1:21" x14ac:dyDescent="0.25">
      <c r="A319" s="61" t="s">
        <v>343</v>
      </c>
      <c r="J319" s="62"/>
      <c r="K319" s="63">
        <v>3551.35</v>
      </c>
      <c r="L319" s="64">
        <f>IFERROR(K319/K327, "NA")</f>
        <v>3.8934879997554721E-3</v>
      </c>
      <c r="M319" s="62"/>
      <c r="N319" s="63">
        <v>0</v>
      </c>
      <c r="O319" s="64">
        <f>IFERROR(N319/N327, "NA")</f>
        <v>0</v>
      </c>
      <c r="P319" s="62"/>
      <c r="Q319" s="63">
        <v>0</v>
      </c>
      <c r="R319" s="64">
        <f>IFERROR(Q319/Q327, "NA")</f>
        <v>0</v>
      </c>
      <c r="T319" s="65">
        <f t="shared" si="8"/>
        <v>3551.35</v>
      </c>
      <c r="U319" s="65">
        <f t="shared" si="9"/>
        <v>68.295192307692304</v>
      </c>
    </row>
    <row r="320" spans="1:21" x14ac:dyDescent="0.25">
      <c r="A320" s="61" t="s">
        <v>344</v>
      </c>
      <c r="J320" s="62"/>
      <c r="K320" s="63">
        <v>0</v>
      </c>
      <c r="L320" s="64">
        <f>IFERROR(K320/K327, "NA")</f>
        <v>0</v>
      </c>
      <c r="M320" s="62"/>
      <c r="N320" s="63">
        <v>0</v>
      </c>
      <c r="O320" s="64">
        <f>IFERROR(N320/N327, "NA")</f>
        <v>0</v>
      </c>
      <c r="P320" s="62"/>
      <c r="Q320" s="63">
        <v>0</v>
      </c>
      <c r="R320" s="64">
        <f>IFERROR(Q320/Q327, "NA")</f>
        <v>0</v>
      </c>
      <c r="T320" s="65">
        <f t="shared" si="8"/>
        <v>0</v>
      </c>
      <c r="U320" s="65">
        <f t="shared" si="9"/>
        <v>0</v>
      </c>
    </row>
    <row r="321" spans="1:21" x14ac:dyDescent="0.25">
      <c r="A321" s="61" t="s">
        <v>345</v>
      </c>
      <c r="J321" s="62"/>
      <c r="K321" s="63">
        <v>0</v>
      </c>
      <c r="L321" s="64">
        <f>IFERROR(K321/K327, "NA")</f>
        <v>0</v>
      </c>
      <c r="M321" s="62"/>
      <c r="N321" s="63">
        <v>31.9</v>
      </c>
      <c r="O321" s="64">
        <f>IFERROR(N321/N327, "NA")</f>
        <v>2.213525587814557E-5</v>
      </c>
      <c r="P321" s="62"/>
      <c r="Q321" s="63">
        <v>0</v>
      </c>
      <c r="R321" s="64">
        <f>IFERROR(Q321/Q327, "NA")</f>
        <v>0</v>
      </c>
      <c r="T321" s="65">
        <f t="shared" si="8"/>
        <v>31.9</v>
      </c>
      <c r="U321" s="65">
        <f t="shared" si="9"/>
        <v>0.61346153846153839</v>
      </c>
    </row>
    <row r="322" spans="1:21" x14ac:dyDescent="0.25">
      <c r="A322" s="61" t="s">
        <v>346</v>
      </c>
      <c r="J322" s="62"/>
      <c r="K322" s="63">
        <v>25870.5</v>
      </c>
      <c r="L322" s="64">
        <f>IFERROR(K322/K327, "NA")</f>
        <v>2.8362870823116264E-2</v>
      </c>
      <c r="M322" s="62"/>
      <c r="N322" s="63">
        <v>0</v>
      </c>
      <c r="O322" s="64">
        <f>IFERROR(N322/N327, "NA")</f>
        <v>0</v>
      </c>
      <c r="P322" s="62"/>
      <c r="Q322" s="63">
        <v>11449</v>
      </c>
      <c r="R322" s="64">
        <f>IFERROR(Q322/Q327, "NA")</f>
        <v>1.0368825245246627E-2</v>
      </c>
      <c r="T322" s="65">
        <f t="shared" si="8"/>
        <v>37319.5</v>
      </c>
      <c r="U322" s="65">
        <f t="shared" si="9"/>
        <v>717.68269230769226</v>
      </c>
    </row>
    <row r="323" spans="1:21" x14ac:dyDescent="0.25">
      <c r="A323" s="61" t="s">
        <v>347</v>
      </c>
      <c r="J323" s="62"/>
      <c r="K323" s="63">
        <v>0</v>
      </c>
      <c r="L323" s="64">
        <f>IFERROR(K323/K327, "NA")</f>
        <v>0</v>
      </c>
      <c r="M323" s="62"/>
      <c r="N323" s="63">
        <v>428.3</v>
      </c>
      <c r="O323" s="64">
        <f>IFERROR(N323/N327, "NA")</f>
        <v>2.9719530070876956E-4</v>
      </c>
      <c r="P323" s="62"/>
      <c r="Q323" s="63">
        <v>0</v>
      </c>
      <c r="R323" s="64">
        <f>IFERROR(Q323/Q327, "NA")</f>
        <v>0</v>
      </c>
      <c r="T323" s="65">
        <f t="shared" si="8"/>
        <v>428.3</v>
      </c>
      <c r="U323" s="65">
        <f t="shared" si="9"/>
        <v>8.236538461538462</v>
      </c>
    </row>
    <row r="324" spans="1:21" x14ac:dyDescent="0.25">
      <c r="A324" s="66" t="s">
        <v>348</v>
      </c>
      <c r="J324" s="58"/>
      <c r="K324" s="67">
        <f>IFERROR(K316+K317+K318+K319+K320+K321+K322+K323, "NA")</f>
        <v>29421.85</v>
      </c>
      <c r="L324" s="68">
        <f>IFERROR(K324/K327, "NA")</f>
        <v>3.2256358822871735E-2</v>
      </c>
      <c r="M324" s="58"/>
      <c r="N324" s="67">
        <f>IFERROR(N316+N317+N318+N319+N320+N321+N322+N323, "NA")</f>
        <v>26460.2</v>
      </c>
      <c r="O324" s="68">
        <f>IFERROR(N324/N327, "NA")</f>
        <v>1.8360604940028447E-2</v>
      </c>
      <c r="P324" s="58"/>
      <c r="Q324" s="67">
        <f>IFERROR(Q316+Q317+Q318+Q319+Q320+Q321+Q322+Q323, "NA")</f>
        <v>11449</v>
      </c>
      <c r="R324" s="68">
        <f>IFERROR(Q324/Q327, "NA")</f>
        <v>1.0368825245246627E-2</v>
      </c>
      <c r="T324" s="65">
        <f t="shared" si="8"/>
        <v>67331.05</v>
      </c>
      <c r="U324" s="65">
        <f t="shared" si="9"/>
        <v>1294.8278846153846</v>
      </c>
    </row>
    <row r="325" spans="1:21" x14ac:dyDescent="0.25">
      <c r="A325" s="70" t="s">
        <v>349</v>
      </c>
      <c r="J325" s="58"/>
      <c r="K325" s="67">
        <f>IFERROR(K287+K288+K289+K290+K291+K292+K293+K294+K295+K296+K297+K298+K299+K300+K301+K302+K303+K304+K305+K306+K307+K308+K309+K310+K311+K312+K313+K316+K317+K318+K319+K320+K321+K322+K323, "NA")</f>
        <v>85772.010000000009</v>
      </c>
      <c r="L325" s="68">
        <f>IFERROR(K325/K327, "NA")</f>
        <v>9.4035308164474474E-2</v>
      </c>
      <c r="M325" s="58"/>
      <c r="N325" s="67">
        <f>IFERROR(N287+N288+N289+N290+N291+N292+N293+N294+N295+N296+N297+N298+N299+N300+N301+N302+N303+N304+N305+N306+N307+N308+N309+N310+N311+N312+N313+N316+N317+N318+N319+N320+N321+N322+N323, "NA")</f>
        <v>119303.08</v>
      </c>
      <c r="O325" s="68">
        <f>IFERROR(N325/N327, "NA")</f>
        <v>8.2783830810372147E-2</v>
      </c>
      <c r="P325" s="58"/>
      <c r="Q325" s="67">
        <f>IFERROR(Q287+Q288+Q289+Q290+Q291+Q292+Q293+Q294+Q295+Q296+Q297+Q298+Q299+Q300+Q301+Q302+Q303+Q304+Q305+Q306+Q307+Q308+Q309+Q310+Q311+Q312+Q313+Q316+Q317+Q318+Q319+Q320+Q321+Q322+Q323, "NA")</f>
        <v>71772.570000000007</v>
      </c>
      <c r="R325" s="68">
        <f>IFERROR(Q325/Q327, "NA")</f>
        <v>6.500106871623991E-2</v>
      </c>
      <c r="T325" s="65">
        <f t="shared" si="8"/>
        <v>276847.66000000003</v>
      </c>
      <c r="U325" s="65">
        <f t="shared" si="9"/>
        <v>5323.9934615384618</v>
      </c>
    </row>
    <row r="326" spans="1:21" x14ac:dyDescent="0.25">
      <c r="A326" s="70" t="s">
        <v>350</v>
      </c>
      <c r="J326" s="58"/>
      <c r="K326" s="67">
        <f>IFERROR(+K52-K157-K211-K284-K325, "NA")</f>
        <v>193272.76999999979</v>
      </c>
      <c r="L326" s="68">
        <f>IFERROR(K326/K327, "NA")</f>
        <v>0.21189271985991204</v>
      </c>
      <c r="M326" s="58"/>
      <c r="N326" s="67">
        <f>IFERROR(+N52-N157-N211-N284-N325, "NA")</f>
        <v>471757.87000000005</v>
      </c>
      <c r="O326" s="68">
        <f>IFERROR(N326/N327, "NA")</f>
        <v>0.32735050673915156</v>
      </c>
      <c r="P326" s="58"/>
      <c r="Q326" s="67">
        <f>IFERROR(+Q52-Q157-Q211-Q284-Q325, "NA")</f>
        <v>349643.67000000022</v>
      </c>
      <c r="R326" s="68">
        <f>IFERROR(Q326/Q327, "NA")</f>
        <v>0.31665596229685411</v>
      </c>
      <c r="T326" s="65">
        <f t="shared" si="8"/>
        <v>1014674.31</v>
      </c>
      <c r="U326" s="65">
        <f t="shared" si="9"/>
        <v>19512.967500000002</v>
      </c>
    </row>
    <row r="327" spans="1:21" x14ac:dyDescent="0.25">
      <c r="A327" s="74" t="s">
        <v>4</v>
      </c>
      <c r="J327" s="62"/>
      <c r="K327" s="63">
        <v>912125.58</v>
      </c>
      <c r="L327" s="75"/>
      <c r="M327" s="62"/>
      <c r="N327" s="63">
        <v>1441139.88</v>
      </c>
      <c r="O327" s="75"/>
      <c r="P327" s="62"/>
      <c r="Q327" s="63">
        <v>1104175.23</v>
      </c>
      <c r="R327" s="75"/>
      <c r="T327" s="65">
        <f t="shared" si="8"/>
        <v>3457440.69</v>
      </c>
      <c r="U327" s="65">
        <f t="shared" si="9"/>
        <v>66489.244038461533</v>
      </c>
    </row>
    <row r="330" spans="1:21" x14ac:dyDescent="0.25">
      <c r="A330" s="76" t="s">
        <v>351</v>
      </c>
    </row>
    <row r="331" spans="1:21" x14ac:dyDescent="0.25">
      <c r="A331" s="76" t="s">
        <v>352</v>
      </c>
    </row>
    <row r="332" spans="1:21" x14ac:dyDescent="0.25">
      <c r="A332" s="76" t="s">
        <v>353</v>
      </c>
    </row>
  </sheetData>
  <mergeCells count="3">
    <mergeCell ref="K5:L5"/>
    <mergeCell ref="N5:O5"/>
    <mergeCell ref="Q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EBIDTA 2</vt:lpstr>
      <vt:lpstr>OPEX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Lavenant</dc:creator>
  <cp:lastModifiedBy>Matthias Lavenant</cp:lastModifiedBy>
  <dcterms:created xsi:type="dcterms:W3CDTF">2026-08-24T17:51:22Z</dcterms:created>
  <dcterms:modified xsi:type="dcterms:W3CDTF">2026-08-24T19:55:04Z</dcterms:modified>
</cp:coreProperties>
</file>